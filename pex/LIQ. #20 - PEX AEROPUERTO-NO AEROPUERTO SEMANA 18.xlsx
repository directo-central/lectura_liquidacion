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IRECTO Dropbox\Carmen Temoche\CONSOLIDADO PAGOS Y PEX\PEX\"/>
    </mc:Choice>
  </mc:AlternateContent>
  <xr:revisionPtr revIDLastSave="0" documentId="8_{F98043B6-5589-421D-8F9B-AF362A7E1BC4}" xr6:coauthVersionLast="47" xr6:coauthVersionMax="47" xr10:uidLastSave="{00000000-0000-0000-0000-000000000000}"/>
  <bookViews>
    <workbookView xWindow="-108" yWindow="-108" windowWidth="23256" windowHeight="12456" tabRatio="818" firstSheet="1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PEX'!$A$1:$D$5061</definedName>
  </definedNames>
  <calcPr calcId="191028"/>
  <pivotCaches>
    <pivotCache cacheId="102" r:id="rId8"/>
    <pivotCache cacheId="10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B459" i="10"/>
  <c r="B460" i="10"/>
  <c r="B461" i="10"/>
  <c r="B462" i="10"/>
  <c r="B463" i="10"/>
  <c r="B464" i="10"/>
  <c r="B465" i="10"/>
  <c r="B466" i="10"/>
  <c r="B467" i="10"/>
  <c r="B468" i="10"/>
  <c r="B469" i="10"/>
  <c r="C459" i="10"/>
  <c r="C460" i="10"/>
  <c r="C461" i="10"/>
  <c r="C462" i="10"/>
  <c r="C463" i="10"/>
  <c r="C464" i="10"/>
  <c r="C465" i="10"/>
  <c r="C466" i="10"/>
  <c r="C467" i="10"/>
  <c r="C468" i="10"/>
  <c r="C469" i="10"/>
  <c r="D459" i="10"/>
  <c r="D460" i="10"/>
  <c r="D461" i="10"/>
  <c r="D462" i="10"/>
  <c r="D463" i="10"/>
  <c r="D464" i="10"/>
  <c r="D465" i="10"/>
  <c r="D466" i="10"/>
  <c r="D467" i="10"/>
  <c r="D468" i="10"/>
  <c r="D469" i="10"/>
  <c r="E459" i="10"/>
  <c r="E460" i="10"/>
  <c r="E461" i="10"/>
  <c r="E462" i="10"/>
  <c r="E463" i="10"/>
  <c r="E464" i="10"/>
  <c r="E465" i="10"/>
  <c r="E466" i="10"/>
  <c r="E467" i="10"/>
  <c r="E468" i="10"/>
  <c r="E469" i="10"/>
  <c r="B448" i="10"/>
  <c r="C448" i="10"/>
  <c r="D448" i="10"/>
  <c r="E448" i="10"/>
  <c r="F464" i="10" l="1"/>
  <c r="F465" i="10"/>
  <c r="F461" i="10"/>
  <c r="F469" i="10"/>
  <c r="F460" i="10"/>
  <c r="F459" i="10"/>
  <c r="F468" i="10"/>
  <c r="F467" i="10"/>
  <c r="F466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B470" i="10" l="1"/>
  <c r="C470" i="10"/>
  <c r="E470" i="10"/>
  <c r="D470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70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tc={D664CFD4-A1E4-4584-A3D5-03875B49AB5E}</author>
    <author>tc={8A4F8709-76EC-45BA-9B7C-70F356E5E826}</author>
    <author>tc={FE709859-CC96-4980-8D61-7F506AB930C7}</author>
    <author>tc={730B63F7-B07D-4F51-99E9-B031FE8FB433}</author>
    <author>tc={3D5D6EDE-DB49-4794-AD78-2065FCFFB053}</author>
    <author>tc={E6136BAC-86CC-420D-9D87-61B8E406663C}</author>
    <author>tc={FE715B3E-BA9E-4EB4-9764-BCD02044F991}</author>
    <author>tc={71303991-41B3-4788-AE63-08A0FD5A5F26}</author>
  </authors>
  <commentList>
    <comment ref="A280" authorId="0" shapeId="0" xr:uid="{D664CFD4-A1E4-4584-A3D5-03875B49AB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81" authorId="1" shapeId="0" xr:uid="{8A4F8709-76EC-45BA-9B7C-70F356E5E8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82" authorId="2" shapeId="0" xr:uid="{FE709859-CC96-4980-8D61-7F506AB930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83" authorId="3" shapeId="0" xr:uid="{730B63F7-B07D-4F51-99E9-B031FE8FB4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84" authorId="4" shapeId="0" xr:uid="{3D5D6EDE-DB49-4794-AD78-2065FCFFB0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88" authorId="5" shapeId="0" xr:uid="{E6136BAC-86CC-420D-9D87-61B8E4066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89" authorId="6" shapeId="0" xr:uid="{FE715B3E-BA9E-4EB4-9764-BCD02044F9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90" authorId="7" shapeId="0" xr:uid="{71303991-41B3-4788-AE63-08A0FD5A5F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2954-2955</t>
      </text>
    </comment>
  </commentList>
</comments>
</file>

<file path=xl/sharedStrings.xml><?xml version="1.0" encoding="utf-8"?>
<sst xmlns="http://schemas.openxmlformats.org/spreadsheetml/2006/main" count="20884" uniqueCount="1287">
  <si>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</si>
  <si>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</si>
  <si>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</si>
  <si>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</si>
  <si>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</si>
  <si>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</si>
  <si>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</si>
  <si>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</si>
  <si>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</si>
  <si>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</si>
  <si>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</si>
  <si>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</si>
  <si>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</si>
  <si>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</si>
  <si>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</si>
  <si>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</si>
  <si>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</si>
  <si>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</si>
  <si>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</si>
  <si>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</si>
  <si>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</si>
  <si>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</si>
  <si>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</si>
  <si>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</si>
  <si>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</si>
  <si>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</si>
  <si>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</si>
  <si>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</si>
  <si>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</si>
  <si>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</si>
  <si>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</si>
  <si>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</si>
  <si>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</si>
  <si>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</si>
  <si>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</si>
  <si>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</si>
  <si>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</si>
  <si>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</si>
  <si>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</si>
  <si>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</si>
  <si>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</si>
  <si>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</si>
  <si>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</si>
  <si>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</si>
  <si>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</si>
  <si>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</si>
  <si>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</si>
  <si>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</si>
  <si>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</si>
  <si>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</si>
  <si>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</si>
  <si>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</si>
  <si>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</si>
  <si>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</si>
  <si>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</si>
  <si>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</si>
  <si>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</si>
  <si>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</si>
  <si>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</si>
  <si>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AMZ092</t>
  </si>
  <si>
    <t>ADZ371</t>
  </si>
  <si>
    <t>AUO087</t>
  </si>
  <si>
    <t>BYF337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</si>
  <si>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</si>
  <si>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</si>
  <si>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</si>
  <si>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</si>
  <si>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</si>
  <si>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</si>
  <si>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</si>
  <si>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</si>
  <si>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</si>
  <si>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</si>
  <si>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</si>
  <si>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</si>
  <si>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</si>
  <si>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</si>
  <si>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</si>
  <si>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</si>
  <si>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</si>
  <si>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</si>
  <si>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</si>
  <si>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</si>
  <si>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CED571</t>
  </si>
  <si>
    <t>CDB022</t>
  </si>
  <si>
    <t>BLN321</t>
  </si>
  <si>
    <t>CCI257</t>
  </si>
  <si>
    <t>CED168</t>
  </si>
  <si>
    <t>BVP590</t>
  </si>
  <si>
    <t>BUE615</t>
  </si>
  <si>
    <t>CHB475</t>
  </si>
  <si>
    <t>BDJ451</t>
  </si>
  <si>
    <t>Z7J196</t>
  </si>
  <si>
    <t>BZW495</t>
  </si>
  <si>
    <t>BRV668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</si>
  <si>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</si>
  <si>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</si>
  <si>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</si>
  <si>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</si>
  <si>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</si>
  <si>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</si>
  <si>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</si>
  <si>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</si>
  <si>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CEF599</t>
  </si>
  <si>
    <t>CBH631</t>
  </si>
  <si>
    <t>BER461</t>
  </si>
  <si>
    <t>AUR546</t>
  </si>
  <si>
    <t>ASN567</t>
  </si>
  <si>
    <t>BEU666</t>
  </si>
  <si>
    <t>BFR215</t>
  </si>
  <si>
    <t>BMX033</t>
  </si>
  <si>
    <t>BTE249</t>
  </si>
  <si>
    <t>CES183</t>
  </si>
  <si>
    <t>AUW007</t>
  </si>
  <si>
    <t>BXX289</t>
  </si>
  <si>
    <t>AZO111</t>
  </si>
  <si>
    <t>AZC196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</si>
  <si>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</si>
  <si>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</si>
  <si>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</si>
  <si>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</si>
  <si>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</si>
  <si>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</si>
  <si>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</si>
  <si>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</si>
  <si>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</si>
  <si>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</si>
  <si>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ATH410</t>
  </si>
  <si>
    <t>BLW390</t>
  </si>
  <si>
    <t>BDY036</t>
  </si>
  <si>
    <t>AFF275</t>
  </si>
  <si>
    <t>BCL560</t>
  </si>
  <si>
    <t>BBG585</t>
  </si>
  <si>
    <t>AMF659</t>
  </si>
  <si>
    <t>BKP500</t>
  </si>
  <si>
    <t>CJJ327</t>
  </si>
  <si>
    <t>CKA667</t>
  </si>
  <si>
    <t>D0T524</t>
  </si>
  <si>
    <t>CKN347</t>
  </si>
  <si>
    <t>BJR597</t>
  </si>
  <si>
    <t>CKS152</t>
  </si>
  <si>
    <t>CKI005</t>
  </si>
  <si>
    <t>CDF423</t>
  </si>
  <si>
    <t>CAV483</t>
  </si>
  <si>
    <t>CKL500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</si>
  <si>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</si>
  <si>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</si>
  <si>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</si>
  <si>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</si>
  <si>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</si>
  <si>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</si>
  <si>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</si>
  <si>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</si>
  <si>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</si>
  <si>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CKQ016</t>
  </si>
  <si>
    <t>BDQ675</t>
  </si>
  <si>
    <t>CLD091</t>
  </si>
  <si>
    <t>BDD813</t>
  </si>
  <si>
    <t>CJI139</t>
  </si>
  <si>
    <t>Z7K151</t>
  </si>
  <si>
    <t>ATJ456</t>
  </si>
  <si>
    <t>M5H523</t>
  </si>
  <si>
    <t>CLX013</t>
  </si>
  <si>
    <t>AYY093</t>
  </si>
  <si>
    <t>CLK127</t>
  </si>
  <si>
    <t>BZW327</t>
  </si>
  <si>
    <t>BBC311</t>
  </si>
  <si>
    <t>BXK391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</si>
  <si>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</si>
  <si>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</si>
  <si>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</si>
  <si>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</si>
  <si>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</si>
  <si>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</si>
  <si>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</si>
  <si>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</si>
  <si>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</si>
  <si>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CMB350</t>
  </si>
  <si>
    <t>CHS296</t>
  </si>
  <si>
    <t>BAC609</t>
  </si>
  <si>
    <t>CHU461</t>
  </si>
  <si>
    <t>Z7N330</t>
  </si>
  <si>
    <t>CNH018</t>
  </si>
  <si>
    <t>CNJ603</t>
  </si>
  <si>
    <t>CNN058</t>
  </si>
  <si>
    <t>CMK218</t>
  </si>
  <si>
    <t>CNB512</t>
  </si>
  <si>
    <t>CKT419</t>
  </si>
  <si>
    <t>CCW199</t>
  </si>
  <si>
    <t>BUS331</t>
  </si>
  <si>
    <t>BFJ521</t>
  </si>
  <si>
    <t>CNI140</t>
  </si>
  <si>
    <t>ATJ016</t>
  </si>
  <si>
    <t>CNB177</t>
  </si>
  <si>
    <t>CJH446</t>
  </si>
  <si>
    <t>CMH100</t>
  </si>
  <si>
    <t>BJY328</t>
  </si>
  <si>
    <t>ALQ578</t>
  </si>
  <si>
    <t>CJH185</t>
  </si>
  <si>
    <t>CJU681</t>
  </si>
  <si>
    <t>CNG668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</si>
  <si>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</si>
  <si>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</si>
  <si>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</si>
  <si>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</si>
  <si>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</si>
  <si>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</si>
  <si>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</si>
  <si>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</si>
  <si>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</si>
  <si>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CMV104</t>
  </si>
  <si>
    <t>CNW681</t>
  </si>
  <si>
    <t>CNQ366</t>
  </si>
  <si>
    <t>BVL113</t>
  </si>
  <si>
    <t>B5K121</t>
  </si>
  <si>
    <t>CPM017</t>
  </si>
  <si>
    <t>CHM525</t>
  </si>
  <si>
    <t>CPJ630</t>
  </si>
  <si>
    <t>VBI116</t>
  </si>
  <si>
    <t>BAP580</t>
  </si>
  <si>
    <t>CPR599</t>
  </si>
  <si>
    <t>CKR378</t>
  </si>
  <si>
    <t>CRD677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</si>
  <si>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</si>
  <si>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</si>
  <si>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</si>
  <si>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</si>
  <si>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</si>
  <si>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</si>
  <si>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</si>
  <si>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</si>
  <si>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</si>
  <si>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CBL608</t>
  </si>
  <si>
    <t>Peaje de Separadora Salida - P3</t>
  </si>
  <si>
    <t xml:space="preserve">Peaje Huánuco – P8   </t>
  </si>
  <si>
    <t xml:space="preserve">Peaje Estadio – P10   </t>
  </si>
  <si>
    <t>Peaje de Monterrico Entrada - P1</t>
  </si>
  <si>
    <t>Peaje de Monterrico Salida - P2</t>
  </si>
  <si>
    <t>Peaje de Santa Anita - P4</t>
  </si>
  <si>
    <t>Peaje de El Pino - P5</t>
  </si>
  <si>
    <t>Peaje de Priale Salida - P7</t>
  </si>
  <si>
    <t>Peaje de Priale Entrada - P6</t>
  </si>
  <si>
    <t>Peaje Puente del Ejercito – P9</t>
  </si>
  <si>
    <t>CES056</t>
  </si>
  <si>
    <t>CRZ329</t>
  </si>
  <si>
    <t>CSH510</t>
  </si>
  <si>
    <t>CSH349</t>
  </si>
  <si>
    <t>CSG597</t>
  </si>
  <si>
    <t>CKP244</t>
  </si>
  <si>
    <t>W3H509</t>
  </si>
  <si>
    <t>CRY222</t>
  </si>
  <si>
    <t>BVF672</t>
  </si>
  <si>
    <t>BSM138</t>
  </si>
  <si>
    <t>CPJ695</t>
  </si>
  <si>
    <t>CAQ002</t>
  </si>
  <si>
    <t>F8N254</t>
  </si>
  <si>
    <t>CRD692</t>
  </si>
  <si>
    <t>CPF074</t>
  </si>
  <si>
    <t>Z6F461</t>
  </si>
  <si>
    <t>CNW182</t>
  </si>
  <si>
    <t>CSI022</t>
  </si>
  <si>
    <t>CSI021</t>
  </si>
  <si>
    <t>CMH202</t>
  </si>
  <si>
    <t>APT266</t>
  </si>
  <si>
    <t>BDT387</t>
  </si>
  <si>
    <t>CSI194</t>
  </si>
  <si>
    <t>CFS441</t>
  </si>
  <si>
    <t>CCC507</t>
  </si>
  <si>
    <t>CCO641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</si>
  <si>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</si>
  <si>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</si>
  <si>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</si>
  <si>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</si>
  <si>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</si>
  <si>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</si>
  <si>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</si>
  <si>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</si>
  <si>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CKQ533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</si>
  <si>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</si>
  <si>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</si>
  <si>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</si>
  <si>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</si>
  <si>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</si>
  <si>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</si>
  <si>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</si>
  <si>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</si>
  <si>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CEW028</t>
  </si>
  <si>
    <t>BSS189</t>
  </si>
  <si>
    <t>CTK464</t>
  </si>
  <si>
    <t>ART024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</si>
  <si>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</si>
  <si>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</si>
  <si>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</si>
  <si>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</si>
  <si>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</si>
  <si>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</si>
  <si>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</si>
  <si>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</si>
  <si>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</si>
  <si>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CMD089</t>
  </si>
  <si>
    <t>ACZ039</t>
  </si>
  <si>
    <t>AYJ153</t>
  </si>
  <si>
    <t>BPM133</t>
  </si>
  <si>
    <t>BYV118</t>
  </si>
  <si>
    <t>BZX033</t>
  </si>
  <si>
    <t>CAT604</t>
  </si>
  <si>
    <t>CBZ617</t>
  </si>
  <si>
    <t>CEC017</t>
  </si>
  <si>
    <t>CJZ028</t>
  </si>
  <si>
    <t>CNN010</t>
  </si>
  <si>
    <t>CPL200</t>
  </si>
  <si>
    <t>CPU467</t>
  </si>
  <si>
    <t>CRU149</t>
  </si>
  <si>
    <t>CSN414</t>
  </si>
  <si>
    <t>CSU413</t>
  </si>
  <si>
    <t>CSZ400</t>
  </si>
  <si>
    <t>CTN657</t>
  </si>
  <si>
    <t>CTR591</t>
  </si>
  <si>
    <t>CTU642</t>
  </si>
  <si>
    <t>CTY448</t>
  </si>
  <si>
    <t>CTZ008</t>
  </si>
  <si>
    <t>CTZ353</t>
  </si>
  <si>
    <t>CUC607</t>
  </si>
  <si>
    <t>CUE550</t>
  </si>
  <si>
    <t>CUH050</t>
  </si>
  <si>
    <t>CUM244</t>
  </si>
  <si>
    <t>CUS438</t>
  </si>
  <si>
    <t>H2N467</t>
  </si>
  <si>
    <t>T7E578</t>
  </si>
  <si>
    <t>BXH572</t>
  </si>
  <si>
    <t>CMT682</t>
  </si>
  <si>
    <t>M4E582</t>
  </si>
  <si>
    <t>CUP199</t>
  </si>
  <si>
    <t>CPH054</t>
  </si>
  <si>
    <t>CNA499</t>
  </si>
  <si>
    <t>CTZ167</t>
  </si>
  <si>
    <t>BDR487</t>
  </si>
  <si>
    <t>CTB097</t>
  </si>
  <si>
    <t>CUU094</t>
  </si>
  <si>
    <t>CVH463</t>
  </si>
  <si>
    <t>CONECTADO</t>
  </si>
  <si>
    <t>SIN CONEXIÓN</t>
  </si>
  <si>
    <t>BJC358</t>
  </si>
  <si>
    <t>BJT655</t>
  </si>
  <si>
    <t>BLO434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</si>
  <si>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</si>
  <si>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</si>
  <si>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</si>
  <si>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</si>
  <si>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</si>
  <si>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</si>
  <si>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</si>
  <si>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</si>
  <si>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CLZ051</t>
  </si>
  <si>
    <t>CRI080</t>
  </si>
  <si>
    <t>CUI466</t>
  </si>
  <si>
    <t>W3J514</t>
  </si>
  <si>
    <t>CTZ151</t>
  </si>
  <si>
    <t>CTZ322</t>
  </si>
  <si>
    <t>CTZ341</t>
  </si>
  <si>
    <t>CTZ449</t>
  </si>
  <si>
    <t>CTZ139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</si>
  <si>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</si>
  <si>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</si>
  <si>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</si>
  <si>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</si>
  <si>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</si>
  <si>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</si>
  <si>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</si>
  <si>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</si>
  <si>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CVA181</t>
  </si>
  <si>
    <t>CVB479</t>
  </si>
  <si>
    <t>CVG349</t>
  </si>
  <si>
    <t>CVS186</t>
  </si>
  <si>
    <t>CUV084</t>
  </si>
  <si>
    <t>CVU366</t>
  </si>
  <si>
    <t>CTS479</t>
  </si>
  <si>
    <t>CCB672</t>
  </si>
  <si>
    <t>CPZ341</t>
  </si>
  <si>
    <t>CRG272</t>
  </si>
  <si>
    <t>F7M239</t>
  </si>
  <si>
    <t>Z7C417</t>
  </si>
  <si>
    <t>BJN316</t>
  </si>
  <si>
    <t>CVR156</t>
  </si>
  <si>
    <t>D0D172</t>
  </si>
  <si>
    <t>CVN594</t>
  </si>
  <si>
    <t>AUX161</t>
  </si>
  <si>
    <t>CVO556</t>
  </si>
  <si>
    <t>CCM084</t>
  </si>
  <si>
    <t>BPK461</t>
  </si>
  <si>
    <t>BFY368</t>
  </si>
  <si>
    <t>CTT572</t>
  </si>
  <si>
    <t>CUX675</t>
  </si>
  <si>
    <t>CWF217</t>
  </si>
  <si>
    <t>CVL389</t>
  </si>
  <si>
    <t>CSB042</t>
  </si>
  <si>
    <t>CCG534</t>
  </si>
  <si>
    <t>BLL611</t>
  </si>
  <si>
    <t>CSH376</t>
  </si>
  <si>
    <t>AUM498</t>
  </si>
  <si>
    <t>CVZ565</t>
  </si>
  <si>
    <t>CFP164</t>
  </si>
  <si>
    <t>CWD524</t>
  </si>
  <si>
    <t>BCJ418</t>
  </si>
  <si>
    <t>CUH490</t>
  </si>
  <si>
    <t>CSH416</t>
  </si>
  <si>
    <t>PEX INSTALADO</t>
  </si>
  <si>
    <t>CUL668</t>
  </si>
  <si>
    <t>BKV429</t>
  </si>
  <si>
    <t>BZT261</t>
  </si>
  <si>
    <t>CWD205</t>
  </si>
  <si>
    <t>CAO698</t>
  </si>
  <si>
    <t>CWD320</t>
  </si>
  <si>
    <t>CVJ148</t>
  </si>
  <si>
    <t>CTX684</t>
  </si>
  <si>
    <t>BUA648</t>
  </si>
  <si>
    <t>CNZ452</t>
  </si>
  <si>
    <t>2799186-2</t>
  </si>
  <si>
    <t>2809488-4</t>
  </si>
  <si>
    <t>B012-106546</t>
  </si>
  <si>
    <t>B012-106636</t>
  </si>
  <si>
    <t>F012-25806</t>
  </si>
  <si>
    <t>F012-25843</t>
  </si>
  <si>
    <t>B012-104883</t>
  </si>
  <si>
    <t>F012-25490</t>
  </si>
  <si>
    <t>B012-106999</t>
  </si>
  <si>
    <t>F012-25837</t>
  </si>
  <si>
    <t>F012-25881</t>
  </si>
  <si>
    <t>B012-106514</t>
  </si>
  <si>
    <t>F012-25428</t>
  </si>
  <si>
    <t>F012-25433</t>
  </si>
  <si>
    <t>B012-106433</t>
  </si>
  <si>
    <t>B012-105701</t>
  </si>
  <si>
    <t>B012-106090</t>
  </si>
  <si>
    <t>B012-106743</t>
  </si>
  <si>
    <t>B012-107121</t>
  </si>
  <si>
    <t>B012-105425</t>
  </si>
  <si>
    <t>B012-105535</t>
  </si>
  <si>
    <t>B012-104919</t>
  </si>
  <si>
    <t>B012-105522</t>
  </si>
  <si>
    <t>F012-25897</t>
  </si>
  <si>
    <t>B012-105132</t>
  </si>
  <si>
    <t>CVC101</t>
  </si>
  <si>
    <t>F012-25437</t>
  </si>
  <si>
    <t>B012-106224</t>
  </si>
  <si>
    <t>B012-105780</t>
  </si>
  <si>
    <t>B012-107066</t>
  </si>
  <si>
    <t>B012-105689</t>
  </si>
  <si>
    <t>B012-106140</t>
  </si>
  <si>
    <t>B012-105725</t>
  </si>
  <si>
    <t>CXF418</t>
  </si>
  <si>
    <t>2800827-20</t>
  </si>
  <si>
    <t>F012-25568</t>
  </si>
  <si>
    <t>2811638-1</t>
  </si>
  <si>
    <t>CUL264</t>
  </si>
  <si>
    <t>Z7B239</t>
  </si>
  <si>
    <t>2807359-2</t>
  </si>
  <si>
    <t>C0T281</t>
  </si>
  <si>
    <t>AWL341</t>
  </si>
  <si>
    <t>2805778-2</t>
  </si>
  <si>
    <t>B012-105496</t>
  </si>
  <si>
    <t>F012-25991</t>
  </si>
  <si>
    <t>B012-105287</t>
  </si>
  <si>
    <t>CMM587</t>
  </si>
  <si>
    <t>B012-106083</t>
  </si>
  <si>
    <t>F012-25640</t>
  </si>
  <si>
    <t>B012-106385</t>
  </si>
  <si>
    <t>B012-106519</t>
  </si>
  <si>
    <t>B012-106673</t>
  </si>
  <si>
    <t>B012-107007</t>
  </si>
  <si>
    <t>CUD090</t>
  </si>
  <si>
    <t>2808754-1</t>
  </si>
  <si>
    <t>2810952-2</t>
  </si>
  <si>
    <t>B012-106744</t>
  </si>
  <si>
    <t>F012-25874</t>
  </si>
  <si>
    <t>B012-106606</t>
  </si>
  <si>
    <t>VCU534</t>
  </si>
  <si>
    <t>B012-106212</t>
  </si>
  <si>
    <t>F012-25541</t>
  </si>
  <si>
    <t>B012-106939</t>
  </si>
  <si>
    <t>B012-104842</t>
  </si>
  <si>
    <t>B012-105131</t>
  </si>
  <si>
    <t>F012-25519</t>
  </si>
  <si>
    <t>F012-25447</t>
  </si>
  <si>
    <t>F012-25964</t>
  </si>
  <si>
    <t>F012-25673</t>
  </si>
  <si>
    <t>B012-104816</t>
  </si>
  <si>
    <t>B012-107137</t>
  </si>
  <si>
    <t>CVU263</t>
  </si>
  <si>
    <t>F012-25471</t>
  </si>
  <si>
    <t>B012-106917</t>
  </si>
  <si>
    <t>B012-107061</t>
  </si>
  <si>
    <t>B012-107167</t>
  </si>
  <si>
    <t>B012-104962</t>
  </si>
  <si>
    <t>B012-106290</t>
  </si>
  <si>
    <t>F012-25578</t>
  </si>
  <si>
    <t>B012-105520</t>
  </si>
  <si>
    <t>B012-105549</t>
  </si>
  <si>
    <t>F012-25944</t>
  </si>
  <si>
    <t>B012-105669</t>
  </si>
  <si>
    <t>F012-25691</t>
  </si>
  <si>
    <t>F012-25910</t>
  </si>
  <si>
    <t>B012-106825</t>
  </si>
  <si>
    <t>B012-105801</t>
  </si>
  <si>
    <t>B012-107014</t>
  </si>
  <si>
    <t>B012-105933</t>
  </si>
  <si>
    <t>B012-106569</t>
  </si>
  <si>
    <t>B012-105375</t>
  </si>
  <si>
    <t>B012-105518</t>
  </si>
  <si>
    <t>B012-105448</t>
  </si>
  <si>
    <t>B012-104856</t>
  </si>
  <si>
    <t>B012-105434</t>
  </si>
  <si>
    <t>B012-105976</t>
  </si>
  <si>
    <t>B012-107050</t>
  </si>
  <si>
    <t>B012-105902</t>
  </si>
  <si>
    <t>B012-106902</t>
  </si>
  <si>
    <t>CMP480</t>
  </si>
  <si>
    <t>CSZ263</t>
  </si>
  <si>
    <t>CNN464</t>
  </si>
  <si>
    <t>B012-104833</t>
  </si>
  <si>
    <t>B012-105736</t>
  </si>
  <si>
    <t>B012-104823</t>
  </si>
  <si>
    <t>B012-106070</t>
  </si>
  <si>
    <t>B012-106415</t>
  </si>
  <si>
    <t>B012-106502</t>
  </si>
  <si>
    <t>BNS210</t>
  </si>
  <si>
    <t>F012-25709</t>
  </si>
  <si>
    <t>B012-104778</t>
  </si>
  <si>
    <t>B012-104820</t>
  </si>
  <si>
    <t>B012-105373</t>
  </si>
  <si>
    <t>F012-25876</t>
  </si>
  <si>
    <t>B012-107130</t>
  </si>
  <si>
    <t>B012-106104</t>
  </si>
  <si>
    <t>B012-106707</t>
  </si>
  <si>
    <t>B012-105337</t>
  </si>
  <si>
    <t>B012-105866</t>
  </si>
  <si>
    <t>F012-25901</t>
  </si>
  <si>
    <t>B012-106921</t>
  </si>
  <si>
    <t>B012-107093</t>
  </si>
  <si>
    <t>2799083-1</t>
  </si>
  <si>
    <t>2799162-5</t>
  </si>
  <si>
    <t>2800185-1</t>
  </si>
  <si>
    <t>2801960-1</t>
  </si>
  <si>
    <t>2802246-4</t>
  </si>
  <si>
    <t>2803693-3</t>
  </si>
  <si>
    <t>2805340-11</t>
  </si>
  <si>
    <t>2805625-5</t>
  </si>
  <si>
    <t>2805712-4</t>
  </si>
  <si>
    <t>2805622-3</t>
  </si>
  <si>
    <t>2806298-1</t>
  </si>
  <si>
    <t>2807662-1</t>
  </si>
  <si>
    <t>B012-105140</t>
  </si>
  <si>
    <t>BJF390</t>
  </si>
  <si>
    <t>B012-106103</t>
  </si>
  <si>
    <t>B012-106728</t>
  </si>
  <si>
    <t>B012-105804</t>
  </si>
  <si>
    <t>B012-105851</t>
  </si>
  <si>
    <t>B012-106495</t>
  </si>
  <si>
    <t>B012-107186</t>
  </si>
  <si>
    <t>B012-106956</t>
  </si>
  <si>
    <t>F012-25929</t>
  </si>
  <si>
    <t>B012-105824</t>
  </si>
  <si>
    <t>B012-105923</t>
  </si>
  <si>
    <t>B012-106540</t>
  </si>
  <si>
    <t>B012-106590</t>
  </si>
  <si>
    <t>F012-25795</t>
  </si>
  <si>
    <t>CEV648</t>
  </si>
  <si>
    <t>B012-105445</t>
  </si>
  <si>
    <t>F012-25948</t>
  </si>
  <si>
    <t>B012-107000</t>
  </si>
  <si>
    <t>2799145-3</t>
  </si>
  <si>
    <t>2798691-2</t>
  </si>
  <si>
    <t>2803615-3</t>
  </si>
  <si>
    <t>2804150-3</t>
  </si>
  <si>
    <t>2803600-2</t>
  </si>
  <si>
    <t>2805345-3</t>
  </si>
  <si>
    <t>2805303-7</t>
  </si>
  <si>
    <t>2805341-6</t>
  </si>
  <si>
    <t>2805696-5</t>
  </si>
  <si>
    <t>B012-106213</t>
  </si>
  <si>
    <t>2807117-32</t>
  </si>
  <si>
    <t>2807140-4</t>
  </si>
  <si>
    <t>2807677-5</t>
  </si>
  <si>
    <t>2811027-2</t>
  </si>
  <si>
    <t>2810535-12</t>
  </si>
  <si>
    <t>B012-106684</t>
  </si>
  <si>
    <t>APC386</t>
  </si>
  <si>
    <t>F012-25445</t>
  </si>
  <si>
    <t>F012-25617</t>
  </si>
  <si>
    <t>2801526-1</t>
  </si>
  <si>
    <t>2807672-4</t>
  </si>
  <si>
    <t>2808923-1</t>
  </si>
  <si>
    <t>2808896-8</t>
  </si>
  <si>
    <t>2799071-9</t>
  </si>
  <si>
    <t>2801594-4</t>
  </si>
  <si>
    <t>2801512-1</t>
  </si>
  <si>
    <t>2805737-4</t>
  </si>
  <si>
    <t>2805662-4</t>
  </si>
  <si>
    <t>B012-104782</t>
  </si>
  <si>
    <t>F012-25611</t>
  </si>
  <si>
    <t>B012-107156</t>
  </si>
  <si>
    <t>B012-104995</t>
  </si>
  <si>
    <t>B012-106298</t>
  </si>
  <si>
    <t>B012-106551</t>
  </si>
  <si>
    <t>B012-106120</t>
  </si>
  <si>
    <t>B012-104900</t>
  </si>
  <si>
    <t>F012-25592</t>
  </si>
  <si>
    <t>2810988-1</t>
  </si>
  <si>
    <t>2799072-3</t>
  </si>
  <si>
    <t>2805298-21</t>
  </si>
  <si>
    <t>2809516-2</t>
  </si>
  <si>
    <t>2810955-1</t>
  </si>
  <si>
    <t>VAV356</t>
  </si>
  <si>
    <t>BNO307</t>
  </si>
  <si>
    <t>CCH552</t>
  </si>
  <si>
    <t>B012-105696</t>
  </si>
  <si>
    <t>2803701-3</t>
  </si>
  <si>
    <t>2805308-2</t>
  </si>
  <si>
    <t>2807644-3</t>
  </si>
  <si>
    <t>2807659-2</t>
  </si>
  <si>
    <t>2807581-3</t>
  </si>
  <si>
    <t>2808921-8</t>
  </si>
  <si>
    <t>2808899-37</t>
  </si>
  <si>
    <t>2809915-3</t>
  </si>
  <si>
    <t>2810994-1</t>
  </si>
  <si>
    <t>2811030-2</t>
  </si>
  <si>
    <t>2810952-7</t>
  </si>
  <si>
    <t>2811001-2</t>
  </si>
  <si>
    <t>B012-105354</t>
  </si>
  <si>
    <t>F012-25769</t>
  </si>
  <si>
    <t>CXH433</t>
  </si>
  <si>
    <t>CWT433</t>
  </si>
  <si>
    <t>2801588-3</t>
  </si>
  <si>
    <t>2801550-7</t>
  </si>
  <si>
    <t>2803286-6</t>
  </si>
  <si>
    <t>2803685-5</t>
  </si>
  <si>
    <t>2805283-1</t>
  </si>
  <si>
    <t>2807544-3</t>
  </si>
  <si>
    <t>2807679-13</t>
  </si>
  <si>
    <t>2808199-3</t>
  </si>
  <si>
    <t>2809505-3</t>
  </si>
  <si>
    <t>2810657-2</t>
  </si>
  <si>
    <t>2810937-2</t>
  </si>
  <si>
    <t>F012-25496</t>
  </si>
  <si>
    <t>B012-104985</t>
  </si>
  <si>
    <t>2799115-2</t>
  </si>
  <si>
    <t>2801556-3</t>
  </si>
  <si>
    <t>2803714-2</t>
  </si>
  <si>
    <t>2803606-4</t>
  </si>
  <si>
    <t>2805333-3</t>
  </si>
  <si>
    <t>2805691-3</t>
  </si>
  <si>
    <t>2810943-1</t>
  </si>
  <si>
    <t>BNE342</t>
  </si>
  <si>
    <t>BNG615</t>
  </si>
  <si>
    <t>B012-104979</t>
  </si>
  <si>
    <t>F012-25990</t>
  </si>
  <si>
    <t>CSC263</t>
  </si>
  <si>
    <t>2808896-7</t>
  </si>
  <si>
    <t>BWX187</t>
  </si>
  <si>
    <t>B012-105206</t>
  </si>
  <si>
    <t>B012-107109</t>
  </si>
  <si>
    <t>B012-105508</t>
  </si>
  <si>
    <t>B012-106261</t>
  </si>
  <si>
    <t>B012-106318</t>
  </si>
  <si>
    <t>CDE514</t>
  </si>
  <si>
    <t>F012-25514</t>
  </si>
  <si>
    <t>B012-105551</t>
  </si>
  <si>
    <t>BLP599</t>
  </si>
  <si>
    <t>F012-25657</t>
  </si>
  <si>
    <t>CWL054</t>
  </si>
  <si>
    <t>F012-25547</t>
  </si>
  <si>
    <t>B012-105712</t>
  </si>
  <si>
    <t>B012-105826</t>
  </si>
  <si>
    <t>2802111-2</t>
  </si>
  <si>
    <t>2805799-1</t>
  </si>
  <si>
    <t>2808199-2</t>
  </si>
  <si>
    <t>CNN441</t>
  </si>
  <si>
    <t>2807525-3</t>
  </si>
  <si>
    <t>2808210-1</t>
  </si>
  <si>
    <t>2811024-1</t>
  </si>
  <si>
    <t>2805663-3</t>
  </si>
  <si>
    <t>F012-25726</t>
  </si>
  <si>
    <t>2801584-4</t>
  </si>
  <si>
    <t>2801539-1</t>
  </si>
  <si>
    <t>2803674-3</t>
  </si>
  <si>
    <t>2804493-1</t>
  </si>
  <si>
    <t>2806333-1</t>
  </si>
  <si>
    <t>BKE016</t>
  </si>
  <si>
    <t>F012-25513</t>
  </si>
  <si>
    <t>B012-107094</t>
  </si>
  <si>
    <t>F012-25918</t>
  </si>
  <si>
    <t>CPP635</t>
  </si>
  <si>
    <t>B012-105587</t>
  </si>
  <si>
    <t>B012-106000</t>
  </si>
  <si>
    <t>B012-106562</t>
  </si>
  <si>
    <t>CSC167</t>
  </si>
  <si>
    <t>CTS168</t>
  </si>
  <si>
    <t>BZZ267</t>
  </si>
  <si>
    <t>2798831-6</t>
  </si>
  <si>
    <t>2799058-2</t>
  </si>
  <si>
    <t>2801614-2</t>
  </si>
  <si>
    <t>2803666-4</t>
  </si>
  <si>
    <t>2803630-7</t>
  </si>
  <si>
    <t>2803704-1</t>
  </si>
  <si>
    <t>2804493-5</t>
  </si>
  <si>
    <t>2807666-1</t>
  </si>
  <si>
    <t>CJN072</t>
  </si>
  <si>
    <t>2798833-26</t>
  </si>
  <si>
    <t>2799147-3</t>
  </si>
  <si>
    <t>2798691-1</t>
  </si>
  <si>
    <t>2799063-3</t>
  </si>
  <si>
    <t>2798830-23</t>
  </si>
  <si>
    <t>2798799-26</t>
  </si>
  <si>
    <t>2801489-7</t>
  </si>
  <si>
    <t>2800840-10</t>
  </si>
  <si>
    <t>2801508-4</t>
  </si>
  <si>
    <t>2801648-3</t>
  </si>
  <si>
    <t>2802116-3</t>
  </si>
  <si>
    <t>2800827-35</t>
  </si>
  <si>
    <t>2803593-7</t>
  </si>
  <si>
    <t>2803678-4</t>
  </si>
  <si>
    <t>2805633-9</t>
  </si>
  <si>
    <t>2805646-45</t>
  </si>
  <si>
    <t>2807258-1</t>
  </si>
  <si>
    <t>2807551-6</t>
  </si>
  <si>
    <t>2809512-3</t>
  </si>
  <si>
    <t>2809351-3</t>
  </si>
  <si>
    <t>2810656-2</t>
  </si>
  <si>
    <t>2810988-5</t>
  </si>
  <si>
    <t>B012-106864</t>
  </si>
  <si>
    <t>2799111-3</t>
  </si>
  <si>
    <t>2803675-3</t>
  </si>
  <si>
    <t>2809504-1</t>
  </si>
  <si>
    <t>BUE579</t>
  </si>
  <si>
    <t>2803231-19</t>
  </si>
  <si>
    <t>CRD355</t>
  </si>
  <si>
    <t>2807669-8</t>
  </si>
  <si>
    <t>2801594-5</t>
  </si>
  <si>
    <t>2801517-7</t>
  </si>
  <si>
    <t>2801654-1</t>
  </si>
  <si>
    <t>2803185-2</t>
  </si>
  <si>
    <t>2803685-2</t>
  </si>
  <si>
    <t>2803605-1</t>
  </si>
  <si>
    <t>2805653-6</t>
  </si>
  <si>
    <t>2805802-2</t>
  </si>
  <si>
    <t>2807669-1</t>
  </si>
  <si>
    <t>2807551-1</t>
  </si>
  <si>
    <t>2809031-4</t>
  </si>
  <si>
    <t>2808886-1</t>
  </si>
  <si>
    <t>2799074-6</t>
  </si>
  <si>
    <t>2799141-5</t>
  </si>
  <si>
    <t>2799243-2</t>
  </si>
  <si>
    <t>2801589-3</t>
  </si>
  <si>
    <t>2801499-11</t>
  </si>
  <si>
    <t>2801498-5</t>
  </si>
  <si>
    <t>2803286-5</t>
  </si>
  <si>
    <t>2803683-4</t>
  </si>
  <si>
    <t>2803664-4</t>
  </si>
  <si>
    <t>2803578-18</t>
  </si>
  <si>
    <t>2805646-4</t>
  </si>
  <si>
    <t>CJV471</t>
  </si>
  <si>
    <t>2810940-55</t>
  </si>
  <si>
    <t>2798828-2</t>
  </si>
  <si>
    <t>2799065-4</t>
  </si>
  <si>
    <t>2799139-8</t>
  </si>
  <si>
    <t>2799126-1</t>
  </si>
  <si>
    <t>2800909-5</t>
  </si>
  <si>
    <t>2803281-5</t>
  </si>
  <si>
    <t>2807665-3</t>
  </si>
  <si>
    <t>2807543-2</t>
  </si>
  <si>
    <t>2807679-11</t>
  </si>
  <si>
    <t>2807144-33</t>
  </si>
  <si>
    <t>2810970-12</t>
  </si>
  <si>
    <t>2811067-1</t>
  </si>
  <si>
    <t>2810971-33</t>
  </si>
  <si>
    <t>2811049-3</t>
  </si>
  <si>
    <t>2810562-15</t>
  </si>
  <si>
    <t>2799145-1</t>
  </si>
  <si>
    <t>2799061-4</t>
  </si>
  <si>
    <t>2805349-24</t>
  </si>
  <si>
    <t>2806332-1</t>
  </si>
  <si>
    <t>2807675-4</t>
  </si>
  <si>
    <t>2798783-5</t>
  </si>
  <si>
    <t>2798818-19</t>
  </si>
  <si>
    <t>2798765-8</t>
  </si>
  <si>
    <t>2801645-1</t>
  </si>
  <si>
    <t>2803281-8</t>
  </si>
  <si>
    <t>2805199-2</t>
  </si>
  <si>
    <t>2803182-9</t>
  </si>
  <si>
    <t>2803291-7</t>
  </si>
  <si>
    <t>2805308-16</t>
  </si>
  <si>
    <t>2805780-2</t>
  </si>
  <si>
    <t>2807130-5</t>
  </si>
  <si>
    <t>2807681-4</t>
  </si>
  <si>
    <t>B012-105333</t>
  </si>
  <si>
    <t>CXT605</t>
  </si>
  <si>
    <t>2798819-2</t>
  </si>
  <si>
    <t>2799056-7</t>
  </si>
  <si>
    <t>2804132-3</t>
  </si>
  <si>
    <t>2805278-5</t>
  </si>
  <si>
    <t>2805732-3</t>
  </si>
  <si>
    <t>2805680-1</t>
  </si>
  <si>
    <t>2807359-1</t>
  </si>
  <si>
    <t>2805298-22</t>
  </si>
  <si>
    <t>2805704-2</t>
  </si>
  <si>
    <t>2807130-4</t>
  </si>
  <si>
    <t>2807117-15</t>
  </si>
  <si>
    <t>2807611-3</t>
  </si>
  <si>
    <t>2809031-2</t>
  </si>
  <si>
    <t>2809502-3</t>
  </si>
  <si>
    <t>2809373-4</t>
  </si>
  <si>
    <t>2809034-4</t>
  </si>
  <si>
    <t>F012-25739</t>
  </si>
  <si>
    <t>2798818-4</t>
  </si>
  <si>
    <t>2798818-20</t>
  </si>
  <si>
    <t>2800787-17</t>
  </si>
  <si>
    <t>2801575-4</t>
  </si>
  <si>
    <t>2801529-67</t>
  </si>
  <si>
    <t>2803604-5</t>
  </si>
  <si>
    <t>2803203-4</t>
  </si>
  <si>
    <t>2803628-65</t>
  </si>
  <si>
    <t>2805292-12</t>
  </si>
  <si>
    <t>2807838-4</t>
  </si>
  <si>
    <t>2807527-1</t>
  </si>
  <si>
    <t>2807105-6</t>
  </si>
  <si>
    <t>2807574-1</t>
  </si>
  <si>
    <t>2808896-9</t>
  </si>
  <si>
    <t>2811947-1</t>
  </si>
  <si>
    <t>2805776-3</t>
  </si>
  <si>
    <t>2805298-26</t>
  </si>
  <si>
    <t>2809414-3</t>
  </si>
  <si>
    <t>BPM524</t>
  </si>
  <si>
    <t>2799132-1</t>
  </si>
  <si>
    <t>2805326-4</t>
  </si>
  <si>
    <t>2805661-2</t>
  </si>
  <si>
    <t>2812463-2</t>
  </si>
  <si>
    <t>CUD310</t>
  </si>
  <si>
    <t>2810625-3</t>
  </si>
  <si>
    <t>2801513-6</t>
  </si>
  <si>
    <t>2801593-4</t>
  </si>
  <si>
    <t>2801550-6</t>
  </si>
  <si>
    <t>2800827-36</t>
  </si>
  <si>
    <t>2803613-2</t>
  </si>
  <si>
    <t>2803677-3</t>
  </si>
  <si>
    <t>2803712-2</t>
  </si>
  <si>
    <t>2805658-16</t>
  </si>
  <si>
    <t>2805798-4</t>
  </si>
  <si>
    <t>2805689-1</t>
  </si>
  <si>
    <t>2805331-1</t>
  </si>
  <si>
    <t>2810969-2</t>
  </si>
  <si>
    <t>2810570-2</t>
  </si>
  <si>
    <t>CKL081</t>
  </si>
  <si>
    <t>F012-25545</t>
  </si>
  <si>
    <t>F012-25431</t>
  </si>
  <si>
    <t>2807615-2</t>
  </si>
  <si>
    <t>2809410-3</t>
  </si>
  <si>
    <t>2810937-6</t>
  </si>
  <si>
    <t>2810958-6</t>
  </si>
  <si>
    <t>CUF563</t>
  </si>
  <si>
    <t>2807164-2</t>
  </si>
  <si>
    <t>2807716-2</t>
  </si>
  <si>
    <t>2807104-7</t>
  </si>
  <si>
    <t>2807263-3</t>
  </si>
  <si>
    <t>2810348-1</t>
  </si>
  <si>
    <t>B012-105136</t>
  </si>
  <si>
    <t>2798230-3</t>
  </si>
  <si>
    <t>2799149-3</t>
  </si>
  <si>
    <t>2799166-2</t>
  </si>
  <si>
    <t>2805624-1</t>
  </si>
  <si>
    <t>2805794-1</t>
  </si>
  <si>
    <t>2807671-1</t>
  </si>
  <si>
    <t>2807683-1</t>
  </si>
  <si>
    <t>2807544-4</t>
  </si>
  <si>
    <t>2807723-4</t>
  </si>
  <si>
    <t>2807141-17</t>
  </si>
  <si>
    <t>2808936-22</t>
  </si>
  <si>
    <t>2809388-11</t>
  </si>
  <si>
    <t>2809514-2</t>
  </si>
  <si>
    <t>2808890-1</t>
  </si>
  <si>
    <t>2808927-25</t>
  </si>
  <si>
    <t>2810566-5</t>
  </si>
  <si>
    <t>2800774-10</t>
  </si>
  <si>
    <t>2801593-5</t>
  </si>
  <si>
    <t>2801517-1</t>
  </si>
  <si>
    <t>2803166-11</t>
  </si>
  <si>
    <t>2803684-5</t>
  </si>
  <si>
    <t>2803651-1</t>
  </si>
  <si>
    <t>2805667-1</t>
  </si>
  <si>
    <t>2808901-4</t>
  </si>
  <si>
    <t>2809505-5</t>
  </si>
  <si>
    <t>2809415-4</t>
  </si>
  <si>
    <t>2809348-2</t>
  </si>
  <si>
    <t>2810541-16</t>
  </si>
  <si>
    <t>2812463-4</t>
  </si>
  <si>
    <t>F012-25867</t>
  </si>
  <si>
    <t>2801659-1</t>
  </si>
  <si>
    <t>2801625-2</t>
  </si>
  <si>
    <t>2801497-3</t>
  </si>
  <si>
    <t>2805658-2</t>
  </si>
  <si>
    <t>2805763-4</t>
  </si>
  <si>
    <t>2805298-16</t>
  </si>
  <si>
    <t>2805751-3</t>
  </si>
  <si>
    <t>2810531-9</t>
  </si>
  <si>
    <t>CSY519</t>
  </si>
  <si>
    <t>2810970-8</t>
  </si>
  <si>
    <t>2799166-3</t>
  </si>
  <si>
    <t>2799075-6</t>
  </si>
  <si>
    <t>2799134-3</t>
  </si>
  <si>
    <t>2803591-2</t>
  </si>
  <si>
    <t>2803680-1</t>
  </si>
  <si>
    <t>2805308-15</t>
  </si>
  <si>
    <t>2805785-1</t>
  </si>
  <si>
    <t>2809402-7</t>
  </si>
  <si>
    <t>2809350-1</t>
  </si>
  <si>
    <t>2810972-9</t>
  </si>
  <si>
    <t>2801553-2</t>
  </si>
  <si>
    <t>2802246-1</t>
  </si>
  <si>
    <t>2807531-4</t>
  </si>
  <si>
    <t>2807687-1</t>
  </si>
  <si>
    <t>2800786-24</t>
  </si>
  <si>
    <t>2799074-5</t>
  </si>
  <si>
    <t>2803594-1</t>
  </si>
  <si>
    <t>2803589-1</t>
  </si>
  <si>
    <t>2805800-1</t>
  </si>
  <si>
    <t>B012-104839</t>
  </si>
  <si>
    <t>B012-107096</t>
  </si>
  <si>
    <t>BVD341</t>
  </si>
  <si>
    <t>B012-105759</t>
  </si>
  <si>
    <t>B012-104964</t>
  </si>
  <si>
    <t>F012-25561</t>
  </si>
  <si>
    <t>F012-25701</t>
  </si>
  <si>
    <t>F012-25665</t>
  </si>
  <si>
    <t>B012-106053</t>
  </si>
  <si>
    <t>B012-106747</t>
  </si>
  <si>
    <t>CWH324</t>
  </si>
  <si>
    <t>B012-105147</t>
  </si>
  <si>
    <t>2797536-3</t>
  </si>
  <si>
    <t>2807724-5</t>
  </si>
  <si>
    <t>2807623-4</t>
  </si>
  <si>
    <t>2807705-1</t>
  </si>
  <si>
    <t>2808880-3</t>
  </si>
  <si>
    <t>2807677-4</t>
  </si>
  <si>
    <t>2807532-3</t>
  </si>
  <si>
    <t>2807707-1</t>
  </si>
  <si>
    <t>2810982-5</t>
  </si>
  <si>
    <t>2811083-6</t>
  </si>
  <si>
    <t>2810939-3</t>
  </si>
  <si>
    <t>2811065-3</t>
  </si>
  <si>
    <t>2811046-3</t>
  </si>
  <si>
    <t>2810654-1</t>
  </si>
  <si>
    <t>2810951-1</t>
  </si>
  <si>
    <t>2811016-3</t>
  </si>
  <si>
    <t>F012-26001</t>
  </si>
  <si>
    <t>B012-105751</t>
  </si>
  <si>
    <t>F012-25762</t>
  </si>
  <si>
    <t>B012-106560</t>
  </si>
  <si>
    <t>B012-106894</t>
  </si>
  <si>
    <t>2801478-6</t>
  </si>
  <si>
    <t>2803581-6</t>
  </si>
  <si>
    <t>2803659-1</t>
  </si>
  <si>
    <t>2804525-4</t>
  </si>
  <si>
    <t>2805707-3</t>
  </si>
  <si>
    <t>2807930-1</t>
  </si>
  <si>
    <t>2801533-7</t>
  </si>
  <si>
    <t>CUI301</t>
  </si>
  <si>
    <t>2807156-19</t>
  </si>
  <si>
    <t>2807636-4</t>
  </si>
  <si>
    <t>B012-105018</t>
  </si>
  <si>
    <t>F012-25573</t>
  </si>
  <si>
    <t>CRM208</t>
  </si>
  <si>
    <t>B012-106019</t>
  </si>
  <si>
    <t>CCR442</t>
  </si>
  <si>
    <t>2810574-7</t>
  </si>
  <si>
    <t>F012-25750</t>
  </si>
  <si>
    <t>B012-106003</t>
  </si>
  <si>
    <t>B012-105461</t>
  </si>
  <si>
    <t>F012-25884</t>
  </si>
  <si>
    <t>B012-106772</t>
  </si>
  <si>
    <t>B012-107059</t>
  </si>
  <si>
    <t>B012-105931</t>
  </si>
  <si>
    <t>F012-25476</t>
  </si>
  <si>
    <t>F012-25784</t>
  </si>
  <si>
    <t>B012-106697</t>
  </si>
  <si>
    <t>B012-106930</t>
  </si>
  <si>
    <t>B012-107036</t>
  </si>
  <si>
    <t>2804731-2</t>
  </si>
  <si>
    <t>2801535-1</t>
  </si>
  <si>
    <t>F012-25870</t>
  </si>
  <si>
    <t>B012-106491</t>
  </si>
  <si>
    <t>CTH234</t>
  </si>
  <si>
    <t>B012-105135</t>
  </si>
  <si>
    <t>F012-25520</t>
  </si>
  <si>
    <t>B012-106177</t>
  </si>
  <si>
    <t>B012-106545</t>
  </si>
  <si>
    <t>F012-25660</t>
  </si>
  <si>
    <t>F012-25919</t>
  </si>
  <si>
    <t>CJM455</t>
  </si>
  <si>
    <t>2799182-4</t>
  </si>
  <si>
    <t>2799097-1</t>
  </si>
  <si>
    <t>2801556-2</t>
  </si>
  <si>
    <t>2808197-1</t>
  </si>
  <si>
    <t>2807640-4</t>
  </si>
  <si>
    <t>2807144-25</t>
  </si>
  <si>
    <t>F012-25778</t>
  </si>
  <si>
    <t>B012-107048</t>
  </si>
  <si>
    <t>B012-107176</t>
  </si>
  <si>
    <t>2800818-5</t>
  </si>
  <si>
    <t>2809504-3</t>
  </si>
  <si>
    <t>2809411-1</t>
  </si>
  <si>
    <t>2798812-6</t>
  </si>
  <si>
    <t>2801517-2</t>
  </si>
  <si>
    <t>2803683-1</t>
  </si>
  <si>
    <t>2805735-4</t>
  </si>
  <si>
    <t>2805658-12</t>
  </si>
  <si>
    <t>2805766-1</t>
  </si>
  <si>
    <t>2807551-2</t>
  </si>
  <si>
    <t>2807675-1</t>
  </si>
  <si>
    <t>2807632-4</t>
  </si>
  <si>
    <t>2809515-1</t>
  </si>
  <si>
    <t>2810380-1</t>
  </si>
  <si>
    <t>B012-105101</t>
  </si>
  <si>
    <t>B012-105497</t>
  </si>
  <si>
    <t>F012-25692</t>
  </si>
  <si>
    <t>F012-25863</t>
  </si>
  <si>
    <t>B012-106983</t>
  </si>
  <si>
    <t>2803016-1</t>
  </si>
  <si>
    <t>2805731-5</t>
  </si>
  <si>
    <t>2805694-4</t>
  </si>
  <si>
    <t>2805659-3</t>
  </si>
  <si>
    <t>2807706-2</t>
  </si>
  <si>
    <t>2809034-3</t>
  </si>
  <si>
    <t>2809028-2</t>
  </si>
  <si>
    <t>2810980-10</t>
  </si>
  <si>
    <t>2799233-3</t>
  </si>
  <si>
    <t>2800809-14</t>
  </si>
  <si>
    <t>2803702-4</t>
  </si>
  <si>
    <t>2805703-4</t>
  </si>
  <si>
    <t>2807120-19</t>
  </si>
  <si>
    <t>F2T540</t>
  </si>
  <si>
    <t>2799186-7</t>
  </si>
  <si>
    <t>2803231-25</t>
  </si>
  <si>
    <t>2801572-3</t>
  </si>
  <si>
    <t>2801526-8</t>
  </si>
  <si>
    <t>2803626-1</t>
  </si>
  <si>
    <t>2807949-2</t>
  </si>
  <si>
    <t>2805298-7</t>
  </si>
  <si>
    <t>2808921-3</t>
  </si>
  <si>
    <t>2811020-5</t>
  </si>
  <si>
    <t>F012-25560</t>
  </si>
  <si>
    <t>B012-105929</t>
  </si>
  <si>
    <t>B012-106965</t>
  </si>
  <si>
    <t>F012-25903</t>
  </si>
  <si>
    <t>B012-106055</t>
  </si>
  <si>
    <t>VDL619</t>
  </si>
  <si>
    <t>2801483-6</t>
  </si>
  <si>
    <t>2801605-1</t>
  </si>
  <si>
    <t>2807643-4</t>
  </si>
  <si>
    <t>2807655-1</t>
  </si>
  <si>
    <t>2809396-2</t>
  </si>
  <si>
    <t>B012-104853</t>
  </si>
  <si>
    <t>B012-104899</t>
  </si>
  <si>
    <t>B012-106896</t>
  </si>
  <si>
    <t>2803584-6</t>
  </si>
  <si>
    <t>2803290-4</t>
  </si>
  <si>
    <t>2805701-4</t>
  </si>
  <si>
    <t>2807642-3</t>
  </si>
  <si>
    <t>2808197-2</t>
  </si>
  <si>
    <t>2807584-7</t>
  </si>
  <si>
    <t>2809454-4</t>
  </si>
  <si>
    <t>2810984-2</t>
  </si>
  <si>
    <t>2799185-2</t>
  </si>
  <si>
    <t>2799067-2</t>
  </si>
  <si>
    <t>2798765-5</t>
  </si>
  <si>
    <t>2801508-2</t>
  </si>
  <si>
    <t>CRF406</t>
  </si>
  <si>
    <t>CPJ035</t>
  </si>
  <si>
    <t>BSC096</t>
  </si>
  <si>
    <t>B012-105962</t>
  </si>
  <si>
    <t>B012-107185</t>
  </si>
  <si>
    <t>CVN422</t>
  </si>
  <si>
    <t>F012-25436</t>
  </si>
  <si>
    <t>B012-104999</t>
  </si>
  <si>
    <t>B012-106842</t>
  </si>
  <si>
    <t>CWI518</t>
  </si>
  <si>
    <t>CFP116</t>
  </si>
  <si>
    <t>2811085-1</t>
  </si>
  <si>
    <t>CVU180</t>
  </si>
  <si>
    <t>BW01-00000008</t>
  </si>
  <si>
    <t>B012-106282</t>
  </si>
  <si>
    <t>CWF053</t>
  </si>
  <si>
    <t>B012-106229</t>
  </si>
  <si>
    <t>F012-25882</t>
  </si>
  <si>
    <t>CXR674</t>
  </si>
  <si>
    <t>2801591-5</t>
  </si>
  <si>
    <t>CSH320</t>
  </si>
  <si>
    <t>CVT080</t>
  </si>
  <si>
    <t>2802124-2</t>
  </si>
  <si>
    <t>2801496-4</t>
  </si>
  <si>
    <t>2800804-2</t>
  </si>
  <si>
    <t>2801475-1</t>
  </si>
  <si>
    <t>2801601-2</t>
  </si>
  <si>
    <t>2807577-5</t>
  </si>
  <si>
    <t>2811550-3</t>
  </si>
  <si>
    <t>2809382-1</t>
  </si>
  <si>
    <t>2811096-4</t>
  </si>
  <si>
    <t>BPR188</t>
  </si>
  <si>
    <t>B012-104825</t>
  </si>
  <si>
    <t>CVK629</t>
  </si>
  <si>
    <t>B012-105407</t>
  </si>
  <si>
    <t>F012-25741</t>
  </si>
  <si>
    <t>B012-106554</t>
  </si>
  <si>
    <t>VDH083</t>
  </si>
  <si>
    <t>CWH512</t>
  </si>
  <si>
    <t>B012-105296</t>
  </si>
  <si>
    <t>F012-25792</t>
  </si>
  <si>
    <t>B012-106249</t>
  </si>
  <si>
    <t>CWR016</t>
  </si>
  <si>
    <t>B012-106018</t>
  </si>
  <si>
    <t>ALF329</t>
  </si>
  <si>
    <t>B012-105244</t>
  </si>
  <si>
    <t>CVV674</t>
  </si>
  <si>
    <t>B012-105419</t>
  </si>
  <si>
    <t>BSZ306</t>
  </si>
  <si>
    <t>2801508-13</t>
  </si>
  <si>
    <t>2800827-19</t>
  </si>
  <si>
    <t>2803610-5</t>
  </si>
  <si>
    <t>2805353-2</t>
  </si>
  <si>
    <t>2804149-2</t>
  </si>
  <si>
    <t>2806515-1</t>
  </si>
  <si>
    <t>2805731-1</t>
  </si>
  <si>
    <t>2805696-3</t>
  </si>
  <si>
    <t>2807116-7</t>
  </si>
  <si>
    <t>2807548-3</t>
  </si>
  <si>
    <t>2807676-1</t>
  </si>
  <si>
    <t>2809385-1</t>
  </si>
  <si>
    <t>AHO333</t>
  </si>
  <si>
    <t>CVQ002</t>
  </si>
  <si>
    <t>2805672-1</t>
  </si>
  <si>
    <t>2806336-1</t>
  </si>
  <si>
    <t>CWZ460</t>
  </si>
  <si>
    <t>BYV175</t>
  </si>
  <si>
    <t>2798806-6</t>
  </si>
  <si>
    <t>2799058-4</t>
  </si>
  <si>
    <t>2802109-1</t>
  </si>
  <si>
    <t>2801627-3</t>
  </si>
  <si>
    <t>2803612-7</t>
  </si>
  <si>
    <t>2803212-20</t>
  </si>
  <si>
    <t>2805308-19</t>
  </si>
  <si>
    <t>2805666-5</t>
  </si>
  <si>
    <t>2806335-3</t>
  </si>
  <si>
    <t>2807116-9</t>
  </si>
  <si>
    <t>CXF217</t>
  </si>
  <si>
    <t>B012-105062</t>
  </si>
  <si>
    <t>CXJ322</t>
  </si>
  <si>
    <t>CXL075</t>
  </si>
  <si>
    <t>2799245-1</t>
  </si>
  <si>
    <t>2805648-1</t>
  </si>
  <si>
    <t>2809399-7</t>
  </si>
  <si>
    <t>CTD217</t>
  </si>
  <si>
    <t>CST304</t>
  </si>
  <si>
    <t>B012-106258</t>
  </si>
  <si>
    <t>ANR204</t>
  </si>
  <si>
    <t>CDK426</t>
  </si>
  <si>
    <t>2803652-3</t>
  </si>
  <si>
    <t>2807105-28</t>
  </si>
  <si>
    <t>2810937-5</t>
  </si>
  <si>
    <t>CWS583</t>
  </si>
  <si>
    <t>B012-106522</t>
  </si>
  <si>
    <t>F012-25973</t>
  </si>
  <si>
    <t>CWS313</t>
  </si>
  <si>
    <t>2810972-2</t>
  </si>
  <si>
    <t>ARJ682</t>
  </si>
  <si>
    <t>B012-105941</t>
  </si>
  <si>
    <t>BMX496</t>
  </si>
  <si>
    <t>BPI301</t>
  </si>
  <si>
    <t>2801659-3</t>
  </si>
  <si>
    <t>B012-104933</t>
  </si>
  <si>
    <t>2811637-1</t>
  </si>
  <si>
    <t>2799192-3</t>
  </si>
  <si>
    <t>2807724-1</t>
  </si>
  <si>
    <t>B012-105952</t>
  </si>
  <si>
    <t>F012-25780</t>
  </si>
  <si>
    <t>2809385-11</t>
  </si>
  <si>
    <t>CDS187</t>
  </si>
  <si>
    <t>2798231-3</t>
  </si>
  <si>
    <t>2799172-1</t>
  </si>
  <si>
    <t>F012-25435</t>
  </si>
  <si>
    <t>2803166-10</t>
  </si>
  <si>
    <t>2805288-9</t>
  </si>
  <si>
    <t>2807686-1</t>
  </si>
  <si>
    <t>2810980-5</t>
  </si>
  <si>
    <t>B012-105240</t>
  </si>
  <si>
    <t>F012-25622</t>
  </si>
  <si>
    <t>F012-25841</t>
  </si>
  <si>
    <t>B012-106312</t>
  </si>
  <si>
    <t>CVR636</t>
  </si>
  <si>
    <t>F012-25655</t>
  </si>
  <si>
    <t>B012-106579</t>
  </si>
  <si>
    <t>B012-106771</t>
  </si>
  <si>
    <t>2798824-27</t>
  </si>
  <si>
    <t>2800774-4</t>
  </si>
  <si>
    <t>B012-105601</t>
  </si>
  <si>
    <t>2805660-2</t>
  </si>
  <si>
    <t>F012-25597</t>
  </si>
  <si>
    <t>B012-106451</t>
  </si>
  <si>
    <t>B012-106490</t>
  </si>
  <si>
    <t>F012-25968</t>
  </si>
  <si>
    <t>F012-25981</t>
  </si>
  <si>
    <t>B012-105352</t>
  </si>
  <si>
    <t>B012-105880</t>
  </si>
  <si>
    <t>B012-104990</t>
  </si>
  <si>
    <t>B012-105312</t>
  </si>
  <si>
    <t>F012-25648</t>
  </si>
  <si>
    <t>F012-25661</t>
  </si>
  <si>
    <t>CRG420</t>
  </si>
  <si>
    <t>2800184-3</t>
  </si>
  <si>
    <t>2804136-2</t>
  </si>
  <si>
    <t>2811916-1</t>
  </si>
  <si>
    <t>2811080-4</t>
  </si>
  <si>
    <t>B012-106073</t>
  </si>
  <si>
    <t>B012-106824</t>
  </si>
  <si>
    <t>CFA126</t>
  </si>
  <si>
    <t>2798787-3</t>
  </si>
  <si>
    <t>2798699-2</t>
  </si>
  <si>
    <t>2801649-2</t>
  </si>
  <si>
    <t>B012-106185</t>
  </si>
  <si>
    <t>2800186-3</t>
  </si>
  <si>
    <t>2801651-3</t>
  </si>
  <si>
    <t>2800789-2</t>
  </si>
  <si>
    <t>2801576-2</t>
  </si>
  <si>
    <t>2804519-2</t>
  </si>
  <si>
    <t>2803202-6</t>
  </si>
  <si>
    <t>2803177-29</t>
  </si>
  <si>
    <t>2803658-3</t>
  </si>
  <si>
    <t>2803582-7</t>
  </si>
  <si>
    <t>2805723-4</t>
  </si>
  <si>
    <t>2808904-10</t>
  </si>
  <si>
    <t>B012-106319</t>
  </si>
  <si>
    <t>B012-104818</t>
  </si>
  <si>
    <t>F012-25935</t>
  </si>
  <si>
    <t>CSX360</t>
  </si>
  <si>
    <t>B012-106946</t>
  </si>
  <si>
    <t>B012-105757</t>
  </si>
  <si>
    <t>B012-107023</t>
  </si>
  <si>
    <t>F012-25543</t>
  </si>
  <si>
    <t>F012-25765</t>
  </si>
  <si>
    <t>F012-25839</t>
  </si>
  <si>
    <t>B012-106835</t>
  </si>
  <si>
    <t>B012-106531</t>
  </si>
  <si>
    <t>B012-104976</t>
  </si>
  <si>
    <t>Z6D031</t>
  </si>
  <si>
    <t>2807675-2</t>
  </si>
  <si>
    <t>B012-106246</t>
  </si>
  <si>
    <t>2800393-1</t>
  </si>
  <si>
    <t>2809473-2</t>
  </si>
  <si>
    <t>B012-105042</t>
  </si>
  <si>
    <t>B012-105128</t>
  </si>
  <si>
    <t>B012-105746</t>
  </si>
  <si>
    <t>B012-106786</t>
  </si>
  <si>
    <t>F012-25954</t>
  </si>
  <si>
    <t>F012-25457</t>
  </si>
  <si>
    <t>B012-105857</t>
  </si>
  <si>
    <t>CNB415</t>
  </si>
  <si>
    <t>B012-105003</t>
  </si>
  <si>
    <t>BUY682</t>
  </si>
  <si>
    <t>B012-105047</t>
  </si>
  <si>
    <t>B012-105258</t>
  </si>
  <si>
    <t>CHZ028</t>
  </si>
  <si>
    <t>CPB035</t>
  </si>
  <si>
    <t>B012-105051</t>
  </si>
  <si>
    <t>F012-25564</t>
  </si>
  <si>
    <t>CND019</t>
  </si>
  <si>
    <t>B012-107035</t>
  </si>
  <si>
    <t>BUW402</t>
  </si>
  <si>
    <t>B012-105693</t>
  </si>
  <si>
    <t>F012-25820</t>
  </si>
  <si>
    <t>F012-25986</t>
  </si>
  <si>
    <t>F012-25720</t>
  </si>
  <si>
    <t>B012-106266</t>
  </si>
  <si>
    <t>F012-25939</t>
  </si>
  <si>
    <t>B012-105698</t>
  </si>
  <si>
    <t>F300-00180302</t>
  </si>
  <si>
    <t>F300-00180954</t>
  </si>
  <si>
    <t>AZW626</t>
  </si>
  <si>
    <t>BDX196</t>
  </si>
  <si>
    <t>CONEXIÓN SEM 18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</si>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</sst>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name val="Calibri Light"/>
      <family val="2"/>
    </font>
    <font>
      <b/>
      <sz val="10"/>
      <color rgb="FF00B05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14" fontId="19" fillId="0" borderId="5" xfId="1" applyNumberFormat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4" fontId="19" fillId="0" borderId="6" xfId="1" applyNumberFormat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44" fontId="0" fillId="0" borderId="0" xfId="0" applyNumberFormat="1" applyFill="1"/>
    <xf numFmtId="0" fontId="7" fillId="10" borderId="0" xfId="0" applyFont="1" applyFill="1" applyAlignment="1">
      <alignment horizontal="center" vertic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5767"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color rgb="FF9C0006"/>
      </font>
    </dxf>
    <dxf>
      <font>
        <b/>
        <i val="0"/>
        <color rgb="FF0020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QUIDACIONES/2026/TODAS%20LAS%20FLOTAS/LIQ.%2020%20TODAS%20LAS%20FLOTAS%20DEL%2011%20MAYO%20AL%2017%20MAYO.xlsx" TargetMode="External"/><Relationship Id="rId2" Type="http://schemas.openxmlformats.org/officeDocument/2006/relationships/externalLinkPath" Target="file:///C:\Users\carmen\DIRECTO%20Dropbox\Carmen%20Temoche\LIQUIDACIONES\2026\TODAS%20LAS%20FLOTAS\LIQ.%2020%20TODAS%20LAS%20FLOTAS%20DEL%2011%20MAYO%20AL%2017%20MAYO.xlsx" TargetMode="External"/><Relationship Id="rId1" Type="http://schemas.openxmlformats.org/officeDocument/2006/relationships/externalLinkPath" Target="/Users/carmen/DIRECTO%20Dropbox/Carmen%20Temoche/LIQUIDACIONES/2026/TODAS%20LAS%20FLOTAS/LIQ.%2020%20TODAS%20LAS%20FLOTAS%20DEL%2011%20MAYO%20AL%2017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40</v>
          </cell>
        </row>
        <row r="35">
          <cell r="B35">
            <v>41</v>
          </cell>
        </row>
        <row r="36">
          <cell r="B36">
            <v>42</v>
          </cell>
        </row>
        <row r="37">
          <cell r="B37">
            <v>43</v>
          </cell>
        </row>
        <row r="38">
          <cell r="B38">
            <v>49</v>
          </cell>
        </row>
        <row r="39">
          <cell r="B39">
            <v>50</v>
          </cell>
        </row>
        <row r="40">
          <cell r="B40">
            <v>52</v>
          </cell>
        </row>
        <row r="41">
          <cell r="B41">
            <v>104</v>
          </cell>
        </row>
        <row r="42">
          <cell r="B42">
            <v>105</v>
          </cell>
        </row>
        <row r="43">
          <cell r="B43">
            <v>108</v>
          </cell>
        </row>
        <row r="44">
          <cell r="B44">
            <v>125</v>
          </cell>
        </row>
        <row r="45">
          <cell r="B45">
            <v>126</v>
          </cell>
        </row>
        <row r="46">
          <cell r="B46">
            <v>127</v>
          </cell>
        </row>
        <row r="47">
          <cell r="B47">
            <v>129</v>
          </cell>
        </row>
        <row r="48">
          <cell r="B48">
            <v>200</v>
          </cell>
        </row>
        <row r="49">
          <cell r="B49">
            <v>203</v>
          </cell>
        </row>
        <row r="50">
          <cell r="B50">
            <v>204</v>
          </cell>
        </row>
        <row r="51">
          <cell r="B51">
            <v>205</v>
          </cell>
        </row>
        <row r="52">
          <cell r="B52">
            <v>207</v>
          </cell>
        </row>
        <row r="53">
          <cell r="B53">
            <v>208</v>
          </cell>
        </row>
        <row r="54">
          <cell r="B54">
            <v>210</v>
          </cell>
        </row>
        <row r="55">
          <cell r="B55">
            <v>212</v>
          </cell>
        </row>
        <row r="56">
          <cell r="B56">
            <v>213</v>
          </cell>
        </row>
        <row r="57">
          <cell r="B57">
            <v>216</v>
          </cell>
        </row>
        <row r="58">
          <cell r="B58">
            <v>217</v>
          </cell>
        </row>
        <row r="59">
          <cell r="B59">
            <v>219</v>
          </cell>
        </row>
        <row r="60">
          <cell r="B60">
            <v>220</v>
          </cell>
        </row>
        <row r="61">
          <cell r="B61">
            <v>221</v>
          </cell>
        </row>
        <row r="62">
          <cell r="B62">
            <v>222</v>
          </cell>
        </row>
        <row r="63">
          <cell r="B63">
            <v>223</v>
          </cell>
        </row>
        <row r="64">
          <cell r="B64">
            <v>224</v>
          </cell>
        </row>
        <row r="65">
          <cell r="B65">
            <v>226</v>
          </cell>
        </row>
        <row r="66">
          <cell r="B66">
            <v>227</v>
          </cell>
        </row>
        <row r="67">
          <cell r="B67">
            <v>230</v>
          </cell>
        </row>
        <row r="68">
          <cell r="B68">
            <v>233</v>
          </cell>
        </row>
        <row r="69">
          <cell r="B69">
            <v>234</v>
          </cell>
        </row>
        <row r="70">
          <cell r="B70">
            <v>238</v>
          </cell>
        </row>
        <row r="71">
          <cell r="B71">
            <v>239</v>
          </cell>
        </row>
        <row r="72">
          <cell r="B72">
            <v>240</v>
          </cell>
        </row>
        <row r="73">
          <cell r="B73">
            <v>241</v>
          </cell>
        </row>
        <row r="74">
          <cell r="B74">
            <v>243</v>
          </cell>
        </row>
        <row r="75">
          <cell r="B75">
            <v>245</v>
          </cell>
        </row>
        <row r="76">
          <cell r="B76">
            <v>247</v>
          </cell>
        </row>
        <row r="77">
          <cell r="B77">
            <v>248</v>
          </cell>
        </row>
        <row r="78">
          <cell r="B78">
            <v>250</v>
          </cell>
        </row>
        <row r="79">
          <cell r="B79">
            <v>251</v>
          </cell>
        </row>
        <row r="80">
          <cell r="B80">
            <v>258</v>
          </cell>
        </row>
        <row r="81">
          <cell r="B81">
            <v>260</v>
          </cell>
        </row>
        <row r="82">
          <cell r="B82">
            <v>267</v>
          </cell>
        </row>
        <row r="83">
          <cell r="B83">
            <v>269</v>
          </cell>
        </row>
        <row r="84">
          <cell r="B84">
            <v>271</v>
          </cell>
        </row>
        <row r="85">
          <cell r="B85">
            <v>279</v>
          </cell>
        </row>
        <row r="86">
          <cell r="B86">
            <v>282</v>
          </cell>
        </row>
        <row r="87">
          <cell r="B87">
            <v>283</v>
          </cell>
        </row>
        <row r="88">
          <cell r="B88">
            <v>290</v>
          </cell>
        </row>
        <row r="89">
          <cell r="B89">
            <v>291</v>
          </cell>
        </row>
        <row r="90">
          <cell r="B90">
            <v>292</v>
          </cell>
        </row>
        <row r="91">
          <cell r="B91">
            <v>294</v>
          </cell>
        </row>
        <row r="92">
          <cell r="B92">
            <v>295</v>
          </cell>
        </row>
        <row r="93">
          <cell r="B93">
            <v>301</v>
          </cell>
        </row>
        <row r="94">
          <cell r="B94">
            <v>302</v>
          </cell>
        </row>
        <row r="95">
          <cell r="B95">
            <v>304</v>
          </cell>
        </row>
        <row r="96">
          <cell r="B96">
            <v>307</v>
          </cell>
        </row>
        <row r="97">
          <cell r="B97">
            <v>315</v>
          </cell>
        </row>
        <row r="98">
          <cell r="B98">
            <v>319</v>
          </cell>
        </row>
        <row r="99">
          <cell r="B99">
            <v>321</v>
          </cell>
        </row>
        <row r="100">
          <cell r="B100">
            <v>330</v>
          </cell>
        </row>
        <row r="101">
          <cell r="B101">
            <v>331</v>
          </cell>
        </row>
        <row r="102">
          <cell r="B102">
            <v>349</v>
          </cell>
        </row>
        <row r="103">
          <cell r="B103">
            <v>361</v>
          </cell>
        </row>
        <row r="104">
          <cell r="B104">
            <v>365</v>
          </cell>
        </row>
        <row r="105">
          <cell r="B105">
            <v>373</v>
          </cell>
        </row>
        <row r="106">
          <cell r="B106">
            <v>380</v>
          </cell>
        </row>
        <row r="107">
          <cell r="B107">
            <v>388</v>
          </cell>
        </row>
        <row r="108">
          <cell r="B108">
            <v>392</v>
          </cell>
        </row>
        <row r="109">
          <cell r="B109">
            <v>396</v>
          </cell>
        </row>
        <row r="110">
          <cell r="B110">
            <v>398</v>
          </cell>
        </row>
        <row r="111">
          <cell r="B111">
            <v>404</v>
          </cell>
        </row>
        <row r="112">
          <cell r="B112">
            <v>407</v>
          </cell>
        </row>
        <row r="113">
          <cell r="B113">
            <v>408</v>
          </cell>
        </row>
        <row r="114">
          <cell r="B114">
            <v>411</v>
          </cell>
        </row>
        <row r="115">
          <cell r="B115">
            <v>412</v>
          </cell>
        </row>
        <row r="116">
          <cell r="B116">
            <v>420</v>
          </cell>
        </row>
        <row r="117">
          <cell r="B117">
            <v>423</v>
          </cell>
        </row>
        <row r="118">
          <cell r="B118">
            <v>434</v>
          </cell>
        </row>
        <row r="119">
          <cell r="B119">
            <v>460</v>
          </cell>
        </row>
        <row r="120">
          <cell r="B120">
            <v>467</v>
          </cell>
        </row>
        <row r="121">
          <cell r="B121">
            <v>474</v>
          </cell>
        </row>
        <row r="122">
          <cell r="B122">
            <v>479</v>
          </cell>
        </row>
        <row r="123">
          <cell r="B123">
            <v>498</v>
          </cell>
        </row>
        <row r="124">
          <cell r="B124">
            <v>504</v>
          </cell>
        </row>
        <row r="125">
          <cell r="B125">
            <v>507</v>
          </cell>
        </row>
        <row r="126">
          <cell r="B126">
            <v>515</v>
          </cell>
        </row>
        <row r="127">
          <cell r="B127">
            <v>517</v>
          </cell>
        </row>
        <row r="128">
          <cell r="B128">
            <v>519</v>
          </cell>
        </row>
        <row r="129">
          <cell r="B129">
            <v>521</v>
          </cell>
        </row>
        <row r="130">
          <cell r="B130">
            <v>523</v>
          </cell>
        </row>
        <row r="131">
          <cell r="B131">
            <v>528</v>
          </cell>
        </row>
        <row r="132">
          <cell r="B132">
            <v>529</v>
          </cell>
        </row>
        <row r="133">
          <cell r="B133">
            <v>530</v>
          </cell>
        </row>
        <row r="134">
          <cell r="B134">
            <v>532</v>
          </cell>
        </row>
        <row r="135">
          <cell r="B135">
            <v>539</v>
          </cell>
        </row>
        <row r="136">
          <cell r="B136">
            <v>541</v>
          </cell>
        </row>
        <row r="137">
          <cell r="B137">
            <v>553</v>
          </cell>
        </row>
        <row r="138">
          <cell r="B138">
            <v>557</v>
          </cell>
        </row>
        <row r="139">
          <cell r="B139">
            <v>559</v>
          </cell>
        </row>
        <row r="140">
          <cell r="B140">
            <v>561</v>
          </cell>
        </row>
        <row r="141">
          <cell r="B141">
            <v>571</v>
          </cell>
        </row>
        <row r="142">
          <cell r="B142">
            <v>583</v>
          </cell>
        </row>
        <row r="143">
          <cell r="B143">
            <v>591</v>
          </cell>
        </row>
        <row r="144">
          <cell r="B144">
            <v>596</v>
          </cell>
        </row>
        <row r="145">
          <cell r="B145">
            <v>602</v>
          </cell>
        </row>
        <row r="146">
          <cell r="B146">
            <v>621</v>
          </cell>
        </row>
        <row r="147">
          <cell r="B147">
            <v>627</v>
          </cell>
        </row>
        <row r="148">
          <cell r="B148">
            <v>629</v>
          </cell>
        </row>
        <row r="149">
          <cell r="B149">
            <v>633</v>
          </cell>
        </row>
        <row r="150">
          <cell r="B150">
            <v>643</v>
          </cell>
        </row>
        <row r="151">
          <cell r="B151">
            <v>658</v>
          </cell>
        </row>
        <row r="152">
          <cell r="B152">
            <v>659</v>
          </cell>
        </row>
        <row r="153">
          <cell r="B153">
            <v>660</v>
          </cell>
        </row>
        <row r="154">
          <cell r="B154">
            <v>661</v>
          </cell>
        </row>
        <row r="155">
          <cell r="B155">
            <v>662</v>
          </cell>
        </row>
        <row r="156">
          <cell r="B156">
            <v>666</v>
          </cell>
        </row>
        <row r="157">
          <cell r="B157">
            <v>674</v>
          </cell>
        </row>
        <row r="158">
          <cell r="B158">
            <v>675</v>
          </cell>
        </row>
        <row r="159">
          <cell r="B159">
            <v>676</v>
          </cell>
        </row>
        <row r="160">
          <cell r="B160">
            <v>677</v>
          </cell>
        </row>
        <row r="161">
          <cell r="B161">
            <v>678</v>
          </cell>
        </row>
        <row r="162">
          <cell r="B162">
            <v>679</v>
          </cell>
        </row>
        <row r="163">
          <cell r="B163">
            <v>680</v>
          </cell>
        </row>
        <row r="164">
          <cell r="B164">
            <v>684</v>
          </cell>
        </row>
        <row r="165">
          <cell r="B165">
            <v>688</v>
          </cell>
        </row>
        <row r="166">
          <cell r="B166">
            <v>690</v>
          </cell>
        </row>
        <row r="167">
          <cell r="B167">
            <v>692</v>
          </cell>
        </row>
        <row r="168">
          <cell r="B168">
            <v>702</v>
          </cell>
        </row>
        <row r="169">
          <cell r="B169">
            <v>706</v>
          </cell>
        </row>
        <row r="170">
          <cell r="B170">
            <v>707</v>
          </cell>
        </row>
        <row r="171">
          <cell r="B171">
            <v>708</v>
          </cell>
        </row>
        <row r="172">
          <cell r="B172">
            <v>709</v>
          </cell>
        </row>
        <row r="173">
          <cell r="B173">
            <v>713</v>
          </cell>
        </row>
        <row r="174">
          <cell r="B174">
            <v>715</v>
          </cell>
        </row>
        <row r="175">
          <cell r="B175">
            <v>717</v>
          </cell>
        </row>
        <row r="176">
          <cell r="B176">
            <v>722</v>
          </cell>
        </row>
        <row r="177">
          <cell r="B177">
            <v>730</v>
          </cell>
        </row>
        <row r="178">
          <cell r="B178">
            <v>735</v>
          </cell>
        </row>
        <row r="179">
          <cell r="B179">
            <v>737</v>
          </cell>
        </row>
        <row r="180">
          <cell r="B180">
            <v>747</v>
          </cell>
        </row>
        <row r="181">
          <cell r="B181">
            <v>748</v>
          </cell>
        </row>
        <row r="182">
          <cell r="B182">
            <v>754</v>
          </cell>
        </row>
        <row r="183">
          <cell r="B183">
            <v>755</v>
          </cell>
        </row>
        <row r="184">
          <cell r="B184">
            <v>756</v>
          </cell>
        </row>
        <row r="185">
          <cell r="B185">
            <v>757</v>
          </cell>
        </row>
        <row r="186">
          <cell r="B186">
            <v>760</v>
          </cell>
        </row>
        <row r="187">
          <cell r="B187">
            <v>761</v>
          </cell>
        </row>
        <row r="188">
          <cell r="B188">
            <v>763</v>
          </cell>
        </row>
        <row r="189">
          <cell r="B189">
            <v>766</v>
          </cell>
        </row>
        <row r="190">
          <cell r="B190">
            <v>769</v>
          </cell>
        </row>
        <row r="191">
          <cell r="B191">
            <v>772</v>
          </cell>
        </row>
        <row r="192">
          <cell r="B192">
            <v>774</v>
          </cell>
        </row>
        <row r="193">
          <cell r="B193">
            <v>781</v>
          </cell>
        </row>
        <row r="194">
          <cell r="B194">
            <v>784</v>
          </cell>
        </row>
        <row r="195">
          <cell r="B195">
            <v>785</v>
          </cell>
        </row>
        <row r="196">
          <cell r="B196">
            <v>790</v>
          </cell>
        </row>
        <row r="197">
          <cell r="B197">
            <v>793</v>
          </cell>
        </row>
        <row r="198">
          <cell r="B198">
            <v>794</v>
          </cell>
        </row>
        <row r="199">
          <cell r="B199">
            <v>795</v>
          </cell>
        </row>
        <row r="200">
          <cell r="B200">
            <v>797</v>
          </cell>
        </row>
        <row r="201">
          <cell r="B201">
            <v>800</v>
          </cell>
        </row>
        <row r="202">
          <cell r="B202">
            <v>807</v>
          </cell>
        </row>
        <row r="203">
          <cell r="B203">
            <v>808</v>
          </cell>
        </row>
        <row r="204">
          <cell r="B204">
            <v>803</v>
          </cell>
        </row>
        <row r="205">
          <cell r="B205">
            <v>818</v>
          </cell>
        </row>
        <row r="206">
          <cell r="B206">
            <v>821</v>
          </cell>
        </row>
        <row r="207">
          <cell r="B207">
            <v>823</v>
          </cell>
        </row>
        <row r="208">
          <cell r="B208">
            <v>826</v>
          </cell>
        </row>
        <row r="209">
          <cell r="B209">
            <v>828</v>
          </cell>
        </row>
        <row r="210">
          <cell r="B210">
            <v>830</v>
          </cell>
        </row>
        <row r="211">
          <cell r="B211">
            <v>831</v>
          </cell>
        </row>
        <row r="212">
          <cell r="B212">
            <v>836</v>
          </cell>
        </row>
        <row r="213">
          <cell r="B213">
            <v>837</v>
          </cell>
        </row>
        <row r="214">
          <cell r="B214">
            <v>838</v>
          </cell>
        </row>
        <row r="215">
          <cell r="B215">
            <v>839</v>
          </cell>
        </row>
        <row r="216">
          <cell r="B216">
            <v>840</v>
          </cell>
        </row>
        <row r="217">
          <cell r="B217">
            <v>846</v>
          </cell>
        </row>
        <row r="218">
          <cell r="B218">
            <v>847</v>
          </cell>
        </row>
        <row r="219">
          <cell r="B219">
            <v>858</v>
          </cell>
        </row>
        <row r="220">
          <cell r="B220">
            <v>859</v>
          </cell>
        </row>
        <row r="221">
          <cell r="B221">
            <v>865</v>
          </cell>
        </row>
        <row r="222">
          <cell r="B222">
            <v>868</v>
          </cell>
        </row>
        <row r="223">
          <cell r="B223">
            <v>870</v>
          </cell>
        </row>
        <row r="224">
          <cell r="B224">
            <v>877</v>
          </cell>
        </row>
        <row r="225">
          <cell r="B225">
            <v>879</v>
          </cell>
        </row>
        <row r="226">
          <cell r="B226">
            <v>898</v>
          </cell>
        </row>
        <row r="227">
          <cell r="B227">
            <v>899</v>
          </cell>
        </row>
        <row r="228">
          <cell r="B228">
            <v>902</v>
          </cell>
        </row>
        <row r="229">
          <cell r="B229">
            <v>903</v>
          </cell>
        </row>
        <row r="230">
          <cell r="B230">
            <v>917</v>
          </cell>
        </row>
        <row r="231">
          <cell r="B231">
            <v>923</v>
          </cell>
        </row>
        <row r="232">
          <cell r="B232">
            <v>926</v>
          </cell>
        </row>
        <row r="233">
          <cell r="B233">
            <v>927</v>
          </cell>
        </row>
        <row r="234">
          <cell r="B234">
            <v>939</v>
          </cell>
        </row>
        <row r="235">
          <cell r="B235">
            <v>950</v>
          </cell>
        </row>
        <row r="236">
          <cell r="B236">
            <v>951</v>
          </cell>
        </row>
        <row r="237">
          <cell r="B237">
            <v>952</v>
          </cell>
        </row>
        <row r="238">
          <cell r="B238">
            <v>953</v>
          </cell>
        </row>
        <row r="239">
          <cell r="B239">
            <v>957</v>
          </cell>
        </row>
        <row r="240">
          <cell r="B240">
            <v>959</v>
          </cell>
        </row>
        <row r="241">
          <cell r="B241">
            <v>960</v>
          </cell>
        </row>
        <row r="242">
          <cell r="B242">
            <v>970</v>
          </cell>
        </row>
        <row r="243">
          <cell r="B243">
            <v>979</v>
          </cell>
        </row>
        <row r="244">
          <cell r="B244">
            <v>985</v>
          </cell>
        </row>
        <row r="245">
          <cell r="B245">
            <v>987</v>
          </cell>
        </row>
        <row r="246">
          <cell r="B246">
            <v>988</v>
          </cell>
        </row>
        <row r="247">
          <cell r="B247">
            <v>989</v>
          </cell>
        </row>
        <row r="248">
          <cell r="B248">
            <v>990</v>
          </cell>
        </row>
        <row r="249">
          <cell r="B249">
            <v>991</v>
          </cell>
        </row>
        <row r="250">
          <cell r="B250">
            <v>996</v>
          </cell>
        </row>
        <row r="251">
          <cell r="B251">
            <v>1028</v>
          </cell>
        </row>
        <row r="252">
          <cell r="B252">
            <v>1080</v>
          </cell>
        </row>
        <row r="253">
          <cell r="B253">
            <v>1087</v>
          </cell>
        </row>
        <row r="254">
          <cell r="B254">
            <v>1131</v>
          </cell>
        </row>
        <row r="255">
          <cell r="B255">
            <v>1146</v>
          </cell>
        </row>
        <row r="256">
          <cell r="B256">
            <v>1175</v>
          </cell>
        </row>
        <row r="257">
          <cell r="B257">
            <v>1209</v>
          </cell>
        </row>
        <row r="258">
          <cell r="B258">
            <v>1212</v>
          </cell>
        </row>
        <row r="259">
          <cell r="B259">
            <v>1224</v>
          </cell>
        </row>
        <row r="260">
          <cell r="B260">
            <v>1226</v>
          </cell>
        </row>
        <row r="261">
          <cell r="B261">
            <v>1227</v>
          </cell>
        </row>
        <row r="262">
          <cell r="B262">
            <v>1279</v>
          </cell>
        </row>
        <row r="263">
          <cell r="B263">
            <v>1291</v>
          </cell>
        </row>
        <row r="264">
          <cell r="B264">
            <v>1297</v>
          </cell>
        </row>
        <row r="265">
          <cell r="B265">
            <v>1400</v>
          </cell>
        </row>
        <row r="266">
          <cell r="B266">
            <v>1401</v>
          </cell>
        </row>
        <row r="267">
          <cell r="B267">
            <v>1402</v>
          </cell>
        </row>
        <row r="268">
          <cell r="B268">
            <v>1403</v>
          </cell>
        </row>
        <row r="269">
          <cell r="B269">
            <v>1406</v>
          </cell>
        </row>
        <row r="270">
          <cell r="B270">
            <v>1407</v>
          </cell>
        </row>
        <row r="271">
          <cell r="B271">
            <v>1410</v>
          </cell>
        </row>
        <row r="272">
          <cell r="B272">
            <v>1411</v>
          </cell>
        </row>
        <row r="273">
          <cell r="B273">
            <v>1413</v>
          </cell>
        </row>
        <row r="274">
          <cell r="B274">
            <v>1415</v>
          </cell>
        </row>
        <row r="275">
          <cell r="B275">
            <v>1416</v>
          </cell>
        </row>
        <row r="276">
          <cell r="B276">
            <v>1420</v>
          </cell>
        </row>
        <row r="277">
          <cell r="B277">
            <v>1421</v>
          </cell>
        </row>
        <row r="278">
          <cell r="B278">
            <v>1422</v>
          </cell>
        </row>
        <row r="279">
          <cell r="B279">
            <v>1423</v>
          </cell>
        </row>
        <row r="280">
          <cell r="B280">
            <v>1424</v>
          </cell>
        </row>
        <row r="281">
          <cell r="B281">
            <v>1425</v>
          </cell>
        </row>
        <row r="282">
          <cell r="B282">
            <v>1429</v>
          </cell>
        </row>
        <row r="283">
          <cell r="B283">
            <v>1433</v>
          </cell>
        </row>
        <row r="284">
          <cell r="B284">
            <v>1434</v>
          </cell>
        </row>
        <row r="285">
          <cell r="B285">
            <v>1437</v>
          </cell>
        </row>
        <row r="286">
          <cell r="B286">
            <v>1440</v>
          </cell>
        </row>
        <row r="287">
          <cell r="B287">
            <v>1441</v>
          </cell>
        </row>
        <row r="288">
          <cell r="B288">
            <v>1443</v>
          </cell>
        </row>
        <row r="289">
          <cell r="B289">
            <v>1445</v>
          </cell>
        </row>
        <row r="290">
          <cell r="B290">
            <v>1447</v>
          </cell>
        </row>
        <row r="291">
          <cell r="B291">
            <v>1448</v>
          </cell>
        </row>
        <row r="292">
          <cell r="B292">
            <v>1451</v>
          </cell>
        </row>
        <row r="293">
          <cell r="B293">
            <v>1453</v>
          </cell>
        </row>
        <row r="294">
          <cell r="B294">
            <v>1456</v>
          </cell>
        </row>
        <row r="295">
          <cell r="B295">
            <v>1458</v>
          </cell>
        </row>
        <row r="296">
          <cell r="B296">
            <v>1459</v>
          </cell>
        </row>
        <row r="297">
          <cell r="B297">
            <v>1460</v>
          </cell>
        </row>
        <row r="298">
          <cell r="B298">
            <v>1462</v>
          </cell>
        </row>
        <row r="299">
          <cell r="B299">
            <v>1463</v>
          </cell>
        </row>
        <row r="300">
          <cell r="B300">
            <v>1466</v>
          </cell>
        </row>
        <row r="301">
          <cell r="B301">
            <v>1467</v>
          </cell>
        </row>
        <row r="302">
          <cell r="B302">
            <v>1468</v>
          </cell>
        </row>
        <row r="303">
          <cell r="B303">
            <v>1469</v>
          </cell>
        </row>
        <row r="304">
          <cell r="B304">
            <v>1470</v>
          </cell>
        </row>
        <row r="305">
          <cell r="B305">
            <v>1471</v>
          </cell>
        </row>
        <row r="306">
          <cell r="B306">
            <v>1472</v>
          </cell>
        </row>
        <row r="307">
          <cell r="B307">
            <v>1480</v>
          </cell>
        </row>
        <row r="308">
          <cell r="B308">
            <v>1482</v>
          </cell>
        </row>
        <row r="309">
          <cell r="B309">
            <v>1484</v>
          </cell>
        </row>
        <row r="310">
          <cell r="B310">
            <v>1485</v>
          </cell>
        </row>
        <row r="311">
          <cell r="B311">
            <v>1487</v>
          </cell>
        </row>
        <row r="312">
          <cell r="B312">
            <v>1489</v>
          </cell>
        </row>
        <row r="313">
          <cell r="B313">
            <v>1496</v>
          </cell>
        </row>
        <row r="314">
          <cell r="B314">
            <v>1502</v>
          </cell>
        </row>
        <row r="315">
          <cell r="B315">
            <v>1506</v>
          </cell>
        </row>
        <row r="316">
          <cell r="B316">
            <v>1507</v>
          </cell>
        </row>
        <row r="317">
          <cell r="B317">
            <v>1524</v>
          </cell>
        </row>
        <row r="318">
          <cell r="B318">
            <v>1532</v>
          </cell>
        </row>
        <row r="319">
          <cell r="B319">
            <v>1534</v>
          </cell>
        </row>
        <row r="320">
          <cell r="B320">
            <v>1537</v>
          </cell>
        </row>
        <row r="321">
          <cell r="B321">
            <v>1538</v>
          </cell>
        </row>
        <row r="322">
          <cell r="B322">
            <v>1540</v>
          </cell>
        </row>
        <row r="323">
          <cell r="B323">
            <v>1541</v>
          </cell>
        </row>
        <row r="324">
          <cell r="B324">
            <v>1542</v>
          </cell>
        </row>
        <row r="325">
          <cell r="B325">
            <v>1543</v>
          </cell>
        </row>
        <row r="326">
          <cell r="B326">
            <v>1544</v>
          </cell>
        </row>
        <row r="327">
          <cell r="B327">
            <v>1545</v>
          </cell>
        </row>
        <row r="328">
          <cell r="B328">
            <v>1546</v>
          </cell>
        </row>
        <row r="329">
          <cell r="B329">
            <v>1547</v>
          </cell>
        </row>
        <row r="330">
          <cell r="B330">
            <v>1548</v>
          </cell>
        </row>
        <row r="331">
          <cell r="B331">
            <v>1549</v>
          </cell>
        </row>
        <row r="332">
          <cell r="B332">
            <v>1550</v>
          </cell>
        </row>
        <row r="333">
          <cell r="B333">
            <v>1551</v>
          </cell>
        </row>
        <row r="334">
          <cell r="B334">
            <v>1552</v>
          </cell>
        </row>
        <row r="335">
          <cell r="B335">
            <v>1553</v>
          </cell>
        </row>
        <row r="336">
          <cell r="B336">
            <v>1567</v>
          </cell>
        </row>
        <row r="337">
          <cell r="B337">
            <v>1573</v>
          </cell>
        </row>
        <row r="338">
          <cell r="B338">
            <v>1576</v>
          </cell>
        </row>
        <row r="339">
          <cell r="B339">
            <v>1579</v>
          </cell>
        </row>
        <row r="340">
          <cell r="B340">
            <v>1580</v>
          </cell>
        </row>
        <row r="341">
          <cell r="B341">
            <v>1583</v>
          </cell>
        </row>
        <row r="342">
          <cell r="B342">
            <v>1584</v>
          </cell>
        </row>
        <row r="343">
          <cell r="B343">
            <v>1591</v>
          </cell>
        </row>
        <row r="344">
          <cell r="B344">
            <v>1592</v>
          </cell>
        </row>
        <row r="345">
          <cell r="B345">
            <v>1594</v>
          </cell>
        </row>
        <row r="346">
          <cell r="B346">
            <v>1595</v>
          </cell>
        </row>
        <row r="347">
          <cell r="B347">
            <v>1597</v>
          </cell>
        </row>
        <row r="348">
          <cell r="B348">
            <v>1598</v>
          </cell>
        </row>
        <row r="349">
          <cell r="B349">
            <v>1599</v>
          </cell>
        </row>
        <row r="350">
          <cell r="B350">
            <v>1601</v>
          </cell>
        </row>
        <row r="351">
          <cell r="B351">
            <v>1603</v>
          </cell>
        </row>
        <row r="352">
          <cell r="B352">
            <v>1604</v>
          </cell>
        </row>
        <row r="353">
          <cell r="B353">
            <v>1607</v>
          </cell>
        </row>
        <row r="354">
          <cell r="B354">
            <v>1615</v>
          </cell>
        </row>
        <row r="355">
          <cell r="B355">
            <v>1624</v>
          </cell>
        </row>
        <row r="356">
          <cell r="B356">
            <v>1631</v>
          </cell>
        </row>
        <row r="357">
          <cell r="B357">
            <v>1633</v>
          </cell>
        </row>
        <row r="358">
          <cell r="B358">
            <v>1665</v>
          </cell>
        </row>
        <row r="359">
          <cell r="B359">
            <v>1673</v>
          </cell>
        </row>
        <row r="360">
          <cell r="B360">
            <v>1675</v>
          </cell>
        </row>
        <row r="361">
          <cell r="B361">
            <v>1695</v>
          </cell>
        </row>
        <row r="362">
          <cell r="B362">
            <v>1698</v>
          </cell>
        </row>
        <row r="363">
          <cell r="B363">
            <v>1699</v>
          </cell>
        </row>
        <row r="364">
          <cell r="B364">
            <v>1711</v>
          </cell>
        </row>
        <row r="365">
          <cell r="B365">
            <v>1712</v>
          </cell>
        </row>
        <row r="366">
          <cell r="B366">
            <v>1713</v>
          </cell>
        </row>
        <row r="367">
          <cell r="B367">
            <v>1714</v>
          </cell>
        </row>
        <row r="368">
          <cell r="B368">
            <v>1715</v>
          </cell>
        </row>
        <row r="369">
          <cell r="B369">
            <v>1716</v>
          </cell>
        </row>
        <row r="370">
          <cell r="B370">
            <v>1717</v>
          </cell>
        </row>
        <row r="371">
          <cell r="B371">
            <v>1718</v>
          </cell>
        </row>
        <row r="372">
          <cell r="B372">
            <v>1719</v>
          </cell>
        </row>
        <row r="373">
          <cell r="B373">
            <v>1720</v>
          </cell>
        </row>
        <row r="374">
          <cell r="B374">
            <v>1736</v>
          </cell>
        </row>
        <row r="375">
          <cell r="B375">
            <v>1737</v>
          </cell>
        </row>
        <row r="376">
          <cell r="B376">
            <v>1738</v>
          </cell>
        </row>
        <row r="377">
          <cell r="B377">
            <v>1740</v>
          </cell>
        </row>
        <row r="378">
          <cell r="B378">
            <v>1741</v>
          </cell>
        </row>
        <row r="379">
          <cell r="B379">
            <v>1742</v>
          </cell>
        </row>
        <row r="380">
          <cell r="B380">
            <v>1744</v>
          </cell>
        </row>
        <row r="381">
          <cell r="B381">
            <v>1745</v>
          </cell>
        </row>
        <row r="382">
          <cell r="B382">
            <v>1746</v>
          </cell>
        </row>
        <row r="383">
          <cell r="B383">
            <v>1747</v>
          </cell>
        </row>
        <row r="384">
          <cell r="B384">
            <v>1771</v>
          </cell>
        </row>
        <row r="385">
          <cell r="B385">
            <v>1772</v>
          </cell>
        </row>
        <row r="386">
          <cell r="B386">
            <v>1773</v>
          </cell>
        </row>
        <row r="387">
          <cell r="B387">
            <v>1774</v>
          </cell>
        </row>
        <row r="388">
          <cell r="B388">
            <v>1775</v>
          </cell>
        </row>
        <row r="389">
          <cell r="B389">
            <v>1776</v>
          </cell>
        </row>
        <row r="390">
          <cell r="B390">
            <v>1778</v>
          </cell>
        </row>
        <row r="391">
          <cell r="B391">
            <v>1779</v>
          </cell>
        </row>
        <row r="392">
          <cell r="B392">
            <v>1780</v>
          </cell>
        </row>
        <row r="393">
          <cell r="B393">
            <v>1781</v>
          </cell>
        </row>
        <row r="394">
          <cell r="B394">
            <v>1782</v>
          </cell>
        </row>
        <row r="395">
          <cell r="B395">
            <v>1785</v>
          </cell>
        </row>
        <row r="396">
          <cell r="B396">
            <v>1786</v>
          </cell>
        </row>
        <row r="397">
          <cell r="B397">
            <v>1787</v>
          </cell>
        </row>
        <row r="398">
          <cell r="B398">
            <v>1789</v>
          </cell>
        </row>
        <row r="399">
          <cell r="B399">
            <v>1790</v>
          </cell>
        </row>
        <row r="400">
          <cell r="B400">
            <v>1791</v>
          </cell>
        </row>
        <row r="401">
          <cell r="B401">
            <v>1792</v>
          </cell>
        </row>
        <row r="402">
          <cell r="B402">
            <v>1793</v>
          </cell>
        </row>
        <row r="403">
          <cell r="B403">
            <v>1794</v>
          </cell>
        </row>
        <row r="404">
          <cell r="B404">
            <v>1795</v>
          </cell>
        </row>
        <row r="405">
          <cell r="B405">
            <v>1796</v>
          </cell>
        </row>
        <row r="406">
          <cell r="B406">
            <v>1797</v>
          </cell>
        </row>
        <row r="407">
          <cell r="B407">
            <v>1798</v>
          </cell>
        </row>
        <row r="408">
          <cell r="B408">
            <v>1799</v>
          </cell>
        </row>
        <row r="409">
          <cell r="B409">
            <v>1806</v>
          </cell>
        </row>
        <row r="410">
          <cell r="B410">
            <v>1808</v>
          </cell>
        </row>
        <row r="411">
          <cell r="B411">
            <v>1809</v>
          </cell>
        </row>
        <row r="412">
          <cell r="B412">
            <v>1812</v>
          </cell>
        </row>
        <row r="413">
          <cell r="B413">
            <v>1813</v>
          </cell>
        </row>
        <row r="414">
          <cell r="B414">
            <v>1814</v>
          </cell>
        </row>
        <row r="415">
          <cell r="B415">
            <v>1815</v>
          </cell>
        </row>
        <row r="416">
          <cell r="B416">
            <v>1816</v>
          </cell>
        </row>
        <row r="417">
          <cell r="B417">
            <v>1817</v>
          </cell>
        </row>
        <row r="418">
          <cell r="B418">
            <v>1818</v>
          </cell>
        </row>
        <row r="419">
          <cell r="B419">
            <v>1819</v>
          </cell>
        </row>
        <row r="420">
          <cell r="B420">
            <v>1820</v>
          </cell>
        </row>
        <row r="421">
          <cell r="B421">
            <v>1822</v>
          </cell>
        </row>
        <row r="422">
          <cell r="B422">
            <v>1823</v>
          </cell>
        </row>
        <row r="423">
          <cell r="B423">
            <v>1824</v>
          </cell>
        </row>
        <row r="424">
          <cell r="B424">
            <v>1825</v>
          </cell>
        </row>
        <row r="425">
          <cell r="B425">
            <v>1826</v>
          </cell>
        </row>
        <row r="426">
          <cell r="B426">
            <v>1827</v>
          </cell>
        </row>
        <row r="427">
          <cell r="B427">
            <v>1828</v>
          </cell>
        </row>
        <row r="428">
          <cell r="B428">
            <v>1829</v>
          </cell>
        </row>
        <row r="429">
          <cell r="B429">
            <v>1831</v>
          </cell>
        </row>
        <row r="430">
          <cell r="B430">
            <v>1832</v>
          </cell>
        </row>
        <row r="431">
          <cell r="B431">
            <v>1833</v>
          </cell>
        </row>
        <row r="432">
          <cell r="B432">
            <v>1834</v>
          </cell>
        </row>
        <row r="433">
          <cell r="B433">
            <v>1835</v>
          </cell>
        </row>
        <row r="434">
          <cell r="B434">
            <v>1836</v>
          </cell>
        </row>
        <row r="435">
          <cell r="B435">
            <v>1839</v>
          </cell>
        </row>
        <row r="436">
          <cell r="B436">
            <v>1841</v>
          </cell>
        </row>
        <row r="437">
          <cell r="B437">
            <v>1842</v>
          </cell>
        </row>
        <row r="438">
          <cell r="B438">
            <v>1843</v>
          </cell>
        </row>
        <row r="439">
          <cell r="B439">
            <v>1844</v>
          </cell>
        </row>
        <row r="440">
          <cell r="B440">
            <v>1845</v>
          </cell>
        </row>
        <row r="441">
          <cell r="B441">
            <v>1846</v>
          </cell>
        </row>
        <row r="442">
          <cell r="B442">
            <v>1847</v>
          </cell>
        </row>
        <row r="443">
          <cell r="B443">
            <v>1848</v>
          </cell>
        </row>
        <row r="444">
          <cell r="B444">
            <v>1850</v>
          </cell>
        </row>
        <row r="445">
          <cell r="B445">
            <v>1851</v>
          </cell>
        </row>
        <row r="446">
          <cell r="B446">
            <v>1852</v>
          </cell>
        </row>
        <row r="447">
          <cell r="B447">
            <v>1853</v>
          </cell>
        </row>
        <row r="448">
          <cell r="B448">
            <v>1854</v>
          </cell>
        </row>
        <row r="449">
          <cell r="B449">
            <v>1855</v>
          </cell>
        </row>
        <row r="450">
          <cell r="B450">
            <v>1856</v>
          </cell>
        </row>
        <row r="451">
          <cell r="B451">
            <v>1858</v>
          </cell>
        </row>
        <row r="452">
          <cell r="B452">
            <v>1859</v>
          </cell>
        </row>
        <row r="453">
          <cell r="B453">
            <v>1860</v>
          </cell>
        </row>
        <row r="454">
          <cell r="B454">
            <v>1861</v>
          </cell>
        </row>
        <row r="455">
          <cell r="B455">
            <v>1862</v>
          </cell>
        </row>
        <row r="456">
          <cell r="B456">
            <v>1863</v>
          </cell>
        </row>
        <row r="457">
          <cell r="B457">
            <v>1864</v>
          </cell>
        </row>
        <row r="458">
          <cell r="B458">
            <v>1866</v>
          </cell>
        </row>
        <row r="459">
          <cell r="B459">
            <v>1867</v>
          </cell>
        </row>
        <row r="460">
          <cell r="B460">
            <v>1868</v>
          </cell>
        </row>
        <row r="461">
          <cell r="B461">
            <v>1869</v>
          </cell>
        </row>
        <row r="462">
          <cell r="B462">
            <v>1870</v>
          </cell>
        </row>
        <row r="463">
          <cell r="B463">
            <v>1871</v>
          </cell>
        </row>
        <row r="464">
          <cell r="B464">
            <v>1872</v>
          </cell>
        </row>
        <row r="465">
          <cell r="B465">
            <v>1873</v>
          </cell>
        </row>
        <row r="466">
          <cell r="B466">
            <v>1874</v>
          </cell>
        </row>
        <row r="467">
          <cell r="B467">
            <v>1875</v>
          </cell>
        </row>
        <row r="468">
          <cell r="B468">
            <v>1876</v>
          </cell>
        </row>
        <row r="469">
          <cell r="B469">
            <v>1877</v>
          </cell>
        </row>
        <row r="470">
          <cell r="B470">
            <v>1878</v>
          </cell>
        </row>
        <row r="471">
          <cell r="B471">
            <v>1879</v>
          </cell>
        </row>
        <row r="472">
          <cell r="B472">
            <v>1881</v>
          </cell>
        </row>
        <row r="473">
          <cell r="B473">
            <v>1882</v>
          </cell>
        </row>
        <row r="474">
          <cell r="B474">
            <v>1883</v>
          </cell>
        </row>
        <row r="475">
          <cell r="B475">
            <v>1884</v>
          </cell>
        </row>
        <row r="476">
          <cell r="B476">
            <v>1886</v>
          </cell>
        </row>
        <row r="477">
          <cell r="B477">
            <v>1887</v>
          </cell>
        </row>
        <row r="478">
          <cell r="B478">
            <v>1888</v>
          </cell>
        </row>
        <row r="479">
          <cell r="B479">
            <v>1890</v>
          </cell>
        </row>
        <row r="480">
          <cell r="B480">
            <v>1891</v>
          </cell>
        </row>
        <row r="481">
          <cell r="B481">
            <v>1892</v>
          </cell>
        </row>
        <row r="482">
          <cell r="B482">
            <v>1893</v>
          </cell>
        </row>
        <row r="483">
          <cell r="B483">
            <v>1894</v>
          </cell>
        </row>
        <row r="484">
          <cell r="B484">
            <v>1895</v>
          </cell>
        </row>
        <row r="485">
          <cell r="B485">
            <v>1896</v>
          </cell>
        </row>
        <row r="486">
          <cell r="B486">
            <v>1899</v>
          </cell>
        </row>
        <row r="487">
          <cell r="B487">
            <v>1915</v>
          </cell>
        </row>
        <row r="488">
          <cell r="B488">
            <v>1981</v>
          </cell>
        </row>
        <row r="489">
          <cell r="B489">
            <v>1997</v>
          </cell>
        </row>
        <row r="490">
          <cell r="B490">
            <v>2005</v>
          </cell>
        </row>
        <row r="491">
          <cell r="B491">
            <v>2006</v>
          </cell>
        </row>
        <row r="492">
          <cell r="B492">
            <v>2008</v>
          </cell>
        </row>
        <row r="493">
          <cell r="B493">
            <v>2011</v>
          </cell>
        </row>
        <row r="494">
          <cell r="B494">
            <v>2014</v>
          </cell>
        </row>
        <row r="495">
          <cell r="B495">
            <v>2020</v>
          </cell>
        </row>
        <row r="496">
          <cell r="B496">
            <v>2023</v>
          </cell>
        </row>
        <row r="497">
          <cell r="B497">
            <v>2030</v>
          </cell>
        </row>
        <row r="498">
          <cell r="B498">
            <v>2031</v>
          </cell>
        </row>
        <row r="499">
          <cell r="B499">
            <v>2035</v>
          </cell>
        </row>
        <row r="500">
          <cell r="B500">
            <v>2039</v>
          </cell>
        </row>
        <row r="501">
          <cell r="B501">
            <v>2047</v>
          </cell>
        </row>
        <row r="502">
          <cell r="B502">
            <v>2050</v>
          </cell>
        </row>
        <row r="503">
          <cell r="B503">
            <v>2051</v>
          </cell>
        </row>
        <row r="504">
          <cell r="B504">
            <v>2060</v>
          </cell>
        </row>
        <row r="505">
          <cell r="B505">
            <v>2061</v>
          </cell>
        </row>
        <row r="506">
          <cell r="B506">
            <v>2082</v>
          </cell>
        </row>
        <row r="507">
          <cell r="B507">
            <v>2085</v>
          </cell>
        </row>
        <row r="508">
          <cell r="B508">
            <v>2086</v>
          </cell>
        </row>
        <row r="509">
          <cell r="B509">
            <v>2089</v>
          </cell>
        </row>
        <row r="510">
          <cell r="B510">
            <v>2093</v>
          </cell>
        </row>
        <row r="511">
          <cell r="B511">
            <v>2096</v>
          </cell>
        </row>
        <row r="512">
          <cell r="B512">
            <v>2098</v>
          </cell>
        </row>
        <row r="513">
          <cell r="B513">
            <v>2099</v>
          </cell>
        </row>
        <row r="514">
          <cell r="B514">
            <v>2102</v>
          </cell>
        </row>
        <row r="515">
          <cell r="B515">
            <v>2104</v>
          </cell>
        </row>
        <row r="516">
          <cell r="B516">
            <v>2110</v>
          </cell>
        </row>
        <row r="517">
          <cell r="B517">
            <v>2118</v>
          </cell>
        </row>
        <row r="518">
          <cell r="B518">
            <v>2122</v>
          </cell>
        </row>
        <row r="519">
          <cell r="B519">
            <v>2135</v>
          </cell>
        </row>
        <row r="520">
          <cell r="B520">
            <v>2163</v>
          </cell>
        </row>
        <row r="521">
          <cell r="B521">
            <v>2168</v>
          </cell>
        </row>
        <row r="522">
          <cell r="B522">
            <v>2170</v>
          </cell>
        </row>
        <row r="523">
          <cell r="B523">
            <v>2186</v>
          </cell>
        </row>
        <row r="524">
          <cell r="B524">
            <v>2189</v>
          </cell>
        </row>
        <row r="525">
          <cell r="B525">
            <v>2190</v>
          </cell>
        </row>
        <row r="526">
          <cell r="B526">
            <v>2191</v>
          </cell>
        </row>
        <row r="527">
          <cell r="B527">
            <v>2194</v>
          </cell>
        </row>
        <row r="528">
          <cell r="B528">
            <v>2197</v>
          </cell>
        </row>
        <row r="529">
          <cell r="B529">
            <v>2210</v>
          </cell>
        </row>
        <row r="530">
          <cell r="B530">
            <v>2212</v>
          </cell>
        </row>
        <row r="531">
          <cell r="B531">
            <v>2213</v>
          </cell>
        </row>
        <row r="532">
          <cell r="B532">
            <v>2218</v>
          </cell>
        </row>
        <row r="533">
          <cell r="B533">
            <v>2220</v>
          </cell>
        </row>
        <row r="534">
          <cell r="B534">
            <v>2221</v>
          </cell>
        </row>
        <row r="535">
          <cell r="B535">
            <v>2225</v>
          </cell>
        </row>
        <row r="536">
          <cell r="B536">
            <v>2227</v>
          </cell>
        </row>
        <row r="537">
          <cell r="B537">
            <v>2235</v>
          </cell>
        </row>
        <row r="538">
          <cell r="B538">
            <v>2237</v>
          </cell>
        </row>
        <row r="539">
          <cell r="B539">
            <v>2239</v>
          </cell>
        </row>
        <row r="540">
          <cell r="B540">
            <v>2240</v>
          </cell>
        </row>
        <row r="541">
          <cell r="B541">
            <v>2242</v>
          </cell>
        </row>
        <row r="542">
          <cell r="B542">
            <v>2244</v>
          </cell>
        </row>
        <row r="543">
          <cell r="B543">
            <v>2246</v>
          </cell>
        </row>
        <row r="544">
          <cell r="B544">
            <v>2252</v>
          </cell>
        </row>
        <row r="545">
          <cell r="B545">
            <v>2254</v>
          </cell>
        </row>
        <row r="546">
          <cell r="B546">
            <v>2261</v>
          </cell>
        </row>
        <row r="547">
          <cell r="B547">
            <v>2264</v>
          </cell>
        </row>
        <row r="548">
          <cell r="B548">
            <v>2268</v>
          </cell>
        </row>
        <row r="549">
          <cell r="B549">
            <v>2275</v>
          </cell>
        </row>
        <row r="550">
          <cell r="B550">
            <v>2277</v>
          </cell>
        </row>
        <row r="551">
          <cell r="B551">
            <v>2278</v>
          </cell>
        </row>
        <row r="552">
          <cell r="B552">
            <v>2283</v>
          </cell>
        </row>
        <row r="553">
          <cell r="B553">
            <v>2285</v>
          </cell>
        </row>
        <row r="554">
          <cell r="B554">
            <v>2304</v>
          </cell>
        </row>
        <row r="555">
          <cell r="B555">
            <v>2305</v>
          </cell>
        </row>
        <row r="556">
          <cell r="B556">
            <v>2308</v>
          </cell>
        </row>
        <row r="557">
          <cell r="B557">
            <v>2309</v>
          </cell>
        </row>
        <row r="558">
          <cell r="B558">
            <v>2316</v>
          </cell>
        </row>
        <row r="559">
          <cell r="B559">
            <v>2321</v>
          </cell>
        </row>
        <row r="560">
          <cell r="B560">
            <v>2322</v>
          </cell>
        </row>
        <row r="561">
          <cell r="B561">
            <v>2325</v>
          </cell>
        </row>
        <row r="562">
          <cell r="B562">
            <v>2331</v>
          </cell>
        </row>
        <row r="563">
          <cell r="B563">
            <v>2341</v>
          </cell>
        </row>
        <row r="564">
          <cell r="B564">
            <v>2349</v>
          </cell>
        </row>
        <row r="565">
          <cell r="B565">
            <v>2352</v>
          </cell>
        </row>
        <row r="566">
          <cell r="B566">
            <v>2355</v>
          </cell>
        </row>
        <row r="567">
          <cell r="B567">
            <v>2356</v>
          </cell>
        </row>
        <row r="568">
          <cell r="B568">
            <v>2359</v>
          </cell>
        </row>
        <row r="569">
          <cell r="B569">
            <v>2364</v>
          </cell>
        </row>
        <row r="570">
          <cell r="B570">
            <v>2367</v>
          </cell>
        </row>
        <row r="571">
          <cell r="B571">
            <v>2372</v>
          </cell>
        </row>
        <row r="572">
          <cell r="B572">
            <v>2374</v>
          </cell>
        </row>
        <row r="573">
          <cell r="B573">
            <v>2390</v>
          </cell>
        </row>
        <row r="574">
          <cell r="B574">
            <v>2392</v>
          </cell>
        </row>
        <row r="575">
          <cell r="B575">
            <v>2394</v>
          </cell>
        </row>
        <row r="576">
          <cell r="B576">
            <v>2395</v>
          </cell>
        </row>
        <row r="577">
          <cell r="B577">
            <v>2399</v>
          </cell>
        </row>
        <row r="578">
          <cell r="B578">
            <v>2406</v>
          </cell>
        </row>
        <row r="579">
          <cell r="B579">
            <v>2409</v>
          </cell>
        </row>
        <row r="580">
          <cell r="B580">
            <v>2410</v>
          </cell>
        </row>
        <row r="581">
          <cell r="B581">
            <v>2416</v>
          </cell>
        </row>
        <row r="582">
          <cell r="B582">
            <v>2417</v>
          </cell>
        </row>
        <row r="583">
          <cell r="B583">
            <v>2421</v>
          </cell>
        </row>
        <row r="584">
          <cell r="B584">
            <v>2422</v>
          </cell>
        </row>
        <row r="585">
          <cell r="B585">
            <v>2430</v>
          </cell>
        </row>
        <row r="586">
          <cell r="B586">
            <v>2440</v>
          </cell>
        </row>
        <row r="587">
          <cell r="B587">
            <v>2441</v>
          </cell>
        </row>
        <row r="588">
          <cell r="B588">
            <v>2442</v>
          </cell>
        </row>
        <row r="589">
          <cell r="B589">
            <v>2445</v>
          </cell>
        </row>
        <row r="590">
          <cell r="B590">
            <v>2446</v>
          </cell>
        </row>
        <row r="591">
          <cell r="B591">
            <v>2449</v>
          </cell>
        </row>
        <row r="592">
          <cell r="B592">
            <v>2450</v>
          </cell>
        </row>
        <row r="593">
          <cell r="B593">
            <v>2463</v>
          </cell>
        </row>
        <row r="594">
          <cell r="B594">
            <v>2467</v>
          </cell>
        </row>
        <row r="595">
          <cell r="B595">
            <v>2469</v>
          </cell>
        </row>
        <row r="596">
          <cell r="B596">
            <v>2473</v>
          </cell>
        </row>
        <row r="597">
          <cell r="B597">
            <v>2479</v>
          </cell>
        </row>
        <row r="598">
          <cell r="B598">
            <v>2484</v>
          </cell>
        </row>
        <row r="599">
          <cell r="B599">
            <v>2485</v>
          </cell>
        </row>
        <row r="600">
          <cell r="B600">
            <v>2488</v>
          </cell>
        </row>
        <row r="601">
          <cell r="B601">
            <v>2492</v>
          </cell>
        </row>
        <row r="602">
          <cell r="B602">
            <v>2494</v>
          </cell>
        </row>
        <row r="603">
          <cell r="B603">
            <v>2498</v>
          </cell>
        </row>
        <row r="604">
          <cell r="B604">
            <v>2501</v>
          </cell>
        </row>
        <row r="605">
          <cell r="B605">
            <v>2502</v>
          </cell>
        </row>
        <row r="606">
          <cell r="B606">
            <v>2504</v>
          </cell>
        </row>
        <row r="607">
          <cell r="B607">
            <v>2510</v>
          </cell>
        </row>
        <row r="608">
          <cell r="B608">
            <v>2511</v>
          </cell>
        </row>
        <row r="609">
          <cell r="B609">
            <v>2512</v>
          </cell>
        </row>
        <row r="610">
          <cell r="B610">
            <v>2516</v>
          </cell>
        </row>
        <row r="611">
          <cell r="B611">
            <v>2520</v>
          </cell>
        </row>
        <row r="612">
          <cell r="B612">
            <v>2530</v>
          </cell>
        </row>
        <row r="613">
          <cell r="B613">
            <v>2524</v>
          </cell>
        </row>
        <row r="614">
          <cell r="B614">
            <v>2542</v>
          </cell>
        </row>
        <row r="615">
          <cell r="B615">
            <v>2545</v>
          </cell>
        </row>
        <row r="616">
          <cell r="B616">
            <v>2546</v>
          </cell>
        </row>
        <row r="617">
          <cell r="B617">
            <v>2547</v>
          </cell>
        </row>
        <row r="618">
          <cell r="B618">
            <v>2549</v>
          </cell>
        </row>
        <row r="619">
          <cell r="B619">
            <v>2570</v>
          </cell>
        </row>
        <row r="620">
          <cell r="B620">
            <v>2573</v>
          </cell>
        </row>
        <row r="621">
          <cell r="B621">
            <v>2581</v>
          </cell>
        </row>
        <row r="622">
          <cell r="B622">
            <v>2583</v>
          </cell>
        </row>
        <row r="623">
          <cell r="B623">
            <v>2586</v>
          </cell>
        </row>
        <row r="624">
          <cell r="B624">
            <v>2587</v>
          </cell>
        </row>
        <row r="625">
          <cell r="B625">
            <v>2594</v>
          </cell>
        </row>
        <row r="626">
          <cell r="B626">
            <v>2597</v>
          </cell>
        </row>
        <row r="627">
          <cell r="B627">
            <v>2599</v>
          </cell>
        </row>
        <row r="628">
          <cell r="B628">
            <v>2600</v>
          </cell>
        </row>
        <row r="629">
          <cell r="B629">
            <v>2601</v>
          </cell>
        </row>
        <row r="630">
          <cell r="B630">
            <v>2604</v>
          </cell>
        </row>
        <row r="631">
          <cell r="B631">
            <v>2609</v>
          </cell>
        </row>
        <row r="632">
          <cell r="B632">
            <v>2611</v>
          </cell>
        </row>
        <row r="633">
          <cell r="B633">
            <v>2615</v>
          </cell>
        </row>
        <row r="634">
          <cell r="B634">
            <v>2626</v>
          </cell>
        </row>
        <row r="635">
          <cell r="B635">
            <v>2628</v>
          </cell>
        </row>
        <row r="636">
          <cell r="B636">
            <v>2631</v>
          </cell>
        </row>
        <row r="637">
          <cell r="B637">
            <v>2632</v>
          </cell>
        </row>
        <row r="638">
          <cell r="B638">
            <v>2633</v>
          </cell>
        </row>
        <row r="639">
          <cell r="B639">
            <v>2640</v>
          </cell>
        </row>
        <row r="640">
          <cell r="B640">
            <v>2644</v>
          </cell>
        </row>
        <row r="641">
          <cell r="B641">
            <v>2645</v>
          </cell>
        </row>
        <row r="642">
          <cell r="B642">
            <v>2646</v>
          </cell>
        </row>
        <row r="643">
          <cell r="B643">
            <v>2647</v>
          </cell>
        </row>
        <row r="644">
          <cell r="B644">
            <v>2649</v>
          </cell>
        </row>
        <row r="645">
          <cell r="B645">
            <v>2652</v>
          </cell>
        </row>
        <row r="646">
          <cell r="B646">
            <v>2653</v>
          </cell>
        </row>
        <row r="647">
          <cell r="B647">
            <v>2654</v>
          </cell>
        </row>
        <row r="648">
          <cell r="B648">
            <v>2672</v>
          </cell>
        </row>
        <row r="649">
          <cell r="B649">
            <v>2673</v>
          </cell>
        </row>
        <row r="650">
          <cell r="B650">
            <v>2674</v>
          </cell>
        </row>
        <row r="651">
          <cell r="B651">
            <v>2684</v>
          </cell>
        </row>
        <row r="652">
          <cell r="B652">
            <v>2685</v>
          </cell>
        </row>
        <row r="653">
          <cell r="B653">
            <v>2686</v>
          </cell>
        </row>
        <row r="654">
          <cell r="B654">
            <v>2687</v>
          </cell>
        </row>
        <row r="655">
          <cell r="B655">
            <v>2690</v>
          </cell>
        </row>
        <row r="656">
          <cell r="B656">
            <v>2694</v>
          </cell>
        </row>
        <row r="657">
          <cell r="B657">
            <v>2695</v>
          </cell>
        </row>
        <row r="658">
          <cell r="B658">
            <v>2702</v>
          </cell>
        </row>
        <row r="659">
          <cell r="B659">
            <v>2703</v>
          </cell>
        </row>
        <row r="660">
          <cell r="B660">
            <v>2704</v>
          </cell>
        </row>
        <row r="661">
          <cell r="B661">
            <v>2705</v>
          </cell>
        </row>
        <row r="662">
          <cell r="B662">
            <v>2710</v>
          </cell>
        </row>
        <row r="663">
          <cell r="B663">
            <v>2711</v>
          </cell>
        </row>
        <row r="664">
          <cell r="B664">
            <v>2712</v>
          </cell>
        </row>
        <row r="665">
          <cell r="B665">
            <v>2713</v>
          </cell>
        </row>
        <row r="666">
          <cell r="B666">
            <v>2714</v>
          </cell>
        </row>
        <row r="667">
          <cell r="B667">
            <v>2715</v>
          </cell>
        </row>
        <row r="668">
          <cell r="B668">
            <v>2716</v>
          </cell>
        </row>
        <row r="669">
          <cell r="B669">
            <v>2717</v>
          </cell>
        </row>
        <row r="670">
          <cell r="B670">
            <v>2718</v>
          </cell>
        </row>
        <row r="671">
          <cell r="B671">
            <v>2719</v>
          </cell>
        </row>
        <row r="672">
          <cell r="B672">
            <v>2720</v>
          </cell>
        </row>
        <row r="673">
          <cell r="B673">
            <v>2721</v>
          </cell>
        </row>
        <row r="674">
          <cell r="B674">
            <v>2722</v>
          </cell>
        </row>
        <row r="675">
          <cell r="B675">
            <v>2724</v>
          </cell>
        </row>
        <row r="676">
          <cell r="B676">
            <v>2725</v>
          </cell>
        </row>
        <row r="677">
          <cell r="B677">
            <v>2726</v>
          </cell>
        </row>
        <row r="678">
          <cell r="B678">
            <v>2727</v>
          </cell>
        </row>
        <row r="679">
          <cell r="B679">
            <v>2728</v>
          </cell>
        </row>
        <row r="680">
          <cell r="B680">
            <v>2729</v>
          </cell>
        </row>
        <row r="681">
          <cell r="B681">
            <v>2730</v>
          </cell>
        </row>
        <row r="682">
          <cell r="B682">
            <v>2735</v>
          </cell>
        </row>
        <row r="683">
          <cell r="B683">
            <v>2737</v>
          </cell>
        </row>
        <row r="684">
          <cell r="B684">
            <v>2740</v>
          </cell>
        </row>
        <row r="685">
          <cell r="B685">
            <v>2746</v>
          </cell>
        </row>
        <row r="686">
          <cell r="B686">
            <v>2748</v>
          </cell>
        </row>
        <row r="687">
          <cell r="B687">
            <v>2749</v>
          </cell>
        </row>
        <row r="688">
          <cell r="B688">
            <v>2751</v>
          </cell>
        </row>
        <row r="689">
          <cell r="B689">
            <v>2753</v>
          </cell>
        </row>
        <row r="690">
          <cell r="B690">
            <v>2755</v>
          </cell>
        </row>
        <row r="691">
          <cell r="B691">
            <v>2763</v>
          </cell>
        </row>
        <row r="692">
          <cell r="B692">
            <v>2766</v>
          </cell>
        </row>
        <row r="693">
          <cell r="B693">
            <v>2776</v>
          </cell>
        </row>
        <row r="694">
          <cell r="B694">
            <v>2777</v>
          </cell>
        </row>
        <row r="695">
          <cell r="B695">
            <v>2779</v>
          </cell>
        </row>
        <row r="696">
          <cell r="B696">
            <v>2783</v>
          </cell>
        </row>
        <row r="697">
          <cell r="B697">
            <v>2784</v>
          </cell>
        </row>
        <row r="698">
          <cell r="B698">
            <v>2788</v>
          </cell>
        </row>
        <row r="699">
          <cell r="B699">
            <v>2790</v>
          </cell>
        </row>
        <row r="700">
          <cell r="B700">
            <v>2795</v>
          </cell>
        </row>
        <row r="701">
          <cell r="B701">
            <v>2797</v>
          </cell>
        </row>
        <row r="702">
          <cell r="B702">
            <v>2801</v>
          </cell>
        </row>
        <row r="703">
          <cell r="B703">
            <v>2808</v>
          </cell>
        </row>
        <row r="704">
          <cell r="B704">
            <v>2810</v>
          </cell>
        </row>
        <row r="705">
          <cell r="B705">
            <v>2813</v>
          </cell>
        </row>
        <row r="706">
          <cell r="B706">
            <v>2814</v>
          </cell>
        </row>
        <row r="707">
          <cell r="B707">
            <v>2815</v>
          </cell>
        </row>
        <row r="708">
          <cell r="B708">
            <v>2816</v>
          </cell>
        </row>
        <row r="709">
          <cell r="B709">
            <v>2819</v>
          </cell>
        </row>
        <row r="710">
          <cell r="B710">
            <v>2823</v>
          </cell>
        </row>
        <row r="711">
          <cell r="B711">
            <v>2824</v>
          </cell>
        </row>
        <row r="712">
          <cell r="B712">
            <v>2825</v>
          </cell>
        </row>
        <row r="713">
          <cell r="B713">
            <v>2826</v>
          </cell>
        </row>
        <row r="714">
          <cell r="B714">
            <v>2827</v>
          </cell>
        </row>
        <row r="715">
          <cell r="B715">
            <v>2828</v>
          </cell>
        </row>
        <row r="716">
          <cell r="B716">
            <v>2829</v>
          </cell>
        </row>
        <row r="717">
          <cell r="B717">
            <v>2832</v>
          </cell>
        </row>
        <row r="718">
          <cell r="B718">
            <v>2835</v>
          </cell>
        </row>
        <row r="719">
          <cell r="B719">
            <v>2836</v>
          </cell>
        </row>
        <row r="720">
          <cell r="B720">
            <v>2839</v>
          </cell>
        </row>
        <row r="721">
          <cell r="B721">
            <v>2841</v>
          </cell>
        </row>
        <row r="722">
          <cell r="B722">
            <v>2842</v>
          </cell>
        </row>
        <row r="723">
          <cell r="B723">
            <v>2843</v>
          </cell>
        </row>
        <row r="724">
          <cell r="B724">
            <v>2844</v>
          </cell>
        </row>
        <row r="725">
          <cell r="B725">
            <v>2845</v>
          </cell>
        </row>
        <row r="726">
          <cell r="B726">
            <v>2846</v>
          </cell>
        </row>
        <row r="727">
          <cell r="B727">
            <v>2847</v>
          </cell>
        </row>
        <row r="728">
          <cell r="B728">
            <v>2848</v>
          </cell>
        </row>
        <row r="729">
          <cell r="B729">
            <v>2850</v>
          </cell>
        </row>
        <row r="730">
          <cell r="B730">
            <v>2851</v>
          </cell>
        </row>
        <row r="731">
          <cell r="B731">
            <v>2852</v>
          </cell>
        </row>
        <row r="732">
          <cell r="B732">
            <v>2854</v>
          </cell>
        </row>
        <row r="733">
          <cell r="B733">
            <v>2855</v>
          </cell>
        </row>
        <row r="734">
          <cell r="B734">
            <v>2856</v>
          </cell>
        </row>
        <row r="735">
          <cell r="B735">
            <v>2857</v>
          </cell>
        </row>
        <row r="736">
          <cell r="B736">
            <v>2858</v>
          </cell>
        </row>
        <row r="737">
          <cell r="B737">
            <v>2860</v>
          </cell>
        </row>
        <row r="738">
          <cell r="B738">
            <v>2861</v>
          </cell>
        </row>
        <row r="739">
          <cell r="B739">
            <v>2862</v>
          </cell>
        </row>
        <row r="740">
          <cell r="B740">
            <v>2863</v>
          </cell>
        </row>
        <row r="741">
          <cell r="B741">
            <v>2865</v>
          </cell>
        </row>
        <row r="742">
          <cell r="B742">
            <v>2864</v>
          </cell>
        </row>
        <row r="743">
          <cell r="B743">
            <v>2866</v>
          </cell>
        </row>
        <row r="744">
          <cell r="B744">
            <v>2867</v>
          </cell>
        </row>
        <row r="745">
          <cell r="B745">
            <v>2868</v>
          </cell>
        </row>
        <row r="746">
          <cell r="B746">
            <v>2870</v>
          </cell>
        </row>
        <row r="747">
          <cell r="B747">
            <v>2871</v>
          </cell>
        </row>
        <row r="748">
          <cell r="B748">
            <v>2872</v>
          </cell>
        </row>
        <row r="749">
          <cell r="B749">
            <v>2874</v>
          </cell>
        </row>
        <row r="750">
          <cell r="B750">
            <v>2875</v>
          </cell>
        </row>
        <row r="751">
          <cell r="B751">
            <v>2876</v>
          </cell>
        </row>
        <row r="752">
          <cell r="B752">
            <v>2877</v>
          </cell>
        </row>
        <row r="753">
          <cell r="B753">
            <v>2878</v>
          </cell>
        </row>
        <row r="754">
          <cell r="B754">
            <v>2879</v>
          </cell>
        </row>
        <row r="755">
          <cell r="B755">
            <v>2880</v>
          </cell>
        </row>
        <row r="756">
          <cell r="B756">
            <v>2881</v>
          </cell>
        </row>
        <row r="757">
          <cell r="B757">
            <v>2882</v>
          </cell>
        </row>
        <row r="758">
          <cell r="B758">
            <v>2883</v>
          </cell>
        </row>
        <row r="759">
          <cell r="B759">
            <v>2884</v>
          </cell>
        </row>
        <row r="760">
          <cell r="B760">
            <v>2885</v>
          </cell>
        </row>
        <row r="761">
          <cell r="B761">
            <v>2886</v>
          </cell>
        </row>
        <row r="762">
          <cell r="B762">
            <v>2887</v>
          </cell>
        </row>
        <row r="763">
          <cell r="B763">
            <v>2889</v>
          </cell>
        </row>
        <row r="764">
          <cell r="B764">
            <v>2890</v>
          </cell>
        </row>
        <row r="765">
          <cell r="B765">
            <v>2891</v>
          </cell>
        </row>
        <row r="766">
          <cell r="B766">
            <v>2892</v>
          </cell>
        </row>
        <row r="767">
          <cell r="B767">
            <v>2893</v>
          </cell>
        </row>
        <row r="768">
          <cell r="B768">
            <v>2894</v>
          </cell>
        </row>
        <row r="769">
          <cell r="B769">
            <v>2895</v>
          </cell>
        </row>
        <row r="770">
          <cell r="B770">
            <v>2896</v>
          </cell>
        </row>
        <row r="771">
          <cell r="B771">
            <v>2897</v>
          </cell>
        </row>
        <row r="772">
          <cell r="B772">
            <v>2898</v>
          </cell>
        </row>
        <row r="773">
          <cell r="B773">
            <v>2899</v>
          </cell>
        </row>
        <row r="774">
          <cell r="B774">
            <v>2900</v>
          </cell>
        </row>
        <row r="775">
          <cell r="B775">
            <v>2904</v>
          </cell>
        </row>
        <row r="776">
          <cell r="B776">
            <v>2905</v>
          </cell>
        </row>
        <row r="777">
          <cell r="B777">
            <v>2910</v>
          </cell>
        </row>
        <row r="778">
          <cell r="B778">
            <v>2911</v>
          </cell>
        </row>
        <row r="779">
          <cell r="B779">
            <v>2912</v>
          </cell>
        </row>
        <row r="780">
          <cell r="B780">
            <v>2913</v>
          </cell>
        </row>
        <row r="781">
          <cell r="B781">
            <v>2914</v>
          </cell>
        </row>
        <row r="782">
          <cell r="B782">
            <v>2916</v>
          </cell>
        </row>
        <row r="783">
          <cell r="B783">
            <v>2918</v>
          </cell>
        </row>
        <row r="784">
          <cell r="B784">
            <v>2922</v>
          </cell>
        </row>
        <row r="785">
          <cell r="B785">
            <v>2923</v>
          </cell>
        </row>
        <row r="786">
          <cell r="B786">
            <v>2924</v>
          </cell>
        </row>
        <row r="787">
          <cell r="B787">
            <v>2925</v>
          </cell>
        </row>
        <row r="788">
          <cell r="B788">
            <v>2926</v>
          </cell>
        </row>
        <row r="789">
          <cell r="B789">
            <v>2928</v>
          </cell>
        </row>
        <row r="790">
          <cell r="B790">
            <v>2929</v>
          </cell>
        </row>
        <row r="791">
          <cell r="B791">
            <v>2930</v>
          </cell>
        </row>
        <row r="792">
          <cell r="B792">
            <v>2931</v>
          </cell>
        </row>
        <row r="793">
          <cell r="B793">
            <v>2940</v>
          </cell>
        </row>
        <row r="794">
          <cell r="B794">
            <v>2941</v>
          </cell>
        </row>
        <row r="795">
          <cell r="B795">
            <v>2942</v>
          </cell>
        </row>
        <row r="796">
          <cell r="B796">
            <v>2943</v>
          </cell>
        </row>
        <row r="797">
          <cell r="B797">
            <v>2944</v>
          </cell>
        </row>
        <row r="798">
          <cell r="B798">
            <v>2945</v>
          </cell>
        </row>
        <row r="799">
          <cell r="B799">
            <v>2946</v>
          </cell>
        </row>
        <row r="800">
          <cell r="B800">
            <v>2947</v>
          </cell>
        </row>
        <row r="801">
          <cell r="B801">
            <v>2948</v>
          </cell>
        </row>
        <row r="802">
          <cell r="B802">
            <v>2949</v>
          </cell>
        </row>
        <row r="803">
          <cell r="B803">
            <v>2950</v>
          </cell>
        </row>
        <row r="804">
          <cell r="B804">
            <v>2951</v>
          </cell>
        </row>
        <row r="805">
          <cell r="B805">
            <v>2952</v>
          </cell>
        </row>
        <row r="806">
          <cell r="B806">
            <v>2954</v>
          </cell>
        </row>
        <row r="807">
          <cell r="B807">
            <v>2955</v>
          </cell>
        </row>
        <row r="808">
          <cell r="B808">
            <v>2956</v>
          </cell>
        </row>
        <row r="809">
          <cell r="B809">
            <v>2958</v>
          </cell>
        </row>
        <row r="810">
          <cell r="B810">
            <v>2960</v>
          </cell>
        </row>
        <row r="811">
          <cell r="B811">
            <v>2961</v>
          </cell>
        </row>
        <row r="812">
          <cell r="B812">
            <v>2962</v>
          </cell>
        </row>
        <row r="813">
          <cell r="B813">
            <v>2963</v>
          </cell>
        </row>
        <row r="814">
          <cell r="B814">
            <v>2965</v>
          </cell>
        </row>
        <row r="815">
          <cell r="B815">
            <v>2966</v>
          </cell>
        </row>
        <row r="816">
          <cell r="B816">
            <v>2967</v>
          </cell>
        </row>
        <row r="817">
          <cell r="B817">
            <v>2968</v>
          </cell>
        </row>
        <row r="818">
          <cell r="B818">
            <v>2969</v>
          </cell>
        </row>
        <row r="819">
          <cell r="B819">
            <v>2970</v>
          </cell>
        </row>
        <row r="820">
          <cell r="B820">
            <v>2971</v>
          </cell>
        </row>
        <row r="821">
          <cell r="B821">
            <v>2972</v>
          </cell>
        </row>
        <row r="822">
          <cell r="B822">
            <v>2973</v>
          </cell>
        </row>
        <row r="823">
          <cell r="B823">
            <v>2974</v>
          </cell>
        </row>
        <row r="824">
          <cell r="B824">
            <v>2975</v>
          </cell>
        </row>
        <row r="825">
          <cell r="B825">
            <v>2976</v>
          </cell>
        </row>
        <row r="826">
          <cell r="B826">
            <v>2977</v>
          </cell>
        </row>
        <row r="827">
          <cell r="B827">
            <v>2978</v>
          </cell>
        </row>
        <row r="828">
          <cell r="B828">
            <v>2979</v>
          </cell>
        </row>
        <row r="829">
          <cell r="B829">
            <v>2980</v>
          </cell>
        </row>
        <row r="830">
          <cell r="B830">
            <v>2981</v>
          </cell>
        </row>
        <row r="831">
          <cell r="B831">
            <v>2982</v>
          </cell>
        </row>
        <row r="832">
          <cell r="B832">
            <v>2983</v>
          </cell>
        </row>
        <row r="833">
          <cell r="B833">
            <v>2984</v>
          </cell>
        </row>
        <row r="834">
          <cell r="B834">
            <v>2985</v>
          </cell>
        </row>
        <row r="835">
          <cell r="B835">
            <v>2986</v>
          </cell>
        </row>
        <row r="836">
          <cell r="B836">
            <v>2987</v>
          </cell>
        </row>
        <row r="837">
          <cell r="B837">
            <v>2988</v>
          </cell>
        </row>
        <row r="838">
          <cell r="B838">
            <v>2989</v>
          </cell>
        </row>
        <row r="839">
          <cell r="B839">
            <v>2990</v>
          </cell>
        </row>
        <row r="840">
          <cell r="B840">
            <v>2991</v>
          </cell>
        </row>
        <row r="841">
          <cell r="B841">
            <v>2992</v>
          </cell>
        </row>
        <row r="842">
          <cell r="B842">
            <v>2993</v>
          </cell>
        </row>
        <row r="843">
          <cell r="B843">
            <v>2994</v>
          </cell>
        </row>
        <row r="844">
          <cell r="B844">
            <v>2995</v>
          </cell>
        </row>
        <row r="845">
          <cell r="B845">
            <v>2996</v>
          </cell>
        </row>
        <row r="846">
          <cell r="B846">
            <v>2997</v>
          </cell>
        </row>
        <row r="847">
          <cell r="B847">
            <v>2998</v>
          </cell>
        </row>
        <row r="848">
          <cell r="B848">
            <v>3003</v>
          </cell>
        </row>
        <row r="849">
          <cell r="B849">
            <v>3006</v>
          </cell>
        </row>
        <row r="850">
          <cell r="B850">
            <v>3014</v>
          </cell>
        </row>
        <row r="851">
          <cell r="B851">
            <v>3016</v>
          </cell>
        </row>
        <row r="852">
          <cell r="B852">
            <v>3034</v>
          </cell>
        </row>
        <row r="853">
          <cell r="B853">
            <v>3036</v>
          </cell>
        </row>
        <row r="854">
          <cell r="B854">
            <v>3038</v>
          </cell>
        </row>
        <row r="855">
          <cell r="B855">
            <v>3039</v>
          </cell>
        </row>
        <row r="856">
          <cell r="B856">
            <v>3041</v>
          </cell>
        </row>
        <row r="857">
          <cell r="B857">
            <v>3047</v>
          </cell>
        </row>
        <row r="858">
          <cell r="B858">
            <v>3049</v>
          </cell>
        </row>
        <row r="859">
          <cell r="B859">
            <v>3061</v>
          </cell>
        </row>
        <row r="860">
          <cell r="B860">
            <v>3068</v>
          </cell>
        </row>
        <row r="861">
          <cell r="B861">
            <v>3070</v>
          </cell>
        </row>
        <row r="862">
          <cell r="B862">
            <v>3079</v>
          </cell>
        </row>
        <row r="863">
          <cell r="B863">
            <v>3081</v>
          </cell>
        </row>
        <row r="864">
          <cell r="B864">
            <v>3091</v>
          </cell>
        </row>
        <row r="865">
          <cell r="B865">
            <v>3095</v>
          </cell>
        </row>
        <row r="866">
          <cell r="B866">
            <v>3098</v>
          </cell>
        </row>
        <row r="867">
          <cell r="B867">
            <v>3102</v>
          </cell>
        </row>
        <row r="868">
          <cell r="B868">
            <v>3111</v>
          </cell>
        </row>
        <row r="869">
          <cell r="B869">
            <v>3113</v>
          </cell>
        </row>
        <row r="870">
          <cell r="B870">
            <v>3114</v>
          </cell>
        </row>
        <row r="871">
          <cell r="B871">
            <v>3118</v>
          </cell>
        </row>
        <row r="872">
          <cell r="B872">
            <v>3123</v>
          </cell>
        </row>
        <row r="873">
          <cell r="B873">
            <v>3125</v>
          </cell>
        </row>
        <row r="874">
          <cell r="B874">
            <v>3127</v>
          </cell>
        </row>
        <row r="875">
          <cell r="B875">
            <v>3130</v>
          </cell>
        </row>
        <row r="876">
          <cell r="B876">
            <v>3132</v>
          </cell>
        </row>
        <row r="877">
          <cell r="B877">
            <v>3138</v>
          </cell>
        </row>
        <row r="878">
          <cell r="B878">
            <v>3143</v>
          </cell>
        </row>
        <row r="879">
          <cell r="B879">
            <v>3152</v>
          </cell>
        </row>
        <row r="880">
          <cell r="B880">
            <v>3153</v>
          </cell>
        </row>
        <row r="881">
          <cell r="B881">
            <v>3157</v>
          </cell>
        </row>
        <row r="882">
          <cell r="B882">
            <v>3158</v>
          </cell>
        </row>
        <row r="883">
          <cell r="B883">
            <v>3159</v>
          </cell>
        </row>
        <row r="884">
          <cell r="B884">
            <v>3160</v>
          </cell>
        </row>
        <row r="885">
          <cell r="B885">
            <v>3167</v>
          </cell>
        </row>
        <row r="886">
          <cell r="B886">
            <v>3168</v>
          </cell>
        </row>
        <row r="887">
          <cell r="B887">
            <v>3169</v>
          </cell>
        </row>
        <row r="888">
          <cell r="B888">
            <v>3175</v>
          </cell>
        </row>
        <row r="889">
          <cell r="B889">
            <v>3176</v>
          </cell>
        </row>
        <row r="890">
          <cell r="B890">
            <v>3180</v>
          </cell>
        </row>
        <row r="891">
          <cell r="B891">
            <v>3181</v>
          </cell>
        </row>
        <row r="892">
          <cell r="B892">
            <v>3192</v>
          </cell>
        </row>
        <row r="893">
          <cell r="B893">
            <v>3194</v>
          </cell>
        </row>
        <row r="894">
          <cell r="B894">
            <v>3196</v>
          </cell>
        </row>
        <row r="895">
          <cell r="B895">
            <v>3198</v>
          </cell>
        </row>
        <row r="896">
          <cell r="B896">
            <v>3205</v>
          </cell>
        </row>
        <row r="897">
          <cell r="B897">
            <v>3206</v>
          </cell>
        </row>
        <row r="898">
          <cell r="B898">
            <v>3210</v>
          </cell>
        </row>
        <row r="899">
          <cell r="B899">
            <v>3215</v>
          </cell>
        </row>
        <row r="900">
          <cell r="B900">
            <v>3228</v>
          </cell>
        </row>
        <row r="901">
          <cell r="B901">
            <v>3230</v>
          </cell>
        </row>
        <row r="902">
          <cell r="B902">
            <v>3232</v>
          </cell>
        </row>
        <row r="903">
          <cell r="B903">
            <v>3233</v>
          </cell>
        </row>
        <row r="904">
          <cell r="B904">
            <v>3236</v>
          </cell>
        </row>
        <row r="905">
          <cell r="B905">
            <v>3238</v>
          </cell>
        </row>
        <row r="906">
          <cell r="B906">
            <v>3239</v>
          </cell>
        </row>
        <row r="907">
          <cell r="B907">
            <v>3242</v>
          </cell>
        </row>
        <row r="908">
          <cell r="B908">
            <v>3243</v>
          </cell>
        </row>
        <row r="909">
          <cell r="B909">
            <v>3269</v>
          </cell>
        </row>
        <row r="910">
          <cell r="B910">
            <v>3278</v>
          </cell>
        </row>
        <row r="911">
          <cell r="B911">
            <v>3282</v>
          </cell>
        </row>
        <row r="912">
          <cell r="B912">
            <v>3284</v>
          </cell>
        </row>
        <row r="913">
          <cell r="B913">
            <v>3289</v>
          </cell>
        </row>
        <row r="914">
          <cell r="B914">
            <v>3292</v>
          </cell>
        </row>
        <row r="915">
          <cell r="B915">
            <v>3294</v>
          </cell>
        </row>
        <row r="916">
          <cell r="B916">
            <v>3299</v>
          </cell>
        </row>
        <row r="917">
          <cell r="B917">
            <v>3303</v>
          </cell>
        </row>
        <row r="918">
          <cell r="B918">
            <v>3309</v>
          </cell>
        </row>
        <row r="919">
          <cell r="B919">
            <v>3315</v>
          </cell>
        </row>
        <row r="920">
          <cell r="B920">
            <v>3326</v>
          </cell>
        </row>
        <row r="921">
          <cell r="B921">
            <v>3330</v>
          </cell>
        </row>
        <row r="922">
          <cell r="B922">
            <v>3331</v>
          </cell>
        </row>
        <row r="923">
          <cell r="B923">
            <v>3334</v>
          </cell>
        </row>
        <row r="924">
          <cell r="B924">
            <v>3335</v>
          </cell>
        </row>
        <row r="925">
          <cell r="B925">
            <v>3336</v>
          </cell>
        </row>
        <row r="926">
          <cell r="B926">
            <v>3338</v>
          </cell>
        </row>
        <row r="927">
          <cell r="B927">
            <v>3341</v>
          </cell>
        </row>
        <row r="928">
          <cell r="B928">
            <v>3344</v>
          </cell>
        </row>
        <row r="929">
          <cell r="B929">
            <v>3346</v>
          </cell>
        </row>
        <row r="930">
          <cell r="B930">
            <v>3348</v>
          </cell>
        </row>
        <row r="931">
          <cell r="B931">
            <v>3349</v>
          </cell>
        </row>
        <row r="932">
          <cell r="B932">
            <v>3350</v>
          </cell>
        </row>
        <row r="933">
          <cell r="B933">
            <v>3357</v>
          </cell>
        </row>
        <row r="934">
          <cell r="B934">
            <v>3358</v>
          </cell>
        </row>
        <row r="935">
          <cell r="B935">
            <v>3364</v>
          </cell>
        </row>
        <row r="936">
          <cell r="B936">
            <v>3365</v>
          </cell>
        </row>
        <row r="937">
          <cell r="B937">
            <v>3368</v>
          </cell>
        </row>
        <row r="938">
          <cell r="B938">
            <v>3370</v>
          </cell>
        </row>
        <row r="939">
          <cell r="B939">
            <v>3373</v>
          </cell>
        </row>
        <row r="940">
          <cell r="B940">
            <v>3374</v>
          </cell>
        </row>
        <row r="941">
          <cell r="B941">
            <v>3377</v>
          </cell>
        </row>
        <row r="942">
          <cell r="B942">
            <v>3378</v>
          </cell>
        </row>
        <row r="943">
          <cell r="B943">
            <v>3379</v>
          </cell>
        </row>
        <row r="944">
          <cell r="B944">
            <v>3381</v>
          </cell>
        </row>
        <row r="945">
          <cell r="B945">
            <v>3383</v>
          </cell>
        </row>
        <row r="946">
          <cell r="B946">
            <v>3386</v>
          </cell>
        </row>
        <row r="947">
          <cell r="B947">
            <v>3387</v>
          </cell>
        </row>
        <row r="948">
          <cell r="B948">
            <v>3398</v>
          </cell>
        </row>
        <row r="949">
          <cell r="B949">
            <v>3399</v>
          </cell>
        </row>
        <row r="950">
          <cell r="B950">
            <v>3401</v>
          </cell>
        </row>
        <row r="951">
          <cell r="B951">
            <v>3402</v>
          </cell>
        </row>
        <row r="952">
          <cell r="B952">
            <v>3403</v>
          </cell>
        </row>
        <row r="953">
          <cell r="B953">
            <v>3404</v>
          </cell>
        </row>
        <row r="954">
          <cell r="B954">
            <v>3411</v>
          </cell>
        </row>
        <row r="955">
          <cell r="B955">
            <v>3414</v>
          </cell>
        </row>
        <row r="956">
          <cell r="B956">
            <v>3416</v>
          </cell>
        </row>
        <row r="957">
          <cell r="B957">
            <v>3422</v>
          </cell>
        </row>
        <row r="958">
          <cell r="B958">
            <v>3424</v>
          </cell>
        </row>
        <row r="959">
          <cell r="B959">
            <v>3426</v>
          </cell>
        </row>
        <row r="960">
          <cell r="B960">
            <v>3427</v>
          </cell>
        </row>
        <row r="961">
          <cell r="B961">
            <v>3428</v>
          </cell>
        </row>
        <row r="962">
          <cell r="B962">
            <v>3431</v>
          </cell>
        </row>
        <row r="963">
          <cell r="B963">
            <v>3432</v>
          </cell>
        </row>
        <row r="964">
          <cell r="B964">
            <v>3435</v>
          </cell>
        </row>
        <row r="965">
          <cell r="B965">
            <v>3442</v>
          </cell>
        </row>
        <row r="966">
          <cell r="B966">
            <v>3443</v>
          </cell>
        </row>
        <row r="967">
          <cell r="B967">
            <v>3446</v>
          </cell>
        </row>
        <row r="968">
          <cell r="B968">
            <v>3447</v>
          </cell>
        </row>
        <row r="969">
          <cell r="B969">
            <v>3449</v>
          </cell>
        </row>
        <row r="970">
          <cell r="B970">
            <v>3451</v>
          </cell>
        </row>
        <row r="971">
          <cell r="B971">
            <v>3452</v>
          </cell>
        </row>
        <row r="972">
          <cell r="B972">
            <v>3453</v>
          </cell>
        </row>
        <row r="973">
          <cell r="B973">
            <v>3456</v>
          </cell>
        </row>
        <row r="974">
          <cell r="B974">
            <v>3457</v>
          </cell>
        </row>
        <row r="975">
          <cell r="B975">
            <v>3458</v>
          </cell>
        </row>
        <row r="976">
          <cell r="B976">
            <v>3460</v>
          </cell>
        </row>
        <row r="977">
          <cell r="B977">
            <v>3461</v>
          </cell>
        </row>
        <row r="978">
          <cell r="B978">
            <v>3469</v>
          </cell>
        </row>
        <row r="979">
          <cell r="B979">
            <v>3471</v>
          </cell>
        </row>
        <row r="980">
          <cell r="B980">
            <v>3473</v>
          </cell>
        </row>
        <row r="981">
          <cell r="B981">
            <v>3480</v>
          </cell>
        </row>
        <row r="982">
          <cell r="B982">
            <v>3481</v>
          </cell>
        </row>
        <row r="983">
          <cell r="B983">
            <v>3483</v>
          </cell>
        </row>
        <row r="984">
          <cell r="B984">
            <v>3487</v>
          </cell>
        </row>
        <row r="985">
          <cell r="B985">
            <v>3488</v>
          </cell>
        </row>
        <row r="986">
          <cell r="B986">
            <v>3490</v>
          </cell>
        </row>
        <row r="987">
          <cell r="B987">
            <v>3493</v>
          </cell>
        </row>
        <row r="988">
          <cell r="B988">
            <v>3494</v>
          </cell>
        </row>
        <row r="989">
          <cell r="B989">
            <v>3496</v>
          </cell>
        </row>
        <row r="990">
          <cell r="B990">
            <v>3504</v>
          </cell>
        </row>
        <row r="991">
          <cell r="B991">
            <v>3508</v>
          </cell>
        </row>
        <row r="992">
          <cell r="B992">
            <v>3509</v>
          </cell>
        </row>
        <row r="993">
          <cell r="B993">
            <v>3513</v>
          </cell>
        </row>
        <row r="994">
          <cell r="B994">
            <v>3516</v>
          </cell>
        </row>
        <row r="995">
          <cell r="B995">
            <v>3517</v>
          </cell>
        </row>
        <row r="996">
          <cell r="B996">
            <v>3518</v>
          </cell>
        </row>
        <row r="997">
          <cell r="B997">
            <v>3519</v>
          </cell>
        </row>
        <row r="998">
          <cell r="B998">
            <v>3520</v>
          </cell>
        </row>
        <row r="999">
          <cell r="B999">
            <v>3521</v>
          </cell>
        </row>
        <row r="1000">
          <cell r="B1000">
            <v>3527</v>
          </cell>
        </row>
        <row r="1001">
          <cell r="B1001">
            <v>3529</v>
          </cell>
        </row>
        <row r="1002">
          <cell r="B1002">
            <v>3531</v>
          </cell>
        </row>
        <row r="1003">
          <cell r="B1003">
            <v>3532</v>
          </cell>
        </row>
        <row r="1004">
          <cell r="B1004">
            <v>3533</v>
          </cell>
        </row>
        <row r="1005">
          <cell r="B1005">
            <v>3534</v>
          </cell>
        </row>
        <row r="1006">
          <cell r="B1006">
            <v>3535</v>
          </cell>
        </row>
        <row r="1007">
          <cell r="B1007">
            <v>3537</v>
          </cell>
        </row>
        <row r="1008">
          <cell r="B1008">
            <v>3538</v>
          </cell>
        </row>
        <row r="1009">
          <cell r="B1009">
            <v>3539</v>
          </cell>
        </row>
        <row r="1010">
          <cell r="B1010">
            <v>3540</v>
          </cell>
        </row>
        <row r="1011">
          <cell r="B1011">
            <v>3541</v>
          </cell>
        </row>
        <row r="1012">
          <cell r="B1012">
            <v>3542</v>
          </cell>
        </row>
        <row r="1013">
          <cell r="B1013">
            <v>3543</v>
          </cell>
        </row>
        <row r="1014">
          <cell r="B1014">
            <v>3544</v>
          </cell>
        </row>
        <row r="1015">
          <cell r="B1015">
            <v>3545</v>
          </cell>
        </row>
        <row r="1016">
          <cell r="B1016">
            <v>3546</v>
          </cell>
        </row>
        <row r="1017">
          <cell r="B1017">
            <v>3547</v>
          </cell>
        </row>
        <row r="1018">
          <cell r="B1018">
            <v>3548</v>
          </cell>
        </row>
        <row r="1019">
          <cell r="B1019">
            <v>3549</v>
          </cell>
        </row>
        <row r="1020">
          <cell r="B1020">
            <v>3550</v>
          </cell>
        </row>
        <row r="1021">
          <cell r="B1021">
            <v>3551</v>
          </cell>
        </row>
        <row r="1022">
          <cell r="B1022">
            <v>3552</v>
          </cell>
        </row>
        <row r="1023">
          <cell r="B1023">
            <v>3553</v>
          </cell>
        </row>
        <row r="1024">
          <cell r="B1024">
            <v>3555</v>
          </cell>
        </row>
        <row r="1025">
          <cell r="B1025">
            <v>3556</v>
          </cell>
        </row>
        <row r="1026">
          <cell r="B1026">
            <v>3557</v>
          </cell>
        </row>
        <row r="1027">
          <cell r="B1027">
            <v>3558</v>
          </cell>
        </row>
        <row r="1028">
          <cell r="B1028">
            <v>3559</v>
          </cell>
        </row>
        <row r="1029">
          <cell r="B1029">
            <v>3560</v>
          </cell>
        </row>
        <row r="1030">
          <cell r="B1030">
            <v>3561</v>
          </cell>
        </row>
        <row r="1031">
          <cell r="B1031">
            <v>3562</v>
          </cell>
        </row>
        <row r="1032">
          <cell r="B1032">
            <v>3563</v>
          </cell>
        </row>
        <row r="1033">
          <cell r="B1033">
            <v>3565</v>
          </cell>
        </row>
        <row r="1034">
          <cell r="B1034">
            <v>3566</v>
          </cell>
        </row>
        <row r="1035">
          <cell r="B1035">
            <v>3567</v>
          </cell>
        </row>
        <row r="1036">
          <cell r="B1036">
            <v>3568</v>
          </cell>
        </row>
        <row r="1037">
          <cell r="B1037">
            <v>3569</v>
          </cell>
        </row>
        <row r="1038">
          <cell r="B1038">
            <v>3570</v>
          </cell>
        </row>
        <row r="1039">
          <cell r="B1039">
            <v>3571</v>
          </cell>
        </row>
        <row r="1040">
          <cell r="B1040">
            <v>3572</v>
          </cell>
        </row>
        <row r="1041">
          <cell r="B1041">
            <v>3573</v>
          </cell>
        </row>
        <row r="1042">
          <cell r="B1042">
            <v>3574</v>
          </cell>
        </row>
        <row r="1043">
          <cell r="B1043">
            <v>3575</v>
          </cell>
        </row>
        <row r="1044">
          <cell r="B1044">
            <v>3576</v>
          </cell>
        </row>
        <row r="1045">
          <cell r="B1045">
            <v>3577</v>
          </cell>
        </row>
        <row r="1046">
          <cell r="B1046">
            <v>3578</v>
          </cell>
        </row>
        <row r="1047">
          <cell r="B1047">
            <v>3579</v>
          </cell>
        </row>
        <row r="1048">
          <cell r="B1048">
            <v>3580</v>
          </cell>
        </row>
        <row r="1049">
          <cell r="B1049">
            <v>3581</v>
          </cell>
        </row>
        <row r="1050">
          <cell r="B1050">
            <v>3582</v>
          </cell>
        </row>
        <row r="1051">
          <cell r="B1051">
            <v>3584</v>
          </cell>
        </row>
        <row r="1052">
          <cell r="B1052">
            <v>3585</v>
          </cell>
        </row>
        <row r="1053">
          <cell r="B1053">
            <v>3586</v>
          </cell>
        </row>
        <row r="1054">
          <cell r="B1054">
            <v>3587</v>
          </cell>
        </row>
        <row r="1055">
          <cell r="B1055">
            <v>3588</v>
          </cell>
        </row>
        <row r="1056">
          <cell r="B1056">
            <v>3589</v>
          </cell>
        </row>
        <row r="1057">
          <cell r="B1057">
            <v>3590</v>
          </cell>
        </row>
        <row r="1058">
          <cell r="B1058">
            <v>3591</v>
          </cell>
        </row>
        <row r="1059">
          <cell r="B1059">
            <v>3592</v>
          </cell>
        </row>
        <row r="1060">
          <cell r="B1060">
            <v>3593</v>
          </cell>
        </row>
        <row r="1061">
          <cell r="B1061">
            <v>3594</v>
          </cell>
        </row>
        <row r="1062">
          <cell r="B1062">
            <v>3595</v>
          </cell>
        </row>
        <row r="1063">
          <cell r="B1063">
            <v>3596</v>
          </cell>
        </row>
        <row r="1064">
          <cell r="B1064">
            <v>3598</v>
          </cell>
        </row>
        <row r="1065">
          <cell r="B1065">
            <v>3599</v>
          </cell>
        </row>
        <row r="1066">
          <cell r="B1066">
            <v>3606</v>
          </cell>
        </row>
        <row r="1067">
          <cell r="B1067">
            <v>3601</v>
          </cell>
        </row>
        <row r="1068">
          <cell r="B1068">
            <v>3607</v>
          </cell>
        </row>
        <row r="1069">
          <cell r="B1069">
            <v>3613</v>
          </cell>
        </row>
        <row r="1070">
          <cell r="B1070">
            <v>3614</v>
          </cell>
        </row>
        <row r="1071">
          <cell r="B1071">
            <v>3616</v>
          </cell>
        </row>
        <row r="1072">
          <cell r="B1072">
            <v>3619</v>
          </cell>
        </row>
        <row r="1073">
          <cell r="B1073">
            <v>3620</v>
          </cell>
        </row>
        <row r="1074">
          <cell r="B1074">
            <v>3621</v>
          </cell>
        </row>
        <row r="1075">
          <cell r="B1075">
            <v>3623</v>
          </cell>
        </row>
        <row r="1076">
          <cell r="B1076">
            <v>3624</v>
          </cell>
        </row>
        <row r="1077">
          <cell r="B1077">
            <v>3625</v>
          </cell>
        </row>
        <row r="1078">
          <cell r="B1078">
            <v>3627</v>
          </cell>
        </row>
        <row r="1079">
          <cell r="B1079">
            <v>3628</v>
          </cell>
        </row>
        <row r="1080">
          <cell r="B1080">
            <v>3629</v>
          </cell>
        </row>
        <row r="1081">
          <cell r="B1081">
            <v>3630</v>
          </cell>
        </row>
        <row r="1082">
          <cell r="B1082">
            <v>3631</v>
          </cell>
        </row>
        <row r="1083">
          <cell r="B1083">
            <v>3632</v>
          </cell>
        </row>
        <row r="1084">
          <cell r="B1084">
            <v>3633</v>
          </cell>
        </row>
        <row r="1085">
          <cell r="B1085">
            <v>3634</v>
          </cell>
        </row>
        <row r="1086">
          <cell r="B1086">
            <v>3635</v>
          </cell>
        </row>
        <row r="1087">
          <cell r="B1087">
            <v>3636</v>
          </cell>
        </row>
        <row r="1088">
          <cell r="B1088">
            <v>3637</v>
          </cell>
        </row>
        <row r="1089">
          <cell r="B1089">
            <v>3638</v>
          </cell>
        </row>
        <row r="1090">
          <cell r="B1090">
            <v>3641</v>
          </cell>
        </row>
        <row r="1091">
          <cell r="B1091">
            <v>3642</v>
          </cell>
        </row>
        <row r="1092">
          <cell r="B1092">
            <v>3643</v>
          </cell>
        </row>
        <row r="1093">
          <cell r="B1093">
            <v>3644</v>
          </cell>
        </row>
        <row r="1094">
          <cell r="B1094">
            <v>3645</v>
          </cell>
        </row>
        <row r="1095">
          <cell r="B1095">
            <v>3646</v>
          </cell>
        </row>
        <row r="1096">
          <cell r="B1096">
            <v>3647</v>
          </cell>
        </row>
        <row r="1097">
          <cell r="B1097">
            <v>3648</v>
          </cell>
        </row>
        <row r="1098">
          <cell r="B1098">
            <v>3649</v>
          </cell>
        </row>
        <row r="1099">
          <cell r="B1099">
            <v>3650</v>
          </cell>
        </row>
        <row r="1100">
          <cell r="B1100">
            <v>3651</v>
          </cell>
        </row>
        <row r="1101">
          <cell r="B1101">
            <v>3652</v>
          </cell>
        </row>
        <row r="1102">
          <cell r="B1102">
            <v>3654</v>
          </cell>
        </row>
        <row r="1103">
          <cell r="B1103">
            <v>3655</v>
          </cell>
        </row>
        <row r="1104">
          <cell r="B1104">
            <v>3656</v>
          </cell>
        </row>
        <row r="1105">
          <cell r="B1105">
            <v>3657</v>
          </cell>
        </row>
        <row r="1106">
          <cell r="B1106">
            <v>3658</v>
          </cell>
        </row>
        <row r="1107">
          <cell r="B1107">
            <v>3659</v>
          </cell>
        </row>
        <row r="1108">
          <cell r="B1108">
            <v>3660</v>
          </cell>
        </row>
        <row r="1109">
          <cell r="B1109">
            <v>3661</v>
          </cell>
        </row>
        <row r="1110">
          <cell r="B1110">
            <v>3662</v>
          </cell>
        </row>
        <row r="1111">
          <cell r="B1111">
            <v>3663</v>
          </cell>
        </row>
        <row r="1112">
          <cell r="B1112">
            <v>3664</v>
          </cell>
        </row>
        <row r="1113">
          <cell r="B1113">
            <v>3665</v>
          </cell>
        </row>
        <row r="1114">
          <cell r="B1114">
            <v>3666</v>
          </cell>
        </row>
        <row r="1115">
          <cell r="B1115">
            <v>3668</v>
          </cell>
        </row>
        <row r="1116">
          <cell r="B1116">
            <v>3669</v>
          </cell>
        </row>
        <row r="1117">
          <cell r="B1117">
            <v>3671</v>
          </cell>
        </row>
        <row r="1118">
          <cell r="B1118">
            <v>3672</v>
          </cell>
        </row>
        <row r="1119">
          <cell r="B1119">
            <v>3673</v>
          </cell>
        </row>
        <row r="1120">
          <cell r="B1120">
            <v>3674</v>
          </cell>
        </row>
        <row r="1121">
          <cell r="B1121">
            <v>3675</v>
          </cell>
        </row>
        <row r="1122">
          <cell r="B1122">
            <v>3676</v>
          </cell>
        </row>
        <row r="1123">
          <cell r="B1123">
            <v>3677</v>
          </cell>
        </row>
        <row r="1124">
          <cell r="B1124">
            <v>3679</v>
          </cell>
        </row>
        <row r="1125">
          <cell r="B1125">
            <v>3680</v>
          </cell>
        </row>
        <row r="1126">
          <cell r="B1126">
            <v>3681</v>
          </cell>
        </row>
        <row r="1127">
          <cell r="B1127">
            <v>3682</v>
          </cell>
        </row>
        <row r="1128">
          <cell r="B1128">
            <v>3683</v>
          </cell>
        </row>
        <row r="1129">
          <cell r="B1129">
            <v>3685</v>
          </cell>
        </row>
        <row r="1130">
          <cell r="B1130">
            <v>3686</v>
          </cell>
        </row>
        <row r="1131">
          <cell r="B1131">
            <v>3687</v>
          </cell>
        </row>
        <row r="1132">
          <cell r="B1132">
            <v>3688</v>
          </cell>
        </row>
        <row r="1133">
          <cell r="B1133">
            <v>3689</v>
          </cell>
        </row>
        <row r="1134">
          <cell r="B1134">
            <v>3690</v>
          </cell>
        </row>
        <row r="1135">
          <cell r="B1135">
            <v>3691</v>
          </cell>
        </row>
        <row r="1136">
          <cell r="B1136">
            <v>3692</v>
          </cell>
        </row>
        <row r="1137">
          <cell r="B1137">
            <v>3693</v>
          </cell>
        </row>
        <row r="1138">
          <cell r="B1138">
            <v>3694</v>
          </cell>
        </row>
        <row r="1139">
          <cell r="B1139">
            <v>3695</v>
          </cell>
        </row>
        <row r="1140">
          <cell r="B1140">
            <v>3696</v>
          </cell>
        </row>
        <row r="1141">
          <cell r="B1141">
            <v>3697</v>
          </cell>
        </row>
        <row r="1142">
          <cell r="B1142">
            <v>3698</v>
          </cell>
        </row>
        <row r="1143">
          <cell r="B1143">
            <v>3699</v>
          </cell>
        </row>
        <row r="1144">
          <cell r="B1144">
            <v>3700</v>
          </cell>
        </row>
        <row r="1145">
          <cell r="B1145">
            <v>3701</v>
          </cell>
        </row>
        <row r="1146">
          <cell r="B1146">
            <v>3702</v>
          </cell>
        </row>
        <row r="1147">
          <cell r="B1147">
            <v>3703</v>
          </cell>
        </row>
        <row r="1148">
          <cell r="B1148">
            <v>3705</v>
          </cell>
        </row>
        <row r="1149">
          <cell r="B1149">
            <v>3706</v>
          </cell>
        </row>
        <row r="1150">
          <cell r="B1150">
            <v>3707</v>
          </cell>
        </row>
        <row r="1151">
          <cell r="B1151">
            <v>3708</v>
          </cell>
        </row>
        <row r="1152">
          <cell r="B1152">
            <v>3713</v>
          </cell>
        </row>
        <row r="1153">
          <cell r="B1153">
            <v>3715</v>
          </cell>
        </row>
        <row r="1154">
          <cell r="B1154">
            <v>3716</v>
          </cell>
        </row>
        <row r="1155">
          <cell r="B1155">
            <v>3718</v>
          </cell>
        </row>
        <row r="1156">
          <cell r="B1156">
            <v>3719</v>
          </cell>
        </row>
        <row r="1157">
          <cell r="B1157">
            <v>3724</v>
          </cell>
        </row>
        <row r="1158">
          <cell r="B1158">
            <v>3725</v>
          </cell>
        </row>
        <row r="1159">
          <cell r="B1159">
            <v>3726</v>
          </cell>
        </row>
        <row r="1160">
          <cell r="B1160">
            <v>3727</v>
          </cell>
        </row>
        <row r="1161">
          <cell r="B1161">
            <v>3728</v>
          </cell>
        </row>
        <row r="1162">
          <cell r="B1162">
            <v>3729</v>
          </cell>
        </row>
        <row r="1163">
          <cell r="B1163">
            <v>3730</v>
          </cell>
        </row>
        <row r="1164">
          <cell r="B1164">
            <v>3731</v>
          </cell>
        </row>
        <row r="1165">
          <cell r="B1165">
            <v>3732</v>
          </cell>
        </row>
        <row r="1166">
          <cell r="B1166">
            <v>3733</v>
          </cell>
        </row>
        <row r="1167">
          <cell r="B1167">
            <v>3734</v>
          </cell>
        </row>
        <row r="1168">
          <cell r="B1168">
            <v>3735</v>
          </cell>
        </row>
        <row r="1169">
          <cell r="B1169">
            <v>3736</v>
          </cell>
        </row>
        <row r="1170">
          <cell r="B1170">
            <v>3737</v>
          </cell>
        </row>
        <row r="1171">
          <cell r="B1171">
            <v>3738</v>
          </cell>
        </row>
        <row r="1172">
          <cell r="B1172">
            <v>3739</v>
          </cell>
        </row>
        <row r="1173">
          <cell r="B1173">
            <v>3740</v>
          </cell>
        </row>
        <row r="1174">
          <cell r="B1174">
            <v>3741</v>
          </cell>
        </row>
        <row r="1175">
          <cell r="B1175">
            <v>3742</v>
          </cell>
        </row>
        <row r="1176">
          <cell r="B1176">
            <v>3744</v>
          </cell>
        </row>
        <row r="1177">
          <cell r="B1177">
            <v>3747</v>
          </cell>
        </row>
        <row r="1178">
          <cell r="B1178">
            <v>3748</v>
          </cell>
        </row>
        <row r="1179">
          <cell r="B1179">
            <v>3750</v>
          </cell>
        </row>
        <row r="1180">
          <cell r="B1180">
            <v>3751</v>
          </cell>
        </row>
        <row r="1181">
          <cell r="B1181">
            <v>3752</v>
          </cell>
        </row>
        <row r="1182">
          <cell r="B1182">
            <v>3753</v>
          </cell>
        </row>
        <row r="1183">
          <cell r="B1183">
            <v>3754</v>
          </cell>
        </row>
        <row r="1184">
          <cell r="B1184">
            <v>3755</v>
          </cell>
        </row>
        <row r="1185">
          <cell r="B1185">
            <v>3756</v>
          </cell>
        </row>
        <row r="1186">
          <cell r="B1186">
            <v>3758</v>
          </cell>
        </row>
        <row r="1187">
          <cell r="B1187">
            <v>3760</v>
          </cell>
        </row>
        <row r="1188">
          <cell r="B1188">
            <v>3761</v>
          </cell>
        </row>
        <row r="1189">
          <cell r="B1189">
            <v>3762</v>
          </cell>
        </row>
        <row r="1190">
          <cell r="B1190">
            <v>3763</v>
          </cell>
        </row>
        <row r="1191">
          <cell r="B1191">
            <v>3764</v>
          </cell>
        </row>
        <row r="1192">
          <cell r="B1192">
            <v>3765</v>
          </cell>
        </row>
        <row r="1193">
          <cell r="B1193">
            <v>3766</v>
          </cell>
        </row>
        <row r="1194">
          <cell r="B1194">
            <v>3768</v>
          </cell>
        </row>
        <row r="1195">
          <cell r="B1195">
            <v>3769</v>
          </cell>
        </row>
        <row r="1196">
          <cell r="B1196">
            <v>3770</v>
          </cell>
        </row>
        <row r="1197">
          <cell r="B1197">
            <v>3771</v>
          </cell>
        </row>
        <row r="1198">
          <cell r="B1198">
            <v>3772</v>
          </cell>
        </row>
        <row r="1199">
          <cell r="B1199">
            <v>3773</v>
          </cell>
        </row>
        <row r="1200">
          <cell r="B1200">
            <v>3774</v>
          </cell>
        </row>
        <row r="1201">
          <cell r="B1201">
            <v>3775</v>
          </cell>
        </row>
        <row r="1202">
          <cell r="B1202">
            <v>3777</v>
          </cell>
        </row>
        <row r="1203">
          <cell r="B1203">
            <v>3778</v>
          </cell>
        </row>
        <row r="1204">
          <cell r="B1204">
            <v>3780</v>
          </cell>
        </row>
        <row r="1205">
          <cell r="B1205">
            <v>3781</v>
          </cell>
        </row>
        <row r="1206">
          <cell r="B1206">
            <v>3782</v>
          </cell>
        </row>
        <row r="1207">
          <cell r="B1207">
            <v>3783</v>
          </cell>
        </row>
        <row r="1208">
          <cell r="B1208">
            <v>3784</v>
          </cell>
        </row>
        <row r="1209">
          <cell r="B1209">
            <v>3785</v>
          </cell>
        </row>
        <row r="1210">
          <cell r="B1210">
            <v>3786</v>
          </cell>
        </row>
        <row r="1211">
          <cell r="B1211">
            <v>3787</v>
          </cell>
        </row>
        <row r="1212">
          <cell r="B1212">
            <v>3788</v>
          </cell>
        </row>
        <row r="1213">
          <cell r="B1213">
            <v>3789</v>
          </cell>
        </row>
        <row r="1214">
          <cell r="B1214">
            <v>3790</v>
          </cell>
        </row>
        <row r="1215">
          <cell r="B1215">
            <v>3791</v>
          </cell>
        </row>
        <row r="1216">
          <cell r="B1216">
            <v>3792</v>
          </cell>
        </row>
        <row r="1217">
          <cell r="B1217">
            <v>3793</v>
          </cell>
        </row>
        <row r="1218">
          <cell r="B1218">
            <v>3794</v>
          </cell>
        </row>
        <row r="1219">
          <cell r="B1219">
            <v>3795</v>
          </cell>
        </row>
        <row r="1220">
          <cell r="B1220">
            <v>3796</v>
          </cell>
        </row>
        <row r="1221">
          <cell r="B1221">
            <v>3797</v>
          </cell>
        </row>
        <row r="1222">
          <cell r="B1222">
            <v>3798</v>
          </cell>
        </row>
        <row r="1223">
          <cell r="B1223">
            <v>3799</v>
          </cell>
        </row>
        <row r="1224">
          <cell r="B1224">
            <v>3800</v>
          </cell>
        </row>
        <row r="1225">
          <cell r="B1225">
            <v>3801</v>
          </cell>
        </row>
        <row r="1226">
          <cell r="B1226">
            <v>3802</v>
          </cell>
        </row>
        <row r="1227">
          <cell r="B1227">
            <v>3803</v>
          </cell>
        </row>
        <row r="1228">
          <cell r="B1228">
            <v>3804</v>
          </cell>
        </row>
        <row r="1229">
          <cell r="B1229">
            <v>3805</v>
          </cell>
        </row>
        <row r="1230">
          <cell r="B1230">
            <v>3806</v>
          </cell>
        </row>
        <row r="1231">
          <cell r="B1231">
            <v>3809</v>
          </cell>
        </row>
        <row r="1232">
          <cell r="B1232">
            <v>3810</v>
          </cell>
        </row>
        <row r="1233">
          <cell r="B1233">
            <v>3811</v>
          </cell>
        </row>
        <row r="1234">
          <cell r="B1234">
            <v>3812</v>
          </cell>
        </row>
        <row r="1235">
          <cell r="B1235">
            <v>3813</v>
          </cell>
        </row>
        <row r="1236">
          <cell r="B1236">
            <v>3814</v>
          </cell>
        </row>
        <row r="1237">
          <cell r="B1237">
            <v>3815</v>
          </cell>
        </row>
        <row r="1238">
          <cell r="B1238">
            <v>3816</v>
          </cell>
        </row>
        <row r="1239">
          <cell r="B1239">
            <v>3817</v>
          </cell>
        </row>
        <row r="1240">
          <cell r="B1240">
            <v>3818</v>
          </cell>
        </row>
        <row r="1241">
          <cell r="B1241">
            <v>3819</v>
          </cell>
        </row>
        <row r="1242">
          <cell r="B1242">
            <v>3820</v>
          </cell>
        </row>
        <row r="1243">
          <cell r="B1243">
            <v>3821</v>
          </cell>
        </row>
        <row r="1244">
          <cell r="B1244">
            <v>3822</v>
          </cell>
        </row>
        <row r="1245">
          <cell r="B1245">
            <v>3823</v>
          </cell>
        </row>
        <row r="1246">
          <cell r="B1246">
            <v>3824</v>
          </cell>
        </row>
        <row r="1247">
          <cell r="B1247">
            <v>3827</v>
          </cell>
        </row>
        <row r="1248">
          <cell r="B1248">
            <v>3828</v>
          </cell>
        </row>
        <row r="1249">
          <cell r="B1249">
            <v>3829</v>
          </cell>
        </row>
        <row r="1250">
          <cell r="B1250">
            <v>3830</v>
          </cell>
        </row>
        <row r="1251">
          <cell r="B1251">
            <v>3831</v>
          </cell>
        </row>
        <row r="1252">
          <cell r="B1252">
            <v>3832</v>
          </cell>
        </row>
        <row r="1253">
          <cell r="B1253">
            <v>3833</v>
          </cell>
        </row>
        <row r="1254">
          <cell r="B1254">
            <v>3834</v>
          </cell>
        </row>
        <row r="1255">
          <cell r="B1255">
            <v>3836</v>
          </cell>
        </row>
        <row r="1256">
          <cell r="B1256">
            <v>3837</v>
          </cell>
        </row>
        <row r="1257">
          <cell r="B1257">
            <v>3838</v>
          </cell>
        </row>
        <row r="1258">
          <cell r="B1258">
            <v>3839</v>
          </cell>
        </row>
        <row r="1259">
          <cell r="B1259">
            <v>3840</v>
          </cell>
        </row>
        <row r="1260">
          <cell r="B1260">
            <v>3841</v>
          </cell>
        </row>
        <row r="1261">
          <cell r="B1261">
            <v>3842</v>
          </cell>
        </row>
        <row r="1262">
          <cell r="B1262">
            <v>3843</v>
          </cell>
        </row>
        <row r="1263">
          <cell r="B1263">
            <v>3846</v>
          </cell>
        </row>
        <row r="1264">
          <cell r="B1264">
            <v>3847</v>
          </cell>
        </row>
        <row r="1265">
          <cell r="B1265">
            <v>3848</v>
          </cell>
        </row>
        <row r="1266">
          <cell r="B1266">
            <v>3849</v>
          </cell>
        </row>
        <row r="1267">
          <cell r="B1267">
            <v>3850</v>
          </cell>
        </row>
        <row r="1268">
          <cell r="B1268">
            <v>3851</v>
          </cell>
        </row>
        <row r="1269">
          <cell r="B1269">
            <v>3852</v>
          </cell>
        </row>
        <row r="1270">
          <cell r="B1270">
            <v>3853</v>
          </cell>
        </row>
        <row r="1271">
          <cell r="B1271">
            <v>3855</v>
          </cell>
        </row>
        <row r="1272">
          <cell r="B1272">
            <v>3856</v>
          </cell>
        </row>
        <row r="1273">
          <cell r="B1273">
            <v>3857</v>
          </cell>
        </row>
        <row r="1274">
          <cell r="B1274">
            <v>3858</v>
          </cell>
        </row>
        <row r="1275">
          <cell r="B1275">
            <v>3859</v>
          </cell>
        </row>
        <row r="1276">
          <cell r="B1276">
            <v>3860</v>
          </cell>
        </row>
        <row r="1277">
          <cell r="B1277">
            <v>3861</v>
          </cell>
        </row>
        <row r="1278">
          <cell r="B1278">
            <v>3862</v>
          </cell>
        </row>
        <row r="1279">
          <cell r="B1279">
            <v>3863</v>
          </cell>
        </row>
        <row r="1280">
          <cell r="B1280">
            <v>3864</v>
          </cell>
        </row>
        <row r="1281">
          <cell r="B1281">
            <v>3865</v>
          </cell>
        </row>
        <row r="1282">
          <cell r="B1282">
            <v>3866</v>
          </cell>
        </row>
        <row r="1283">
          <cell r="B1283">
            <v>3868</v>
          </cell>
        </row>
        <row r="1284">
          <cell r="B1284">
            <v>3870</v>
          </cell>
        </row>
        <row r="1285">
          <cell r="B1285">
            <v>3871</v>
          </cell>
        </row>
        <row r="1286">
          <cell r="B1286">
            <v>3872</v>
          </cell>
        </row>
        <row r="1287">
          <cell r="B1287">
            <v>3874</v>
          </cell>
        </row>
        <row r="1288">
          <cell r="B1288">
            <v>3875</v>
          </cell>
        </row>
        <row r="1289">
          <cell r="B1289">
            <v>3876</v>
          </cell>
        </row>
        <row r="1290">
          <cell r="B1290">
            <v>3877</v>
          </cell>
        </row>
        <row r="1291">
          <cell r="B1291">
            <v>3878</v>
          </cell>
        </row>
        <row r="1292">
          <cell r="B1292">
            <v>3879</v>
          </cell>
        </row>
        <row r="1293">
          <cell r="B1293">
            <v>3880</v>
          </cell>
        </row>
        <row r="1294">
          <cell r="B1294">
            <v>3881</v>
          </cell>
        </row>
        <row r="1295">
          <cell r="B1295">
            <v>3882</v>
          </cell>
        </row>
        <row r="1296">
          <cell r="B1296">
            <v>3883</v>
          </cell>
        </row>
        <row r="1297">
          <cell r="B1297">
            <v>3884</v>
          </cell>
        </row>
        <row r="1298">
          <cell r="B1298">
            <v>3885</v>
          </cell>
        </row>
        <row r="1299">
          <cell r="B1299">
            <v>3887</v>
          </cell>
        </row>
        <row r="1300">
          <cell r="B1300">
            <v>3888</v>
          </cell>
        </row>
        <row r="1301">
          <cell r="B1301">
            <v>3889</v>
          </cell>
        </row>
        <row r="1302">
          <cell r="B1302">
            <v>3891</v>
          </cell>
        </row>
        <row r="1303">
          <cell r="B1303">
            <v>3893</v>
          </cell>
        </row>
        <row r="1304">
          <cell r="B1304">
            <v>3894</v>
          </cell>
        </row>
        <row r="1305">
          <cell r="B1305">
            <v>3896</v>
          </cell>
        </row>
        <row r="1306">
          <cell r="B1306">
            <v>3897</v>
          </cell>
        </row>
        <row r="1307">
          <cell r="B1307">
            <v>3898</v>
          </cell>
        </row>
        <row r="1308">
          <cell r="B1308">
            <v>3899</v>
          </cell>
        </row>
        <row r="1309">
          <cell r="B1309">
            <v>3900</v>
          </cell>
        </row>
        <row r="1310">
          <cell r="B1310">
            <v>3901</v>
          </cell>
        </row>
        <row r="1311">
          <cell r="B1311">
            <v>3902</v>
          </cell>
        </row>
        <row r="1312">
          <cell r="B1312">
            <v>3903</v>
          </cell>
        </row>
        <row r="1313">
          <cell r="B1313">
            <v>3904</v>
          </cell>
        </row>
        <row r="1314">
          <cell r="B1314">
            <v>3905</v>
          </cell>
        </row>
        <row r="1315">
          <cell r="B1315">
            <v>3906</v>
          </cell>
        </row>
        <row r="1316">
          <cell r="B1316">
            <v>3907</v>
          </cell>
        </row>
        <row r="1317">
          <cell r="B1317">
            <v>3908</v>
          </cell>
        </row>
        <row r="1318">
          <cell r="B1318">
            <v>3909</v>
          </cell>
        </row>
        <row r="1319">
          <cell r="B1319">
            <v>3910</v>
          </cell>
        </row>
        <row r="1320">
          <cell r="B1320">
            <v>3911</v>
          </cell>
        </row>
        <row r="1321">
          <cell r="B1321">
            <v>3912</v>
          </cell>
        </row>
        <row r="1322">
          <cell r="B1322">
            <v>3913</v>
          </cell>
        </row>
        <row r="1323">
          <cell r="B1323">
            <v>3914</v>
          </cell>
        </row>
        <row r="1324">
          <cell r="B1324">
            <v>3915</v>
          </cell>
        </row>
        <row r="1325">
          <cell r="B1325">
            <v>3916</v>
          </cell>
        </row>
        <row r="1326">
          <cell r="B1326">
            <v>3917</v>
          </cell>
        </row>
        <row r="1327">
          <cell r="B1327">
            <v>3918</v>
          </cell>
        </row>
        <row r="1328">
          <cell r="B1328">
            <v>3919</v>
          </cell>
        </row>
        <row r="1329">
          <cell r="B1329">
            <v>3920</v>
          </cell>
        </row>
        <row r="1330">
          <cell r="B1330">
            <v>3921</v>
          </cell>
        </row>
        <row r="1331">
          <cell r="B1331">
            <v>3922</v>
          </cell>
        </row>
        <row r="1332">
          <cell r="B1332">
            <v>3923</v>
          </cell>
        </row>
        <row r="1333">
          <cell r="B1333">
            <v>3924</v>
          </cell>
        </row>
        <row r="1334">
          <cell r="B1334">
            <v>3925</v>
          </cell>
        </row>
        <row r="1335">
          <cell r="B1335">
            <v>3926</v>
          </cell>
        </row>
        <row r="1336">
          <cell r="B1336">
            <v>3927</v>
          </cell>
        </row>
        <row r="1337">
          <cell r="B1337">
            <v>3928</v>
          </cell>
        </row>
        <row r="1338">
          <cell r="B1338">
            <v>3929</v>
          </cell>
        </row>
        <row r="1339">
          <cell r="B1339">
            <v>3930</v>
          </cell>
        </row>
        <row r="1340">
          <cell r="B1340">
            <v>3932</v>
          </cell>
        </row>
        <row r="1341">
          <cell r="B1341">
            <v>3933</v>
          </cell>
        </row>
        <row r="1342">
          <cell r="B1342">
            <v>3934</v>
          </cell>
        </row>
        <row r="1343">
          <cell r="B1343">
            <v>3935</v>
          </cell>
        </row>
        <row r="1344">
          <cell r="B1344">
            <v>3936</v>
          </cell>
        </row>
        <row r="1345">
          <cell r="B1345">
            <v>3937</v>
          </cell>
        </row>
        <row r="1346">
          <cell r="B1346">
            <v>3938</v>
          </cell>
        </row>
        <row r="1347">
          <cell r="B1347">
            <v>3939</v>
          </cell>
        </row>
        <row r="1348">
          <cell r="B1348">
            <v>3940</v>
          </cell>
        </row>
        <row r="1349">
          <cell r="B1349">
            <v>3941</v>
          </cell>
        </row>
        <row r="1350">
          <cell r="B1350">
            <v>3942</v>
          </cell>
        </row>
        <row r="1351">
          <cell r="B1351">
            <v>3943</v>
          </cell>
        </row>
        <row r="1352">
          <cell r="B1352">
            <v>3944</v>
          </cell>
        </row>
        <row r="1353">
          <cell r="B1353">
            <v>3945</v>
          </cell>
        </row>
        <row r="1354">
          <cell r="B1354">
            <v>3947</v>
          </cell>
        </row>
        <row r="1355">
          <cell r="B1355">
            <v>3948</v>
          </cell>
        </row>
        <row r="1356">
          <cell r="B1356">
            <v>3950</v>
          </cell>
        </row>
        <row r="1357">
          <cell r="B1357">
            <v>3951</v>
          </cell>
        </row>
        <row r="1358">
          <cell r="B1358">
            <v>3952</v>
          </cell>
        </row>
        <row r="1359">
          <cell r="B1359">
            <v>3953</v>
          </cell>
        </row>
        <row r="1360">
          <cell r="B1360">
            <v>3954</v>
          </cell>
        </row>
        <row r="1361">
          <cell r="B1361">
            <v>3955</v>
          </cell>
        </row>
        <row r="1362">
          <cell r="B1362">
            <v>3956</v>
          </cell>
        </row>
        <row r="1363">
          <cell r="B1363">
            <v>3958</v>
          </cell>
        </row>
        <row r="1364">
          <cell r="B1364">
            <v>3960</v>
          </cell>
        </row>
        <row r="1365">
          <cell r="B1365">
            <v>3961</v>
          </cell>
        </row>
        <row r="1366">
          <cell r="B1366">
            <v>3962</v>
          </cell>
        </row>
        <row r="1367">
          <cell r="B1367">
            <v>3963</v>
          </cell>
        </row>
        <row r="1368">
          <cell r="B1368">
            <v>3964</v>
          </cell>
        </row>
        <row r="1369">
          <cell r="B1369">
            <v>3965</v>
          </cell>
        </row>
        <row r="1370">
          <cell r="B1370">
            <v>3966</v>
          </cell>
        </row>
        <row r="1371">
          <cell r="B1371">
            <v>3967</v>
          </cell>
        </row>
        <row r="1372">
          <cell r="B1372">
            <v>3968</v>
          </cell>
        </row>
        <row r="1373">
          <cell r="B1373">
            <v>3969</v>
          </cell>
        </row>
        <row r="1374">
          <cell r="B1374">
            <v>3971</v>
          </cell>
        </row>
        <row r="1375">
          <cell r="B1375">
            <v>3972</v>
          </cell>
        </row>
        <row r="1376">
          <cell r="B1376">
            <v>3973</v>
          </cell>
        </row>
        <row r="1377">
          <cell r="B1377">
            <v>3974</v>
          </cell>
        </row>
        <row r="1378">
          <cell r="B1378">
            <v>3976</v>
          </cell>
        </row>
        <row r="1379">
          <cell r="B1379">
            <v>3977</v>
          </cell>
        </row>
        <row r="1380">
          <cell r="B1380">
            <v>3978</v>
          </cell>
        </row>
        <row r="1381">
          <cell r="B1381">
            <v>3979</v>
          </cell>
        </row>
        <row r="1382">
          <cell r="B1382">
            <v>3980</v>
          </cell>
        </row>
        <row r="1383">
          <cell r="B1383">
            <v>3982</v>
          </cell>
        </row>
        <row r="1384">
          <cell r="B1384">
            <v>3984</v>
          </cell>
        </row>
        <row r="1385">
          <cell r="B1385">
            <v>3985</v>
          </cell>
        </row>
        <row r="1386">
          <cell r="B1386">
            <v>3986</v>
          </cell>
        </row>
        <row r="1387">
          <cell r="B1387">
            <v>3987</v>
          </cell>
        </row>
        <row r="1388">
          <cell r="B1388">
            <v>3988</v>
          </cell>
        </row>
        <row r="1389">
          <cell r="B1389">
            <v>3989</v>
          </cell>
        </row>
        <row r="1390">
          <cell r="B1390">
            <v>3990</v>
          </cell>
        </row>
        <row r="1391">
          <cell r="B1391">
            <v>3991</v>
          </cell>
        </row>
        <row r="1392">
          <cell r="B1392">
            <v>3992</v>
          </cell>
        </row>
        <row r="1393">
          <cell r="B1393">
            <v>3993</v>
          </cell>
        </row>
        <row r="1394">
          <cell r="B1394">
            <v>3994</v>
          </cell>
        </row>
        <row r="1395">
          <cell r="B1395">
            <v>3995</v>
          </cell>
        </row>
        <row r="1396">
          <cell r="B1396">
            <v>3997</v>
          </cell>
        </row>
        <row r="1397">
          <cell r="B1397">
            <v>3998</v>
          </cell>
        </row>
        <row r="1398">
          <cell r="B1398">
            <v>4025</v>
          </cell>
        </row>
        <row r="1399">
          <cell r="B1399">
            <v>4026</v>
          </cell>
        </row>
        <row r="1400">
          <cell r="B1400">
            <v>4027</v>
          </cell>
        </row>
        <row r="1401">
          <cell r="B1401">
            <v>4028</v>
          </cell>
        </row>
        <row r="1402">
          <cell r="B1402">
            <v>4029</v>
          </cell>
        </row>
        <row r="1403">
          <cell r="B1403">
            <v>4030</v>
          </cell>
        </row>
        <row r="1404">
          <cell r="B1404">
            <v>4031</v>
          </cell>
        </row>
        <row r="1405">
          <cell r="B1405">
            <v>4032</v>
          </cell>
        </row>
        <row r="1406">
          <cell r="B1406">
            <v>4033</v>
          </cell>
        </row>
        <row r="1407">
          <cell r="B1407">
            <v>4034</v>
          </cell>
        </row>
        <row r="1408">
          <cell r="B1408">
            <v>4036</v>
          </cell>
        </row>
        <row r="1409">
          <cell r="B1409">
            <v>4037</v>
          </cell>
        </row>
        <row r="1410">
          <cell r="B1410">
            <v>4038</v>
          </cell>
        </row>
        <row r="1411">
          <cell r="B1411">
            <v>4040</v>
          </cell>
        </row>
        <row r="1412">
          <cell r="B1412">
            <v>4041</v>
          </cell>
        </row>
        <row r="1413">
          <cell r="B1413">
            <v>4042</v>
          </cell>
        </row>
        <row r="1414">
          <cell r="B1414">
            <v>4043</v>
          </cell>
        </row>
        <row r="1415">
          <cell r="B1415">
            <v>4044</v>
          </cell>
        </row>
        <row r="1416">
          <cell r="B1416">
            <v>4045</v>
          </cell>
        </row>
        <row r="1417">
          <cell r="B1417">
            <v>4046</v>
          </cell>
        </row>
        <row r="1418">
          <cell r="B1418">
            <v>4047</v>
          </cell>
        </row>
        <row r="1419">
          <cell r="B1419">
            <v>4048</v>
          </cell>
        </row>
        <row r="1420">
          <cell r="B1420">
            <v>4049</v>
          </cell>
        </row>
        <row r="1421">
          <cell r="B1421">
            <v>4050</v>
          </cell>
        </row>
        <row r="1422">
          <cell r="B1422">
            <v>4051</v>
          </cell>
        </row>
        <row r="1423">
          <cell r="B1423">
            <v>4052</v>
          </cell>
        </row>
        <row r="1424">
          <cell r="B1424">
            <v>4053</v>
          </cell>
        </row>
        <row r="1425">
          <cell r="B1425">
            <v>4054</v>
          </cell>
        </row>
        <row r="1426">
          <cell r="B1426">
            <v>4055</v>
          </cell>
        </row>
        <row r="1427">
          <cell r="B1427">
            <v>4056</v>
          </cell>
        </row>
        <row r="1428">
          <cell r="B1428">
            <v>4057</v>
          </cell>
        </row>
        <row r="1429">
          <cell r="B1429">
            <v>4061</v>
          </cell>
        </row>
        <row r="1430">
          <cell r="B1430">
            <v>4062</v>
          </cell>
        </row>
        <row r="1431">
          <cell r="B1431">
            <v>4063</v>
          </cell>
        </row>
        <row r="1432">
          <cell r="B1432">
            <v>4064</v>
          </cell>
        </row>
        <row r="1433">
          <cell r="B1433">
            <v>4067</v>
          </cell>
        </row>
        <row r="1434">
          <cell r="B1434">
            <v>4068</v>
          </cell>
        </row>
        <row r="1435">
          <cell r="B1435">
            <v>4070</v>
          </cell>
        </row>
        <row r="1436">
          <cell r="B1436">
            <v>4072</v>
          </cell>
        </row>
        <row r="1437">
          <cell r="B1437">
            <v>4073</v>
          </cell>
        </row>
        <row r="1438">
          <cell r="B1438">
            <v>4076</v>
          </cell>
        </row>
        <row r="1439">
          <cell r="B1439">
            <v>4077</v>
          </cell>
        </row>
        <row r="1440">
          <cell r="B1440">
            <v>4078</v>
          </cell>
        </row>
        <row r="1441">
          <cell r="B1441">
            <v>4079</v>
          </cell>
        </row>
        <row r="1442">
          <cell r="B1442">
            <v>4080</v>
          </cell>
        </row>
        <row r="1443">
          <cell r="B1443">
            <v>4081</v>
          </cell>
        </row>
        <row r="1444">
          <cell r="B1444">
            <v>4082</v>
          </cell>
        </row>
        <row r="1445">
          <cell r="B1445">
            <v>4085</v>
          </cell>
        </row>
        <row r="1446">
          <cell r="B1446">
            <v>4086</v>
          </cell>
        </row>
        <row r="1447">
          <cell r="B1447">
            <v>4089</v>
          </cell>
        </row>
        <row r="1448">
          <cell r="B1448">
            <v>4090</v>
          </cell>
        </row>
        <row r="1449">
          <cell r="B1449">
            <v>4091</v>
          </cell>
        </row>
        <row r="1450">
          <cell r="B1450">
            <v>4092</v>
          </cell>
        </row>
        <row r="1451">
          <cell r="B1451">
            <v>4093</v>
          </cell>
        </row>
        <row r="1452">
          <cell r="B1452">
            <v>4094</v>
          </cell>
        </row>
        <row r="1453">
          <cell r="B1453">
            <v>4095</v>
          </cell>
        </row>
        <row r="1454">
          <cell r="B1454">
            <v>4096</v>
          </cell>
        </row>
        <row r="1455">
          <cell r="B1455">
            <v>4097</v>
          </cell>
        </row>
        <row r="1456">
          <cell r="B1456">
            <v>4099</v>
          </cell>
        </row>
        <row r="1457">
          <cell r="B1457">
            <v>4100</v>
          </cell>
        </row>
        <row r="1458">
          <cell r="B1458">
            <v>4102</v>
          </cell>
        </row>
        <row r="1459">
          <cell r="B1459">
            <v>4103</v>
          </cell>
        </row>
        <row r="1460">
          <cell r="B1460">
            <v>4105</v>
          </cell>
        </row>
        <row r="1461">
          <cell r="B1461">
            <v>4106</v>
          </cell>
        </row>
        <row r="1462">
          <cell r="B1462">
            <v>4108</v>
          </cell>
        </row>
        <row r="1463">
          <cell r="B1463">
            <v>4109</v>
          </cell>
        </row>
        <row r="1464">
          <cell r="B1464">
            <v>4111</v>
          </cell>
        </row>
        <row r="1465">
          <cell r="B1465">
            <v>4112</v>
          </cell>
        </row>
        <row r="1466">
          <cell r="B1466">
            <v>4113</v>
          </cell>
        </row>
        <row r="1467">
          <cell r="B1467">
            <v>4115</v>
          </cell>
        </row>
        <row r="1468">
          <cell r="B1468">
            <v>4116</v>
          </cell>
        </row>
        <row r="1469">
          <cell r="B1469">
            <v>4117</v>
          </cell>
        </row>
        <row r="1470">
          <cell r="B1470">
            <v>4119</v>
          </cell>
        </row>
        <row r="1471">
          <cell r="B1471">
            <v>4120</v>
          </cell>
        </row>
        <row r="1472">
          <cell r="B1472">
            <v>4121</v>
          </cell>
        </row>
        <row r="1473">
          <cell r="B1473">
            <v>4122</v>
          </cell>
        </row>
        <row r="1474">
          <cell r="B1474">
            <v>4128</v>
          </cell>
        </row>
        <row r="1475">
          <cell r="B1475">
            <v>4131</v>
          </cell>
        </row>
        <row r="1476">
          <cell r="B1476">
            <v>4132</v>
          </cell>
        </row>
        <row r="1477">
          <cell r="B1477">
            <v>4133</v>
          </cell>
        </row>
        <row r="1478">
          <cell r="B1478">
            <v>4134</v>
          </cell>
        </row>
        <row r="1479">
          <cell r="B1479">
            <v>4135</v>
          </cell>
        </row>
        <row r="1480">
          <cell r="B1480">
            <v>4136</v>
          </cell>
        </row>
        <row r="1481">
          <cell r="B1481">
            <v>4138</v>
          </cell>
        </row>
        <row r="1482">
          <cell r="B1482">
            <v>4139</v>
          </cell>
        </row>
        <row r="1483">
          <cell r="B1483">
            <v>4140</v>
          </cell>
        </row>
        <row r="1484">
          <cell r="B1484">
            <v>4141</v>
          </cell>
        </row>
        <row r="1485">
          <cell r="B1485">
            <v>4142</v>
          </cell>
        </row>
        <row r="1486">
          <cell r="B1486">
            <v>4143</v>
          </cell>
        </row>
        <row r="1487">
          <cell r="B1487">
            <v>4144</v>
          </cell>
        </row>
        <row r="1488">
          <cell r="B1488">
            <v>4145</v>
          </cell>
        </row>
        <row r="1489">
          <cell r="B1489">
            <v>4146</v>
          </cell>
        </row>
        <row r="1490">
          <cell r="B1490">
            <v>4147</v>
          </cell>
        </row>
        <row r="1491">
          <cell r="B1491">
            <v>4148</v>
          </cell>
        </row>
        <row r="1492">
          <cell r="B1492">
            <v>4151</v>
          </cell>
        </row>
        <row r="1493">
          <cell r="B1493">
            <v>4152</v>
          </cell>
        </row>
        <row r="1494">
          <cell r="B1494">
            <v>4153</v>
          </cell>
        </row>
        <row r="1495">
          <cell r="B1495">
            <v>4154</v>
          </cell>
        </row>
        <row r="1496">
          <cell r="B1496">
            <v>4155</v>
          </cell>
        </row>
        <row r="1497">
          <cell r="B1497">
            <v>4156</v>
          </cell>
        </row>
        <row r="1498">
          <cell r="B1498">
            <v>4157</v>
          </cell>
        </row>
        <row r="1499">
          <cell r="B1499">
            <v>4159</v>
          </cell>
        </row>
        <row r="1500">
          <cell r="B1500">
            <v>4162</v>
          </cell>
        </row>
        <row r="1501">
          <cell r="B1501">
            <v>4163</v>
          </cell>
        </row>
        <row r="1502">
          <cell r="B1502">
            <v>4164</v>
          </cell>
        </row>
        <row r="1503">
          <cell r="B1503">
            <v>4165</v>
          </cell>
        </row>
        <row r="1504">
          <cell r="B1504">
            <v>4167</v>
          </cell>
        </row>
        <row r="1505">
          <cell r="B1505">
            <v>4168</v>
          </cell>
        </row>
        <row r="1506">
          <cell r="B1506">
            <v>4169</v>
          </cell>
        </row>
        <row r="1507">
          <cell r="B1507">
            <v>4170</v>
          </cell>
        </row>
        <row r="1508">
          <cell r="B1508">
            <v>4171</v>
          </cell>
        </row>
        <row r="1509">
          <cell r="B1509">
            <v>4172</v>
          </cell>
        </row>
        <row r="1510">
          <cell r="B1510">
            <v>4173</v>
          </cell>
        </row>
        <row r="1511">
          <cell r="B1511">
            <v>4174</v>
          </cell>
        </row>
        <row r="1512">
          <cell r="B1512">
            <v>4175</v>
          </cell>
        </row>
        <row r="1513">
          <cell r="B1513">
            <v>4176</v>
          </cell>
        </row>
        <row r="1514">
          <cell r="B1514">
            <v>4177</v>
          </cell>
        </row>
        <row r="1515">
          <cell r="B1515">
            <v>4178</v>
          </cell>
        </row>
        <row r="1516">
          <cell r="B1516">
            <v>4179</v>
          </cell>
        </row>
        <row r="1517">
          <cell r="B1517">
            <v>4180</v>
          </cell>
        </row>
        <row r="1518">
          <cell r="B1518">
            <v>4181</v>
          </cell>
        </row>
        <row r="1519">
          <cell r="B1519">
            <v>4183</v>
          </cell>
        </row>
        <row r="1520">
          <cell r="B1520">
            <v>4185</v>
          </cell>
        </row>
        <row r="1521">
          <cell r="B1521">
            <v>4186</v>
          </cell>
        </row>
        <row r="1522">
          <cell r="B1522">
            <v>4187</v>
          </cell>
        </row>
        <row r="1523">
          <cell r="B1523">
            <v>4188</v>
          </cell>
        </row>
        <row r="1524">
          <cell r="B1524">
            <v>4189</v>
          </cell>
        </row>
        <row r="1525">
          <cell r="B1525">
            <v>4190</v>
          </cell>
        </row>
        <row r="1526">
          <cell r="B1526">
            <v>4191</v>
          </cell>
        </row>
        <row r="1527">
          <cell r="B1527">
            <v>4192</v>
          </cell>
        </row>
        <row r="1528">
          <cell r="B1528">
            <v>4193</v>
          </cell>
        </row>
        <row r="1529">
          <cell r="B1529">
            <v>4194</v>
          </cell>
        </row>
        <row r="1530">
          <cell r="B1530">
            <v>4195</v>
          </cell>
        </row>
        <row r="1531">
          <cell r="B1531">
            <v>4196</v>
          </cell>
        </row>
        <row r="1532">
          <cell r="B1532">
            <v>4197</v>
          </cell>
        </row>
        <row r="1533">
          <cell r="B1533">
            <v>4199</v>
          </cell>
        </row>
        <row r="1534">
          <cell r="B1534">
            <v>4200</v>
          </cell>
        </row>
        <row r="1535">
          <cell r="B1535">
            <v>4201</v>
          </cell>
        </row>
        <row r="1536">
          <cell r="B1536">
            <v>4202</v>
          </cell>
        </row>
        <row r="1537">
          <cell r="B1537">
            <v>4203</v>
          </cell>
        </row>
        <row r="1538">
          <cell r="B1538">
            <v>4204</v>
          </cell>
        </row>
        <row r="1539">
          <cell r="B1539">
            <v>4205</v>
          </cell>
        </row>
        <row r="1540">
          <cell r="B1540">
            <v>4206</v>
          </cell>
        </row>
        <row r="1541">
          <cell r="B1541">
            <v>4207</v>
          </cell>
        </row>
        <row r="1542">
          <cell r="B1542">
            <v>4208</v>
          </cell>
        </row>
        <row r="1543">
          <cell r="B1543">
            <v>4210</v>
          </cell>
        </row>
        <row r="1544">
          <cell r="B1544">
            <v>4211</v>
          </cell>
        </row>
        <row r="1545">
          <cell r="B1545">
            <v>4214</v>
          </cell>
        </row>
        <row r="1546">
          <cell r="B1546">
            <v>4215</v>
          </cell>
        </row>
        <row r="1547">
          <cell r="B1547">
            <v>4217</v>
          </cell>
        </row>
        <row r="1548">
          <cell r="B1548">
            <v>4218</v>
          </cell>
        </row>
        <row r="1549">
          <cell r="B1549">
            <v>4219</v>
          </cell>
        </row>
        <row r="1550">
          <cell r="B1550">
            <v>4251</v>
          </cell>
        </row>
        <row r="1551">
          <cell r="B1551">
            <v>4252</v>
          </cell>
        </row>
        <row r="1552">
          <cell r="B1552">
            <v>4253</v>
          </cell>
        </row>
        <row r="1553">
          <cell r="B1553">
            <v>4254</v>
          </cell>
        </row>
        <row r="1554">
          <cell r="B1554">
            <v>4255</v>
          </cell>
        </row>
        <row r="1555">
          <cell r="B1555">
            <v>4256</v>
          </cell>
        </row>
        <row r="1556">
          <cell r="B1556">
            <v>4257</v>
          </cell>
        </row>
        <row r="1557">
          <cell r="B1557">
            <v>4258</v>
          </cell>
        </row>
        <row r="1558">
          <cell r="B1558">
            <v>4259</v>
          </cell>
        </row>
        <row r="1559">
          <cell r="B1559">
            <v>4260</v>
          </cell>
        </row>
        <row r="1560">
          <cell r="B1560">
            <v>4262</v>
          </cell>
        </row>
        <row r="1561">
          <cell r="B1561">
            <v>4264</v>
          </cell>
        </row>
        <row r="1562">
          <cell r="B1562">
            <v>4265</v>
          </cell>
        </row>
        <row r="1563">
          <cell r="B1563">
            <v>4266</v>
          </cell>
        </row>
        <row r="1564">
          <cell r="B1564">
            <v>4267</v>
          </cell>
        </row>
        <row r="1565">
          <cell r="B1565">
            <v>4268</v>
          </cell>
        </row>
        <row r="1566">
          <cell r="B1566">
            <v>4269</v>
          </cell>
        </row>
        <row r="1567">
          <cell r="B1567">
            <v>4270</v>
          </cell>
        </row>
        <row r="1568">
          <cell r="B1568">
            <v>4271</v>
          </cell>
        </row>
        <row r="1569">
          <cell r="B1569">
            <v>4272</v>
          </cell>
        </row>
        <row r="1570">
          <cell r="B1570">
            <v>4278</v>
          </cell>
        </row>
        <row r="1571">
          <cell r="B1571">
            <v>4277</v>
          </cell>
        </row>
        <row r="1572">
          <cell r="B1572">
            <v>4279</v>
          </cell>
        </row>
        <row r="1573">
          <cell r="B1573">
            <v>4280</v>
          </cell>
        </row>
        <row r="1574">
          <cell r="B1574">
            <v>4281</v>
          </cell>
        </row>
        <row r="1575">
          <cell r="B1575">
            <v>4284</v>
          </cell>
        </row>
        <row r="1576">
          <cell r="B1576">
            <v>4285</v>
          </cell>
        </row>
        <row r="1577">
          <cell r="B1577">
            <v>4286</v>
          </cell>
        </row>
        <row r="1578">
          <cell r="B1578">
            <v>4287</v>
          </cell>
        </row>
        <row r="1579">
          <cell r="B1579">
            <v>4288</v>
          </cell>
        </row>
        <row r="1580">
          <cell r="B1580">
            <v>4289</v>
          </cell>
        </row>
        <row r="1581">
          <cell r="B1581">
            <v>4290</v>
          </cell>
        </row>
        <row r="1582">
          <cell r="B1582">
            <v>4291</v>
          </cell>
        </row>
        <row r="1583">
          <cell r="B1583">
            <v>4293</v>
          </cell>
        </row>
        <row r="1584">
          <cell r="B1584">
            <v>4294</v>
          </cell>
        </row>
        <row r="1585">
          <cell r="B1585">
            <v>4295</v>
          </cell>
        </row>
        <row r="1586">
          <cell r="B1586">
            <v>4296</v>
          </cell>
        </row>
        <row r="1587">
          <cell r="B1587">
            <v>4297</v>
          </cell>
        </row>
        <row r="1588">
          <cell r="B1588">
            <v>4299</v>
          </cell>
        </row>
        <row r="1589">
          <cell r="B1589">
            <v>4300</v>
          </cell>
        </row>
        <row r="1590">
          <cell r="B1590">
            <v>4301</v>
          </cell>
        </row>
        <row r="1591">
          <cell r="B1591">
            <v>4302</v>
          </cell>
        </row>
        <row r="1592">
          <cell r="B1592">
            <v>4303</v>
          </cell>
        </row>
        <row r="1593">
          <cell r="B1593">
            <v>4304</v>
          </cell>
        </row>
        <row r="1594">
          <cell r="B1594">
            <v>4305</v>
          </cell>
        </row>
        <row r="1595">
          <cell r="B1595">
            <v>4306</v>
          </cell>
        </row>
        <row r="1596">
          <cell r="B1596">
            <v>4307</v>
          </cell>
        </row>
        <row r="1597">
          <cell r="B1597">
            <v>4308</v>
          </cell>
        </row>
        <row r="1598">
          <cell r="B1598">
            <v>4309</v>
          </cell>
        </row>
        <row r="1599">
          <cell r="B1599">
            <v>4310</v>
          </cell>
        </row>
        <row r="1600">
          <cell r="B1600">
            <v>4311</v>
          </cell>
        </row>
        <row r="1601">
          <cell r="B1601">
            <v>4312</v>
          </cell>
        </row>
        <row r="1602">
          <cell r="B1602">
            <v>4313</v>
          </cell>
        </row>
        <row r="1603">
          <cell r="B1603">
            <v>4314</v>
          </cell>
        </row>
        <row r="1604">
          <cell r="B1604">
            <v>4315</v>
          </cell>
        </row>
        <row r="1605">
          <cell r="B1605">
            <v>4316</v>
          </cell>
        </row>
        <row r="1606">
          <cell r="B1606">
            <v>4317</v>
          </cell>
        </row>
        <row r="1607">
          <cell r="B1607">
            <v>4318</v>
          </cell>
        </row>
        <row r="1608">
          <cell r="B1608">
            <v>4319</v>
          </cell>
        </row>
        <row r="1609">
          <cell r="B1609">
            <v>4320</v>
          </cell>
        </row>
        <row r="1610">
          <cell r="B1610">
            <v>4321</v>
          </cell>
        </row>
        <row r="1611">
          <cell r="B1611">
            <v>4322</v>
          </cell>
        </row>
        <row r="1612">
          <cell r="B1612">
            <v>4323</v>
          </cell>
        </row>
        <row r="1613">
          <cell r="B1613">
            <v>4324</v>
          </cell>
        </row>
        <row r="1614">
          <cell r="B1614">
            <v>4325</v>
          </cell>
        </row>
        <row r="1615">
          <cell r="B1615">
            <v>4326</v>
          </cell>
        </row>
        <row r="1616">
          <cell r="B1616">
            <v>4327</v>
          </cell>
        </row>
        <row r="1617">
          <cell r="B1617">
            <v>4328</v>
          </cell>
        </row>
        <row r="1618">
          <cell r="B1618">
            <v>4329</v>
          </cell>
        </row>
        <row r="1619">
          <cell r="B1619">
            <v>4330</v>
          </cell>
        </row>
        <row r="1620">
          <cell r="B1620">
            <v>4331</v>
          </cell>
        </row>
        <row r="1621">
          <cell r="B1621">
            <v>4332</v>
          </cell>
        </row>
        <row r="1622">
          <cell r="B1622">
            <v>4334</v>
          </cell>
        </row>
        <row r="1623">
          <cell r="B1623">
            <v>4335</v>
          </cell>
        </row>
        <row r="1624">
          <cell r="B1624">
            <v>4336</v>
          </cell>
        </row>
        <row r="1625">
          <cell r="B1625">
            <v>4337</v>
          </cell>
        </row>
        <row r="1626">
          <cell r="B1626">
            <v>4338</v>
          </cell>
        </row>
        <row r="1627">
          <cell r="B1627">
            <v>4339</v>
          </cell>
        </row>
        <row r="1628">
          <cell r="B1628">
            <v>4341</v>
          </cell>
        </row>
        <row r="1629">
          <cell r="B1629">
            <v>4342</v>
          </cell>
        </row>
        <row r="1630">
          <cell r="B1630">
            <v>4346</v>
          </cell>
        </row>
        <row r="1631">
          <cell r="B1631">
            <v>4347</v>
          </cell>
        </row>
        <row r="1632">
          <cell r="B1632">
            <v>4348</v>
          </cell>
        </row>
        <row r="1633">
          <cell r="B1633">
            <v>4349</v>
          </cell>
        </row>
        <row r="1634">
          <cell r="B1634">
            <v>4350</v>
          </cell>
        </row>
        <row r="1635">
          <cell r="B1635">
            <v>4351</v>
          </cell>
        </row>
        <row r="1636">
          <cell r="B1636">
            <v>4352</v>
          </cell>
        </row>
        <row r="1637">
          <cell r="B1637">
            <v>4353</v>
          </cell>
        </row>
        <row r="1638">
          <cell r="B1638">
            <v>4354</v>
          </cell>
        </row>
        <row r="1639">
          <cell r="B1639">
            <v>4355</v>
          </cell>
        </row>
        <row r="1640">
          <cell r="B1640">
            <v>4356</v>
          </cell>
        </row>
        <row r="1641">
          <cell r="B1641">
            <v>4357</v>
          </cell>
        </row>
        <row r="1642">
          <cell r="B1642">
            <v>4358</v>
          </cell>
        </row>
        <row r="1643">
          <cell r="B1643">
            <v>4359</v>
          </cell>
        </row>
        <row r="1644">
          <cell r="B1644">
            <v>4360</v>
          </cell>
        </row>
        <row r="1645">
          <cell r="B1645">
            <v>4363</v>
          </cell>
        </row>
        <row r="1646">
          <cell r="B1646">
            <v>4364</v>
          </cell>
        </row>
        <row r="1647">
          <cell r="B1647">
            <v>4365</v>
          </cell>
        </row>
        <row r="1648">
          <cell r="B1648">
            <v>4366</v>
          </cell>
        </row>
        <row r="1649">
          <cell r="B1649">
            <v>4367</v>
          </cell>
        </row>
        <row r="1650">
          <cell r="B1650">
            <v>4368</v>
          </cell>
        </row>
        <row r="1651">
          <cell r="B1651">
            <v>4369</v>
          </cell>
        </row>
        <row r="1652">
          <cell r="B1652">
            <v>4370</v>
          </cell>
        </row>
        <row r="1653">
          <cell r="B1653">
            <v>4371</v>
          </cell>
        </row>
        <row r="1654">
          <cell r="B1654">
            <v>4372</v>
          </cell>
        </row>
        <row r="1655">
          <cell r="B1655">
            <v>4373</v>
          </cell>
        </row>
        <row r="1656">
          <cell r="B1656">
            <v>4374</v>
          </cell>
        </row>
        <row r="1657">
          <cell r="B1657">
            <v>4375</v>
          </cell>
        </row>
        <row r="1658">
          <cell r="B1658">
            <v>4376</v>
          </cell>
        </row>
        <row r="1659">
          <cell r="B1659">
            <v>4377</v>
          </cell>
        </row>
        <row r="1660">
          <cell r="B1660">
            <v>4379</v>
          </cell>
        </row>
        <row r="1661">
          <cell r="B1661">
            <v>4380</v>
          </cell>
        </row>
        <row r="1662">
          <cell r="B1662">
            <v>4381</v>
          </cell>
        </row>
        <row r="1663">
          <cell r="B1663">
            <v>4382</v>
          </cell>
        </row>
        <row r="1664">
          <cell r="B1664">
            <v>4383</v>
          </cell>
        </row>
        <row r="1665">
          <cell r="B1665">
            <v>4384</v>
          </cell>
        </row>
        <row r="1666">
          <cell r="B1666">
            <v>4385</v>
          </cell>
        </row>
        <row r="1667">
          <cell r="B1667">
            <v>4387</v>
          </cell>
        </row>
        <row r="1668">
          <cell r="B1668">
            <v>4388</v>
          </cell>
        </row>
        <row r="1669">
          <cell r="B1669">
            <v>4389</v>
          </cell>
        </row>
        <row r="1670">
          <cell r="B1670">
            <v>4390</v>
          </cell>
        </row>
        <row r="1671">
          <cell r="B1671">
            <v>4391</v>
          </cell>
        </row>
        <row r="1672">
          <cell r="B1672">
            <v>4392</v>
          </cell>
        </row>
        <row r="1673">
          <cell r="B1673">
            <v>4394</v>
          </cell>
        </row>
        <row r="1674">
          <cell r="B1674">
            <v>4395</v>
          </cell>
        </row>
        <row r="1675">
          <cell r="B1675">
            <v>4396</v>
          </cell>
        </row>
        <row r="1676">
          <cell r="B1676">
            <v>4397</v>
          </cell>
        </row>
        <row r="1677">
          <cell r="B1677">
            <v>4398</v>
          </cell>
        </row>
        <row r="1678">
          <cell r="B1678">
            <v>4399</v>
          </cell>
        </row>
        <row r="1679">
          <cell r="B1679">
            <v>4400</v>
          </cell>
        </row>
        <row r="1680">
          <cell r="B1680">
            <v>4401</v>
          </cell>
        </row>
        <row r="1681">
          <cell r="B1681">
            <v>4402</v>
          </cell>
        </row>
        <row r="1682">
          <cell r="B1682">
            <v>4403</v>
          </cell>
        </row>
        <row r="1683">
          <cell r="B1683">
            <v>4404</v>
          </cell>
        </row>
        <row r="1684">
          <cell r="B1684">
            <v>4408</v>
          </cell>
        </row>
        <row r="1685">
          <cell r="B1685">
            <v>4409</v>
          </cell>
        </row>
        <row r="1686">
          <cell r="B1686">
            <v>4410</v>
          </cell>
        </row>
        <row r="1687">
          <cell r="B1687">
            <v>4411</v>
          </cell>
        </row>
        <row r="1688">
          <cell r="B1688">
            <v>4412</v>
          </cell>
        </row>
        <row r="1689">
          <cell r="B1689">
            <v>4413</v>
          </cell>
        </row>
        <row r="1690">
          <cell r="B1690">
            <v>4414</v>
          </cell>
        </row>
        <row r="1691">
          <cell r="B1691">
            <v>4415</v>
          </cell>
        </row>
        <row r="1692">
          <cell r="B1692">
            <v>4417</v>
          </cell>
        </row>
        <row r="1693">
          <cell r="B1693">
            <v>4418</v>
          </cell>
        </row>
        <row r="1694">
          <cell r="B1694">
            <v>4419</v>
          </cell>
        </row>
        <row r="1695">
          <cell r="B1695">
            <v>4420</v>
          </cell>
        </row>
        <row r="1696">
          <cell r="B1696">
            <v>4421</v>
          </cell>
        </row>
        <row r="1697">
          <cell r="B1697">
            <v>4423</v>
          </cell>
        </row>
        <row r="1698">
          <cell r="B1698">
            <v>4424</v>
          </cell>
        </row>
        <row r="1699">
          <cell r="B1699">
            <v>4425</v>
          </cell>
        </row>
        <row r="1700">
          <cell r="B1700">
            <v>4427</v>
          </cell>
        </row>
        <row r="1701">
          <cell r="B1701">
            <v>4428</v>
          </cell>
        </row>
        <row r="1702">
          <cell r="B1702">
            <v>4430</v>
          </cell>
        </row>
        <row r="1703">
          <cell r="B1703">
            <v>4431</v>
          </cell>
        </row>
        <row r="1704">
          <cell r="B1704">
            <v>4433</v>
          </cell>
        </row>
        <row r="1705">
          <cell r="B1705">
            <v>5001</v>
          </cell>
        </row>
        <row r="1706">
          <cell r="B1706">
            <v>5002</v>
          </cell>
        </row>
        <row r="1707">
          <cell r="B1707">
            <v>5013</v>
          </cell>
        </row>
        <row r="1708">
          <cell r="B1708">
            <v>5023</v>
          </cell>
        </row>
        <row r="1709">
          <cell r="B1709">
            <v>5032</v>
          </cell>
        </row>
        <row r="1710">
          <cell r="B1710">
            <v>5059</v>
          </cell>
        </row>
        <row r="1711">
          <cell r="B1711">
            <v>5114</v>
          </cell>
        </row>
        <row r="1712">
          <cell r="B1712">
            <v>5130</v>
          </cell>
        </row>
        <row r="1713">
          <cell r="B1713">
            <v>5142</v>
          </cell>
        </row>
        <row r="1714">
          <cell r="B1714">
            <v>5162</v>
          </cell>
        </row>
        <row r="1715">
          <cell r="B1715">
            <v>5164</v>
          </cell>
        </row>
        <row r="1716">
          <cell r="B1716">
            <v>7015</v>
          </cell>
        </row>
        <row r="1717">
          <cell r="B1717">
            <v>7027</v>
          </cell>
        </row>
        <row r="1718">
          <cell r="B1718">
            <v>7028</v>
          </cell>
        </row>
        <row r="1719">
          <cell r="B1719">
            <v>7043</v>
          </cell>
        </row>
        <row r="1720">
          <cell r="B1720">
            <v>7065</v>
          </cell>
        </row>
        <row r="1721">
          <cell r="B1721">
            <v>7106</v>
          </cell>
        </row>
        <row r="1722">
          <cell r="B1722">
            <v>7110</v>
          </cell>
        </row>
        <row r="1723">
          <cell r="B1723">
            <v>7566</v>
          </cell>
        </row>
        <row r="1724">
          <cell r="B1724">
            <v>7597</v>
          </cell>
        </row>
        <row r="1725">
          <cell r="B1725">
            <v>7602</v>
          </cell>
        </row>
        <row r="1726">
          <cell r="B1726">
            <v>7604</v>
          </cell>
        </row>
        <row r="1727">
          <cell r="B1727">
            <v>7636</v>
          </cell>
        </row>
        <row r="1728">
          <cell r="B1728">
            <v>8095</v>
          </cell>
        </row>
        <row r="1729">
          <cell r="B1729">
            <v>8108</v>
          </cell>
        </row>
        <row r="1730">
          <cell r="B1730">
            <v>8110</v>
          </cell>
        </row>
        <row r="1731">
          <cell r="B1731">
            <v>8113</v>
          </cell>
        </row>
        <row r="1732">
          <cell r="B1732">
            <v>8504</v>
          </cell>
        </row>
        <row r="1733">
          <cell r="B1733">
            <v>8520</v>
          </cell>
        </row>
        <row r="1734">
          <cell r="B1734">
            <v>9004</v>
          </cell>
        </row>
        <row r="1735">
          <cell r="B1735">
            <v>9012</v>
          </cell>
        </row>
        <row r="1736">
          <cell r="B1736">
            <v>9013</v>
          </cell>
        </row>
        <row r="1737">
          <cell r="B1737">
            <v>9017</v>
          </cell>
        </row>
        <row r="1738">
          <cell r="B1738">
            <v>9020</v>
          </cell>
        </row>
        <row r="1739">
          <cell r="B1739">
            <v>9022</v>
          </cell>
        </row>
        <row r="1740">
          <cell r="B1740">
            <v>9024</v>
          </cell>
        </row>
        <row r="1741">
          <cell r="B1741">
            <v>9026</v>
          </cell>
        </row>
        <row r="1742">
          <cell r="B1742">
            <v>9031</v>
          </cell>
        </row>
        <row r="1743">
          <cell r="B1743">
            <v>9035</v>
          </cell>
        </row>
        <row r="1744">
          <cell r="B1744">
            <v>9038</v>
          </cell>
        </row>
        <row r="1745">
          <cell r="B1745">
            <v>9042</v>
          </cell>
        </row>
        <row r="1746">
          <cell r="B1746">
            <v>9044</v>
          </cell>
        </row>
        <row r="1747">
          <cell r="B1747">
            <v>9045</v>
          </cell>
        </row>
        <row r="1748">
          <cell r="B1748">
            <v>9046</v>
          </cell>
        </row>
        <row r="1749">
          <cell r="B1749">
            <v>9048</v>
          </cell>
        </row>
        <row r="1750">
          <cell r="B1750">
            <v>9053</v>
          </cell>
        </row>
        <row r="1751">
          <cell r="B1751">
            <v>9054</v>
          </cell>
        </row>
        <row r="1752">
          <cell r="B1752">
            <v>9055</v>
          </cell>
        </row>
        <row r="1753">
          <cell r="B1753">
            <v>9056</v>
          </cell>
        </row>
        <row r="1754">
          <cell r="B1754">
            <v>9058</v>
          </cell>
        </row>
        <row r="1755">
          <cell r="B1755">
            <v>9059</v>
          </cell>
        </row>
        <row r="1756">
          <cell r="B1756">
            <v>9060</v>
          </cell>
        </row>
        <row r="1757">
          <cell r="B1757">
            <v>9061</v>
          </cell>
        </row>
        <row r="1758">
          <cell r="B1758">
            <v>9064</v>
          </cell>
        </row>
        <row r="1759">
          <cell r="B1759">
            <v>9065</v>
          </cell>
        </row>
        <row r="1760">
          <cell r="B1760">
            <v>9066</v>
          </cell>
        </row>
        <row r="1761">
          <cell r="B1761">
            <v>9068</v>
          </cell>
        </row>
        <row r="1762">
          <cell r="B1762">
            <v>9071</v>
          </cell>
        </row>
        <row r="1763">
          <cell r="B1763">
            <v>9072</v>
          </cell>
        </row>
        <row r="1764">
          <cell r="B1764">
            <v>9074</v>
          </cell>
        </row>
        <row r="1765">
          <cell r="B1765">
            <v>9080</v>
          </cell>
        </row>
        <row r="1766">
          <cell r="B1766">
            <v>9081</v>
          </cell>
        </row>
        <row r="1767">
          <cell r="B1767">
            <v>9082</v>
          </cell>
        </row>
        <row r="1768">
          <cell r="B1768">
            <v>9083</v>
          </cell>
        </row>
        <row r="1769">
          <cell r="B1769">
            <v>9084</v>
          </cell>
        </row>
        <row r="1770">
          <cell r="B1770">
            <v>9085</v>
          </cell>
        </row>
        <row r="1771">
          <cell r="B1771">
            <v>9086</v>
          </cell>
        </row>
        <row r="1772">
          <cell r="B1772">
            <v>9091</v>
          </cell>
        </row>
        <row r="1773">
          <cell r="B1773">
            <v>9097</v>
          </cell>
        </row>
        <row r="1774">
          <cell r="B1774">
            <v>9099</v>
          </cell>
        </row>
        <row r="1775">
          <cell r="B1775">
            <v>9101</v>
          </cell>
        </row>
        <row r="1776">
          <cell r="B1776">
            <v>9102</v>
          </cell>
        </row>
        <row r="1777">
          <cell r="B1777">
            <v>9103</v>
          </cell>
        </row>
        <row r="1778">
          <cell r="B1778">
            <v>9107</v>
          </cell>
        </row>
        <row r="1779">
          <cell r="B1779">
            <v>9109</v>
          </cell>
        </row>
        <row r="1780">
          <cell r="B1780">
            <v>9112</v>
          </cell>
        </row>
        <row r="1781">
          <cell r="B1781">
            <v>9113</v>
          </cell>
        </row>
        <row r="1782">
          <cell r="B1782">
            <v>9114</v>
          </cell>
        </row>
        <row r="1783">
          <cell r="B1783">
            <v>9119</v>
          </cell>
        </row>
        <row r="1784">
          <cell r="B1784">
            <v>9121</v>
          </cell>
        </row>
        <row r="1785">
          <cell r="B1785">
            <v>9122</v>
          </cell>
        </row>
        <row r="1786">
          <cell r="B1786">
            <v>9123</v>
          </cell>
        </row>
        <row r="1787">
          <cell r="B1787">
            <v>9126</v>
          </cell>
        </row>
        <row r="1788">
          <cell r="B1788">
            <v>9128</v>
          </cell>
        </row>
        <row r="1789">
          <cell r="B1789">
            <v>9129</v>
          </cell>
        </row>
        <row r="1790">
          <cell r="B1790">
            <v>9131</v>
          </cell>
        </row>
        <row r="1791">
          <cell r="B1791">
            <v>9132</v>
          </cell>
        </row>
        <row r="1792">
          <cell r="B1792">
            <v>9133</v>
          </cell>
        </row>
        <row r="1793">
          <cell r="B1793">
            <v>9134</v>
          </cell>
        </row>
        <row r="1794">
          <cell r="B1794">
            <v>9138</v>
          </cell>
        </row>
        <row r="1795">
          <cell r="B1795">
            <v>9139</v>
          </cell>
        </row>
        <row r="1796">
          <cell r="B1796">
            <v>9140</v>
          </cell>
        </row>
        <row r="1797">
          <cell r="B1797">
            <v>9141</v>
          </cell>
        </row>
        <row r="1798">
          <cell r="B1798">
            <v>9144</v>
          </cell>
        </row>
        <row r="1799">
          <cell r="B1799">
            <v>9147</v>
          </cell>
        </row>
        <row r="1800">
          <cell r="B1800">
            <v>9148</v>
          </cell>
        </row>
        <row r="1801">
          <cell r="B1801">
            <v>9149</v>
          </cell>
        </row>
        <row r="1802">
          <cell r="B1802">
            <v>9150</v>
          </cell>
        </row>
        <row r="1803">
          <cell r="B1803">
            <v>9153</v>
          </cell>
        </row>
        <row r="1804">
          <cell r="B1804">
            <v>9154</v>
          </cell>
        </row>
        <row r="1805">
          <cell r="B1805">
            <v>9158</v>
          </cell>
        </row>
        <row r="1806">
          <cell r="B1806">
            <v>9159</v>
          </cell>
        </row>
        <row r="1807">
          <cell r="B1807">
            <v>9161</v>
          </cell>
        </row>
        <row r="1808">
          <cell r="B1808">
            <v>9162</v>
          </cell>
        </row>
        <row r="1809">
          <cell r="B1809">
            <v>9163</v>
          </cell>
        </row>
        <row r="1810">
          <cell r="B1810">
            <v>9164</v>
          </cell>
        </row>
        <row r="1811">
          <cell r="B1811">
            <v>9166</v>
          </cell>
        </row>
        <row r="1812">
          <cell r="B1812">
            <v>9168</v>
          </cell>
        </row>
        <row r="1813">
          <cell r="B1813">
            <v>9169</v>
          </cell>
        </row>
        <row r="1814">
          <cell r="B1814">
            <v>9173</v>
          </cell>
        </row>
        <row r="1815">
          <cell r="B1815">
            <v>9174</v>
          </cell>
        </row>
        <row r="1816">
          <cell r="B1816">
            <v>9176</v>
          </cell>
        </row>
        <row r="1817">
          <cell r="B1817">
            <v>9177</v>
          </cell>
        </row>
        <row r="1818">
          <cell r="B1818">
            <v>9178</v>
          </cell>
        </row>
        <row r="1819">
          <cell r="B1819">
            <v>9181</v>
          </cell>
        </row>
        <row r="1820">
          <cell r="B1820">
            <v>9182</v>
          </cell>
        </row>
        <row r="1821">
          <cell r="B1821">
            <v>9183</v>
          </cell>
        </row>
        <row r="1822">
          <cell r="B1822">
            <v>9184</v>
          </cell>
        </row>
        <row r="1823">
          <cell r="B1823">
            <v>9185</v>
          </cell>
        </row>
        <row r="1824">
          <cell r="B1824">
            <v>9186</v>
          </cell>
        </row>
        <row r="1825">
          <cell r="B1825">
            <v>9187</v>
          </cell>
        </row>
        <row r="1826">
          <cell r="B1826">
            <v>9188</v>
          </cell>
        </row>
        <row r="1827">
          <cell r="B1827">
            <v>9190</v>
          </cell>
        </row>
        <row r="1828">
          <cell r="B1828">
            <v>9191</v>
          </cell>
        </row>
        <row r="1829">
          <cell r="B1829">
            <v>9192</v>
          </cell>
        </row>
        <row r="1830">
          <cell r="B1830">
            <v>9193</v>
          </cell>
        </row>
        <row r="1831">
          <cell r="B1831">
            <v>9194</v>
          </cell>
        </row>
        <row r="1832">
          <cell r="B1832">
            <v>9195</v>
          </cell>
        </row>
        <row r="1833">
          <cell r="B1833">
            <v>9196</v>
          </cell>
        </row>
        <row r="1834">
          <cell r="B1834">
            <v>9197</v>
          </cell>
        </row>
        <row r="1835">
          <cell r="B1835">
            <v>9199</v>
          </cell>
        </row>
        <row r="1836">
          <cell r="B1836">
            <v>9200</v>
          </cell>
        </row>
        <row r="1837">
          <cell r="B1837">
            <v>9203</v>
          </cell>
        </row>
        <row r="1838">
          <cell r="B1838">
            <v>9204</v>
          </cell>
        </row>
        <row r="1839">
          <cell r="B1839">
            <v>9206</v>
          </cell>
        </row>
        <row r="1840">
          <cell r="B1840">
            <v>9207</v>
          </cell>
        </row>
        <row r="1841">
          <cell r="B1841">
            <v>9208</v>
          </cell>
        </row>
        <row r="1842">
          <cell r="B1842">
            <v>9209</v>
          </cell>
        </row>
        <row r="1843">
          <cell r="B1843">
            <v>9211</v>
          </cell>
        </row>
        <row r="1844">
          <cell r="B1844">
            <v>9214</v>
          </cell>
        </row>
        <row r="1845">
          <cell r="B1845">
            <v>9215</v>
          </cell>
        </row>
        <row r="1846">
          <cell r="B1846">
            <v>9216</v>
          </cell>
        </row>
        <row r="1847">
          <cell r="B1847">
            <v>9217</v>
          </cell>
        </row>
        <row r="1848">
          <cell r="B1848">
            <v>9218</v>
          </cell>
        </row>
        <row r="1849">
          <cell r="B1849">
            <v>9220</v>
          </cell>
        </row>
        <row r="1850">
          <cell r="B1850">
            <v>9221</v>
          </cell>
        </row>
        <row r="1851">
          <cell r="B1851">
            <v>9222</v>
          </cell>
        </row>
        <row r="1852">
          <cell r="B1852">
            <v>9223</v>
          </cell>
        </row>
        <row r="1853">
          <cell r="B1853">
            <v>9224</v>
          </cell>
        </row>
        <row r="1854">
          <cell r="B1854">
            <v>9225</v>
          </cell>
        </row>
        <row r="1855">
          <cell r="B1855">
            <v>9226</v>
          </cell>
        </row>
        <row r="1856">
          <cell r="B1856">
            <v>9228</v>
          </cell>
        </row>
        <row r="1857">
          <cell r="B1857">
            <v>9230</v>
          </cell>
        </row>
        <row r="1858">
          <cell r="B1858">
            <v>9231</v>
          </cell>
        </row>
        <row r="1859">
          <cell r="B1859">
            <v>9232</v>
          </cell>
        </row>
        <row r="1860">
          <cell r="B1860">
            <v>9233</v>
          </cell>
        </row>
        <row r="1861">
          <cell r="B1861">
            <v>9234</v>
          </cell>
        </row>
        <row r="1862">
          <cell r="B1862">
            <v>9235</v>
          </cell>
        </row>
        <row r="1863">
          <cell r="B1863">
            <v>9236</v>
          </cell>
        </row>
        <row r="1864">
          <cell r="B1864">
            <v>9237</v>
          </cell>
        </row>
        <row r="1865">
          <cell r="B1865">
            <v>9239</v>
          </cell>
        </row>
        <row r="1866">
          <cell r="B1866">
            <v>9240</v>
          </cell>
        </row>
        <row r="1867">
          <cell r="B1867">
            <v>9241</v>
          </cell>
        </row>
        <row r="1868">
          <cell r="B1868">
            <v>9243</v>
          </cell>
        </row>
        <row r="1869">
          <cell r="B1869">
            <v>9244</v>
          </cell>
        </row>
        <row r="1870">
          <cell r="B1870">
            <v>9246</v>
          </cell>
        </row>
        <row r="1871">
          <cell r="B1871">
            <v>9249</v>
          </cell>
        </row>
        <row r="1872">
          <cell r="B1872">
            <v>9280</v>
          </cell>
        </row>
        <row r="1873">
          <cell r="B1873">
            <v>9282</v>
          </cell>
        </row>
        <row r="1874">
          <cell r="B1874">
            <v>9283</v>
          </cell>
        </row>
        <row r="1875">
          <cell r="B1875">
            <v>9284</v>
          </cell>
        </row>
        <row r="1876">
          <cell r="B1876">
            <v>9285</v>
          </cell>
        </row>
        <row r="1877">
          <cell r="B1877">
            <v>9286</v>
          </cell>
        </row>
        <row r="1878">
          <cell r="B1878">
            <v>9289</v>
          </cell>
        </row>
        <row r="1879">
          <cell r="B1879">
            <v>9290</v>
          </cell>
        </row>
        <row r="1880">
          <cell r="B1880">
            <v>9291</v>
          </cell>
        </row>
        <row r="1881">
          <cell r="B1881">
            <v>9292</v>
          </cell>
        </row>
        <row r="1882">
          <cell r="B1882">
            <v>9293</v>
          </cell>
        </row>
        <row r="1883">
          <cell r="B1883">
            <v>9294</v>
          </cell>
        </row>
        <row r="1884">
          <cell r="B1884">
            <v>9295</v>
          </cell>
        </row>
        <row r="1885">
          <cell r="B1885">
            <v>9296</v>
          </cell>
        </row>
        <row r="1886">
          <cell r="B1886">
            <v>9297</v>
          </cell>
        </row>
        <row r="1887">
          <cell r="B1887">
            <v>9298</v>
          </cell>
        </row>
        <row r="1888">
          <cell r="B1888">
            <v>9300</v>
          </cell>
        </row>
        <row r="1889">
          <cell r="B1889">
            <v>9301</v>
          </cell>
        </row>
        <row r="1890">
          <cell r="B1890">
            <v>9302</v>
          </cell>
        </row>
        <row r="1891">
          <cell r="B1891">
            <v>9303</v>
          </cell>
        </row>
        <row r="1892">
          <cell r="B1892">
            <v>9304</v>
          </cell>
        </row>
        <row r="1893">
          <cell r="B1893">
            <v>9305</v>
          </cell>
        </row>
        <row r="1894">
          <cell r="B1894">
            <v>9306</v>
          </cell>
        </row>
        <row r="1895">
          <cell r="B1895">
            <v>9307</v>
          </cell>
        </row>
        <row r="1896">
          <cell r="B1896">
            <v>9308</v>
          </cell>
        </row>
        <row r="1897">
          <cell r="B1897">
            <v>9309</v>
          </cell>
        </row>
        <row r="1898">
          <cell r="B1898">
            <v>9310</v>
          </cell>
        </row>
        <row r="1899">
          <cell r="B1899">
            <v>9311</v>
          </cell>
        </row>
        <row r="1900">
          <cell r="B1900">
            <v>9312</v>
          </cell>
        </row>
        <row r="1901">
          <cell r="B1901">
            <v>9313</v>
          </cell>
        </row>
        <row r="1902">
          <cell r="B1902">
            <v>9314</v>
          </cell>
        </row>
        <row r="1903">
          <cell r="B1903">
            <v>9315</v>
          </cell>
        </row>
        <row r="1904">
          <cell r="B1904">
            <v>9316</v>
          </cell>
        </row>
        <row r="1905">
          <cell r="B1905">
            <v>9317</v>
          </cell>
        </row>
        <row r="1906">
          <cell r="B1906">
            <v>9318</v>
          </cell>
        </row>
        <row r="1907">
          <cell r="B1907">
            <v>9319</v>
          </cell>
        </row>
        <row r="1908">
          <cell r="B1908">
            <v>9320</v>
          </cell>
        </row>
        <row r="1909">
          <cell r="B1909">
            <v>9321</v>
          </cell>
        </row>
        <row r="1910">
          <cell r="B1910">
            <v>9322</v>
          </cell>
        </row>
        <row r="1911">
          <cell r="B1911">
            <v>9324</v>
          </cell>
        </row>
        <row r="1912">
          <cell r="B1912">
            <v>9325</v>
          </cell>
        </row>
        <row r="1913">
          <cell r="B1913">
            <v>9326</v>
          </cell>
        </row>
        <row r="1914">
          <cell r="B1914">
            <v>9327</v>
          </cell>
        </row>
        <row r="1915">
          <cell r="B1915">
            <v>9328</v>
          </cell>
        </row>
        <row r="1916">
          <cell r="B1916">
            <v>9329</v>
          </cell>
        </row>
        <row r="1917">
          <cell r="B1917">
            <v>9331</v>
          </cell>
        </row>
        <row r="1918">
          <cell r="B1918">
            <v>9333</v>
          </cell>
        </row>
        <row r="1919">
          <cell r="B1919">
            <v>9335</v>
          </cell>
        </row>
        <row r="1920">
          <cell r="B1920">
            <v>9337</v>
          </cell>
        </row>
        <row r="1921">
          <cell r="B1921">
            <v>9338</v>
          </cell>
        </row>
        <row r="1922">
          <cell r="B1922">
            <v>9339</v>
          </cell>
        </row>
        <row r="1923">
          <cell r="B1923">
            <v>9340</v>
          </cell>
        </row>
        <row r="1924">
          <cell r="B1924">
            <v>9342</v>
          </cell>
        </row>
        <row r="1925">
          <cell r="B1925">
            <v>9343</v>
          </cell>
        </row>
        <row r="1926">
          <cell r="B1926">
            <v>9347</v>
          </cell>
        </row>
        <row r="1927">
          <cell r="B1927">
            <v>9348</v>
          </cell>
        </row>
        <row r="1928">
          <cell r="B1928">
            <v>9349</v>
          </cell>
        </row>
        <row r="1929">
          <cell r="B1929">
            <v>9351</v>
          </cell>
        </row>
        <row r="1930">
          <cell r="B1930">
            <v>9353</v>
          </cell>
        </row>
        <row r="1931">
          <cell r="B1931">
            <v>9354</v>
          </cell>
        </row>
        <row r="1932">
          <cell r="B1932">
            <v>9355</v>
          </cell>
        </row>
        <row r="1933">
          <cell r="B1933">
            <v>9356</v>
          </cell>
        </row>
        <row r="1934">
          <cell r="B1934">
            <v>9358</v>
          </cell>
        </row>
        <row r="1935">
          <cell r="B1935">
            <v>9360</v>
          </cell>
        </row>
        <row r="1936">
          <cell r="B1936">
            <v>9362</v>
          </cell>
        </row>
        <row r="1937">
          <cell r="B1937">
            <v>9363</v>
          </cell>
        </row>
        <row r="1938">
          <cell r="B1938">
            <v>9364</v>
          </cell>
        </row>
        <row r="1939">
          <cell r="B1939">
            <v>9365</v>
          </cell>
        </row>
        <row r="1940">
          <cell r="B1940">
            <v>9367</v>
          </cell>
        </row>
        <row r="1941">
          <cell r="B1941">
            <v>9368</v>
          </cell>
        </row>
        <row r="1942">
          <cell r="B1942">
            <v>9369</v>
          </cell>
        </row>
        <row r="1943">
          <cell r="B1943">
            <v>9370</v>
          </cell>
        </row>
        <row r="1944">
          <cell r="B1944">
            <v>9372</v>
          </cell>
        </row>
        <row r="1945">
          <cell r="B1945">
            <v>9373</v>
          </cell>
        </row>
        <row r="1946">
          <cell r="B1946">
            <v>9376</v>
          </cell>
        </row>
        <row r="1947">
          <cell r="B1947">
            <v>9377</v>
          </cell>
        </row>
        <row r="1948">
          <cell r="B1948">
            <v>9379</v>
          </cell>
        </row>
        <row r="1949">
          <cell r="B1949">
            <v>9380</v>
          </cell>
        </row>
        <row r="1950">
          <cell r="B1950">
            <v>9381</v>
          </cell>
        </row>
        <row r="1951">
          <cell r="B1951">
            <v>9382</v>
          </cell>
        </row>
        <row r="1952">
          <cell r="B1952">
            <v>9397</v>
          </cell>
        </row>
        <row r="1953">
          <cell r="B1953">
            <v>9419</v>
          </cell>
        </row>
        <row r="1954">
          <cell r="B1954">
            <v>9420</v>
          </cell>
        </row>
        <row r="1955">
          <cell r="B1955">
            <v>9421</v>
          </cell>
        </row>
        <row r="1956">
          <cell r="B1956">
            <v>9422</v>
          </cell>
        </row>
        <row r="1957">
          <cell r="B1957">
            <v>9425</v>
          </cell>
        </row>
        <row r="1958">
          <cell r="B1958">
            <v>9426</v>
          </cell>
        </row>
        <row r="1959">
          <cell r="B1959">
            <v>9427</v>
          </cell>
        </row>
        <row r="1960">
          <cell r="B1960">
            <v>9431</v>
          </cell>
        </row>
        <row r="1961">
          <cell r="B1961">
            <v>9432</v>
          </cell>
        </row>
        <row r="1962">
          <cell r="B1962">
            <v>9433</v>
          </cell>
        </row>
        <row r="1963">
          <cell r="B1963">
            <v>9434</v>
          </cell>
        </row>
        <row r="1964">
          <cell r="B1964">
            <v>9436</v>
          </cell>
        </row>
        <row r="1965">
          <cell r="B1965">
            <v>9438</v>
          </cell>
        </row>
        <row r="1966">
          <cell r="B1966">
            <v>9439</v>
          </cell>
        </row>
        <row r="1967">
          <cell r="B1967">
            <v>9440</v>
          </cell>
        </row>
        <row r="1968">
          <cell r="B1968">
            <v>9441</v>
          </cell>
        </row>
        <row r="1969">
          <cell r="B1969">
            <v>9442</v>
          </cell>
        </row>
        <row r="1970">
          <cell r="B1970">
            <v>9448</v>
          </cell>
        </row>
        <row r="1971">
          <cell r="B1971">
            <v>9449</v>
          </cell>
        </row>
        <row r="1972">
          <cell r="B1972">
            <v>9450</v>
          </cell>
        </row>
        <row r="1973">
          <cell r="B1973">
            <v>9451</v>
          </cell>
        </row>
        <row r="1974">
          <cell r="B1974">
            <v>9452</v>
          </cell>
        </row>
        <row r="1975">
          <cell r="B1975">
            <v>9453</v>
          </cell>
        </row>
        <row r="1976">
          <cell r="B1976">
            <v>9454</v>
          </cell>
        </row>
        <row r="1977">
          <cell r="B1977">
            <v>9455</v>
          </cell>
        </row>
        <row r="1978">
          <cell r="B1978">
            <v>9456</v>
          </cell>
        </row>
        <row r="1979">
          <cell r="B1979">
            <v>9457</v>
          </cell>
        </row>
        <row r="1980">
          <cell r="B1980">
            <v>9458</v>
          </cell>
        </row>
        <row r="1981">
          <cell r="B1981">
            <v>9459</v>
          </cell>
        </row>
        <row r="1982">
          <cell r="B1982">
            <v>9460</v>
          </cell>
        </row>
        <row r="1983">
          <cell r="B1983">
            <v>9461</v>
          </cell>
        </row>
        <row r="1984">
          <cell r="B1984">
            <v>9462</v>
          </cell>
        </row>
        <row r="1985">
          <cell r="B1985">
            <v>9463</v>
          </cell>
        </row>
        <row r="1986">
          <cell r="B1986">
            <v>9464</v>
          </cell>
        </row>
        <row r="1987">
          <cell r="B1987">
            <v>9465</v>
          </cell>
        </row>
        <row r="1988">
          <cell r="B1988">
            <v>9466</v>
          </cell>
        </row>
        <row r="1989">
          <cell r="B1989">
            <v>9467</v>
          </cell>
        </row>
        <row r="1990">
          <cell r="B1990">
            <v>9468</v>
          </cell>
        </row>
        <row r="1991">
          <cell r="B1991">
            <v>9469</v>
          </cell>
        </row>
        <row r="1992">
          <cell r="B1992">
            <v>9470</v>
          </cell>
        </row>
        <row r="1993">
          <cell r="B1993">
            <v>9471</v>
          </cell>
        </row>
        <row r="1994">
          <cell r="B1994">
            <v>9472</v>
          </cell>
        </row>
        <row r="1995">
          <cell r="B1995">
            <v>9473</v>
          </cell>
        </row>
        <row r="1996">
          <cell r="B1996">
            <v>9474</v>
          </cell>
        </row>
        <row r="1997">
          <cell r="B1997">
            <v>9475</v>
          </cell>
        </row>
        <row r="1998">
          <cell r="B1998">
            <v>9476</v>
          </cell>
        </row>
        <row r="1999">
          <cell r="B1999">
            <v>9477</v>
          </cell>
        </row>
        <row r="2000">
          <cell r="B2000">
            <v>9480</v>
          </cell>
        </row>
        <row r="2001">
          <cell r="B2001">
            <v>9481</v>
          </cell>
        </row>
        <row r="2002">
          <cell r="B2002">
            <v>9482</v>
          </cell>
        </row>
        <row r="2003">
          <cell r="B2003">
            <v>9483</v>
          </cell>
        </row>
        <row r="2004">
          <cell r="B2004">
            <v>9484</v>
          </cell>
        </row>
        <row r="2005">
          <cell r="B2005">
            <v>9485</v>
          </cell>
        </row>
        <row r="2006">
          <cell r="B2006">
            <v>9487</v>
          </cell>
        </row>
        <row r="2007">
          <cell r="B2007">
            <v>9488</v>
          </cell>
        </row>
        <row r="2008">
          <cell r="B2008">
            <v>9490</v>
          </cell>
        </row>
        <row r="2009">
          <cell r="B2009">
            <v>9497</v>
          </cell>
        </row>
        <row r="2010">
          <cell r="B2010">
            <v>9498</v>
          </cell>
        </row>
        <row r="2011">
          <cell r="B2011">
            <v>9499</v>
          </cell>
        </row>
        <row r="2012">
          <cell r="B2012">
            <v>9500</v>
          </cell>
        </row>
        <row r="2013">
          <cell r="B2013">
            <v>9504</v>
          </cell>
        </row>
        <row r="2014">
          <cell r="B2014">
            <v>9509</v>
          </cell>
        </row>
        <row r="2015">
          <cell r="B2015">
            <v>9510</v>
          </cell>
        </row>
        <row r="2016">
          <cell r="B2016">
            <v>9520</v>
          </cell>
        </row>
        <row r="2017">
          <cell r="B2017">
            <v>9522</v>
          </cell>
        </row>
        <row r="2018">
          <cell r="B2018">
            <v>9527</v>
          </cell>
        </row>
        <row r="2019">
          <cell r="B2019">
            <v>9528</v>
          </cell>
        </row>
        <row r="2020">
          <cell r="B2020">
            <v>9534</v>
          </cell>
        </row>
        <row r="2021">
          <cell r="B2021">
            <v>9539</v>
          </cell>
        </row>
        <row r="2022">
          <cell r="B2022">
            <v>9548</v>
          </cell>
        </row>
        <row r="2023">
          <cell r="B2023">
            <v>9550</v>
          </cell>
        </row>
        <row r="2024">
          <cell r="B2024">
            <v>9551</v>
          </cell>
        </row>
        <row r="2025">
          <cell r="B2025">
            <v>9554</v>
          </cell>
        </row>
        <row r="2026">
          <cell r="B2026">
            <v>9557</v>
          </cell>
        </row>
        <row r="2027">
          <cell r="B2027">
            <v>9559</v>
          </cell>
        </row>
        <row r="2028">
          <cell r="B2028">
            <v>9561</v>
          </cell>
        </row>
        <row r="2029">
          <cell r="B2029">
            <v>9567</v>
          </cell>
        </row>
        <row r="2030">
          <cell r="B2030">
            <v>9570</v>
          </cell>
        </row>
        <row r="2031">
          <cell r="B2031">
            <v>9571</v>
          </cell>
        </row>
        <row r="2032">
          <cell r="B2032">
            <v>9573</v>
          </cell>
        </row>
        <row r="2033">
          <cell r="B2033">
            <v>9574</v>
          </cell>
        </row>
        <row r="2034">
          <cell r="B2034">
            <v>9575</v>
          </cell>
        </row>
        <row r="2035">
          <cell r="B2035">
            <v>9584</v>
          </cell>
        </row>
        <row r="2036">
          <cell r="B2036">
            <v>9585</v>
          </cell>
        </row>
        <row r="2037">
          <cell r="B2037">
            <v>9592</v>
          </cell>
        </row>
        <row r="2038">
          <cell r="B2038">
            <v>9593</v>
          </cell>
        </row>
        <row r="2039">
          <cell r="B2039">
            <v>9599</v>
          </cell>
        </row>
        <row r="2040">
          <cell r="B2040">
            <v>9600</v>
          </cell>
        </row>
        <row r="2041">
          <cell r="B2041">
            <v>9605</v>
          </cell>
        </row>
        <row r="2042">
          <cell r="B2042">
            <v>9606</v>
          </cell>
        </row>
        <row r="2043">
          <cell r="B2043">
            <v>9607</v>
          </cell>
        </row>
        <row r="2044">
          <cell r="B2044">
            <v>9608</v>
          </cell>
        </row>
        <row r="2045">
          <cell r="B2045">
            <v>9609</v>
          </cell>
        </row>
        <row r="2046">
          <cell r="B2046">
            <v>9610</v>
          </cell>
        </row>
        <row r="2047">
          <cell r="B2047">
            <v>9611</v>
          </cell>
        </row>
        <row r="2048">
          <cell r="B2048">
            <v>9612</v>
          </cell>
        </row>
        <row r="2049">
          <cell r="B2049">
            <v>9613</v>
          </cell>
        </row>
        <row r="2050">
          <cell r="B2050">
            <v>9614</v>
          </cell>
        </row>
        <row r="2051">
          <cell r="B2051">
            <v>9615</v>
          </cell>
        </row>
        <row r="2052">
          <cell r="B2052">
            <v>9616</v>
          </cell>
        </row>
        <row r="2053">
          <cell r="B2053">
            <v>9617</v>
          </cell>
        </row>
        <row r="2054">
          <cell r="B2054">
            <v>9618</v>
          </cell>
        </row>
        <row r="2055">
          <cell r="B2055">
            <v>9619</v>
          </cell>
        </row>
        <row r="2056">
          <cell r="B2056">
            <v>9620</v>
          </cell>
        </row>
        <row r="2057">
          <cell r="B2057">
            <v>9621</v>
          </cell>
        </row>
        <row r="2058">
          <cell r="B2058">
            <v>9623</v>
          </cell>
        </row>
        <row r="2059">
          <cell r="B2059">
            <v>9624</v>
          </cell>
        </row>
        <row r="2060">
          <cell r="B2060">
            <v>9626</v>
          </cell>
        </row>
        <row r="2061">
          <cell r="B2061">
            <v>9627</v>
          </cell>
        </row>
        <row r="2062">
          <cell r="B2062">
            <v>9628</v>
          </cell>
        </row>
        <row r="2063">
          <cell r="B2063">
            <v>9630</v>
          </cell>
        </row>
        <row r="2064">
          <cell r="B2064">
            <v>9631</v>
          </cell>
        </row>
        <row r="2065">
          <cell r="B2065">
            <v>9633</v>
          </cell>
        </row>
        <row r="2066">
          <cell r="B2066">
            <v>9634</v>
          </cell>
        </row>
        <row r="2067">
          <cell r="B2067">
            <v>9635</v>
          </cell>
        </row>
        <row r="2068">
          <cell r="B2068">
            <v>9636</v>
          </cell>
        </row>
        <row r="2069">
          <cell r="B2069">
            <v>9637</v>
          </cell>
        </row>
        <row r="2070">
          <cell r="B2070">
            <v>9638</v>
          </cell>
        </row>
        <row r="2071">
          <cell r="B2071">
            <v>9639</v>
          </cell>
        </row>
        <row r="2072">
          <cell r="B2072">
            <v>9640</v>
          </cell>
        </row>
        <row r="2073">
          <cell r="B2073">
            <v>9641</v>
          </cell>
        </row>
        <row r="2074">
          <cell r="B2074">
            <v>9642</v>
          </cell>
        </row>
        <row r="2075">
          <cell r="B2075">
            <v>9643</v>
          </cell>
        </row>
        <row r="2076">
          <cell r="B2076">
            <v>9645</v>
          </cell>
        </row>
        <row r="2077">
          <cell r="B2077">
            <v>9647</v>
          </cell>
        </row>
        <row r="2078">
          <cell r="B2078">
            <v>9648</v>
          </cell>
        </row>
        <row r="2079">
          <cell r="B2079">
            <v>9649</v>
          </cell>
        </row>
        <row r="2080">
          <cell r="B2080">
            <v>9650</v>
          </cell>
        </row>
        <row r="2081">
          <cell r="B2081">
            <v>9651</v>
          </cell>
        </row>
        <row r="2082">
          <cell r="B2082">
            <v>9653</v>
          </cell>
        </row>
        <row r="2083">
          <cell r="B2083">
            <v>9656</v>
          </cell>
        </row>
        <row r="2084">
          <cell r="B2084">
            <v>9657</v>
          </cell>
        </row>
        <row r="2085">
          <cell r="B2085">
            <v>9658</v>
          </cell>
        </row>
        <row r="2086">
          <cell r="B2086">
            <v>9659</v>
          </cell>
        </row>
        <row r="2087">
          <cell r="B2087">
            <v>9660</v>
          </cell>
        </row>
        <row r="2088">
          <cell r="B2088">
            <v>9661</v>
          </cell>
        </row>
        <row r="2089">
          <cell r="B2089">
            <v>9662</v>
          </cell>
        </row>
        <row r="2090">
          <cell r="B2090">
            <v>9663</v>
          </cell>
        </row>
        <row r="2091">
          <cell r="B2091">
            <v>9664</v>
          </cell>
        </row>
        <row r="2092">
          <cell r="B2092">
            <v>9665</v>
          </cell>
        </row>
        <row r="2093">
          <cell r="B2093">
            <v>9667</v>
          </cell>
        </row>
        <row r="2094">
          <cell r="B2094">
            <v>9668</v>
          </cell>
        </row>
        <row r="2095">
          <cell r="B2095">
            <v>9669</v>
          </cell>
        </row>
        <row r="2096">
          <cell r="B2096">
            <v>9670</v>
          </cell>
        </row>
        <row r="2097">
          <cell r="B2097">
            <v>9671</v>
          </cell>
        </row>
        <row r="2098">
          <cell r="B2098">
            <v>9672</v>
          </cell>
        </row>
        <row r="2099">
          <cell r="B2099">
            <v>9673</v>
          </cell>
        </row>
        <row r="2100">
          <cell r="B2100">
            <v>9674</v>
          </cell>
        </row>
        <row r="2101">
          <cell r="B2101">
            <v>9675</v>
          </cell>
        </row>
        <row r="2102">
          <cell r="B2102">
            <v>9676</v>
          </cell>
        </row>
        <row r="2103">
          <cell r="B2103">
            <v>9677</v>
          </cell>
        </row>
        <row r="2104">
          <cell r="B2104">
            <v>9679</v>
          </cell>
        </row>
        <row r="2105">
          <cell r="B2105">
            <v>9680</v>
          </cell>
        </row>
        <row r="2106">
          <cell r="B2106">
            <v>9681</v>
          </cell>
        </row>
        <row r="2107">
          <cell r="B2107">
            <v>9682</v>
          </cell>
        </row>
        <row r="2108">
          <cell r="B2108">
            <v>9683</v>
          </cell>
        </row>
        <row r="2109">
          <cell r="B2109">
            <v>9684</v>
          </cell>
        </row>
        <row r="2110">
          <cell r="B2110">
            <v>9686</v>
          </cell>
        </row>
        <row r="2111">
          <cell r="B2111">
            <v>9687</v>
          </cell>
        </row>
        <row r="2112">
          <cell r="B2112">
            <v>9688</v>
          </cell>
        </row>
        <row r="2113">
          <cell r="B2113">
            <v>9689</v>
          </cell>
        </row>
        <row r="2114">
          <cell r="B2114">
            <v>9690</v>
          </cell>
        </row>
        <row r="2115">
          <cell r="B2115">
            <v>9691</v>
          </cell>
        </row>
        <row r="2116">
          <cell r="B2116">
            <v>9692</v>
          </cell>
        </row>
        <row r="2117">
          <cell r="B2117">
            <v>9693</v>
          </cell>
        </row>
        <row r="2118">
          <cell r="B2118">
            <v>9694</v>
          </cell>
        </row>
        <row r="2119">
          <cell r="B2119">
            <v>9695</v>
          </cell>
        </row>
        <row r="2120">
          <cell r="B2120">
            <v>9697</v>
          </cell>
        </row>
        <row r="2121">
          <cell r="B2121">
            <v>9698</v>
          </cell>
        </row>
        <row r="2122">
          <cell r="B2122">
            <v>9699</v>
          </cell>
        </row>
        <row r="2123">
          <cell r="B2123">
            <v>9700</v>
          </cell>
        </row>
        <row r="2124">
          <cell r="B2124">
            <v>9701</v>
          </cell>
        </row>
        <row r="2125">
          <cell r="B2125">
            <v>9703</v>
          </cell>
        </row>
        <row r="2126">
          <cell r="B2126">
            <v>9704</v>
          </cell>
        </row>
        <row r="2127">
          <cell r="B2127">
            <v>9705</v>
          </cell>
        </row>
        <row r="2128">
          <cell r="B2128">
            <v>9706</v>
          </cell>
        </row>
        <row r="2129">
          <cell r="B2129">
            <v>9707</v>
          </cell>
        </row>
        <row r="2130">
          <cell r="B2130">
            <v>9708</v>
          </cell>
        </row>
        <row r="2131">
          <cell r="B2131">
            <v>9709</v>
          </cell>
        </row>
        <row r="2132">
          <cell r="B2132">
            <v>9710</v>
          </cell>
        </row>
        <row r="2133">
          <cell r="B2133">
            <v>9711</v>
          </cell>
        </row>
        <row r="2134">
          <cell r="B2134">
            <v>9712</v>
          </cell>
        </row>
        <row r="2135">
          <cell r="B2135">
            <v>9713</v>
          </cell>
        </row>
        <row r="2136">
          <cell r="B2136">
            <v>9714</v>
          </cell>
        </row>
        <row r="2137">
          <cell r="B2137">
            <v>9715</v>
          </cell>
        </row>
        <row r="2138">
          <cell r="B2138">
            <v>9716</v>
          </cell>
        </row>
        <row r="2139">
          <cell r="B2139">
            <v>9717</v>
          </cell>
        </row>
        <row r="2140">
          <cell r="B2140">
            <v>9718</v>
          </cell>
        </row>
        <row r="2141">
          <cell r="B2141">
            <v>9719</v>
          </cell>
        </row>
        <row r="2142">
          <cell r="B2142">
            <v>9720</v>
          </cell>
        </row>
        <row r="2143">
          <cell r="B2143">
            <v>9721</v>
          </cell>
        </row>
        <row r="2144">
          <cell r="B2144">
            <v>9722</v>
          </cell>
        </row>
        <row r="2145">
          <cell r="B2145">
            <v>9723</v>
          </cell>
        </row>
        <row r="2146">
          <cell r="B2146">
            <v>9726</v>
          </cell>
        </row>
        <row r="2147">
          <cell r="B2147">
            <v>9727</v>
          </cell>
        </row>
        <row r="2148">
          <cell r="B2148">
            <v>9730</v>
          </cell>
        </row>
        <row r="2149">
          <cell r="B2149">
            <v>9734</v>
          </cell>
        </row>
        <row r="2150">
          <cell r="B2150">
            <v>9736</v>
          </cell>
        </row>
        <row r="2151">
          <cell r="B2151">
            <v>9737</v>
          </cell>
        </row>
        <row r="2152">
          <cell r="B2152">
            <v>9738</v>
          </cell>
        </row>
        <row r="2153">
          <cell r="B2153">
            <v>9739</v>
          </cell>
        </row>
        <row r="2154">
          <cell r="B2154">
            <v>9740</v>
          </cell>
        </row>
        <row r="2155">
          <cell r="B2155">
            <v>9741</v>
          </cell>
        </row>
        <row r="2156">
          <cell r="B2156">
            <v>9742</v>
          </cell>
        </row>
        <row r="2157">
          <cell r="B2157">
            <v>9743</v>
          </cell>
        </row>
        <row r="2158">
          <cell r="B2158">
            <v>9744</v>
          </cell>
        </row>
        <row r="2159">
          <cell r="B2159">
            <v>9745</v>
          </cell>
        </row>
        <row r="2160">
          <cell r="B2160">
            <v>9746</v>
          </cell>
        </row>
        <row r="2161">
          <cell r="B2161">
            <v>9747</v>
          </cell>
        </row>
        <row r="2162">
          <cell r="B2162">
            <v>9749</v>
          </cell>
        </row>
        <row r="2163">
          <cell r="B2163">
            <v>9751</v>
          </cell>
        </row>
        <row r="2164">
          <cell r="B2164">
            <v>9753</v>
          </cell>
        </row>
        <row r="2165">
          <cell r="B2165">
            <v>9754</v>
          </cell>
        </row>
        <row r="2166">
          <cell r="B2166">
            <v>9758</v>
          </cell>
        </row>
        <row r="2167">
          <cell r="B2167">
            <v>9760</v>
          </cell>
        </row>
        <row r="2168">
          <cell r="B2168">
            <v>9763</v>
          </cell>
        </row>
        <row r="2169">
          <cell r="B2169">
            <v>9764</v>
          </cell>
        </row>
        <row r="2170">
          <cell r="B2170">
            <v>9765</v>
          </cell>
        </row>
        <row r="2171">
          <cell r="B2171">
            <v>9767</v>
          </cell>
        </row>
        <row r="2172">
          <cell r="B2172">
            <v>9768</v>
          </cell>
        </row>
        <row r="2173">
          <cell r="B2173">
            <v>9769</v>
          </cell>
        </row>
        <row r="2174">
          <cell r="B2174">
            <v>9770</v>
          </cell>
        </row>
        <row r="2175">
          <cell r="B2175">
            <v>9771</v>
          </cell>
        </row>
        <row r="2176">
          <cell r="B2176">
            <v>9773</v>
          </cell>
        </row>
        <row r="2177">
          <cell r="B2177">
            <v>9775</v>
          </cell>
        </row>
        <row r="2178">
          <cell r="B2178">
            <v>9777</v>
          </cell>
        </row>
        <row r="2179">
          <cell r="B2179">
            <v>9778</v>
          </cell>
        </row>
        <row r="2180">
          <cell r="B2180">
            <v>9780</v>
          </cell>
        </row>
        <row r="2181">
          <cell r="B2181">
            <v>9781</v>
          </cell>
        </row>
        <row r="2182">
          <cell r="B2182">
            <v>9782</v>
          </cell>
        </row>
        <row r="2183">
          <cell r="B2183">
            <v>9783</v>
          </cell>
        </row>
        <row r="2184">
          <cell r="B2184">
            <v>9784</v>
          </cell>
        </row>
        <row r="2185">
          <cell r="B2185">
            <v>9785</v>
          </cell>
        </row>
        <row r="2186">
          <cell r="B2186">
            <v>9786</v>
          </cell>
        </row>
        <row r="2187">
          <cell r="B2187">
            <v>9787</v>
          </cell>
        </row>
        <row r="2188">
          <cell r="B2188">
            <v>9788</v>
          </cell>
        </row>
        <row r="2189">
          <cell r="B2189">
            <v>9790</v>
          </cell>
        </row>
        <row r="2190">
          <cell r="B2190">
            <v>9791</v>
          </cell>
        </row>
        <row r="2191">
          <cell r="B2191">
            <v>9792</v>
          </cell>
        </row>
        <row r="2192">
          <cell r="B2192">
            <v>9793</v>
          </cell>
        </row>
        <row r="2193">
          <cell r="B2193">
            <v>9794</v>
          </cell>
        </row>
        <row r="2194">
          <cell r="B2194">
            <v>9795</v>
          </cell>
        </row>
        <row r="2195">
          <cell r="B2195">
            <v>9798</v>
          </cell>
        </row>
        <row r="2196">
          <cell r="B2196">
            <v>9799</v>
          </cell>
        </row>
        <row r="2197">
          <cell r="B2197">
            <v>9800</v>
          </cell>
        </row>
        <row r="2198">
          <cell r="B2198">
            <v>9803</v>
          </cell>
        </row>
        <row r="2199">
          <cell r="B2199">
            <v>9804</v>
          </cell>
        </row>
        <row r="2200">
          <cell r="B2200">
            <v>9805</v>
          </cell>
        </row>
        <row r="2201">
          <cell r="B2201">
            <v>9807</v>
          </cell>
        </row>
        <row r="2202">
          <cell r="B2202">
            <v>9808</v>
          </cell>
        </row>
        <row r="2203">
          <cell r="B2203">
            <v>9810</v>
          </cell>
        </row>
        <row r="2204">
          <cell r="B2204">
            <v>9811</v>
          </cell>
        </row>
        <row r="2205">
          <cell r="B2205">
            <v>9812</v>
          </cell>
        </row>
        <row r="2206">
          <cell r="B2206">
            <v>9813</v>
          </cell>
        </row>
        <row r="2207">
          <cell r="B2207">
            <v>9814</v>
          </cell>
        </row>
        <row r="2208">
          <cell r="B2208">
            <v>9815</v>
          </cell>
        </row>
        <row r="2209">
          <cell r="B2209">
            <v>9817</v>
          </cell>
        </row>
        <row r="2210">
          <cell r="B2210">
            <v>9818</v>
          </cell>
        </row>
        <row r="2211">
          <cell r="B2211">
            <v>9819</v>
          </cell>
        </row>
        <row r="2212">
          <cell r="B2212">
            <v>9820</v>
          </cell>
        </row>
        <row r="2213">
          <cell r="B2213">
            <v>9821</v>
          </cell>
        </row>
        <row r="2214">
          <cell r="B2214">
            <v>9822</v>
          </cell>
        </row>
        <row r="2215">
          <cell r="B2215">
            <v>9823</v>
          </cell>
        </row>
        <row r="2216">
          <cell r="B2216">
            <v>9824</v>
          </cell>
        </row>
        <row r="2217">
          <cell r="B2217">
            <v>9825</v>
          </cell>
        </row>
        <row r="2218">
          <cell r="B2218">
            <v>9827</v>
          </cell>
        </row>
        <row r="2219">
          <cell r="B2219">
            <v>9828</v>
          </cell>
        </row>
        <row r="2220">
          <cell r="B2220">
            <v>9830</v>
          </cell>
        </row>
        <row r="2221">
          <cell r="B2221">
            <v>9831</v>
          </cell>
        </row>
        <row r="2222">
          <cell r="B2222">
            <v>9832</v>
          </cell>
        </row>
        <row r="2223">
          <cell r="B2223">
            <v>9833</v>
          </cell>
        </row>
        <row r="2224">
          <cell r="B2224">
            <v>9834</v>
          </cell>
        </row>
        <row r="2225">
          <cell r="B2225">
            <v>9835</v>
          </cell>
        </row>
        <row r="2226">
          <cell r="B2226">
            <v>9836</v>
          </cell>
        </row>
        <row r="2227">
          <cell r="B2227">
            <v>9837</v>
          </cell>
        </row>
        <row r="2228">
          <cell r="B2228">
            <v>9838</v>
          </cell>
        </row>
        <row r="2229">
          <cell r="B2229">
            <v>9839</v>
          </cell>
        </row>
        <row r="2230">
          <cell r="B2230">
            <v>9840</v>
          </cell>
        </row>
        <row r="2231">
          <cell r="B2231">
            <v>9842</v>
          </cell>
        </row>
        <row r="2232">
          <cell r="B2232">
            <v>9843</v>
          </cell>
        </row>
        <row r="2233">
          <cell r="B2233">
            <v>9844</v>
          </cell>
        </row>
        <row r="2234">
          <cell r="B2234">
            <v>9845</v>
          </cell>
        </row>
        <row r="2235">
          <cell r="B2235">
            <v>9846</v>
          </cell>
        </row>
        <row r="2236">
          <cell r="B2236">
            <v>9847</v>
          </cell>
        </row>
        <row r="2237">
          <cell r="B2237">
            <v>9848</v>
          </cell>
        </row>
        <row r="2238">
          <cell r="B2238">
            <v>9850</v>
          </cell>
        </row>
        <row r="2239">
          <cell r="B2239">
            <v>9851</v>
          </cell>
        </row>
        <row r="2240">
          <cell r="B2240">
            <v>9853</v>
          </cell>
        </row>
        <row r="2241">
          <cell r="B2241">
            <v>9854</v>
          </cell>
        </row>
        <row r="2242">
          <cell r="B2242">
            <v>9856</v>
          </cell>
        </row>
        <row r="2243">
          <cell r="B2243">
            <v>9857</v>
          </cell>
        </row>
        <row r="2244">
          <cell r="B2244">
            <v>9858</v>
          </cell>
        </row>
        <row r="2245">
          <cell r="B2245">
            <v>9859</v>
          </cell>
        </row>
        <row r="2246">
          <cell r="B2246">
            <v>9860</v>
          </cell>
        </row>
        <row r="2247">
          <cell r="B2247">
            <v>9861</v>
          </cell>
        </row>
        <row r="2248">
          <cell r="B2248">
            <v>9862</v>
          </cell>
        </row>
        <row r="2249">
          <cell r="B2249">
            <v>9863</v>
          </cell>
        </row>
        <row r="2250">
          <cell r="B2250">
            <v>9865</v>
          </cell>
        </row>
        <row r="2251">
          <cell r="B2251">
            <v>9866</v>
          </cell>
        </row>
        <row r="2252">
          <cell r="B2252">
            <v>9868</v>
          </cell>
        </row>
        <row r="2253">
          <cell r="B2253">
            <v>9869</v>
          </cell>
        </row>
        <row r="2254">
          <cell r="B2254">
            <v>9870</v>
          </cell>
        </row>
        <row r="2255">
          <cell r="B2255">
            <v>9871</v>
          </cell>
        </row>
        <row r="2256">
          <cell r="B2256">
            <v>9872</v>
          </cell>
        </row>
        <row r="2257">
          <cell r="B2257">
            <v>9873</v>
          </cell>
        </row>
        <row r="2258">
          <cell r="B2258">
            <v>9874</v>
          </cell>
        </row>
        <row r="2259">
          <cell r="B2259">
            <v>9875</v>
          </cell>
        </row>
        <row r="2260">
          <cell r="B2260">
            <v>9876</v>
          </cell>
        </row>
        <row r="2261">
          <cell r="B2261">
            <v>9877</v>
          </cell>
        </row>
        <row r="2262">
          <cell r="B2262">
            <v>9878</v>
          </cell>
        </row>
        <row r="2263">
          <cell r="B2263">
            <v>9880</v>
          </cell>
        </row>
        <row r="2264">
          <cell r="B2264">
            <v>9881</v>
          </cell>
        </row>
        <row r="2265">
          <cell r="B2265">
            <v>9882</v>
          </cell>
        </row>
        <row r="2266">
          <cell r="B2266">
            <v>9883</v>
          </cell>
        </row>
        <row r="2267">
          <cell r="B2267">
            <v>9884</v>
          </cell>
        </row>
        <row r="2268">
          <cell r="B2268">
            <v>9886</v>
          </cell>
        </row>
        <row r="2269">
          <cell r="B2269">
            <v>9890</v>
          </cell>
        </row>
        <row r="2270">
          <cell r="B2270">
            <v>9891</v>
          </cell>
        </row>
        <row r="2271">
          <cell r="B2271">
            <v>9892</v>
          </cell>
        </row>
        <row r="2272">
          <cell r="B2272">
            <v>9894</v>
          </cell>
        </row>
        <row r="2273">
          <cell r="B2273">
            <v>9895</v>
          </cell>
        </row>
        <row r="2274">
          <cell r="B2274">
            <v>9896</v>
          </cell>
        </row>
        <row r="2275">
          <cell r="B2275">
            <v>9898</v>
          </cell>
        </row>
        <row r="2276">
          <cell r="B2276">
            <v>9899</v>
          </cell>
        </row>
        <row r="2277">
          <cell r="B2277">
            <v>9900</v>
          </cell>
        </row>
        <row r="2278">
          <cell r="B2278">
            <v>9901</v>
          </cell>
        </row>
        <row r="2279">
          <cell r="B2279">
            <v>9903</v>
          </cell>
        </row>
        <row r="2280">
          <cell r="B2280">
            <v>9904</v>
          </cell>
        </row>
        <row r="2281">
          <cell r="B2281">
            <v>9905</v>
          </cell>
        </row>
        <row r="2282">
          <cell r="B2282">
            <v>9907</v>
          </cell>
        </row>
        <row r="2283">
          <cell r="B2283">
            <v>9908</v>
          </cell>
        </row>
        <row r="2284">
          <cell r="B2284">
            <v>9911</v>
          </cell>
        </row>
        <row r="2285">
          <cell r="B2285">
            <v>9912</v>
          </cell>
        </row>
        <row r="2286">
          <cell r="B2286">
            <v>9913</v>
          </cell>
        </row>
        <row r="2287">
          <cell r="B2287">
            <v>9914</v>
          </cell>
        </row>
        <row r="2288">
          <cell r="B2288">
            <v>9915</v>
          </cell>
        </row>
        <row r="2289">
          <cell r="B2289">
            <v>9916</v>
          </cell>
        </row>
        <row r="2290">
          <cell r="B2290">
            <v>9917</v>
          </cell>
        </row>
        <row r="2291">
          <cell r="B2291">
            <v>9918</v>
          </cell>
        </row>
        <row r="2292">
          <cell r="B2292">
            <v>9919</v>
          </cell>
        </row>
        <row r="2293">
          <cell r="B2293">
            <v>9921</v>
          </cell>
        </row>
        <row r="2294">
          <cell r="B2294">
            <v>9922</v>
          </cell>
        </row>
        <row r="2295">
          <cell r="B2295">
            <v>9923</v>
          </cell>
        </row>
        <row r="2296">
          <cell r="B2296">
            <v>9924</v>
          </cell>
        </row>
        <row r="2297">
          <cell r="B2297">
            <v>9925</v>
          </cell>
        </row>
        <row r="2298">
          <cell r="B2298">
            <v>9927</v>
          </cell>
        </row>
        <row r="2299">
          <cell r="B2299">
            <v>9928</v>
          </cell>
        </row>
        <row r="2300">
          <cell r="B2300">
            <v>9929</v>
          </cell>
        </row>
        <row r="2301">
          <cell r="B2301">
            <v>9930</v>
          </cell>
        </row>
        <row r="2302">
          <cell r="B2302">
            <v>9931</v>
          </cell>
        </row>
        <row r="2303">
          <cell r="B2303">
            <v>9933</v>
          </cell>
        </row>
        <row r="2304">
          <cell r="B2304">
            <v>9934</v>
          </cell>
        </row>
        <row r="2305">
          <cell r="B2305">
            <v>9935</v>
          </cell>
        </row>
        <row r="2306">
          <cell r="B2306">
            <v>9936</v>
          </cell>
        </row>
        <row r="2307">
          <cell r="B2307">
            <v>9937</v>
          </cell>
        </row>
        <row r="2308">
          <cell r="B2308">
            <v>9938</v>
          </cell>
        </row>
        <row r="2309">
          <cell r="B2309">
            <v>9939</v>
          </cell>
        </row>
        <row r="2310">
          <cell r="B2310">
            <v>9940</v>
          </cell>
        </row>
        <row r="2311">
          <cell r="B2311">
            <v>9941</v>
          </cell>
        </row>
        <row r="2312">
          <cell r="B2312">
            <v>9942</v>
          </cell>
        </row>
        <row r="2313">
          <cell r="B2313">
            <v>9943</v>
          </cell>
        </row>
        <row r="2314">
          <cell r="B2314">
            <v>9944</v>
          </cell>
        </row>
        <row r="2315">
          <cell r="B2315">
            <v>9945</v>
          </cell>
        </row>
        <row r="2316">
          <cell r="B2316">
            <v>9946</v>
          </cell>
        </row>
        <row r="2317">
          <cell r="B2317">
            <v>9948</v>
          </cell>
        </row>
        <row r="2318">
          <cell r="B2318">
            <v>9949</v>
          </cell>
        </row>
        <row r="2319">
          <cell r="B2319">
            <v>9950</v>
          </cell>
        </row>
        <row r="2320">
          <cell r="B2320">
            <v>9951</v>
          </cell>
        </row>
        <row r="2321">
          <cell r="B2321">
            <v>9952</v>
          </cell>
        </row>
        <row r="2322">
          <cell r="B2322">
            <v>9955</v>
          </cell>
        </row>
        <row r="2323">
          <cell r="B2323">
            <v>9958</v>
          </cell>
        </row>
        <row r="2324">
          <cell r="B2324">
            <v>9959</v>
          </cell>
        </row>
        <row r="2325">
          <cell r="B2325">
            <v>9960</v>
          </cell>
        </row>
        <row r="2326">
          <cell r="B2326">
            <v>9961</v>
          </cell>
        </row>
        <row r="2327">
          <cell r="B2327">
            <v>9962</v>
          </cell>
        </row>
        <row r="2328">
          <cell r="B2328">
            <v>9963</v>
          </cell>
        </row>
        <row r="2329">
          <cell r="B2329">
            <v>9964</v>
          </cell>
        </row>
        <row r="2330">
          <cell r="B2330">
            <v>9965</v>
          </cell>
        </row>
        <row r="2331">
          <cell r="B2331">
            <v>9966</v>
          </cell>
        </row>
        <row r="2332">
          <cell r="B2332">
            <v>9967</v>
          </cell>
        </row>
        <row r="2333">
          <cell r="B2333">
            <v>9968</v>
          </cell>
        </row>
        <row r="2334">
          <cell r="B2334">
            <v>9969</v>
          </cell>
        </row>
        <row r="2335">
          <cell r="B2335">
            <v>9970</v>
          </cell>
        </row>
        <row r="2336">
          <cell r="B2336">
            <v>9971</v>
          </cell>
        </row>
        <row r="2337">
          <cell r="B2337">
            <v>9972</v>
          </cell>
        </row>
        <row r="2338">
          <cell r="B2338">
            <v>9973</v>
          </cell>
        </row>
        <row r="2339">
          <cell r="B2339">
            <v>9974</v>
          </cell>
        </row>
        <row r="2340">
          <cell r="B2340">
            <v>9975</v>
          </cell>
        </row>
        <row r="2341">
          <cell r="B2341">
            <v>9976</v>
          </cell>
        </row>
        <row r="2342">
          <cell r="B2342">
            <v>9978</v>
          </cell>
        </row>
        <row r="2343">
          <cell r="B2343">
            <v>9979</v>
          </cell>
        </row>
        <row r="2344">
          <cell r="B2344">
            <v>9980</v>
          </cell>
        </row>
        <row r="2345">
          <cell r="B2345">
            <v>9981</v>
          </cell>
        </row>
        <row r="2346">
          <cell r="B2346">
            <v>9982</v>
          </cell>
        </row>
        <row r="2347">
          <cell r="B2347">
            <v>9983</v>
          </cell>
        </row>
        <row r="2348">
          <cell r="B2348">
            <v>9984</v>
          </cell>
        </row>
        <row r="2349">
          <cell r="B2349">
            <v>9987</v>
          </cell>
        </row>
        <row r="2350">
          <cell r="B2350">
            <v>9988</v>
          </cell>
        </row>
        <row r="2351">
          <cell r="B2351">
            <v>9989</v>
          </cell>
        </row>
        <row r="2352">
          <cell r="B2352">
            <v>9991</v>
          </cell>
        </row>
        <row r="2353">
          <cell r="B2353">
            <v>9995</v>
          </cell>
        </row>
        <row r="2354">
          <cell r="B2354">
            <v>9997</v>
          </cell>
        </row>
        <row r="2355">
          <cell r="B2355" t="str">
            <v>M8003</v>
          </cell>
        </row>
        <row r="2356">
          <cell r="B2356" t="str">
            <v>M8005</v>
          </cell>
        </row>
        <row r="2357">
          <cell r="B2357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0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0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0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5758" headerRowBorderDxfId="35757" tableBorderDxfId="35756" totalsRowBorderDxfId="35755">
  <autoFilter ref="A1:J73" xr:uid="{735D3412-10A4-4580-8905-5CCDC7AEEB75}"/>
  <tableColumns count="10">
    <tableColumn id="1" xr3:uid="{27E89D9F-7597-4098-ABC6-89235FA66D53}" name="IdServicio" dataDxfId="35754"/>
    <tableColumn id="2" xr3:uid="{240AD37B-F7D6-44C3-949F-E36B3A40F477}" name="PlacaAuto" dataDxfId="35753"/>
    <tableColumn id="3" xr3:uid="{6FC4FAAB-FEE2-45E9-B6E4-5A65D9EF715D}" name="IdMovil" dataDxfId="35752"/>
    <tableColumn id="4" xr3:uid="{86AF94CE-01DC-4559-B719-F7EFAC472E14}" name="FLOTA" dataDxfId="35751">
      <calculatedColumnFormula>+VLOOKUP(Tabla43[[#This Row],[IdMovil]],#REF!,2,FALSE)</calculatedColumnFormula>
    </tableColumn>
    <tableColumn id="16" xr3:uid="{8F0D0B3A-7A1E-44F5-A2A2-304A7A32AC6D}" name="REEMBOLSO" dataDxfId="35750"/>
    <tableColumn id="5" xr3:uid="{2BDDFE83-5C2A-4C6F-BDF9-82A37F0E5CFE}" name="Fecha_Servicio" dataDxfId="35749"/>
    <tableColumn id="6" xr3:uid="{7FA5AD9A-9B02-4C4F-AF14-60843373B322}" name="Fecha_Inicio" dataDxfId="35748"/>
    <tableColumn id="7" xr3:uid="{D82072DC-AC71-462D-8B70-4815D9899E20}" name="Fecha_Termino" dataDxfId="35747"/>
    <tableColumn id="8" xr3:uid="{4D6E837F-CEF9-4C48-AD19-A4967D2B57DF}" name="Total_Peaje" dataDxfId="35746"/>
    <tableColumn id="12" xr3:uid="{3ACD2D56-B4A0-452B-A79D-D30618105BAB}" name="DescTipoPago" dataDxfId="357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061" totalsRowShown="0" headerRowDxfId="35744" dataDxfId="35743" dataCellStyle="Normal 2">
  <autoFilter ref="A1:I5061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5742" dataCellStyle="Normal 2"/>
    <tableColumn id="20" xr3:uid="{A7934243-C315-4FEA-84A7-02C66D392440}" name="MOVIL" dataDxfId="35741"/>
    <tableColumn id="19" xr3:uid="{00BE01C0-EB17-42D8-8E17-5B7F913B184A}" name="DETALLE" dataDxfId="35740"/>
    <tableColumn id="21" xr3:uid="{D2FE451A-9508-4DE1-92A7-0CFF1477A437}" name="OBSV" dataDxfId="35739"/>
    <tableColumn id="1" xr3:uid="{43E5612F-8E71-4543-A164-D4B67C2209D9}" name="Fecha Inicio" dataDxfId="35738" dataCellStyle="Normal 2"/>
    <tableColumn id="4" xr3:uid="{D8F33EC8-0013-4A03-8681-9C7EFF7BBBB2}" name="Hora Inicio" dataDxfId="35737" dataCellStyle="Normal 2"/>
    <tableColumn id="3" xr3:uid="{4ED638A1-F122-4913-8124-1A64E1BA0F22}" name="Importe" dataDxfId="35736" dataCellStyle="Normal 2"/>
    <tableColumn id="13" xr3:uid="{D85BFD49-7BA0-432A-87A9-761FE2ABD13A}" name="Plaza" dataDxfId="35735" dataCellStyle="Normal 2"/>
    <tableColumn id="17" xr3:uid="{681DB140-B954-46CE-9346-27550B0D3E60}" name="Nro Comprobante" dataDxfId="35734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70" totalsRowCount="1" headerRowDxfId="35733" dataDxfId="35731" headerRowBorderDxfId="35732" tableBorderDxfId="35730" headerRowCellStyle="Moneda 2 2"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35729"/>
    <tableColumn id="2" xr3:uid="{0C053BE1-7FE7-46A0-9CE9-395D2BDAFB4F}" name="DESCUENTO POR USO PERSONAL PEX" totalsRowFunction="custom" dataDxfId="35728" totalsRowDxfId="35727">
      <calculatedColumnFormula>+SUMIFS(Tabla16[Importe],Tabla16[MOVIL],Tabla38[[#This Row],[MOVIL]],Tabla16[OBSV],"DESCONTAR POR USO PERSONAL")</calculatedColumnFormula>
      <totalsRowFormula>SUM(B2:B469)</totalsRowFormula>
    </tableColumn>
    <tableColumn id="3" xr3:uid="{7D2ECD55-F9BA-469C-9CC5-3DC86F483ABE}" name="DESCUENTO POR INCIDENCIAS PEX" totalsRowFunction="custom" dataDxfId="35726" totalsRowDxfId="35725">
      <calculatedColumnFormula>+SUMIFS(Tabla16[Importe],Tabla16[MOVIL],Tabla38[[#This Row],[MOVIL]],Tabla16[OBSV],"DESCONTAR POR INCIDENCIA")</calculatedColumnFormula>
      <totalsRowFormula>SUM(C2:C469)</totalsRowFormula>
    </tableColumn>
    <tableColumn id="4" xr3:uid="{D97A479A-B2DF-4E8B-ABE9-EF41B8DA1C26}" name="DESCUENTO POR SERVICIOS EN EFECTIVO" totalsRowFunction="custom" dataDxfId="35724" totalsRowDxfId="35723">
      <calculatedColumnFormula>+SUMIFS(Tabla16[Importe],Tabla16[MOVIL],Tabla38[[#This Row],[MOVIL]],Tabla16[OBSV],"DESCONTAR SERVICIO EN EFECTIVO")</calculatedColumnFormula>
      <totalsRowFormula>SUM(D2:D469)</totalsRowFormula>
    </tableColumn>
    <tableColumn id="8" xr3:uid="{63A022FF-13F8-4241-94E0-008D2074FB53}" name="DESCUENTO POR NUEVA INCLUSION" totalsRowFunction="custom" dataDxfId="35722" totalsRowDxfId="35721">
      <calculatedColumnFormula>+IFERROR(VLOOKUP(Tabla38[[#This Row],[MOVIL]],Tabla1[[#All],[MOVIL]:[COBRO POR NUEVA INCLUSIÓN]],4,FALSE),0)</calculatedColumnFormula>
      <totalsRowFormula>SUM(E2:E469)</totalsRowFormula>
    </tableColumn>
    <tableColumn id="6" xr3:uid="{FE3E48BA-37B5-4000-9607-0618225CFA4E}" name="TOTAL" totalsRowFunction="custom" dataDxfId="35720" totalsRowDxfId="35719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SUM(F2:F469)</totalsRowFormula>
    </tableColumn>
    <tableColumn id="5" xr3:uid="{67A4285C-3497-4DE3-93FD-D78008FE570E}" name="Columna1" dataDxfId="0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66" totalsRowShown="0" headerRowDxfId="35766" headerRowBorderDxfId="35765" tableBorderDxfId="35764">
  <autoFilter ref="A1:E466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35763" dataCellStyle="Normal 2"/>
    <tableColumn id="2" xr3:uid="{7244207D-5FE0-4928-966B-B46445AC9C44}" name="MOVIL" dataDxfId="35762" dataCellStyle="Normal 2"/>
    <tableColumn id="4" xr3:uid="{418C1210-EDE3-4E0E-A54A-7B06F30D07CD}" name="ESTADO DE PEX" dataDxfId="35761"/>
    <tableColumn id="5" xr3:uid="{7B329CBC-EC47-4BB3-89E9-037D514E685D}" name="CONEXIÓN SEM 18" dataDxfId="35760" dataCellStyle="Normal 2"/>
    <tableColumn id="8" xr3:uid="{9A84AAC0-EF34-4208-8FDB-5C562CFBBA07}" name="COBRO POR NUEVA INCLUSIÓN" dataDxfId="35759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0" dT="2025-09-02T21:45:50.28" personId="{A3B989D2-EFBB-4FE1-9CF6-B771AF2DD6B2}" id="{D664CFD4-A1E4-4584-A3D5-03875B49AB5E}">
    <text>FLOTA PROPIA</text>
  </threadedComment>
  <threadedComment ref="A281" dT="2025-09-02T21:46:01.10" personId="{A3B989D2-EFBB-4FE1-9CF6-B771AF2DD6B2}" id="{8A4F8709-76EC-45BA-9B7C-70F356E5E826}">
    <text>FLOTA PROPIA</text>
  </threadedComment>
  <threadedComment ref="A282" dT="2025-09-02T21:46:01.10" personId="{A3B989D2-EFBB-4FE1-9CF6-B771AF2DD6B2}" id="{FE709859-CC96-4980-8D61-7F506AB930C7}">
    <text>FLOTA PROPIA</text>
  </threadedComment>
  <threadedComment ref="A283" dT="2025-09-02T21:28:24.20" personId="{A3B989D2-EFBB-4FE1-9CF6-B771AF2DD6B2}" id="{730B63F7-B07D-4F51-99E9-B031FE8FB433}">
    <text>FLOTA PROPIA</text>
  </threadedComment>
  <threadedComment ref="A284" dT="2025-09-02T21:28:24.20" personId="{A3B989D2-EFBB-4FE1-9CF6-B771AF2DD6B2}" id="{3D5D6EDE-DB49-4794-AD78-2065FCFFB053}">
    <text>FLOTA PROPIA</text>
  </threadedComment>
  <threadedComment ref="A288" dT="2025-09-02T21:45:38.43" personId="{A3B989D2-EFBB-4FE1-9CF6-B771AF2DD6B2}" id="{E6136BAC-86CC-420D-9D87-61B8E406663C}">
    <text>FLOTA PROPIA</text>
  </threadedComment>
  <threadedComment ref="A289" dT="2025-09-02T21:45:38.43" personId="{A3B989D2-EFBB-4FE1-9CF6-B771AF2DD6B2}" id="{FE715B3E-BA9E-4EB4-9764-BCD02044F991}">
    <text>FLOTA PROPIA</text>
  </threadedComment>
  <threadedComment ref="A290" dT="2025-06-17T21:12:05.24" personId="{C5D597BB-34E6-4391-82A8-F56E54016A86}" id="{71303991-41B3-4788-AE63-08A0FD5A5F26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4140625" defaultRowHeight="14.4" x14ac:dyDescent="0.3"/>
  <cols>
    <col min="1" max="1" width="14.5546875" bestFit="1" customWidth="1"/>
    <col min="2" max="2" width="14.5546875" customWidth="1"/>
    <col min="3" max="3" width="11.88671875" bestFit="1" customWidth="1"/>
    <col min="4" max="4" width="23.33203125" customWidth="1"/>
    <col min="5" max="5" width="16" bestFit="1" customWidth="1"/>
    <col min="6" max="8" width="22.33203125" customWidth="1"/>
    <col min="9" max="9" width="18.88671875" customWidth="1"/>
    <col min="10" max="10" width="15.6640625" customWidth="1"/>
  </cols>
  <sheetData>
    <row r="1" spans="1:10" x14ac:dyDescent="0.3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 x14ac:dyDescent="0.3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 x14ac:dyDescent="0.3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 x14ac:dyDescent="0.3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 x14ac:dyDescent="0.3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 x14ac:dyDescent="0.3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 x14ac:dyDescent="0.3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 x14ac:dyDescent="0.3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 x14ac:dyDescent="0.3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 x14ac:dyDescent="0.3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 x14ac:dyDescent="0.3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 x14ac:dyDescent="0.3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 x14ac:dyDescent="0.3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 x14ac:dyDescent="0.3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 x14ac:dyDescent="0.3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 x14ac:dyDescent="0.3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 x14ac:dyDescent="0.3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 x14ac:dyDescent="0.3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 x14ac:dyDescent="0.3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 x14ac:dyDescent="0.3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 x14ac:dyDescent="0.3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 x14ac:dyDescent="0.3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 x14ac:dyDescent="0.3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 x14ac:dyDescent="0.3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 x14ac:dyDescent="0.3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 x14ac:dyDescent="0.3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 x14ac:dyDescent="0.3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 x14ac:dyDescent="0.3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 x14ac:dyDescent="0.3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 x14ac:dyDescent="0.3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 x14ac:dyDescent="0.3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 x14ac:dyDescent="0.3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 x14ac:dyDescent="0.3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 x14ac:dyDescent="0.3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 x14ac:dyDescent="0.3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 x14ac:dyDescent="0.3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 x14ac:dyDescent="0.3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 x14ac:dyDescent="0.3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 x14ac:dyDescent="0.3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 x14ac:dyDescent="0.3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 x14ac:dyDescent="0.3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 x14ac:dyDescent="0.3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 x14ac:dyDescent="0.3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 x14ac:dyDescent="0.3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 x14ac:dyDescent="0.3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 x14ac:dyDescent="0.3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 x14ac:dyDescent="0.3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 x14ac:dyDescent="0.3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 x14ac:dyDescent="0.3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 x14ac:dyDescent="0.3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 x14ac:dyDescent="0.3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 x14ac:dyDescent="0.3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 x14ac:dyDescent="0.3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 x14ac:dyDescent="0.3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 x14ac:dyDescent="0.3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 x14ac:dyDescent="0.3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 x14ac:dyDescent="0.3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 x14ac:dyDescent="0.3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 x14ac:dyDescent="0.3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 x14ac:dyDescent="0.3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 x14ac:dyDescent="0.3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 x14ac:dyDescent="0.3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 x14ac:dyDescent="0.3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 x14ac:dyDescent="0.3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 x14ac:dyDescent="0.3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 x14ac:dyDescent="0.3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 x14ac:dyDescent="0.3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 x14ac:dyDescent="0.3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 x14ac:dyDescent="0.3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 x14ac:dyDescent="0.3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 x14ac:dyDescent="0.3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 x14ac:dyDescent="0.3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 x14ac:dyDescent="0.3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5718" priority="449"/>
    <cfRule type="duplicateValues" dxfId="35717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061"/>
  <sheetViews>
    <sheetView workbookViewId="0"/>
  </sheetViews>
  <sheetFormatPr baseColWidth="10" defaultColWidth="14.6640625" defaultRowHeight="12" x14ac:dyDescent="0.25"/>
  <cols>
    <col min="1" max="1" width="8.6640625" style="29" bestFit="1" customWidth="1"/>
    <col min="2" max="2" width="9.88671875" style="29" bestFit="1" customWidth="1"/>
    <col min="3" max="3" width="11.44140625" style="29" bestFit="1" customWidth="1"/>
    <col min="4" max="4" width="28.44140625" style="29" bestFit="1" customWidth="1"/>
    <col min="5" max="5" width="13.33203125" style="40" bestFit="1" customWidth="1"/>
    <col min="6" max="6" width="12.5546875" style="40" bestFit="1" customWidth="1"/>
    <col min="7" max="7" width="12.5546875" style="40" customWidth="1"/>
    <col min="8" max="8" width="23.44140625" style="40" bestFit="1" customWidth="1"/>
    <col min="9" max="9" width="17.5546875" style="40" bestFit="1" customWidth="1"/>
    <col min="10" max="16384" width="14.6640625" style="40"/>
  </cols>
  <sheetData>
    <row r="1" spans="1:9" x14ac:dyDescent="0.25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17</v>
      </c>
      <c r="H1" s="39" t="s">
        <v>16</v>
      </c>
      <c r="I1" s="39" t="s">
        <v>18</v>
      </c>
    </row>
    <row r="2" spans="1:9" x14ac:dyDescent="0.25">
      <c r="A2" s="40" t="s">
        <v>393</v>
      </c>
      <c r="B2" s="28">
        <v>127</v>
      </c>
      <c r="C2" s="28" t="s">
        <v>417</v>
      </c>
      <c r="D2" s="28"/>
      <c r="E2" s="41">
        <v>46139</v>
      </c>
      <c r="F2" s="47">
        <v>0.67986111111111114</v>
      </c>
      <c r="G2" s="42">
        <v>6.3</v>
      </c>
      <c r="H2" s="40" t="s">
        <v>233</v>
      </c>
      <c r="I2" s="40" t="s">
        <v>1281</v>
      </c>
    </row>
    <row r="3" spans="1:9" x14ac:dyDescent="0.25">
      <c r="A3" s="40" t="s">
        <v>393</v>
      </c>
      <c r="B3" s="28">
        <v>127</v>
      </c>
      <c r="C3" s="28" t="s">
        <v>417</v>
      </c>
      <c r="D3" s="28"/>
      <c r="E3" s="41">
        <v>46139</v>
      </c>
      <c r="F3" s="47">
        <v>0.68761574074074072</v>
      </c>
      <c r="G3" s="42">
        <v>6.3</v>
      </c>
      <c r="H3" s="40" t="s">
        <v>234</v>
      </c>
      <c r="I3" s="40" t="s">
        <v>1281</v>
      </c>
    </row>
    <row r="4" spans="1:9" x14ac:dyDescent="0.25">
      <c r="A4" s="40" t="s">
        <v>393</v>
      </c>
      <c r="B4" s="28">
        <v>127</v>
      </c>
      <c r="C4" s="28" t="s">
        <v>418</v>
      </c>
      <c r="D4" s="28"/>
      <c r="E4" s="41">
        <v>46144</v>
      </c>
      <c r="F4" s="47">
        <v>0.85954861111111114</v>
      </c>
      <c r="G4" s="42">
        <v>6.3</v>
      </c>
      <c r="H4" s="40" t="s">
        <v>235</v>
      </c>
      <c r="I4" s="40" t="s">
        <v>1282</v>
      </c>
    </row>
    <row r="5" spans="1:9" x14ac:dyDescent="0.25">
      <c r="A5" s="40" t="s">
        <v>393</v>
      </c>
      <c r="B5" s="28">
        <v>127</v>
      </c>
      <c r="C5" s="28" t="s">
        <v>418</v>
      </c>
      <c r="D5" s="28"/>
      <c r="E5" s="41">
        <v>46144</v>
      </c>
      <c r="F5" s="47">
        <v>0.86682870370370368</v>
      </c>
      <c r="G5" s="42">
        <v>6.3</v>
      </c>
      <c r="H5" s="40" t="s">
        <v>236</v>
      </c>
      <c r="I5" s="40" t="s">
        <v>1282</v>
      </c>
    </row>
    <row r="6" spans="1:9" x14ac:dyDescent="0.25">
      <c r="A6" s="40" t="s">
        <v>292</v>
      </c>
      <c r="B6" s="28">
        <v>205</v>
      </c>
      <c r="C6" s="28">
        <v>5636517</v>
      </c>
      <c r="D6" s="28"/>
      <c r="E6" s="41">
        <v>46139</v>
      </c>
      <c r="F6" s="47">
        <v>0.40320601851851851</v>
      </c>
      <c r="G6" s="44">
        <v>6.3</v>
      </c>
      <c r="H6" s="43" t="s">
        <v>237</v>
      </c>
      <c r="I6" s="40" t="s">
        <v>1281</v>
      </c>
    </row>
    <row r="7" spans="1:9" x14ac:dyDescent="0.25">
      <c r="A7" s="40" t="s">
        <v>292</v>
      </c>
      <c r="B7" s="28">
        <v>205</v>
      </c>
      <c r="C7" s="28">
        <v>5636517</v>
      </c>
      <c r="D7" s="28"/>
      <c r="E7" s="41">
        <v>46139</v>
      </c>
      <c r="F7" s="47">
        <v>0.41084490740740742</v>
      </c>
      <c r="G7" s="44">
        <v>6.3</v>
      </c>
      <c r="H7" s="43" t="s">
        <v>234</v>
      </c>
      <c r="I7" s="40" t="s">
        <v>1281</v>
      </c>
    </row>
    <row r="8" spans="1:9" x14ac:dyDescent="0.25">
      <c r="A8" s="40" t="s">
        <v>292</v>
      </c>
      <c r="B8" s="28">
        <v>205</v>
      </c>
      <c r="C8" s="28">
        <v>5640341</v>
      </c>
      <c r="D8" s="28"/>
      <c r="E8" s="45">
        <v>46140</v>
      </c>
      <c r="F8" s="48">
        <v>0.59059027777777773</v>
      </c>
      <c r="G8" s="44">
        <v>6.3</v>
      </c>
      <c r="H8" s="43" t="s">
        <v>235</v>
      </c>
      <c r="I8" s="40" t="s">
        <v>1281</v>
      </c>
    </row>
    <row r="9" spans="1:9" x14ac:dyDescent="0.25">
      <c r="A9" s="40" t="s">
        <v>292</v>
      </c>
      <c r="B9" s="28">
        <v>205</v>
      </c>
      <c r="C9" s="28">
        <v>5640341</v>
      </c>
      <c r="D9" s="28"/>
      <c r="E9" s="41">
        <v>46140</v>
      </c>
      <c r="F9" s="47">
        <v>0.59788194444444442</v>
      </c>
      <c r="G9" s="44">
        <v>6.3</v>
      </c>
      <c r="H9" s="43" t="s">
        <v>239</v>
      </c>
      <c r="I9" s="40" t="s">
        <v>1281</v>
      </c>
    </row>
    <row r="10" spans="1:9" x14ac:dyDescent="0.25">
      <c r="A10" s="40" t="s">
        <v>292</v>
      </c>
      <c r="B10" s="28">
        <v>205</v>
      </c>
      <c r="C10" s="28">
        <v>5646279</v>
      </c>
      <c r="D10" s="28" t="s">
        <v>37</v>
      </c>
      <c r="E10" s="41">
        <v>46143</v>
      </c>
      <c r="F10" s="47">
        <v>0.84341435185185187</v>
      </c>
      <c r="G10" s="44">
        <v>6.3</v>
      </c>
      <c r="H10" s="43" t="s">
        <v>237</v>
      </c>
      <c r="I10" s="40" t="s">
        <v>1282</v>
      </c>
    </row>
    <row r="11" spans="1:9" x14ac:dyDescent="0.25">
      <c r="A11" s="40" t="s">
        <v>292</v>
      </c>
      <c r="B11" s="28">
        <v>205</v>
      </c>
      <c r="C11" s="28">
        <v>5646279</v>
      </c>
      <c r="D11" s="28" t="s">
        <v>37</v>
      </c>
      <c r="E11" s="41">
        <v>46143</v>
      </c>
      <c r="F11" s="47">
        <v>0.84875</v>
      </c>
      <c r="G11" s="44">
        <v>6.3</v>
      </c>
      <c r="H11" s="43" t="s">
        <v>234</v>
      </c>
      <c r="I11" s="40" t="s">
        <v>1282</v>
      </c>
    </row>
    <row r="12" spans="1:9" x14ac:dyDescent="0.25">
      <c r="A12" s="40" t="s">
        <v>292</v>
      </c>
      <c r="B12" s="28">
        <v>205</v>
      </c>
      <c r="C12" s="28" t="s">
        <v>419</v>
      </c>
      <c r="D12" s="28"/>
      <c r="E12" s="41">
        <v>46144</v>
      </c>
      <c r="F12" s="47">
        <v>0.42173611111111109</v>
      </c>
      <c r="G12" s="44">
        <v>6.3</v>
      </c>
      <c r="H12" s="43" t="s">
        <v>235</v>
      </c>
      <c r="I12" s="40" t="s">
        <v>1282</v>
      </c>
    </row>
    <row r="13" spans="1:9" x14ac:dyDescent="0.25">
      <c r="A13" s="40" t="s">
        <v>292</v>
      </c>
      <c r="B13" s="28">
        <v>205</v>
      </c>
      <c r="C13" s="28" t="s">
        <v>419</v>
      </c>
      <c r="D13" s="28"/>
      <c r="E13" s="41">
        <v>46144</v>
      </c>
      <c r="F13" s="47">
        <v>0.43023148148148149</v>
      </c>
      <c r="G13" s="44">
        <v>6.3</v>
      </c>
      <c r="H13" s="43" t="s">
        <v>236</v>
      </c>
      <c r="I13" s="40" t="s">
        <v>1282</v>
      </c>
    </row>
    <row r="14" spans="1:9" x14ac:dyDescent="0.25">
      <c r="A14" s="40" t="s">
        <v>292</v>
      </c>
      <c r="B14" s="28">
        <v>205</v>
      </c>
      <c r="C14" s="28" t="s">
        <v>420</v>
      </c>
      <c r="D14" s="28"/>
      <c r="E14" s="41">
        <v>46144</v>
      </c>
      <c r="F14" s="47">
        <v>0.70715277777777774</v>
      </c>
      <c r="G14" s="44">
        <v>6.3</v>
      </c>
      <c r="H14" s="43" t="s">
        <v>235</v>
      </c>
      <c r="I14" s="40" t="s">
        <v>1282</v>
      </c>
    </row>
    <row r="15" spans="1:9" x14ac:dyDescent="0.25">
      <c r="A15" s="40" t="s">
        <v>292</v>
      </c>
      <c r="B15" s="28">
        <v>205</v>
      </c>
      <c r="C15" s="28" t="s">
        <v>35</v>
      </c>
      <c r="D15" s="28" t="s">
        <v>38</v>
      </c>
      <c r="E15" s="41">
        <v>46144</v>
      </c>
      <c r="F15" s="47">
        <v>0.7645601851851852</v>
      </c>
      <c r="G15" s="44">
        <v>6.3</v>
      </c>
      <c r="H15" s="43" t="s">
        <v>234</v>
      </c>
      <c r="I15" s="40" t="s">
        <v>1282</v>
      </c>
    </row>
    <row r="16" spans="1:9" x14ac:dyDescent="0.25">
      <c r="A16" s="40" t="s">
        <v>366</v>
      </c>
      <c r="B16" s="28">
        <v>207</v>
      </c>
      <c r="C16" s="28" t="s">
        <v>421</v>
      </c>
      <c r="D16" s="28"/>
      <c r="E16" s="41">
        <v>46142</v>
      </c>
      <c r="F16" s="47">
        <v>0.91087962962962965</v>
      </c>
      <c r="G16" s="44">
        <v>6.3</v>
      </c>
      <c r="H16" s="43" t="s">
        <v>235</v>
      </c>
      <c r="I16" s="40" t="s">
        <v>1281</v>
      </c>
    </row>
    <row r="17" spans="1:9" x14ac:dyDescent="0.25">
      <c r="A17" s="40" t="s">
        <v>366</v>
      </c>
      <c r="B17" s="28">
        <v>207</v>
      </c>
      <c r="C17" s="28" t="s">
        <v>421</v>
      </c>
      <c r="D17" s="28"/>
      <c r="E17" s="41">
        <v>46142</v>
      </c>
      <c r="F17" s="47">
        <v>0.91951388888888885</v>
      </c>
      <c r="G17" s="44">
        <v>6.3</v>
      </c>
      <c r="H17" s="43" t="s">
        <v>236</v>
      </c>
      <c r="I17" s="40" t="s">
        <v>1281</v>
      </c>
    </row>
    <row r="18" spans="1:9" x14ac:dyDescent="0.25">
      <c r="A18" s="40" t="s">
        <v>366</v>
      </c>
      <c r="B18" s="28">
        <v>207</v>
      </c>
      <c r="C18" s="28" t="s">
        <v>35</v>
      </c>
      <c r="D18" s="28" t="s">
        <v>38</v>
      </c>
      <c r="E18" s="41">
        <v>46142</v>
      </c>
      <c r="F18" s="47">
        <v>0.9397106481481482</v>
      </c>
      <c r="G18" s="44">
        <v>6.3</v>
      </c>
      <c r="H18" s="43" t="s">
        <v>233</v>
      </c>
      <c r="I18" s="40" t="s">
        <v>1281</v>
      </c>
    </row>
    <row r="19" spans="1:9" x14ac:dyDescent="0.25">
      <c r="A19" s="40" t="s">
        <v>366</v>
      </c>
      <c r="B19" s="28">
        <v>207</v>
      </c>
      <c r="C19" s="28" t="s">
        <v>35</v>
      </c>
      <c r="D19" s="28" t="s">
        <v>38</v>
      </c>
      <c r="E19" s="41">
        <v>46142</v>
      </c>
      <c r="F19" s="47">
        <v>0.9516782407407407</v>
      </c>
      <c r="G19" s="44">
        <v>6.3</v>
      </c>
      <c r="H19" s="43" t="s">
        <v>234</v>
      </c>
      <c r="I19" s="40" t="s">
        <v>1281</v>
      </c>
    </row>
    <row r="20" spans="1:9" x14ac:dyDescent="0.25">
      <c r="A20" s="40" t="s">
        <v>366</v>
      </c>
      <c r="B20" s="28">
        <v>207</v>
      </c>
      <c r="C20" s="28" t="s">
        <v>422</v>
      </c>
      <c r="D20" s="28"/>
      <c r="E20" s="41">
        <v>46143</v>
      </c>
      <c r="F20" s="47">
        <v>0.36618055555555556</v>
      </c>
      <c r="G20" s="44">
        <v>6.3</v>
      </c>
      <c r="H20" s="43" t="s">
        <v>235</v>
      </c>
      <c r="I20" s="40" t="s">
        <v>1282</v>
      </c>
    </row>
    <row r="21" spans="1:9" x14ac:dyDescent="0.25">
      <c r="A21" s="40" t="s">
        <v>366</v>
      </c>
      <c r="B21" s="28">
        <v>207</v>
      </c>
      <c r="C21" s="28" t="s">
        <v>422</v>
      </c>
      <c r="D21" s="28"/>
      <c r="E21" s="41">
        <v>46143</v>
      </c>
      <c r="F21" s="47">
        <v>0.37375000000000003</v>
      </c>
      <c r="G21" s="44">
        <v>6.3</v>
      </c>
      <c r="H21" s="43" t="s">
        <v>236</v>
      </c>
      <c r="I21" s="40" t="s">
        <v>1282</v>
      </c>
    </row>
    <row r="22" spans="1:9" x14ac:dyDescent="0.25">
      <c r="A22" s="40" t="s">
        <v>366</v>
      </c>
      <c r="B22" s="28">
        <v>207</v>
      </c>
      <c r="C22" s="28" t="s">
        <v>35</v>
      </c>
      <c r="D22" s="28" t="s">
        <v>38</v>
      </c>
      <c r="E22" s="41">
        <v>46143</v>
      </c>
      <c r="F22" s="47">
        <v>0.4057986111111111</v>
      </c>
      <c r="G22" s="44">
        <v>6.3</v>
      </c>
      <c r="H22" s="43" t="s">
        <v>233</v>
      </c>
      <c r="I22" s="40" t="s">
        <v>1282</v>
      </c>
    </row>
    <row r="23" spans="1:9" x14ac:dyDescent="0.25">
      <c r="A23" s="40" t="s">
        <v>366</v>
      </c>
      <c r="B23" s="28">
        <v>207</v>
      </c>
      <c r="C23" s="28" t="s">
        <v>35</v>
      </c>
      <c r="D23" s="28" t="s">
        <v>38</v>
      </c>
      <c r="E23" s="41">
        <v>46143</v>
      </c>
      <c r="F23" s="47">
        <v>0.41108796296296296</v>
      </c>
      <c r="G23" s="44">
        <v>6.3</v>
      </c>
      <c r="H23" s="43" t="s">
        <v>234</v>
      </c>
      <c r="I23" s="40" t="s">
        <v>1282</v>
      </c>
    </row>
    <row r="24" spans="1:9" x14ac:dyDescent="0.25">
      <c r="A24" s="40" t="s">
        <v>366</v>
      </c>
      <c r="B24" s="28">
        <v>207</v>
      </c>
      <c r="C24" s="28" t="s">
        <v>35</v>
      </c>
      <c r="D24" s="28" t="s">
        <v>38</v>
      </c>
      <c r="E24" s="41">
        <v>46145</v>
      </c>
      <c r="F24" s="47">
        <v>0.54590277777777774</v>
      </c>
      <c r="G24" s="44">
        <v>6.3</v>
      </c>
      <c r="H24" s="43" t="s">
        <v>235</v>
      </c>
      <c r="I24" s="40" t="s">
        <v>1282</v>
      </c>
    </row>
    <row r="25" spans="1:9" x14ac:dyDescent="0.25">
      <c r="A25" s="40" t="s">
        <v>366</v>
      </c>
      <c r="B25" s="28">
        <v>207</v>
      </c>
      <c r="C25" s="28" t="s">
        <v>35</v>
      </c>
      <c r="D25" s="28" t="s">
        <v>38</v>
      </c>
      <c r="E25" s="41">
        <v>46145</v>
      </c>
      <c r="F25" s="47">
        <v>0.55471064814814819</v>
      </c>
      <c r="G25" s="42">
        <v>6.3</v>
      </c>
      <c r="H25" s="40" t="s">
        <v>236</v>
      </c>
      <c r="I25" s="40" t="s">
        <v>1282</v>
      </c>
    </row>
    <row r="26" spans="1:9" x14ac:dyDescent="0.25">
      <c r="A26" s="40" t="s">
        <v>366</v>
      </c>
      <c r="B26" s="28">
        <v>207</v>
      </c>
      <c r="C26" s="28" t="s">
        <v>35</v>
      </c>
      <c r="D26" s="28" t="s">
        <v>38</v>
      </c>
      <c r="E26" s="41">
        <v>46145</v>
      </c>
      <c r="F26" s="47">
        <v>0.57251157407407405</v>
      </c>
      <c r="G26" s="42">
        <v>6.3</v>
      </c>
      <c r="H26" s="40" t="s">
        <v>237</v>
      </c>
      <c r="I26" s="40" t="s">
        <v>1282</v>
      </c>
    </row>
    <row r="27" spans="1:9" x14ac:dyDescent="0.25">
      <c r="A27" s="40" t="s">
        <v>366</v>
      </c>
      <c r="B27" s="28">
        <v>207</v>
      </c>
      <c r="C27" s="28" t="s">
        <v>35</v>
      </c>
      <c r="D27" s="28" t="s">
        <v>38</v>
      </c>
      <c r="E27" s="41">
        <v>46145</v>
      </c>
      <c r="F27" s="47">
        <v>0.57807870370370373</v>
      </c>
      <c r="G27" s="42">
        <v>6.3</v>
      </c>
      <c r="H27" s="40" t="s">
        <v>234</v>
      </c>
      <c r="I27" s="40" t="s">
        <v>1282</v>
      </c>
    </row>
    <row r="28" spans="1:9" x14ac:dyDescent="0.25">
      <c r="A28" s="40" t="s">
        <v>51</v>
      </c>
      <c r="B28" s="28">
        <v>210</v>
      </c>
      <c r="C28" s="28" t="s">
        <v>423</v>
      </c>
      <c r="D28" s="28"/>
      <c r="E28" s="41">
        <v>46139</v>
      </c>
      <c r="F28" s="47">
        <v>0.35143518518518518</v>
      </c>
      <c r="G28" s="42">
        <v>6.3</v>
      </c>
      <c r="H28" s="40" t="s">
        <v>235</v>
      </c>
      <c r="I28" s="40" t="s">
        <v>1281</v>
      </c>
    </row>
    <row r="29" spans="1:9" x14ac:dyDescent="0.25">
      <c r="A29" s="40" t="s">
        <v>51</v>
      </c>
      <c r="B29" s="28">
        <v>210</v>
      </c>
      <c r="C29" s="28" t="s">
        <v>423</v>
      </c>
      <c r="D29" s="28"/>
      <c r="E29" s="41">
        <v>46139</v>
      </c>
      <c r="F29" s="47">
        <v>0.37994212962962964</v>
      </c>
      <c r="G29" s="44">
        <v>6.3</v>
      </c>
      <c r="H29" s="43" t="s">
        <v>236</v>
      </c>
      <c r="I29" s="40" t="s">
        <v>1281</v>
      </c>
    </row>
    <row r="30" spans="1:9" x14ac:dyDescent="0.25">
      <c r="A30" s="40" t="s">
        <v>51</v>
      </c>
      <c r="B30" s="28">
        <v>210</v>
      </c>
      <c r="C30" s="28">
        <v>5637767</v>
      </c>
      <c r="D30" s="28"/>
      <c r="E30" s="41">
        <v>46139</v>
      </c>
      <c r="F30" s="47">
        <v>0.41496527777777775</v>
      </c>
      <c r="G30" s="44">
        <v>6.3</v>
      </c>
      <c r="H30" s="43" t="s">
        <v>237</v>
      </c>
      <c r="I30" s="40" t="s">
        <v>1281</v>
      </c>
    </row>
    <row r="31" spans="1:9" x14ac:dyDescent="0.25">
      <c r="A31" s="40" t="s">
        <v>51</v>
      </c>
      <c r="B31" s="28">
        <v>210</v>
      </c>
      <c r="C31" s="28">
        <v>5637767</v>
      </c>
      <c r="D31" s="28"/>
      <c r="E31" s="41">
        <v>46139</v>
      </c>
      <c r="F31" s="47">
        <v>0.42146990740740742</v>
      </c>
      <c r="G31" s="44">
        <v>6.3</v>
      </c>
      <c r="H31" s="43" t="s">
        <v>234</v>
      </c>
      <c r="I31" s="40" t="s">
        <v>1281</v>
      </c>
    </row>
    <row r="32" spans="1:9" x14ac:dyDescent="0.25">
      <c r="A32" s="40" t="s">
        <v>51</v>
      </c>
      <c r="B32" s="28">
        <v>210</v>
      </c>
      <c r="C32" s="28" t="s">
        <v>424</v>
      </c>
      <c r="D32" s="28"/>
      <c r="E32" s="41">
        <v>46139</v>
      </c>
      <c r="F32" s="47">
        <v>0.84857638888888887</v>
      </c>
      <c r="G32" s="44">
        <v>6.3</v>
      </c>
      <c r="H32" s="43" t="s">
        <v>235</v>
      </c>
      <c r="I32" s="40" t="s">
        <v>1281</v>
      </c>
    </row>
    <row r="33" spans="1:9" x14ac:dyDescent="0.25">
      <c r="A33" s="40" t="s">
        <v>51</v>
      </c>
      <c r="B33" s="28">
        <v>210</v>
      </c>
      <c r="C33" s="28" t="s">
        <v>424</v>
      </c>
      <c r="D33" s="28"/>
      <c r="E33" s="41">
        <v>46139</v>
      </c>
      <c r="F33" s="47">
        <v>0.85918981481481482</v>
      </c>
      <c r="G33" s="44">
        <v>6.3</v>
      </c>
      <c r="H33" s="43" t="s">
        <v>236</v>
      </c>
      <c r="I33" s="40" t="s">
        <v>1281</v>
      </c>
    </row>
    <row r="34" spans="1:9" x14ac:dyDescent="0.25">
      <c r="A34" s="40" t="s">
        <v>51</v>
      </c>
      <c r="B34" s="28">
        <v>210</v>
      </c>
      <c r="C34" s="28" t="s">
        <v>35</v>
      </c>
      <c r="D34" s="28" t="s">
        <v>38</v>
      </c>
      <c r="E34" s="41">
        <v>46139</v>
      </c>
      <c r="F34" s="47">
        <v>0.9117939814814815</v>
      </c>
      <c r="G34" s="44">
        <v>6.3</v>
      </c>
      <c r="H34" s="43" t="s">
        <v>237</v>
      </c>
      <c r="I34" s="40" t="s">
        <v>1281</v>
      </c>
    </row>
    <row r="35" spans="1:9" x14ac:dyDescent="0.25">
      <c r="A35" s="40" t="s">
        <v>51</v>
      </c>
      <c r="B35" s="28">
        <v>210</v>
      </c>
      <c r="C35" s="28" t="s">
        <v>35</v>
      </c>
      <c r="D35" s="28" t="s">
        <v>38</v>
      </c>
      <c r="E35" s="45">
        <v>46139</v>
      </c>
      <c r="F35" s="48">
        <v>0.91738425925925926</v>
      </c>
      <c r="G35" s="44">
        <v>6.3</v>
      </c>
      <c r="H35" s="43" t="s">
        <v>234</v>
      </c>
      <c r="I35" s="40" t="s">
        <v>1281</v>
      </c>
    </row>
    <row r="36" spans="1:9" x14ac:dyDescent="0.25">
      <c r="A36" s="40" t="s">
        <v>51</v>
      </c>
      <c r="B36" s="28">
        <v>210</v>
      </c>
      <c r="C36" s="28">
        <v>5643283</v>
      </c>
      <c r="D36" s="28"/>
      <c r="E36" s="41">
        <v>46141</v>
      </c>
      <c r="F36" s="47">
        <v>0.77732638888888894</v>
      </c>
      <c r="G36" s="44">
        <v>6.3</v>
      </c>
      <c r="H36" s="43" t="s">
        <v>235</v>
      </c>
      <c r="I36" s="40" t="s">
        <v>1281</v>
      </c>
    </row>
    <row r="37" spans="1:9" x14ac:dyDescent="0.25">
      <c r="A37" s="40" t="s">
        <v>51</v>
      </c>
      <c r="B37" s="28">
        <v>210</v>
      </c>
      <c r="C37" s="28" t="s">
        <v>35</v>
      </c>
      <c r="D37" s="28" t="s">
        <v>38</v>
      </c>
      <c r="E37" s="41">
        <v>46144</v>
      </c>
      <c r="F37" s="47">
        <v>0.7321643518518518</v>
      </c>
      <c r="G37" s="42">
        <v>6.3</v>
      </c>
      <c r="H37" s="40" t="s">
        <v>234</v>
      </c>
      <c r="I37" s="40" t="s">
        <v>1282</v>
      </c>
    </row>
    <row r="38" spans="1:9" x14ac:dyDescent="0.25">
      <c r="A38" s="40" t="s">
        <v>51</v>
      </c>
      <c r="B38" s="28">
        <v>210</v>
      </c>
      <c r="C38" s="28" t="s">
        <v>35</v>
      </c>
      <c r="D38" s="28" t="s">
        <v>38</v>
      </c>
      <c r="E38" s="41">
        <v>46145</v>
      </c>
      <c r="F38" s="47">
        <v>0.68567129629629631</v>
      </c>
      <c r="G38" s="42">
        <v>6.3</v>
      </c>
      <c r="H38" s="40" t="s">
        <v>234</v>
      </c>
      <c r="I38" s="40" t="s">
        <v>1282</v>
      </c>
    </row>
    <row r="39" spans="1:9" x14ac:dyDescent="0.25">
      <c r="A39" s="40" t="s">
        <v>51</v>
      </c>
      <c r="B39" s="28">
        <v>210</v>
      </c>
      <c r="C39" s="28" t="s">
        <v>425</v>
      </c>
      <c r="D39" s="28"/>
      <c r="E39" s="41">
        <v>46145</v>
      </c>
      <c r="F39" s="47">
        <v>0.73556712962962967</v>
      </c>
      <c r="G39" s="42">
        <v>6.3</v>
      </c>
      <c r="H39" s="40" t="s">
        <v>235</v>
      </c>
      <c r="I39" s="40" t="s">
        <v>1282</v>
      </c>
    </row>
    <row r="40" spans="1:9" x14ac:dyDescent="0.25">
      <c r="A40" s="40" t="s">
        <v>51</v>
      </c>
      <c r="B40" s="28">
        <v>210</v>
      </c>
      <c r="C40" s="28" t="s">
        <v>425</v>
      </c>
      <c r="D40" s="28"/>
      <c r="E40" s="41">
        <v>46145</v>
      </c>
      <c r="F40" s="47">
        <v>0.74254629629629632</v>
      </c>
      <c r="G40" s="42">
        <v>6.3</v>
      </c>
      <c r="H40" s="40" t="s">
        <v>236</v>
      </c>
      <c r="I40" s="40" t="s">
        <v>1282</v>
      </c>
    </row>
    <row r="41" spans="1:9" x14ac:dyDescent="0.25">
      <c r="A41" s="40" t="s">
        <v>51</v>
      </c>
      <c r="B41" s="28">
        <v>210</v>
      </c>
      <c r="C41" s="28" t="s">
        <v>35</v>
      </c>
      <c r="D41" s="28" t="s">
        <v>38</v>
      </c>
      <c r="E41" s="45">
        <v>46145</v>
      </c>
      <c r="F41" s="48">
        <v>0.76233796296296297</v>
      </c>
      <c r="G41" s="42">
        <v>6.3</v>
      </c>
      <c r="H41" s="40" t="s">
        <v>237</v>
      </c>
      <c r="I41" s="40" t="s">
        <v>1282</v>
      </c>
    </row>
    <row r="42" spans="1:9" x14ac:dyDescent="0.25">
      <c r="A42" s="40" t="s">
        <v>51</v>
      </c>
      <c r="B42" s="28">
        <v>210</v>
      </c>
      <c r="C42" s="28" t="s">
        <v>35</v>
      </c>
      <c r="D42" s="28" t="s">
        <v>38</v>
      </c>
      <c r="E42" s="41">
        <v>46145</v>
      </c>
      <c r="F42" s="47">
        <v>0.76804398148148145</v>
      </c>
      <c r="G42" s="42">
        <v>6.3</v>
      </c>
      <c r="H42" s="40" t="s">
        <v>234</v>
      </c>
      <c r="I42" s="40" t="s">
        <v>1282</v>
      </c>
    </row>
    <row r="43" spans="1:9" x14ac:dyDescent="0.25">
      <c r="A43" s="40" t="s">
        <v>53</v>
      </c>
      <c r="B43" s="28">
        <v>213</v>
      </c>
      <c r="C43" s="28">
        <v>5636558</v>
      </c>
      <c r="D43" s="28"/>
      <c r="E43" s="41">
        <v>46139</v>
      </c>
      <c r="F43" s="47">
        <v>0.14494212962962963</v>
      </c>
      <c r="G43" s="44">
        <v>6.3</v>
      </c>
      <c r="H43" s="43" t="s">
        <v>237</v>
      </c>
      <c r="I43" s="40" t="s">
        <v>1281</v>
      </c>
    </row>
    <row r="44" spans="1:9" x14ac:dyDescent="0.25">
      <c r="A44" s="40" t="s">
        <v>53</v>
      </c>
      <c r="B44" s="28">
        <v>213</v>
      </c>
      <c r="C44" s="28">
        <v>5636558</v>
      </c>
      <c r="D44" s="28"/>
      <c r="E44" s="41">
        <v>46139</v>
      </c>
      <c r="F44" s="47">
        <v>0.15165509259259261</v>
      </c>
      <c r="G44" s="44">
        <v>6.3</v>
      </c>
      <c r="H44" s="43" t="s">
        <v>234</v>
      </c>
      <c r="I44" s="40" t="s">
        <v>1281</v>
      </c>
    </row>
    <row r="45" spans="1:9" x14ac:dyDescent="0.25">
      <c r="A45" s="40" t="s">
        <v>53</v>
      </c>
      <c r="B45" s="28">
        <v>213</v>
      </c>
      <c r="C45" s="28">
        <v>5637462</v>
      </c>
      <c r="D45" s="28" t="s">
        <v>37</v>
      </c>
      <c r="E45" s="45">
        <v>46139</v>
      </c>
      <c r="F45" s="48">
        <v>0.22686342592592593</v>
      </c>
      <c r="G45" s="44">
        <v>6.3</v>
      </c>
      <c r="H45" s="43" t="s">
        <v>234</v>
      </c>
      <c r="I45" s="40" t="s">
        <v>1281</v>
      </c>
    </row>
    <row r="46" spans="1:9" x14ac:dyDescent="0.25">
      <c r="A46" s="40" t="s">
        <v>53</v>
      </c>
      <c r="B46" s="28">
        <v>213</v>
      </c>
      <c r="C46" s="28" t="s">
        <v>35</v>
      </c>
      <c r="D46" s="28" t="s">
        <v>38</v>
      </c>
      <c r="E46" s="41">
        <v>46139</v>
      </c>
      <c r="F46" s="47">
        <v>0.98055555555555551</v>
      </c>
      <c r="G46" s="44">
        <v>6.3</v>
      </c>
      <c r="H46" s="43" t="s">
        <v>234</v>
      </c>
      <c r="I46" s="40" t="s">
        <v>1281</v>
      </c>
    </row>
    <row r="47" spans="1:9" x14ac:dyDescent="0.25">
      <c r="A47" s="40" t="s">
        <v>53</v>
      </c>
      <c r="B47" s="28">
        <v>213</v>
      </c>
      <c r="C47" s="28">
        <v>5639821</v>
      </c>
      <c r="D47" s="28"/>
      <c r="E47" s="41">
        <v>46140</v>
      </c>
      <c r="F47" s="47">
        <v>1.2627314814814815E-2</v>
      </c>
      <c r="G47" s="44">
        <v>6.3</v>
      </c>
      <c r="H47" s="43" t="s">
        <v>235</v>
      </c>
      <c r="I47" s="40" t="s">
        <v>1281</v>
      </c>
    </row>
    <row r="48" spans="1:9" x14ac:dyDescent="0.25">
      <c r="A48" s="40" t="s">
        <v>53</v>
      </c>
      <c r="B48" s="28">
        <v>213</v>
      </c>
      <c r="C48" s="28">
        <v>5639821</v>
      </c>
      <c r="D48" s="28"/>
      <c r="E48" s="41">
        <v>46140</v>
      </c>
      <c r="F48" s="47">
        <v>2.2569444444444444E-2</v>
      </c>
      <c r="G48" s="44">
        <v>6.3</v>
      </c>
      <c r="H48" s="43" t="s">
        <v>239</v>
      </c>
      <c r="I48" s="40" t="s">
        <v>1281</v>
      </c>
    </row>
    <row r="49" spans="1:9" x14ac:dyDescent="0.25">
      <c r="A49" s="40" t="s">
        <v>53</v>
      </c>
      <c r="B49" s="28">
        <v>213</v>
      </c>
      <c r="C49" s="28">
        <v>5640023</v>
      </c>
      <c r="D49" s="28"/>
      <c r="E49" s="41">
        <v>46140</v>
      </c>
      <c r="F49" s="47">
        <v>0.34296296296296297</v>
      </c>
      <c r="G49" s="44">
        <v>6.3</v>
      </c>
      <c r="H49" s="43" t="s">
        <v>235</v>
      </c>
      <c r="I49" s="40" t="s">
        <v>1281</v>
      </c>
    </row>
    <row r="50" spans="1:9" x14ac:dyDescent="0.25">
      <c r="A50" s="40" t="s">
        <v>53</v>
      </c>
      <c r="B50" s="28">
        <v>213</v>
      </c>
      <c r="C50" s="28">
        <v>5640023</v>
      </c>
      <c r="D50" s="28"/>
      <c r="E50" s="41">
        <v>46140</v>
      </c>
      <c r="F50" s="47">
        <v>0.36572916666666666</v>
      </c>
      <c r="G50" s="44">
        <v>6.3</v>
      </c>
      <c r="H50" s="43" t="s">
        <v>236</v>
      </c>
      <c r="I50" s="40" t="s">
        <v>1281</v>
      </c>
    </row>
    <row r="51" spans="1:9" x14ac:dyDescent="0.25">
      <c r="A51" s="40" t="s">
        <v>53</v>
      </c>
      <c r="B51" s="28">
        <v>213</v>
      </c>
      <c r="C51" s="28" t="s">
        <v>35</v>
      </c>
      <c r="D51" s="28" t="s">
        <v>38</v>
      </c>
      <c r="E51" s="41">
        <v>46140</v>
      </c>
      <c r="F51" s="47">
        <v>0.39850694444444446</v>
      </c>
      <c r="G51" s="44">
        <v>6.3</v>
      </c>
      <c r="H51" s="43" t="s">
        <v>237</v>
      </c>
      <c r="I51" s="40" t="s">
        <v>1281</v>
      </c>
    </row>
    <row r="52" spans="1:9" x14ac:dyDescent="0.25">
      <c r="A52" s="40" t="s">
        <v>53</v>
      </c>
      <c r="B52" s="28">
        <v>213</v>
      </c>
      <c r="C52" s="28">
        <v>5643574</v>
      </c>
      <c r="D52" s="28" t="s">
        <v>36</v>
      </c>
      <c r="E52" s="41">
        <v>46142</v>
      </c>
      <c r="F52" s="47">
        <v>0.28886574074074073</v>
      </c>
      <c r="G52" s="44">
        <v>6.3</v>
      </c>
      <c r="H52" s="43" t="s">
        <v>237</v>
      </c>
      <c r="I52" s="40" t="s">
        <v>1281</v>
      </c>
    </row>
    <row r="53" spans="1:9" x14ac:dyDescent="0.25">
      <c r="A53" s="40" t="s">
        <v>53</v>
      </c>
      <c r="B53" s="28">
        <v>213</v>
      </c>
      <c r="C53" s="28">
        <v>5643574</v>
      </c>
      <c r="D53" s="28" t="s">
        <v>36</v>
      </c>
      <c r="E53" s="41">
        <v>46142</v>
      </c>
      <c r="F53" s="47">
        <v>0.29877314814814815</v>
      </c>
      <c r="G53" s="44">
        <v>6.3</v>
      </c>
      <c r="H53" s="43" t="s">
        <v>234</v>
      </c>
      <c r="I53" s="40" t="s">
        <v>1281</v>
      </c>
    </row>
    <row r="54" spans="1:9" x14ac:dyDescent="0.25">
      <c r="A54" s="40" t="s">
        <v>53</v>
      </c>
      <c r="B54" s="28">
        <v>213</v>
      </c>
      <c r="C54" s="28">
        <v>5645913</v>
      </c>
      <c r="D54" s="28" t="s">
        <v>37</v>
      </c>
      <c r="E54" s="41">
        <v>46143</v>
      </c>
      <c r="F54" s="47">
        <v>4.0451388888888891E-2</v>
      </c>
      <c r="G54" s="44">
        <v>6.3</v>
      </c>
      <c r="H54" s="43" t="s">
        <v>235</v>
      </c>
      <c r="I54" s="40" t="s">
        <v>1282</v>
      </c>
    </row>
    <row r="55" spans="1:9" x14ac:dyDescent="0.25">
      <c r="A55" s="40" t="s">
        <v>53</v>
      </c>
      <c r="B55" s="28">
        <v>213</v>
      </c>
      <c r="C55" s="28">
        <v>5645913</v>
      </c>
      <c r="D55" s="28" t="s">
        <v>37</v>
      </c>
      <c r="E55" s="41">
        <v>46143</v>
      </c>
      <c r="F55" s="47">
        <v>4.704861111111111E-2</v>
      </c>
      <c r="G55" s="42">
        <v>6.3</v>
      </c>
      <c r="H55" s="40" t="s">
        <v>236</v>
      </c>
      <c r="I55" s="40" t="s">
        <v>1282</v>
      </c>
    </row>
    <row r="56" spans="1:9" x14ac:dyDescent="0.25">
      <c r="A56" s="40" t="s">
        <v>53</v>
      </c>
      <c r="B56" s="28">
        <v>213</v>
      </c>
      <c r="C56" s="28">
        <v>5646091</v>
      </c>
      <c r="D56" s="28"/>
      <c r="E56" s="41">
        <v>46143</v>
      </c>
      <c r="F56" s="47">
        <v>0.31318287037037035</v>
      </c>
      <c r="G56" s="42">
        <v>6.3</v>
      </c>
      <c r="H56" s="40" t="s">
        <v>235</v>
      </c>
      <c r="I56" s="40" t="s">
        <v>1282</v>
      </c>
    </row>
    <row r="57" spans="1:9" x14ac:dyDescent="0.25">
      <c r="A57" s="40" t="s">
        <v>53</v>
      </c>
      <c r="B57" s="28">
        <v>213</v>
      </c>
      <c r="C57" s="28">
        <v>5646091</v>
      </c>
      <c r="D57" s="28"/>
      <c r="E57" s="45">
        <v>46143</v>
      </c>
      <c r="F57" s="48">
        <v>0.31976851851851851</v>
      </c>
      <c r="G57" s="42">
        <v>6.3</v>
      </c>
      <c r="H57" s="40" t="s">
        <v>236</v>
      </c>
      <c r="I57" s="40" t="s">
        <v>1282</v>
      </c>
    </row>
    <row r="58" spans="1:9" x14ac:dyDescent="0.25">
      <c r="A58" s="40" t="s">
        <v>327</v>
      </c>
      <c r="B58" s="28">
        <v>217</v>
      </c>
      <c r="C58" s="28">
        <v>5637490</v>
      </c>
      <c r="D58" s="28"/>
      <c r="E58" s="41">
        <v>46139</v>
      </c>
      <c r="F58" s="47">
        <v>6.0451388888888888E-2</v>
      </c>
      <c r="G58" s="42">
        <v>6.3</v>
      </c>
      <c r="H58" s="40" t="s">
        <v>235</v>
      </c>
      <c r="I58" s="40" t="s">
        <v>1281</v>
      </c>
    </row>
    <row r="59" spans="1:9" x14ac:dyDescent="0.25">
      <c r="A59" s="40" t="s">
        <v>327</v>
      </c>
      <c r="B59" s="28">
        <v>217</v>
      </c>
      <c r="C59" s="28">
        <v>10551028</v>
      </c>
      <c r="D59" s="28"/>
      <c r="E59" s="41">
        <v>46140</v>
      </c>
      <c r="F59" s="47">
        <v>5.3356481481481484E-2</v>
      </c>
      <c r="G59" s="44">
        <v>6.3</v>
      </c>
      <c r="H59" s="43" t="s">
        <v>235</v>
      </c>
      <c r="I59" s="40" t="s">
        <v>1281</v>
      </c>
    </row>
    <row r="60" spans="1:9" x14ac:dyDescent="0.25">
      <c r="A60" s="40" t="s">
        <v>327</v>
      </c>
      <c r="B60" s="28">
        <v>217</v>
      </c>
      <c r="C60" s="28">
        <v>10551829</v>
      </c>
      <c r="D60" s="28" t="s">
        <v>36</v>
      </c>
      <c r="E60" s="45">
        <v>46141</v>
      </c>
      <c r="F60" s="48">
        <v>6.9560185185185185E-3</v>
      </c>
      <c r="G60" s="44">
        <v>6.3</v>
      </c>
      <c r="H60" s="43" t="s">
        <v>235</v>
      </c>
      <c r="I60" s="40" t="s">
        <v>1281</v>
      </c>
    </row>
    <row r="61" spans="1:9" x14ac:dyDescent="0.25">
      <c r="A61" s="40" t="s">
        <v>327</v>
      </c>
      <c r="B61" s="28">
        <v>217</v>
      </c>
      <c r="C61" s="28">
        <v>5641777</v>
      </c>
      <c r="D61" s="28"/>
      <c r="E61" s="41">
        <v>46141</v>
      </c>
      <c r="F61" s="47">
        <v>0.1471875</v>
      </c>
      <c r="G61" s="44">
        <v>6.3</v>
      </c>
      <c r="H61" s="43" t="s">
        <v>237</v>
      </c>
      <c r="I61" s="40" t="s">
        <v>1281</v>
      </c>
    </row>
    <row r="62" spans="1:9" x14ac:dyDescent="0.25">
      <c r="A62" s="40" t="s">
        <v>327</v>
      </c>
      <c r="B62" s="28">
        <v>217</v>
      </c>
      <c r="C62" s="28">
        <v>5641777</v>
      </c>
      <c r="D62" s="28"/>
      <c r="E62" s="41">
        <v>46141</v>
      </c>
      <c r="F62" s="47">
        <v>0.15258101851851852</v>
      </c>
      <c r="G62" s="44">
        <v>6.3</v>
      </c>
      <c r="H62" s="43" t="s">
        <v>234</v>
      </c>
      <c r="I62" s="40" t="s">
        <v>1281</v>
      </c>
    </row>
    <row r="63" spans="1:9" x14ac:dyDescent="0.25">
      <c r="A63" s="40" t="s">
        <v>327</v>
      </c>
      <c r="B63" s="28">
        <v>217</v>
      </c>
      <c r="C63" s="28">
        <v>5644117</v>
      </c>
      <c r="D63" s="28"/>
      <c r="E63" s="45">
        <v>46142</v>
      </c>
      <c r="F63" s="48">
        <v>0.23479166666666668</v>
      </c>
      <c r="G63" s="44">
        <v>6.3</v>
      </c>
      <c r="H63" s="43" t="s">
        <v>235</v>
      </c>
      <c r="I63" s="40" t="s">
        <v>1281</v>
      </c>
    </row>
    <row r="64" spans="1:9" x14ac:dyDescent="0.25">
      <c r="A64" s="40" t="s">
        <v>327</v>
      </c>
      <c r="B64" s="28">
        <v>217</v>
      </c>
      <c r="C64" s="28">
        <v>5643798</v>
      </c>
      <c r="D64" s="28" t="s">
        <v>37</v>
      </c>
      <c r="E64" s="45">
        <v>46142</v>
      </c>
      <c r="F64" s="48">
        <v>0.36956018518518519</v>
      </c>
      <c r="G64" s="44">
        <v>6.3</v>
      </c>
      <c r="H64" s="43" t="s">
        <v>234</v>
      </c>
      <c r="I64" s="40" t="s">
        <v>1281</v>
      </c>
    </row>
    <row r="65" spans="1:9" x14ac:dyDescent="0.25">
      <c r="A65" s="40" t="s">
        <v>327</v>
      </c>
      <c r="B65" s="28">
        <v>217</v>
      </c>
      <c r="C65" s="28" t="s">
        <v>35</v>
      </c>
      <c r="D65" s="28" t="s">
        <v>38</v>
      </c>
      <c r="E65" s="41">
        <v>46143</v>
      </c>
      <c r="F65" s="47">
        <v>1.6701388888888891E-2</v>
      </c>
      <c r="G65" s="44">
        <v>6.3</v>
      </c>
      <c r="H65" s="43" t="s">
        <v>237</v>
      </c>
      <c r="I65" s="40" t="s">
        <v>1282</v>
      </c>
    </row>
    <row r="66" spans="1:9" x14ac:dyDescent="0.25">
      <c r="A66" s="40" t="s">
        <v>327</v>
      </c>
      <c r="B66" s="28">
        <v>217</v>
      </c>
      <c r="C66" s="28" t="s">
        <v>35</v>
      </c>
      <c r="D66" s="28" t="s">
        <v>38</v>
      </c>
      <c r="E66" s="41">
        <v>46143</v>
      </c>
      <c r="F66" s="47">
        <v>2.4270833333333332E-2</v>
      </c>
      <c r="G66" s="44">
        <v>6.3</v>
      </c>
      <c r="H66" s="43" t="s">
        <v>234</v>
      </c>
      <c r="I66" s="40" t="s">
        <v>1282</v>
      </c>
    </row>
    <row r="67" spans="1:9" x14ac:dyDescent="0.25">
      <c r="A67" s="40" t="s">
        <v>327</v>
      </c>
      <c r="B67" s="28">
        <v>217</v>
      </c>
      <c r="C67" s="28" t="s">
        <v>426</v>
      </c>
      <c r="D67" s="28"/>
      <c r="E67" s="41">
        <v>46143</v>
      </c>
      <c r="F67" s="47">
        <v>0.25987268518518519</v>
      </c>
      <c r="G67" s="44">
        <v>6.3</v>
      </c>
      <c r="H67" s="43" t="s">
        <v>235</v>
      </c>
      <c r="I67" s="40" t="s">
        <v>1282</v>
      </c>
    </row>
    <row r="68" spans="1:9" x14ac:dyDescent="0.25">
      <c r="A68" s="40" t="s">
        <v>327</v>
      </c>
      <c r="B68" s="28">
        <v>217</v>
      </c>
      <c r="C68" s="28" t="s">
        <v>426</v>
      </c>
      <c r="D68" s="28"/>
      <c r="E68" s="41">
        <v>46143</v>
      </c>
      <c r="F68" s="47">
        <v>0.26671296296296299</v>
      </c>
      <c r="G68" s="44">
        <v>6.3</v>
      </c>
      <c r="H68" s="43" t="s">
        <v>236</v>
      </c>
      <c r="I68" s="40" t="s">
        <v>1282</v>
      </c>
    </row>
    <row r="69" spans="1:9" x14ac:dyDescent="0.25">
      <c r="A69" s="40" t="s">
        <v>327</v>
      </c>
      <c r="B69" s="28">
        <v>217</v>
      </c>
      <c r="C69" s="28" t="s">
        <v>427</v>
      </c>
      <c r="D69" s="28"/>
      <c r="E69" s="45">
        <v>46143</v>
      </c>
      <c r="F69" s="48">
        <v>0.9551736111111111</v>
      </c>
      <c r="G69" s="44">
        <v>6.3</v>
      </c>
      <c r="H69" s="43" t="s">
        <v>235</v>
      </c>
      <c r="I69" s="40" t="s">
        <v>1282</v>
      </c>
    </row>
    <row r="70" spans="1:9" x14ac:dyDescent="0.25">
      <c r="A70" s="40" t="s">
        <v>327</v>
      </c>
      <c r="B70" s="28">
        <v>217</v>
      </c>
      <c r="C70" s="28" t="s">
        <v>427</v>
      </c>
      <c r="D70" s="28"/>
      <c r="E70" s="41">
        <v>46143</v>
      </c>
      <c r="F70" s="47">
        <v>0.96207175925925925</v>
      </c>
      <c r="G70" s="44">
        <v>6.3</v>
      </c>
      <c r="H70" s="43" t="s">
        <v>236</v>
      </c>
      <c r="I70" s="40" t="s">
        <v>1282</v>
      </c>
    </row>
    <row r="71" spans="1:9" x14ac:dyDescent="0.25">
      <c r="A71" s="40" t="s">
        <v>327</v>
      </c>
      <c r="B71" s="28">
        <v>217</v>
      </c>
      <c r="C71" s="28" t="s">
        <v>35</v>
      </c>
      <c r="D71" s="28" t="s">
        <v>38</v>
      </c>
      <c r="E71" s="41">
        <v>46143</v>
      </c>
      <c r="F71" s="47">
        <v>0.97192129629629631</v>
      </c>
      <c r="G71" s="44">
        <v>6.3</v>
      </c>
      <c r="H71" s="43" t="s">
        <v>237</v>
      </c>
      <c r="I71" s="40" t="s">
        <v>1282</v>
      </c>
    </row>
    <row r="72" spans="1:9" x14ac:dyDescent="0.25">
      <c r="A72" s="40" t="s">
        <v>327</v>
      </c>
      <c r="B72" s="28">
        <v>217</v>
      </c>
      <c r="C72" s="28" t="s">
        <v>35</v>
      </c>
      <c r="D72" s="28" t="s">
        <v>38</v>
      </c>
      <c r="E72" s="41">
        <v>46144</v>
      </c>
      <c r="F72" s="47">
        <v>0.1978587962962963</v>
      </c>
      <c r="G72" s="44">
        <v>6.3</v>
      </c>
      <c r="H72" s="43" t="s">
        <v>237</v>
      </c>
      <c r="I72" s="40" t="s">
        <v>1282</v>
      </c>
    </row>
    <row r="73" spans="1:9" x14ac:dyDescent="0.25">
      <c r="A73" s="40" t="s">
        <v>327</v>
      </c>
      <c r="B73" s="28">
        <v>217</v>
      </c>
      <c r="C73" s="28" t="s">
        <v>35</v>
      </c>
      <c r="D73" s="28" t="s">
        <v>38</v>
      </c>
      <c r="E73" s="41">
        <v>46144</v>
      </c>
      <c r="F73" s="47">
        <v>0.20282407407407407</v>
      </c>
      <c r="G73" s="44">
        <v>6.3</v>
      </c>
      <c r="H73" s="43" t="s">
        <v>234</v>
      </c>
      <c r="I73" s="40" t="s">
        <v>1282</v>
      </c>
    </row>
    <row r="74" spans="1:9" x14ac:dyDescent="0.25">
      <c r="A74" s="40" t="s">
        <v>327</v>
      </c>
      <c r="B74" s="28">
        <v>217</v>
      </c>
      <c r="C74" s="28" t="s">
        <v>428</v>
      </c>
      <c r="D74" s="28"/>
      <c r="E74" s="41">
        <v>46144</v>
      </c>
      <c r="F74" s="47">
        <v>0.31109953703703702</v>
      </c>
      <c r="G74" s="44">
        <v>6.3</v>
      </c>
      <c r="H74" s="43" t="s">
        <v>235</v>
      </c>
      <c r="I74" s="40" t="s">
        <v>1282</v>
      </c>
    </row>
    <row r="75" spans="1:9" x14ac:dyDescent="0.25">
      <c r="A75" s="40" t="s">
        <v>327</v>
      </c>
      <c r="B75" s="28">
        <v>217</v>
      </c>
      <c r="C75" s="28" t="s">
        <v>428</v>
      </c>
      <c r="D75" s="28"/>
      <c r="E75" s="41">
        <v>46144</v>
      </c>
      <c r="F75" s="47">
        <v>0.31899305555555557</v>
      </c>
      <c r="G75" s="44">
        <v>6.3</v>
      </c>
      <c r="H75" s="43" t="s">
        <v>236</v>
      </c>
      <c r="I75" s="40" t="s">
        <v>1282</v>
      </c>
    </row>
    <row r="76" spans="1:9" x14ac:dyDescent="0.25">
      <c r="A76" s="40" t="s">
        <v>327</v>
      </c>
      <c r="B76" s="28">
        <v>217</v>
      </c>
      <c r="C76" s="28">
        <v>5647286</v>
      </c>
      <c r="D76" s="28" t="s">
        <v>37</v>
      </c>
      <c r="E76" s="41">
        <v>46144</v>
      </c>
      <c r="F76" s="47">
        <v>0.38262731481481482</v>
      </c>
      <c r="G76" s="44">
        <v>6.3</v>
      </c>
      <c r="H76" s="43" t="s">
        <v>237</v>
      </c>
      <c r="I76" s="40" t="s">
        <v>1282</v>
      </c>
    </row>
    <row r="77" spans="1:9" x14ac:dyDescent="0.25">
      <c r="A77" s="40" t="s">
        <v>327</v>
      </c>
      <c r="B77" s="28">
        <v>217</v>
      </c>
      <c r="C77" s="28">
        <v>5647286</v>
      </c>
      <c r="D77" s="28" t="s">
        <v>37</v>
      </c>
      <c r="E77" s="41">
        <v>46144</v>
      </c>
      <c r="F77" s="47">
        <v>0.38847222222222222</v>
      </c>
      <c r="G77" s="44">
        <v>6.3</v>
      </c>
      <c r="H77" s="43" t="s">
        <v>234</v>
      </c>
      <c r="I77" s="40" t="s">
        <v>1282</v>
      </c>
    </row>
    <row r="78" spans="1:9" x14ac:dyDescent="0.25">
      <c r="A78" s="40" t="s">
        <v>364</v>
      </c>
      <c r="B78" s="28">
        <v>219</v>
      </c>
      <c r="C78" s="28" t="s">
        <v>429</v>
      </c>
      <c r="D78" s="28"/>
      <c r="E78" s="41">
        <v>46139</v>
      </c>
      <c r="F78" s="47">
        <v>7.3229166666666665E-2</v>
      </c>
      <c r="G78" s="44">
        <v>6.3</v>
      </c>
      <c r="H78" s="43" t="s">
        <v>235</v>
      </c>
      <c r="I78" s="40" t="s">
        <v>1281</v>
      </c>
    </row>
    <row r="79" spans="1:9" x14ac:dyDescent="0.25">
      <c r="A79" s="40" t="s">
        <v>364</v>
      </c>
      <c r="B79" s="28">
        <v>219</v>
      </c>
      <c r="C79" s="28" t="s">
        <v>429</v>
      </c>
      <c r="D79" s="28"/>
      <c r="E79" s="41">
        <v>46139</v>
      </c>
      <c r="F79" s="47">
        <v>8.0567129629629627E-2</v>
      </c>
      <c r="G79" s="44">
        <v>6.3</v>
      </c>
      <c r="H79" s="43" t="s">
        <v>236</v>
      </c>
      <c r="I79" s="40" t="s">
        <v>1281</v>
      </c>
    </row>
    <row r="80" spans="1:9" x14ac:dyDescent="0.25">
      <c r="A80" s="40" t="s">
        <v>364</v>
      </c>
      <c r="B80" s="28">
        <v>219</v>
      </c>
      <c r="C80" s="28" t="s">
        <v>430</v>
      </c>
      <c r="D80" s="28"/>
      <c r="E80" s="41">
        <v>46139</v>
      </c>
      <c r="F80" s="47">
        <v>0.31743055555555555</v>
      </c>
      <c r="G80" s="44">
        <v>6.3</v>
      </c>
      <c r="H80" s="43" t="s">
        <v>235</v>
      </c>
      <c r="I80" s="40" t="s">
        <v>1281</v>
      </c>
    </row>
    <row r="81" spans="1:9" x14ac:dyDescent="0.25">
      <c r="A81" s="40" t="s">
        <v>364</v>
      </c>
      <c r="B81" s="28">
        <v>219</v>
      </c>
      <c r="C81" s="28" t="s">
        <v>430</v>
      </c>
      <c r="D81" s="28"/>
      <c r="E81" s="45">
        <v>46139</v>
      </c>
      <c r="F81" s="48">
        <v>0.33743055555555557</v>
      </c>
      <c r="G81" s="44">
        <v>6.3</v>
      </c>
      <c r="H81" s="43" t="s">
        <v>236</v>
      </c>
      <c r="I81" s="40" t="s">
        <v>1281</v>
      </c>
    </row>
    <row r="82" spans="1:9" x14ac:dyDescent="0.25">
      <c r="A82" s="40" t="s">
        <v>364</v>
      </c>
      <c r="B82" s="28">
        <v>219</v>
      </c>
      <c r="C82" s="28">
        <v>5637341</v>
      </c>
      <c r="D82" s="28"/>
      <c r="E82" s="41">
        <v>46139</v>
      </c>
      <c r="F82" s="47">
        <v>0.39275462962962965</v>
      </c>
      <c r="G82" s="44">
        <v>6.3</v>
      </c>
      <c r="H82" s="43" t="s">
        <v>237</v>
      </c>
      <c r="I82" s="40" t="s">
        <v>1281</v>
      </c>
    </row>
    <row r="83" spans="1:9" x14ac:dyDescent="0.25">
      <c r="A83" s="40" t="s">
        <v>364</v>
      </c>
      <c r="B83" s="28">
        <v>219</v>
      </c>
      <c r="C83" s="28">
        <v>5637341</v>
      </c>
      <c r="D83" s="28"/>
      <c r="E83" s="45">
        <v>46139</v>
      </c>
      <c r="F83" s="48">
        <v>0.40260416666666665</v>
      </c>
      <c r="G83" s="44">
        <v>6.3</v>
      </c>
      <c r="H83" s="43" t="s">
        <v>234</v>
      </c>
      <c r="I83" s="40" t="s">
        <v>1281</v>
      </c>
    </row>
    <row r="84" spans="1:9" x14ac:dyDescent="0.25">
      <c r="A84" s="40" t="s">
        <v>364</v>
      </c>
      <c r="B84" s="28">
        <v>219</v>
      </c>
      <c r="C84" s="28">
        <v>5645721</v>
      </c>
      <c r="D84" s="28"/>
      <c r="E84" s="41">
        <v>46142</v>
      </c>
      <c r="F84" s="47">
        <v>0.93692129629629628</v>
      </c>
      <c r="G84" s="44">
        <v>6.3</v>
      </c>
      <c r="H84" s="43" t="s">
        <v>235</v>
      </c>
      <c r="I84" s="40" t="s">
        <v>1281</v>
      </c>
    </row>
    <row r="85" spans="1:9" x14ac:dyDescent="0.25">
      <c r="A85" s="40" t="s">
        <v>364</v>
      </c>
      <c r="B85" s="28">
        <v>219</v>
      </c>
      <c r="C85" s="28" t="s">
        <v>35</v>
      </c>
      <c r="D85" s="28" t="s">
        <v>38</v>
      </c>
      <c r="E85" s="41">
        <v>46142</v>
      </c>
      <c r="F85" s="47">
        <v>0.9934722222222222</v>
      </c>
      <c r="G85" s="44">
        <v>6.3</v>
      </c>
      <c r="H85" s="43" t="s">
        <v>234</v>
      </c>
      <c r="I85" s="40" t="s">
        <v>1282</v>
      </c>
    </row>
    <row r="86" spans="1:9" x14ac:dyDescent="0.25">
      <c r="A86" s="40" t="s">
        <v>364</v>
      </c>
      <c r="B86" s="28">
        <v>219</v>
      </c>
      <c r="C86" s="28">
        <v>5645644</v>
      </c>
      <c r="D86" s="28"/>
      <c r="E86" s="41">
        <v>46143</v>
      </c>
      <c r="F86" s="47">
        <v>0.22664351851851852</v>
      </c>
      <c r="G86" s="44">
        <v>6.3</v>
      </c>
      <c r="H86" s="43" t="s">
        <v>237</v>
      </c>
      <c r="I86" s="40" t="s">
        <v>1282</v>
      </c>
    </row>
    <row r="87" spans="1:9" x14ac:dyDescent="0.25">
      <c r="A87" s="40" t="s">
        <v>364</v>
      </c>
      <c r="B87" s="28">
        <v>219</v>
      </c>
      <c r="C87" s="28">
        <v>5645644</v>
      </c>
      <c r="D87" s="28"/>
      <c r="E87" s="41">
        <v>46143</v>
      </c>
      <c r="F87" s="47">
        <v>0.23172453703703705</v>
      </c>
      <c r="G87" s="44">
        <v>6.3</v>
      </c>
      <c r="H87" s="43" t="s">
        <v>234</v>
      </c>
      <c r="I87" s="40" t="s">
        <v>1282</v>
      </c>
    </row>
    <row r="88" spans="1:9" x14ac:dyDescent="0.25">
      <c r="A88" s="40" t="s">
        <v>364</v>
      </c>
      <c r="B88" s="28">
        <v>219</v>
      </c>
      <c r="C88" s="28" t="s">
        <v>431</v>
      </c>
      <c r="D88" s="28"/>
      <c r="E88" s="41">
        <v>46143</v>
      </c>
      <c r="F88" s="47">
        <v>0.94680555555555557</v>
      </c>
      <c r="G88" s="44">
        <v>6.3</v>
      </c>
      <c r="H88" s="43" t="s">
        <v>235</v>
      </c>
      <c r="I88" s="40" t="s">
        <v>1282</v>
      </c>
    </row>
    <row r="89" spans="1:9" x14ac:dyDescent="0.25">
      <c r="A89" s="40" t="s">
        <v>364</v>
      </c>
      <c r="B89" s="28">
        <v>219</v>
      </c>
      <c r="C89" s="28" t="s">
        <v>431</v>
      </c>
      <c r="D89" s="28"/>
      <c r="E89" s="41">
        <v>46143</v>
      </c>
      <c r="F89" s="47">
        <v>0.95309027777777777</v>
      </c>
      <c r="G89" s="44">
        <v>6.3</v>
      </c>
      <c r="H89" s="43" t="s">
        <v>236</v>
      </c>
      <c r="I89" s="40" t="s">
        <v>1282</v>
      </c>
    </row>
    <row r="90" spans="1:9" x14ac:dyDescent="0.25">
      <c r="A90" s="40" t="s">
        <v>364</v>
      </c>
      <c r="B90" s="28">
        <v>219</v>
      </c>
      <c r="C90" s="28">
        <v>5648301</v>
      </c>
      <c r="D90" s="28" t="s">
        <v>36</v>
      </c>
      <c r="E90" s="41">
        <v>46145</v>
      </c>
      <c r="F90" s="47">
        <v>0.13652777777777778</v>
      </c>
      <c r="G90" s="44">
        <v>6.3</v>
      </c>
      <c r="H90" s="43" t="s">
        <v>237</v>
      </c>
      <c r="I90" s="40" t="s">
        <v>1282</v>
      </c>
    </row>
    <row r="91" spans="1:9" x14ac:dyDescent="0.25">
      <c r="A91" s="40" t="s">
        <v>364</v>
      </c>
      <c r="B91" s="28">
        <v>219</v>
      </c>
      <c r="C91" s="28">
        <v>5648301</v>
      </c>
      <c r="D91" s="28" t="s">
        <v>36</v>
      </c>
      <c r="E91" s="45">
        <v>46145</v>
      </c>
      <c r="F91" s="48">
        <v>0.14118055555555556</v>
      </c>
      <c r="G91" s="44">
        <v>6.3</v>
      </c>
      <c r="H91" s="43" t="s">
        <v>234</v>
      </c>
      <c r="I91" s="40" t="s">
        <v>1282</v>
      </c>
    </row>
    <row r="92" spans="1:9" x14ac:dyDescent="0.25">
      <c r="A92" s="40" t="s">
        <v>149</v>
      </c>
      <c r="B92" s="28">
        <v>220</v>
      </c>
      <c r="C92" s="28" t="s">
        <v>432</v>
      </c>
      <c r="D92" s="28"/>
      <c r="E92" s="41">
        <v>46141</v>
      </c>
      <c r="F92" s="47">
        <v>0.90509259259259256</v>
      </c>
      <c r="G92" s="44">
        <v>6.3</v>
      </c>
      <c r="H92" s="43" t="s">
        <v>235</v>
      </c>
      <c r="I92" s="40" t="s">
        <v>1281</v>
      </c>
    </row>
    <row r="93" spans="1:9" x14ac:dyDescent="0.25">
      <c r="A93" s="40" t="s">
        <v>149</v>
      </c>
      <c r="B93" s="28">
        <v>220</v>
      </c>
      <c r="C93" s="28" t="s">
        <v>432</v>
      </c>
      <c r="D93" s="28"/>
      <c r="E93" s="41">
        <v>46141</v>
      </c>
      <c r="F93" s="47">
        <v>0.91358796296296296</v>
      </c>
      <c r="G93" s="44">
        <v>6.3</v>
      </c>
      <c r="H93" s="43" t="s">
        <v>236</v>
      </c>
      <c r="I93" s="40" t="s">
        <v>1281</v>
      </c>
    </row>
    <row r="94" spans="1:9" x14ac:dyDescent="0.25">
      <c r="A94" s="40" t="s">
        <v>149</v>
      </c>
      <c r="B94" s="28">
        <v>220</v>
      </c>
      <c r="C94" s="28" t="s">
        <v>433</v>
      </c>
      <c r="D94" s="28"/>
      <c r="E94" s="41">
        <v>46142</v>
      </c>
      <c r="F94" s="47">
        <v>0.92548611111111112</v>
      </c>
      <c r="G94" s="44">
        <v>6.3</v>
      </c>
      <c r="H94" s="43" t="s">
        <v>235</v>
      </c>
      <c r="I94" s="40" t="s">
        <v>1281</v>
      </c>
    </row>
    <row r="95" spans="1:9" x14ac:dyDescent="0.25">
      <c r="A95" s="40" t="s">
        <v>149</v>
      </c>
      <c r="B95" s="28">
        <v>220</v>
      </c>
      <c r="C95" s="28" t="s">
        <v>433</v>
      </c>
      <c r="D95" s="28"/>
      <c r="E95" s="41">
        <v>46142</v>
      </c>
      <c r="F95" s="47">
        <v>0.93412037037037032</v>
      </c>
      <c r="G95" s="44">
        <v>6.3</v>
      </c>
      <c r="H95" s="43" t="s">
        <v>236</v>
      </c>
      <c r="I95" s="40" t="s">
        <v>1281</v>
      </c>
    </row>
    <row r="96" spans="1:9" x14ac:dyDescent="0.25">
      <c r="A96" s="40" t="s">
        <v>149</v>
      </c>
      <c r="B96" s="28">
        <v>220</v>
      </c>
      <c r="C96" s="28">
        <v>5631657</v>
      </c>
      <c r="D96" s="28"/>
      <c r="E96" s="41">
        <v>46143</v>
      </c>
      <c r="F96" s="47">
        <v>4.1770833333333333E-2</v>
      </c>
      <c r="G96" s="44">
        <v>6.3</v>
      </c>
      <c r="H96" s="43" t="s">
        <v>235</v>
      </c>
      <c r="I96" s="40" t="s">
        <v>1282</v>
      </c>
    </row>
    <row r="97" spans="1:9" x14ac:dyDescent="0.25">
      <c r="A97" s="40" t="s">
        <v>149</v>
      </c>
      <c r="B97" s="28">
        <v>220</v>
      </c>
      <c r="C97" s="28">
        <v>5631657</v>
      </c>
      <c r="D97" s="28"/>
      <c r="E97" s="41">
        <v>46143</v>
      </c>
      <c r="F97" s="47">
        <v>4.8958333333333333E-2</v>
      </c>
      <c r="G97" s="44">
        <v>6.3</v>
      </c>
      <c r="H97" s="43" t="s">
        <v>236</v>
      </c>
      <c r="I97" s="40" t="s">
        <v>1282</v>
      </c>
    </row>
    <row r="98" spans="1:9" x14ac:dyDescent="0.25">
      <c r="A98" s="40" t="s">
        <v>149</v>
      </c>
      <c r="B98" s="28">
        <v>220</v>
      </c>
      <c r="C98" s="28" t="s">
        <v>35</v>
      </c>
      <c r="D98" s="28" t="s">
        <v>38</v>
      </c>
      <c r="E98" s="45">
        <v>46144</v>
      </c>
      <c r="F98" s="48">
        <v>0.64444444444444449</v>
      </c>
      <c r="G98" s="44">
        <v>6.3</v>
      </c>
      <c r="H98" s="43" t="s">
        <v>234</v>
      </c>
      <c r="I98" s="40" t="s">
        <v>1282</v>
      </c>
    </row>
    <row r="99" spans="1:9" x14ac:dyDescent="0.25">
      <c r="A99" s="40" t="s">
        <v>149</v>
      </c>
      <c r="B99" s="28">
        <v>220</v>
      </c>
      <c r="C99" s="28" t="s">
        <v>434</v>
      </c>
      <c r="D99" s="28"/>
      <c r="E99" s="41">
        <v>46145</v>
      </c>
      <c r="F99" s="47">
        <v>8.6458333333333335E-3</v>
      </c>
      <c r="G99" s="44">
        <v>6.3</v>
      </c>
      <c r="H99" s="43" t="s">
        <v>235</v>
      </c>
      <c r="I99" s="40" t="s">
        <v>1282</v>
      </c>
    </row>
    <row r="100" spans="1:9" x14ac:dyDescent="0.25">
      <c r="A100" s="40" t="s">
        <v>149</v>
      </c>
      <c r="B100" s="28">
        <v>220</v>
      </c>
      <c r="C100" s="28" t="s">
        <v>434</v>
      </c>
      <c r="D100" s="28"/>
      <c r="E100" s="41">
        <v>46145</v>
      </c>
      <c r="F100" s="47">
        <v>1.6064814814814816E-2</v>
      </c>
      <c r="G100" s="44">
        <v>6.3</v>
      </c>
      <c r="H100" s="43" t="s">
        <v>236</v>
      </c>
      <c r="I100" s="40" t="s">
        <v>1282</v>
      </c>
    </row>
    <row r="101" spans="1:9" x14ac:dyDescent="0.25">
      <c r="A101" s="40" t="s">
        <v>149</v>
      </c>
      <c r="B101" s="28">
        <v>220</v>
      </c>
      <c r="C101" s="28" t="s">
        <v>435</v>
      </c>
      <c r="D101" s="28"/>
      <c r="E101" s="41">
        <v>46145</v>
      </c>
      <c r="F101" s="47">
        <v>0.93167824074074079</v>
      </c>
      <c r="G101" s="44">
        <v>6.3</v>
      </c>
      <c r="H101" s="43" t="s">
        <v>235</v>
      </c>
      <c r="I101" s="40" t="s">
        <v>1282</v>
      </c>
    </row>
    <row r="102" spans="1:9" x14ac:dyDescent="0.25">
      <c r="A102" s="40" t="s">
        <v>149</v>
      </c>
      <c r="B102" s="28">
        <v>220</v>
      </c>
      <c r="C102" s="28" t="s">
        <v>435</v>
      </c>
      <c r="D102" s="28"/>
      <c r="E102" s="41">
        <v>46145</v>
      </c>
      <c r="F102" s="47">
        <v>0.93952546296296291</v>
      </c>
      <c r="G102" s="44">
        <v>6.3</v>
      </c>
      <c r="H102" s="43" t="s">
        <v>236</v>
      </c>
      <c r="I102" s="40" t="s">
        <v>1282</v>
      </c>
    </row>
    <row r="103" spans="1:9" x14ac:dyDescent="0.25">
      <c r="A103" s="40" t="s">
        <v>150</v>
      </c>
      <c r="B103" s="28">
        <v>222</v>
      </c>
      <c r="C103" s="28" t="s">
        <v>35</v>
      </c>
      <c r="D103" s="28" t="s">
        <v>38</v>
      </c>
      <c r="E103" s="41">
        <v>46140</v>
      </c>
      <c r="F103" s="47">
        <v>0.34524305555555557</v>
      </c>
      <c r="G103" s="44">
        <v>6.3</v>
      </c>
      <c r="H103" s="43" t="s">
        <v>235</v>
      </c>
      <c r="I103" s="40" t="s">
        <v>1281</v>
      </c>
    </row>
    <row r="104" spans="1:9" x14ac:dyDescent="0.25">
      <c r="A104" s="40" t="s">
        <v>150</v>
      </c>
      <c r="B104" s="28">
        <v>222</v>
      </c>
      <c r="C104" s="28" t="s">
        <v>35</v>
      </c>
      <c r="D104" s="28" t="s">
        <v>38</v>
      </c>
      <c r="E104" s="41">
        <v>46140</v>
      </c>
      <c r="F104" s="47">
        <v>0.36516203703703703</v>
      </c>
      <c r="G104" s="44">
        <v>6.3</v>
      </c>
      <c r="H104" s="43" t="s">
        <v>239</v>
      </c>
      <c r="I104" s="40" t="s">
        <v>1281</v>
      </c>
    </row>
    <row r="105" spans="1:9" x14ac:dyDescent="0.25">
      <c r="A105" s="40" t="s">
        <v>150</v>
      </c>
      <c r="B105" s="28">
        <v>222</v>
      </c>
      <c r="C105" s="28" t="s">
        <v>35</v>
      </c>
      <c r="D105" s="28" t="s">
        <v>38</v>
      </c>
      <c r="E105" s="41">
        <v>46142</v>
      </c>
      <c r="F105" s="47">
        <v>0.54468749999999999</v>
      </c>
      <c r="G105" s="44">
        <v>6.3</v>
      </c>
      <c r="H105" s="43" t="s">
        <v>235</v>
      </c>
      <c r="I105" s="40" t="s">
        <v>1281</v>
      </c>
    </row>
    <row r="106" spans="1:9" x14ac:dyDescent="0.25">
      <c r="A106" s="40" t="s">
        <v>150</v>
      </c>
      <c r="B106" s="28">
        <v>222</v>
      </c>
      <c r="C106" s="28" t="s">
        <v>35</v>
      </c>
      <c r="D106" s="28" t="s">
        <v>38</v>
      </c>
      <c r="E106" s="41">
        <v>46142</v>
      </c>
      <c r="F106" s="47">
        <v>0.55640046296296297</v>
      </c>
      <c r="G106" s="44">
        <v>6.3</v>
      </c>
      <c r="H106" s="43" t="s">
        <v>239</v>
      </c>
      <c r="I106" s="40" t="s">
        <v>1281</v>
      </c>
    </row>
    <row r="107" spans="1:9" x14ac:dyDescent="0.25">
      <c r="A107" s="40" t="s">
        <v>150</v>
      </c>
      <c r="B107" s="28">
        <v>222</v>
      </c>
      <c r="C107" s="28" t="s">
        <v>35</v>
      </c>
      <c r="D107" s="28" t="s">
        <v>38</v>
      </c>
      <c r="E107" s="41">
        <v>46142</v>
      </c>
      <c r="F107" s="47">
        <v>0.8128009259259259</v>
      </c>
      <c r="G107" s="44">
        <v>6.3</v>
      </c>
      <c r="H107" s="43" t="s">
        <v>238</v>
      </c>
      <c r="I107" s="40" t="s">
        <v>1281</v>
      </c>
    </row>
    <row r="108" spans="1:9" x14ac:dyDescent="0.25">
      <c r="A108" s="40" t="s">
        <v>150</v>
      </c>
      <c r="B108" s="28">
        <v>222</v>
      </c>
      <c r="C108" s="28" t="s">
        <v>35</v>
      </c>
      <c r="D108" s="28" t="s">
        <v>38</v>
      </c>
      <c r="E108" s="41">
        <v>46142</v>
      </c>
      <c r="F108" s="47">
        <v>0.83150462962962968</v>
      </c>
      <c r="G108" s="44">
        <v>6.3</v>
      </c>
      <c r="H108" s="43" t="s">
        <v>234</v>
      </c>
      <c r="I108" s="40" t="s">
        <v>1281</v>
      </c>
    </row>
    <row r="109" spans="1:9" x14ac:dyDescent="0.25">
      <c r="A109" s="40" t="s">
        <v>150</v>
      </c>
      <c r="B109" s="28">
        <v>222</v>
      </c>
      <c r="C109" s="28">
        <v>5646473</v>
      </c>
      <c r="D109" s="28"/>
      <c r="E109" s="41">
        <v>46143</v>
      </c>
      <c r="F109" s="47">
        <v>0.66670138888888886</v>
      </c>
      <c r="G109" s="44">
        <v>6.3</v>
      </c>
      <c r="H109" s="43" t="s">
        <v>235</v>
      </c>
      <c r="I109" s="40" t="s">
        <v>1282</v>
      </c>
    </row>
    <row r="110" spans="1:9" x14ac:dyDescent="0.25">
      <c r="A110" s="40" t="s">
        <v>150</v>
      </c>
      <c r="B110" s="28">
        <v>222</v>
      </c>
      <c r="C110" s="28">
        <v>5646473</v>
      </c>
      <c r="D110" s="28"/>
      <c r="E110" s="41">
        <v>46143</v>
      </c>
      <c r="F110" s="47">
        <v>0.67318287037037039</v>
      </c>
      <c r="G110" s="42">
        <v>6.3</v>
      </c>
      <c r="H110" s="40" t="s">
        <v>236</v>
      </c>
      <c r="I110" s="40" t="s">
        <v>1282</v>
      </c>
    </row>
    <row r="111" spans="1:9" x14ac:dyDescent="0.25">
      <c r="A111" s="40" t="s">
        <v>150</v>
      </c>
      <c r="B111" s="28">
        <v>222</v>
      </c>
      <c r="C111" s="28">
        <v>5644669</v>
      </c>
      <c r="D111" s="28"/>
      <c r="E111" s="41">
        <v>46143</v>
      </c>
      <c r="F111" s="47">
        <v>0.73326388888888894</v>
      </c>
      <c r="G111" s="42">
        <v>6.3</v>
      </c>
      <c r="H111" s="40" t="s">
        <v>237</v>
      </c>
      <c r="I111" s="40" t="s">
        <v>1282</v>
      </c>
    </row>
    <row r="112" spans="1:9" x14ac:dyDescent="0.25">
      <c r="A112" s="40" t="s">
        <v>150</v>
      </c>
      <c r="B112" s="28">
        <v>222</v>
      </c>
      <c r="C112" s="28">
        <v>5644669</v>
      </c>
      <c r="D112" s="28"/>
      <c r="E112" s="41">
        <v>46143</v>
      </c>
      <c r="F112" s="47">
        <v>0.73821759259259256</v>
      </c>
      <c r="G112" s="44">
        <v>6.3</v>
      </c>
      <c r="H112" s="43" t="s">
        <v>234</v>
      </c>
      <c r="I112" s="40" t="s">
        <v>1282</v>
      </c>
    </row>
    <row r="113" spans="1:9" x14ac:dyDescent="0.25">
      <c r="A113" s="40" t="s">
        <v>150</v>
      </c>
      <c r="B113" s="28">
        <v>222</v>
      </c>
      <c r="C113" s="28">
        <v>5646865</v>
      </c>
      <c r="D113" s="28"/>
      <c r="E113" s="41">
        <v>46143</v>
      </c>
      <c r="F113" s="47">
        <v>0.83684027777777781</v>
      </c>
      <c r="G113" s="44">
        <v>6.3</v>
      </c>
      <c r="H113" s="43" t="s">
        <v>235</v>
      </c>
      <c r="I113" s="40" t="s">
        <v>1282</v>
      </c>
    </row>
    <row r="114" spans="1:9" x14ac:dyDescent="0.25">
      <c r="A114" s="40" t="s">
        <v>150</v>
      </c>
      <c r="B114" s="28">
        <v>222</v>
      </c>
      <c r="C114" s="28">
        <v>5646865</v>
      </c>
      <c r="D114" s="28"/>
      <c r="E114" s="45">
        <v>46143</v>
      </c>
      <c r="F114" s="48">
        <v>0.8430671296296296</v>
      </c>
      <c r="G114" s="44">
        <v>6.3</v>
      </c>
      <c r="H114" s="43" t="s">
        <v>239</v>
      </c>
      <c r="I114" s="40" t="s">
        <v>1282</v>
      </c>
    </row>
    <row r="115" spans="1:9" x14ac:dyDescent="0.25">
      <c r="A115" s="40" t="s">
        <v>150</v>
      </c>
      <c r="B115" s="28">
        <v>222</v>
      </c>
      <c r="C115" s="28" t="s">
        <v>35</v>
      </c>
      <c r="D115" s="28" t="s">
        <v>38</v>
      </c>
      <c r="E115" s="41">
        <v>46143</v>
      </c>
      <c r="F115" s="47">
        <v>0.87966435185185188</v>
      </c>
      <c r="G115" s="44">
        <v>6.3</v>
      </c>
      <c r="H115" s="43" t="s">
        <v>234</v>
      </c>
      <c r="I115" s="40" t="s">
        <v>1282</v>
      </c>
    </row>
    <row r="116" spans="1:9" x14ac:dyDescent="0.25">
      <c r="A116" s="40" t="s">
        <v>150</v>
      </c>
      <c r="B116" s="28">
        <v>222</v>
      </c>
      <c r="C116" s="28" t="s">
        <v>35</v>
      </c>
      <c r="D116" s="28" t="s">
        <v>38</v>
      </c>
      <c r="E116" s="41">
        <v>46144</v>
      </c>
      <c r="F116" s="47">
        <v>3.7847222222222223E-3</v>
      </c>
      <c r="G116" s="44">
        <v>6.3</v>
      </c>
      <c r="H116" s="43" t="s">
        <v>235</v>
      </c>
      <c r="I116" s="40" t="s">
        <v>1282</v>
      </c>
    </row>
    <row r="117" spans="1:9" x14ac:dyDescent="0.25">
      <c r="A117" s="40" t="s">
        <v>150</v>
      </c>
      <c r="B117" s="28">
        <v>222</v>
      </c>
      <c r="C117" s="28" t="s">
        <v>35</v>
      </c>
      <c r="D117" s="28" t="s">
        <v>38</v>
      </c>
      <c r="E117" s="41">
        <v>46144</v>
      </c>
      <c r="F117" s="47">
        <v>9.9305555555555553E-3</v>
      </c>
      <c r="G117" s="44">
        <v>6.3</v>
      </c>
      <c r="H117" s="43" t="s">
        <v>239</v>
      </c>
      <c r="I117" s="40" t="s">
        <v>1282</v>
      </c>
    </row>
    <row r="118" spans="1:9" x14ac:dyDescent="0.25">
      <c r="A118" s="40" t="s">
        <v>218</v>
      </c>
      <c r="B118" s="28">
        <v>223</v>
      </c>
      <c r="C118" s="28">
        <v>5638064</v>
      </c>
      <c r="D118" s="28"/>
      <c r="E118" s="41">
        <v>46140</v>
      </c>
      <c r="F118" s="47">
        <v>4.50462962962963E-2</v>
      </c>
      <c r="G118" s="44">
        <v>6.3</v>
      </c>
      <c r="H118" s="43" t="s">
        <v>235</v>
      </c>
      <c r="I118" s="40" t="s">
        <v>1281</v>
      </c>
    </row>
    <row r="119" spans="1:9" x14ac:dyDescent="0.25">
      <c r="A119" s="40" t="s">
        <v>218</v>
      </c>
      <c r="B119" s="28">
        <v>223</v>
      </c>
      <c r="C119" s="28">
        <v>5638064</v>
      </c>
      <c r="D119" s="28"/>
      <c r="E119" s="41">
        <v>46140</v>
      </c>
      <c r="F119" s="47">
        <v>5.1157407407407408E-2</v>
      </c>
      <c r="G119" s="44">
        <v>6.3</v>
      </c>
      <c r="H119" s="43" t="s">
        <v>236</v>
      </c>
      <c r="I119" s="40" t="s">
        <v>1281</v>
      </c>
    </row>
    <row r="120" spans="1:9" x14ac:dyDescent="0.25">
      <c r="A120" s="40" t="s">
        <v>218</v>
      </c>
      <c r="B120" s="28">
        <v>223</v>
      </c>
      <c r="C120" s="28">
        <v>5639472</v>
      </c>
      <c r="D120" s="28"/>
      <c r="E120" s="45">
        <v>46140</v>
      </c>
      <c r="F120" s="48">
        <v>0.14429398148148148</v>
      </c>
      <c r="G120" s="44">
        <v>6.3</v>
      </c>
      <c r="H120" s="43" t="s">
        <v>237</v>
      </c>
      <c r="I120" s="40" t="s">
        <v>1281</v>
      </c>
    </row>
    <row r="121" spans="1:9" x14ac:dyDescent="0.25">
      <c r="A121" s="40" t="s">
        <v>218</v>
      </c>
      <c r="B121" s="28">
        <v>223</v>
      </c>
      <c r="C121" s="28">
        <v>5639472</v>
      </c>
      <c r="D121" s="28"/>
      <c r="E121" s="41">
        <v>46140</v>
      </c>
      <c r="F121" s="47">
        <v>0.14943287037037037</v>
      </c>
      <c r="G121" s="44">
        <v>6.3</v>
      </c>
      <c r="H121" s="43" t="s">
        <v>234</v>
      </c>
      <c r="I121" s="40" t="s">
        <v>1281</v>
      </c>
    </row>
    <row r="122" spans="1:9" x14ac:dyDescent="0.25">
      <c r="A122" s="40" t="s">
        <v>218</v>
      </c>
      <c r="B122" s="28">
        <v>223</v>
      </c>
      <c r="C122" s="28" t="s">
        <v>436</v>
      </c>
      <c r="D122" s="28"/>
      <c r="E122" s="41">
        <v>46140</v>
      </c>
      <c r="F122" s="47">
        <v>0.96173611111111112</v>
      </c>
      <c r="G122" s="44">
        <v>6.3</v>
      </c>
      <c r="H122" s="43" t="s">
        <v>235</v>
      </c>
      <c r="I122" s="40" t="s">
        <v>1281</v>
      </c>
    </row>
    <row r="123" spans="1:9" x14ac:dyDescent="0.25">
      <c r="A123" s="40" t="s">
        <v>218</v>
      </c>
      <c r="B123" s="28">
        <v>223</v>
      </c>
      <c r="C123" s="28" t="s">
        <v>436</v>
      </c>
      <c r="D123" s="28"/>
      <c r="E123" s="41">
        <v>46140</v>
      </c>
      <c r="F123" s="47">
        <v>0.96846064814814814</v>
      </c>
      <c r="G123" s="44">
        <v>6.3</v>
      </c>
      <c r="H123" s="43" t="s">
        <v>236</v>
      </c>
      <c r="I123" s="40" t="s">
        <v>1281</v>
      </c>
    </row>
    <row r="124" spans="1:9" x14ac:dyDescent="0.25">
      <c r="A124" s="40" t="s">
        <v>218</v>
      </c>
      <c r="B124" s="28">
        <v>223</v>
      </c>
      <c r="C124" s="28">
        <v>5643137</v>
      </c>
      <c r="D124" s="28"/>
      <c r="E124" s="41">
        <v>46142</v>
      </c>
      <c r="F124" s="47">
        <v>0.13086805555555556</v>
      </c>
      <c r="G124" s="44">
        <v>6.3</v>
      </c>
      <c r="H124" s="43" t="s">
        <v>237</v>
      </c>
      <c r="I124" s="40" t="s">
        <v>1281</v>
      </c>
    </row>
    <row r="125" spans="1:9" x14ac:dyDescent="0.25">
      <c r="A125" s="40" t="s">
        <v>218</v>
      </c>
      <c r="B125" s="28">
        <v>223</v>
      </c>
      <c r="C125" s="28">
        <v>5643137</v>
      </c>
      <c r="D125" s="28"/>
      <c r="E125" s="45">
        <v>46142</v>
      </c>
      <c r="F125" s="48">
        <v>0.13605324074074074</v>
      </c>
      <c r="G125" s="44">
        <v>6.3</v>
      </c>
      <c r="H125" s="43" t="s">
        <v>234</v>
      </c>
      <c r="I125" s="40" t="s">
        <v>1281</v>
      </c>
    </row>
    <row r="126" spans="1:9" x14ac:dyDescent="0.25">
      <c r="A126" s="40" t="s">
        <v>218</v>
      </c>
      <c r="B126" s="28">
        <v>223</v>
      </c>
      <c r="C126" s="28">
        <v>5647310</v>
      </c>
      <c r="D126" s="28"/>
      <c r="E126" s="41">
        <v>46145</v>
      </c>
      <c r="F126" s="47">
        <v>0.1915625</v>
      </c>
      <c r="G126" s="44">
        <v>6.3</v>
      </c>
      <c r="H126" s="43" t="s">
        <v>237</v>
      </c>
      <c r="I126" s="40" t="s">
        <v>1282</v>
      </c>
    </row>
    <row r="127" spans="1:9" x14ac:dyDescent="0.25">
      <c r="A127" s="40" t="s">
        <v>218</v>
      </c>
      <c r="B127" s="28">
        <v>223</v>
      </c>
      <c r="C127" s="28">
        <v>5647310</v>
      </c>
      <c r="D127" s="28"/>
      <c r="E127" s="41">
        <v>46145</v>
      </c>
      <c r="F127" s="47">
        <v>0.19637731481481482</v>
      </c>
      <c r="G127" s="44">
        <v>6.3</v>
      </c>
      <c r="H127" s="43" t="s">
        <v>234</v>
      </c>
      <c r="I127" s="40" t="s">
        <v>1282</v>
      </c>
    </row>
    <row r="128" spans="1:9" x14ac:dyDescent="0.25">
      <c r="A128" s="40" t="s">
        <v>90</v>
      </c>
      <c r="B128" s="28">
        <v>224</v>
      </c>
      <c r="C128" s="28" t="s">
        <v>35</v>
      </c>
      <c r="D128" s="28" t="s">
        <v>38</v>
      </c>
      <c r="E128" s="41">
        <v>46142</v>
      </c>
      <c r="F128" s="47">
        <v>0.71061342592592591</v>
      </c>
      <c r="G128" s="44">
        <v>6.3</v>
      </c>
      <c r="H128" s="43" t="s">
        <v>242</v>
      </c>
      <c r="I128" s="40" t="s">
        <v>1281</v>
      </c>
    </row>
    <row r="129" spans="1:9" x14ac:dyDescent="0.25">
      <c r="A129" s="40" t="s">
        <v>90</v>
      </c>
      <c r="B129" s="28">
        <v>224</v>
      </c>
      <c r="C129" s="28" t="s">
        <v>35</v>
      </c>
      <c r="D129" s="28" t="s">
        <v>38</v>
      </c>
      <c r="E129" s="41">
        <v>46142</v>
      </c>
      <c r="F129" s="47">
        <v>0.72817129629629629</v>
      </c>
      <c r="G129" s="44">
        <v>6.3</v>
      </c>
      <c r="H129" s="43" t="s">
        <v>236</v>
      </c>
      <c r="I129" s="40" t="s">
        <v>1281</v>
      </c>
    </row>
    <row r="130" spans="1:9" x14ac:dyDescent="0.25">
      <c r="A130" s="40" t="s">
        <v>90</v>
      </c>
      <c r="B130" s="28">
        <v>224</v>
      </c>
      <c r="C130" s="28" t="s">
        <v>35</v>
      </c>
      <c r="D130" s="28" t="s">
        <v>38</v>
      </c>
      <c r="E130" s="41">
        <v>46142</v>
      </c>
      <c r="F130" s="47">
        <v>0.78108796296296301</v>
      </c>
      <c r="G130" s="44">
        <v>6.3</v>
      </c>
      <c r="H130" s="43" t="s">
        <v>237</v>
      </c>
      <c r="I130" s="40" t="s">
        <v>1281</v>
      </c>
    </row>
    <row r="131" spans="1:9" x14ac:dyDescent="0.25">
      <c r="A131" s="40" t="s">
        <v>372</v>
      </c>
      <c r="B131" s="28">
        <v>226</v>
      </c>
      <c r="C131" s="28" t="s">
        <v>35</v>
      </c>
      <c r="D131" s="28" t="s">
        <v>38</v>
      </c>
      <c r="E131" s="41">
        <v>46139</v>
      </c>
      <c r="F131" s="47">
        <v>0.64090277777777782</v>
      </c>
      <c r="G131" s="44">
        <v>6.3</v>
      </c>
      <c r="H131" s="43" t="s">
        <v>237</v>
      </c>
      <c r="I131" s="40" t="s">
        <v>1281</v>
      </c>
    </row>
    <row r="132" spans="1:9" x14ac:dyDescent="0.25">
      <c r="A132" s="40" t="s">
        <v>372</v>
      </c>
      <c r="B132" s="28">
        <v>226</v>
      </c>
      <c r="C132" s="28" t="s">
        <v>35</v>
      </c>
      <c r="D132" s="28" t="s">
        <v>38</v>
      </c>
      <c r="E132" s="41">
        <v>46139</v>
      </c>
      <c r="F132" s="47">
        <v>0.64806712962962965</v>
      </c>
      <c r="G132" s="44">
        <v>6.3</v>
      </c>
      <c r="H132" s="43" t="s">
        <v>234</v>
      </c>
      <c r="I132" s="40" t="s">
        <v>1281</v>
      </c>
    </row>
    <row r="133" spans="1:9" x14ac:dyDescent="0.25">
      <c r="A133" s="40" t="s">
        <v>372</v>
      </c>
      <c r="B133" s="28">
        <v>226</v>
      </c>
      <c r="C133" s="28">
        <v>5639294</v>
      </c>
      <c r="D133" s="28"/>
      <c r="E133" s="45">
        <v>46140</v>
      </c>
      <c r="F133" s="48">
        <v>0.23954861111111111</v>
      </c>
      <c r="G133" s="44">
        <v>6.3</v>
      </c>
      <c r="H133" s="43" t="s">
        <v>237</v>
      </c>
      <c r="I133" s="40" t="s">
        <v>1281</v>
      </c>
    </row>
    <row r="134" spans="1:9" x14ac:dyDescent="0.25">
      <c r="A134" s="40" t="s">
        <v>372</v>
      </c>
      <c r="B134" s="28">
        <v>226</v>
      </c>
      <c r="C134" s="28">
        <v>5639294</v>
      </c>
      <c r="D134" s="28"/>
      <c r="E134" s="45">
        <v>46140</v>
      </c>
      <c r="F134" s="48">
        <v>0.24506944444444445</v>
      </c>
      <c r="G134" s="44">
        <v>6.3</v>
      </c>
      <c r="H134" s="43" t="s">
        <v>234</v>
      </c>
      <c r="I134" s="40" t="s">
        <v>1281</v>
      </c>
    </row>
    <row r="135" spans="1:9" x14ac:dyDescent="0.25">
      <c r="A135" s="40" t="s">
        <v>372</v>
      </c>
      <c r="B135" s="28">
        <v>226</v>
      </c>
      <c r="C135" s="28">
        <v>5640115</v>
      </c>
      <c r="D135" s="28"/>
      <c r="E135" s="41">
        <v>46140</v>
      </c>
      <c r="F135" s="47">
        <v>0.36606481481481479</v>
      </c>
      <c r="G135" s="44">
        <v>6.3</v>
      </c>
      <c r="H135" s="43" t="s">
        <v>235</v>
      </c>
      <c r="I135" s="40" t="s">
        <v>1281</v>
      </c>
    </row>
    <row r="136" spans="1:9" x14ac:dyDescent="0.25">
      <c r="A136" s="40" t="s">
        <v>372</v>
      </c>
      <c r="B136" s="28">
        <v>226</v>
      </c>
      <c r="C136" s="28">
        <v>5640115</v>
      </c>
      <c r="D136" s="28"/>
      <c r="E136" s="41">
        <v>46140</v>
      </c>
      <c r="F136" s="47">
        <v>0.38817129629629632</v>
      </c>
      <c r="G136" s="44">
        <v>6.3</v>
      </c>
      <c r="H136" s="43" t="s">
        <v>236</v>
      </c>
      <c r="I136" s="40" t="s">
        <v>1281</v>
      </c>
    </row>
    <row r="137" spans="1:9" x14ac:dyDescent="0.25">
      <c r="A137" s="40" t="s">
        <v>372</v>
      </c>
      <c r="B137" s="28">
        <v>226</v>
      </c>
      <c r="C137" s="28" t="s">
        <v>437</v>
      </c>
      <c r="D137" s="28"/>
      <c r="E137" s="41">
        <v>46141</v>
      </c>
      <c r="F137" s="47">
        <v>0.39627314814814812</v>
      </c>
      <c r="G137" s="44">
        <v>6.3</v>
      </c>
      <c r="H137" s="43" t="s">
        <v>235</v>
      </c>
      <c r="I137" s="40" t="s">
        <v>1281</v>
      </c>
    </row>
    <row r="138" spans="1:9" x14ac:dyDescent="0.25">
      <c r="A138" s="40" t="s">
        <v>372</v>
      </c>
      <c r="B138" s="28">
        <v>226</v>
      </c>
      <c r="C138" s="28" t="s">
        <v>437</v>
      </c>
      <c r="D138" s="28"/>
      <c r="E138" s="41">
        <v>46141</v>
      </c>
      <c r="F138" s="47">
        <v>0.41122685185185187</v>
      </c>
      <c r="G138" s="42">
        <v>6.3</v>
      </c>
      <c r="H138" s="40" t="s">
        <v>239</v>
      </c>
      <c r="I138" s="40" t="s">
        <v>1281</v>
      </c>
    </row>
    <row r="139" spans="1:9" x14ac:dyDescent="0.25">
      <c r="A139" s="40" t="s">
        <v>372</v>
      </c>
      <c r="B139" s="28">
        <v>226</v>
      </c>
      <c r="C139" s="28">
        <v>5646101</v>
      </c>
      <c r="D139" s="28"/>
      <c r="E139" s="41">
        <v>46143</v>
      </c>
      <c r="F139" s="47">
        <v>0.32972222222222225</v>
      </c>
      <c r="G139" s="42">
        <v>6.3</v>
      </c>
      <c r="H139" s="40" t="s">
        <v>235</v>
      </c>
      <c r="I139" s="40" t="s">
        <v>1282</v>
      </c>
    </row>
    <row r="140" spans="1:9" x14ac:dyDescent="0.25">
      <c r="A140" s="40" t="s">
        <v>372</v>
      </c>
      <c r="B140" s="28">
        <v>226</v>
      </c>
      <c r="C140" s="28">
        <v>5646101</v>
      </c>
      <c r="D140" s="28"/>
      <c r="E140" s="41">
        <v>46143</v>
      </c>
      <c r="F140" s="47">
        <v>0.33762731481481484</v>
      </c>
      <c r="G140" s="42">
        <v>6.3</v>
      </c>
      <c r="H140" s="40" t="s">
        <v>236</v>
      </c>
      <c r="I140" s="40" t="s">
        <v>1282</v>
      </c>
    </row>
    <row r="141" spans="1:9" x14ac:dyDescent="0.25">
      <c r="A141" s="40" t="s">
        <v>372</v>
      </c>
      <c r="B141" s="28">
        <v>226</v>
      </c>
      <c r="C141" s="28" t="s">
        <v>35</v>
      </c>
      <c r="D141" s="28" t="s">
        <v>38</v>
      </c>
      <c r="E141" s="41">
        <v>46143</v>
      </c>
      <c r="F141" s="47">
        <v>0.35979166666666668</v>
      </c>
      <c r="G141" s="42">
        <v>6.3</v>
      </c>
      <c r="H141" s="40" t="s">
        <v>237</v>
      </c>
      <c r="I141" s="40" t="s">
        <v>1282</v>
      </c>
    </row>
    <row r="142" spans="1:9" x14ac:dyDescent="0.25">
      <c r="A142" s="40" t="s">
        <v>372</v>
      </c>
      <c r="B142" s="28">
        <v>226</v>
      </c>
      <c r="C142" s="28" t="s">
        <v>35</v>
      </c>
      <c r="D142" s="28" t="s">
        <v>38</v>
      </c>
      <c r="E142" s="41">
        <v>46143</v>
      </c>
      <c r="F142" s="47">
        <v>0.36517361111111113</v>
      </c>
      <c r="G142" s="42">
        <v>6.3</v>
      </c>
      <c r="H142" s="40" t="s">
        <v>234</v>
      </c>
      <c r="I142" s="40" t="s">
        <v>1282</v>
      </c>
    </row>
    <row r="143" spans="1:9" x14ac:dyDescent="0.25">
      <c r="A143" s="40" t="s">
        <v>54</v>
      </c>
      <c r="B143" s="28">
        <v>227</v>
      </c>
      <c r="C143" s="28">
        <v>5637875</v>
      </c>
      <c r="D143" s="28"/>
      <c r="E143" s="41">
        <v>46139</v>
      </c>
      <c r="F143" s="47">
        <v>0.34868055555555555</v>
      </c>
      <c r="G143" s="42">
        <v>6.3</v>
      </c>
      <c r="H143" s="40" t="s">
        <v>235</v>
      </c>
      <c r="I143" s="40" t="s">
        <v>1281</v>
      </c>
    </row>
    <row r="144" spans="1:9" x14ac:dyDescent="0.25">
      <c r="A144" s="40" t="s">
        <v>54</v>
      </c>
      <c r="B144" s="28">
        <v>227</v>
      </c>
      <c r="C144" s="28">
        <v>5637875</v>
      </c>
      <c r="D144" s="28"/>
      <c r="E144" s="41">
        <v>46139</v>
      </c>
      <c r="F144" s="47">
        <v>0.37222222222222223</v>
      </c>
      <c r="G144" s="44">
        <v>6.3</v>
      </c>
      <c r="H144" s="43" t="s">
        <v>239</v>
      </c>
      <c r="I144" s="40" t="s">
        <v>1281</v>
      </c>
    </row>
    <row r="145" spans="1:9" x14ac:dyDescent="0.25">
      <c r="A145" s="40" t="s">
        <v>54</v>
      </c>
      <c r="B145" s="28">
        <v>227</v>
      </c>
      <c r="C145" s="28">
        <v>5644351</v>
      </c>
      <c r="D145" s="28"/>
      <c r="E145" s="45">
        <v>46142</v>
      </c>
      <c r="F145" s="48">
        <v>0.43998842592592591</v>
      </c>
      <c r="G145" s="44">
        <v>6.3</v>
      </c>
      <c r="H145" s="43" t="s">
        <v>235</v>
      </c>
      <c r="I145" s="40" t="s">
        <v>1281</v>
      </c>
    </row>
    <row r="146" spans="1:9" x14ac:dyDescent="0.25">
      <c r="A146" s="40" t="s">
        <v>54</v>
      </c>
      <c r="B146" s="28">
        <v>227</v>
      </c>
      <c r="C146" s="28">
        <v>5644351</v>
      </c>
      <c r="D146" s="28"/>
      <c r="E146" s="41">
        <v>46142</v>
      </c>
      <c r="F146" s="47">
        <v>0.45633101851851854</v>
      </c>
      <c r="G146" s="44">
        <v>6.3</v>
      </c>
      <c r="H146" s="43" t="s">
        <v>239</v>
      </c>
      <c r="I146" s="40" t="s">
        <v>1281</v>
      </c>
    </row>
    <row r="147" spans="1:9" x14ac:dyDescent="0.25">
      <c r="A147" s="40" t="s">
        <v>54</v>
      </c>
      <c r="B147" s="28">
        <v>227</v>
      </c>
      <c r="C147" s="28" t="s">
        <v>35</v>
      </c>
      <c r="D147" s="28" t="s">
        <v>38</v>
      </c>
      <c r="E147" s="41">
        <v>46142</v>
      </c>
      <c r="F147" s="47">
        <v>0.47497685185185184</v>
      </c>
      <c r="G147" s="44">
        <v>6.3</v>
      </c>
      <c r="H147" s="43" t="s">
        <v>238</v>
      </c>
      <c r="I147" s="40" t="s">
        <v>1281</v>
      </c>
    </row>
    <row r="148" spans="1:9" x14ac:dyDescent="0.25">
      <c r="A148" s="40" t="s">
        <v>54</v>
      </c>
      <c r="B148" s="28">
        <v>227</v>
      </c>
      <c r="C148" s="28" t="s">
        <v>35</v>
      </c>
      <c r="D148" s="28" t="s">
        <v>38</v>
      </c>
      <c r="E148" s="41">
        <v>46142</v>
      </c>
      <c r="F148" s="47">
        <v>0.48648148148148146</v>
      </c>
      <c r="G148" s="44">
        <v>6.3</v>
      </c>
      <c r="H148" s="43" t="s">
        <v>234</v>
      </c>
      <c r="I148" s="40" t="s">
        <v>1281</v>
      </c>
    </row>
    <row r="149" spans="1:9" x14ac:dyDescent="0.25">
      <c r="A149" s="40" t="s">
        <v>54</v>
      </c>
      <c r="B149" s="28">
        <v>227</v>
      </c>
      <c r="C149" s="28" t="s">
        <v>35</v>
      </c>
      <c r="D149" s="28" t="s">
        <v>38</v>
      </c>
      <c r="E149" s="41">
        <v>46142</v>
      </c>
      <c r="F149" s="47">
        <v>0.56710648148148146</v>
      </c>
      <c r="G149" s="44">
        <v>6.3</v>
      </c>
      <c r="H149" s="43" t="s">
        <v>235</v>
      </c>
      <c r="I149" s="40" t="s">
        <v>1281</v>
      </c>
    </row>
    <row r="150" spans="1:9" x14ac:dyDescent="0.25">
      <c r="A150" s="40" t="s">
        <v>54</v>
      </c>
      <c r="B150" s="28">
        <v>227</v>
      </c>
      <c r="C150" s="28" t="s">
        <v>35</v>
      </c>
      <c r="D150" s="28" t="s">
        <v>38</v>
      </c>
      <c r="E150" s="41">
        <v>46142</v>
      </c>
      <c r="F150" s="47">
        <v>0.58484953703703701</v>
      </c>
      <c r="G150" s="44">
        <v>6.3</v>
      </c>
      <c r="H150" s="43" t="s">
        <v>239</v>
      </c>
      <c r="I150" s="40" t="s">
        <v>1281</v>
      </c>
    </row>
    <row r="151" spans="1:9" x14ac:dyDescent="0.25">
      <c r="A151" s="40" t="s">
        <v>55</v>
      </c>
      <c r="B151" s="28">
        <v>230</v>
      </c>
      <c r="C151" s="28">
        <v>5637695</v>
      </c>
      <c r="D151" s="28"/>
      <c r="E151" s="41">
        <v>46139</v>
      </c>
      <c r="F151" s="47">
        <v>0.29391203703703705</v>
      </c>
      <c r="G151" s="44">
        <v>6.3</v>
      </c>
      <c r="H151" s="43" t="s">
        <v>237</v>
      </c>
      <c r="I151" s="40" t="s">
        <v>1281</v>
      </c>
    </row>
    <row r="152" spans="1:9" x14ac:dyDescent="0.25">
      <c r="A152" s="40" t="s">
        <v>55</v>
      </c>
      <c r="B152" s="28">
        <v>230</v>
      </c>
      <c r="C152" s="28">
        <v>5637695</v>
      </c>
      <c r="D152" s="28"/>
      <c r="E152" s="41">
        <v>46139</v>
      </c>
      <c r="F152" s="47">
        <v>0.29986111111111113</v>
      </c>
      <c r="G152" s="44">
        <v>6.3</v>
      </c>
      <c r="H152" s="43" t="s">
        <v>234</v>
      </c>
      <c r="I152" s="40" t="s">
        <v>1281</v>
      </c>
    </row>
    <row r="153" spans="1:9" x14ac:dyDescent="0.25">
      <c r="A153" s="40" t="s">
        <v>55</v>
      </c>
      <c r="B153" s="28">
        <v>230</v>
      </c>
      <c r="C153" s="28" t="s">
        <v>438</v>
      </c>
      <c r="D153" s="28"/>
      <c r="E153" s="41">
        <v>46139</v>
      </c>
      <c r="F153" s="47">
        <v>0.44540509259259259</v>
      </c>
      <c r="G153" s="44">
        <v>6.3</v>
      </c>
      <c r="H153" s="43" t="s">
        <v>235</v>
      </c>
      <c r="I153" s="40" t="s">
        <v>1281</v>
      </c>
    </row>
    <row r="154" spans="1:9" x14ac:dyDescent="0.25">
      <c r="A154" s="40" t="s">
        <v>55</v>
      </c>
      <c r="B154" s="28">
        <v>230</v>
      </c>
      <c r="C154" s="28" t="s">
        <v>438</v>
      </c>
      <c r="D154" s="28"/>
      <c r="E154" s="45">
        <v>46139</v>
      </c>
      <c r="F154" s="48">
        <v>0.45533564814814814</v>
      </c>
      <c r="G154" s="44">
        <v>6.3</v>
      </c>
      <c r="H154" s="43" t="s">
        <v>236</v>
      </c>
      <c r="I154" s="40" t="s">
        <v>1281</v>
      </c>
    </row>
    <row r="155" spans="1:9" x14ac:dyDescent="0.25">
      <c r="A155" s="40" t="s">
        <v>55</v>
      </c>
      <c r="B155" s="28">
        <v>230</v>
      </c>
      <c r="C155" s="28">
        <v>5642195</v>
      </c>
      <c r="D155" s="28"/>
      <c r="E155" s="41">
        <v>46141</v>
      </c>
      <c r="F155" s="47">
        <v>0.41266203703703702</v>
      </c>
      <c r="G155" s="44">
        <v>6.3</v>
      </c>
      <c r="H155" s="43" t="s">
        <v>235</v>
      </c>
      <c r="I155" s="40" t="s">
        <v>1281</v>
      </c>
    </row>
    <row r="156" spans="1:9" x14ac:dyDescent="0.25">
      <c r="A156" s="40" t="s">
        <v>55</v>
      </c>
      <c r="B156" s="28">
        <v>230</v>
      </c>
      <c r="C156" s="28">
        <v>5642195</v>
      </c>
      <c r="D156" s="28"/>
      <c r="E156" s="41">
        <v>46141</v>
      </c>
      <c r="F156" s="47">
        <v>0.4258912037037037</v>
      </c>
      <c r="G156" s="44">
        <v>6.3</v>
      </c>
      <c r="H156" s="43" t="s">
        <v>236</v>
      </c>
      <c r="I156" s="40" t="s">
        <v>1281</v>
      </c>
    </row>
    <row r="157" spans="1:9" x14ac:dyDescent="0.25">
      <c r="A157" s="40" t="s">
        <v>55</v>
      </c>
      <c r="B157" s="28">
        <v>230</v>
      </c>
      <c r="C157" s="28" t="s">
        <v>35</v>
      </c>
      <c r="D157" s="28" t="s">
        <v>38</v>
      </c>
      <c r="E157" s="41">
        <v>46141</v>
      </c>
      <c r="F157" s="47">
        <v>0.44519675925925928</v>
      </c>
      <c r="G157" s="44">
        <v>6.3</v>
      </c>
      <c r="H157" s="43" t="s">
        <v>238</v>
      </c>
      <c r="I157" s="40" t="s">
        <v>1281</v>
      </c>
    </row>
    <row r="158" spans="1:9" x14ac:dyDescent="0.25">
      <c r="A158" s="40" t="s">
        <v>55</v>
      </c>
      <c r="B158" s="28">
        <v>230</v>
      </c>
      <c r="C158" s="28" t="s">
        <v>35</v>
      </c>
      <c r="D158" s="28" t="s">
        <v>38</v>
      </c>
      <c r="E158" s="41">
        <v>46141</v>
      </c>
      <c r="F158" s="47">
        <v>0.45909722222222221</v>
      </c>
      <c r="G158" s="44">
        <v>6.3</v>
      </c>
      <c r="H158" s="43" t="s">
        <v>234</v>
      </c>
      <c r="I158" s="40" t="s">
        <v>1281</v>
      </c>
    </row>
    <row r="159" spans="1:9" x14ac:dyDescent="0.25">
      <c r="A159" s="40" t="s">
        <v>55</v>
      </c>
      <c r="B159" s="28">
        <v>230</v>
      </c>
      <c r="C159" s="28" t="s">
        <v>35</v>
      </c>
      <c r="D159" s="28" t="s">
        <v>38</v>
      </c>
      <c r="E159" s="41">
        <v>46143</v>
      </c>
      <c r="F159" s="47">
        <v>0.16358796296296296</v>
      </c>
      <c r="G159" s="44">
        <v>6.3</v>
      </c>
      <c r="H159" s="43" t="s">
        <v>237</v>
      </c>
      <c r="I159" s="40" t="s">
        <v>1282</v>
      </c>
    </row>
    <row r="160" spans="1:9" x14ac:dyDescent="0.25">
      <c r="A160" s="40" t="s">
        <v>55</v>
      </c>
      <c r="B160" s="28">
        <v>230</v>
      </c>
      <c r="C160" s="28" t="s">
        <v>35</v>
      </c>
      <c r="D160" s="28" t="s">
        <v>38</v>
      </c>
      <c r="E160" s="41">
        <v>46143</v>
      </c>
      <c r="F160" s="47">
        <v>0.19049768518518517</v>
      </c>
      <c r="G160" s="44">
        <v>6.3</v>
      </c>
      <c r="H160" s="43" t="s">
        <v>236</v>
      </c>
      <c r="I160" s="40" t="s">
        <v>1282</v>
      </c>
    </row>
    <row r="161" spans="1:9" x14ac:dyDescent="0.25">
      <c r="A161" s="40" t="s">
        <v>415</v>
      </c>
      <c r="B161" s="28">
        <v>233</v>
      </c>
      <c r="C161" s="28" t="s">
        <v>439</v>
      </c>
      <c r="D161" s="28"/>
      <c r="E161" s="41">
        <v>46141</v>
      </c>
      <c r="F161" s="47">
        <v>0.34912037037037036</v>
      </c>
      <c r="G161" s="44">
        <v>6.3</v>
      </c>
      <c r="H161" s="43" t="s">
        <v>235</v>
      </c>
      <c r="I161" s="40" t="s">
        <v>1281</v>
      </c>
    </row>
    <row r="162" spans="1:9" x14ac:dyDescent="0.25">
      <c r="A162" s="40" t="s">
        <v>415</v>
      </c>
      <c r="B162" s="28">
        <v>233</v>
      </c>
      <c r="C162" s="28" t="s">
        <v>439</v>
      </c>
      <c r="D162" s="28"/>
      <c r="E162" s="45">
        <v>46141</v>
      </c>
      <c r="F162" s="48">
        <v>0.36480324074074072</v>
      </c>
      <c r="G162" s="44">
        <v>6.3</v>
      </c>
      <c r="H162" s="43" t="s">
        <v>236</v>
      </c>
      <c r="I162" s="40" t="s">
        <v>1281</v>
      </c>
    </row>
    <row r="163" spans="1:9" x14ac:dyDescent="0.25">
      <c r="A163" s="40" t="s">
        <v>415</v>
      </c>
      <c r="B163" s="28">
        <v>233</v>
      </c>
      <c r="C163" s="28" t="s">
        <v>35</v>
      </c>
      <c r="D163" s="28" t="s">
        <v>38</v>
      </c>
      <c r="E163" s="41">
        <v>46141</v>
      </c>
      <c r="F163" s="47">
        <v>0.41228009259259257</v>
      </c>
      <c r="G163" s="44">
        <v>6.3</v>
      </c>
      <c r="H163" s="43" t="s">
        <v>233</v>
      </c>
      <c r="I163" s="40" t="s">
        <v>1281</v>
      </c>
    </row>
    <row r="164" spans="1:9" x14ac:dyDescent="0.25">
      <c r="A164" s="40" t="s">
        <v>415</v>
      </c>
      <c r="B164" s="28">
        <v>233</v>
      </c>
      <c r="C164" s="28">
        <v>5644672</v>
      </c>
      <c r="D164" s="28"/>
      <c r="E164" s="41">
        <v>46142</v>
      </c>
      <c r="F164" s="47">
        <v>0.5549884259259259</v>
      </c>
      <c r="G164" s="44">
        <v>6.3</v>
      </c>
      <c r="H164" s="43" t="s">
        <v>235</v>
      </c>
      <c r="I164" s="40" t="s">
        <v>1281</v>
      </c>
    </row>
    <row r="165" spans="1:9" x14ac:dyDescent="0.25">
      <c r="A165" s="40" t="s">
        <v>415</v>
      </c>
      <c r="B165" s="28">
        <v>233</v>
      </c>
      <c r="C165" s="28" t="s">
        <v>440</v>
      </c>
      <c r="D165" s="28"/>
      <c r="E165" s="41">
        <v>46144</v>
      </c>
      <c r="F165" s="47">
        <v>0.35392361111111109</v>
      </c>
      <c r="G165" s="44">
        <v>6.3</v>
      </c>
      <c r="H165" s="43" t="s">
        <v>235</v>
      </c>
      <c r="I165" s="40" t="s">
        <v>1282</v>
      </c>
    </row>
    <row r="166" spans="1:9" x14ac:dyDescent="0.25">
      <c r="A166" s="40" t="s">
        <v>415</v>
      </c>
      <c r="B166" s="28">
        <v>233</v>
      </c>
      <c r="C166" s="28">
        <v>5648503</v>
      </c>
      <c r="D166" s="28"/>
      <c r="E166" s="41">
        <v>46145</v>
      </c>
      <c r="F166" s="47">
        <v>0.48469907407407409</v>
      </c>
      <c r="G166" s="44">
        <v>6.3</v>
      </c>
      <c r="H166" s="43" t="s">
        <v>235</v>
      </c>
      <c r="I166" s="40" t="s">
        <v>1282</v>
      </c>
    </row>
    <row r="167" spans="1:9" x14ac:dyDescent="0.25">
      <c r="A167" s="40" t="s">
        <v>415</v>
      </c>
      <c r="B167" s="28">
        <v>233</v>
      </c>
      <c r="C167" s="28">
        <v>5648503</v>
      </c>
      <c r="D167" s="28"/>
      <c r="E167" s="41">
        <v>46145</v>
      </c>
      <c r="F167" s="47">
        <v>0.49281249999999999</v>
      </c>
      <c r="G167" s="44">
        <v>6.3</v>
      </c>
      <c r="H167" s="43" t="s">
        <v>236</v>
      </c>
      <c r="I167" s="40" t="s">
        <v>1282</v>
      </c>
    </row>
    <row r="168" spans="1:9" x14ac:dyDescent="0.25">
      <c r="A168" s="40" t="s">
        <v>140</v>
      </c>
      <c r="B168" s="28">
        <v>243</v>
      </c>
      <c r="C168" s="28" t="s">
        <v>441</v>
      </c>
      <c r="D168" s="28"/>
      <c r="E168" s="41">
        <v>46139</v>
      </c>
      <c r="F168" s="47">
        <v>0.94418981481481479</v>
      </c>
      <c r="G168" s="44">
        <v>6.3</v>
      </c>
      <c r="H168" s="43" t="s">
        <v>235</v>
      </c>
      <c r="I168" s="40" t="s">
        <v>1281</v>
      </c>
    </row>
    <row r="169" spans="1:9" x14ac:dyDescent="0.25">
      <c r="A169" s="40" t="s">
        <v>140</v>
      </c>
      <c r="B169" s="28">
        <v>243</v>
      </c>
      <c r="C169" s="28" t="s">
        <v>441</v>
      </c>
      <c r="D169" s="28"/>
      <c r="E169" s="41">
        <v>46139</v>
      </c>
      <c r="F169" s="47">
        <v>0.95096064814814818</v>
      </c>
      <c r="G169" s="44">
        <v>6.3</v>
      </c>
      <c r="H169" s="43" t="s">
        <v>236</v>
      </c>
      <c r="I169" s="40" t="s">
        <v>1281</v>
      </c>
    </row>
    <row r="170" spans="1:9" x14ac:dyDescent="0.25">
      <c r="A170" s="40" t="s">
        <v>140</v>
      </c>
      <c r="B170" s="28">
        <v>243</v>
      </c>
      <c r="C170" s="28" t="s">
        <v>35</v>
      </c>
      <c r="D170" s="28" t="s">
        <v>38</v>
      </c>
      <c r="E170" s="41">
        <v>46139</v>
      </c>
      <c r="F170" s="47">
        <v>0.96649305555555554</v>
      </c>
      <c r="G170" s="44">
        <v>6.3</v>
      </c>
      <c r="H170" s="43" t="s">
        <v>237</v>
      </c>
      <c r="I170" s="40" t="s">
        <v>1281</v>
      </c>
    </row>
    <row r="171" spans="1:9" x14ac:dyDescent="0.25">
      <c r="A171" s="40" t="s">
        <v>140</v>
      </c>
      <c r="B171" s="28">
        <v>243</v>
      </c>
      <c r="C171" s="28">
        <v>5642581</v>
      </c>
      <c r="D171" s="28"/>
      <c r="E171" s="41">
        <v>46142</v>
      </c>
      <c r="F171" s="47">
        <v>0.15109953703703705</v>
      </c>
      <c r="G171" s="44">
        <v>6.3</v>
      </c>
      <c r="H171" s="43" t="s">
        <v>238</v>
      </c>
      <c r="I171" s="40" t="s">
        <v>1281</v>
      </c>
    </row>
    <row r="172" spans="1:9" x14ac:dyDescent="0.25">
      <c r="A172" s="40" t="s">
        <v>140</v>
      </c>
      <c r="B172" s="28">
        <v>243</v>
      </c>
      <c r="C172" s="28">
        <v>5642581</v>
      </c>
      <c r="D172" s="28"/>
      <c r="E172" s="45">
        <v>46142</v>
      </c>
      <c r="F172" s="48">
        <v>0.15519675925925927</v>
      </c>
      <c r="G172" s="44">
        <v>6.3</v>
      </c>
      <c r="H172" s="43" t="s">
        <v>234</v>
      </c>
      <c r="I172" s="40" t="s">
        <v>1281</v>
      </c>
    </row>
    <row r="173" spans="1:9" x14ac:dyDescent="0.25">
      <c r="A173" s="40" t="s">
        <v>442</v>
      </c>
      <c r="B173" s="28">
        <v>245</v>
      </c>
      <c r="C173" s="28" t="s">
        <v>443</v>
      </c>
      <c r="D173" s="28"/>
      <c r="E173" s="45">
        <v>46139</v>
      </c>
      <c r="F173" s="48">
        <v>0.35817129629629629</v>
      </c>
      <c r="G173" s="42">
        <v>6.3</v>
      </c>
      <c r="H173" s="40" t="s">
        <v>235</v>
      </c>
      <c r="I173" s="40" t="s">
        <v>1281</v>
      </c>
    </row>
    <row r="174" spans="1:9" x14ac:dyDescent="0.25">
      <c r="A174" s="40" t="s">
        <v>442</v>
      </c>
      <c r="B174" s="28">
        <v>245</v>
      </c>
      <c r="C174" s="28" t="s">
        <v>443</v>
      </c>
      <c r="D174" s="28"/>
      <c r="E174" s="45">
        <v>46139</v>
      </c>
      <c r="F174" s="48">
        <v>0.38947916666666665</v>
      </c>
      <c r="G174" s="44">
        <v>6.3</v>
      </c>
      <c r="H174" s="43" t="s">
        <v>236</v>
      </c>
      <c r="I174" s="40" t="s">
        <v>1281</v>
      </c>
    </row>
    <row r="175" spans="1:9" x14ac:dyDescent="0.25">
      <c r="A175" s="40" t="s">
        <v>442</v>
      </c>
      <c r="B175" s="28">
        <v>245</v>
      </c>
      <c r="C175" s="28" t="s">
        <v>444</v>
      </c>
      <c r="D175" s="28"/>
      <c r="E175" s="45">
        <v>46143</v>
      </c>
      <c r="F175" s="48">
        <v>0.40406249999999999</v>
      </c>
      <c r="G175" s="44">
        <v>6.3</v>
      </c>
      <c r="H175" s="43" t="s">
        <v>235</v>
      </c>
      <c r="I175" s="40" t="s">
        <v>1282</v>
      </c>
    </row>
    <row r="176" spans="1:9" x14ac:dyDescent="0.25">
      <c r="A176" s="40" t="s">
        <v>442</v>
      </c>
      <c r="B176" s="28">
        <v>245</v>
      </c>
      <c r="C176" s="28" t="s">
        <v>444</v>
      </c>
      <c r="D176" s="28"/>
      <c r="E176" s="41">
        <v>46143</v>
      </c>
      <c r="F176" s="47">
        <v>0.41116898148148145</v>
      </c>
      <c r="G176" s="44">
        <v>6.3</v>
      </c>
      <c r="H176" s="43" t="s">
        <v>236</v>
      </c>
      <c r="I176" s="40" t="s">
        <v>1282</v>
      </c>
    </row>
    <row r="177" spans="1:9" x14ac:dyDescent="0.25">
      <c r="A177" s="40" t="s">
        <v>145</v>
      </c>
      <c r="B177" s="28">
        <v>248</v>
      </c>
      <c r="C177" s="28">
        <v>5604872</v>
      </c>
      <c r="D177" s="28"/>
      <c r="E177" s="41">
        <v>46139</v>
      </c>
      <c r="F177" s="47">
        <v>0.32836805555555554</v>
      </c>
      <c r="G177" s="44">
        <v>6.3</v>
      </c>
      <c r="H177" s="43" t="s">
        <v>235</v>
      </c>
      <c r="I177" s="40" t="s">
        <v>1281</v>
      </c>
    </row>
    <row r="178" spans="1:9" x14ac:dyDescent="0.25">
      <c r="A178" s="40" t="s">
        <v>145</v>
      </c>
      <c r="B178" s="28">
        <v>248</v>
      </c>
      <c r="C178" s="28">
        <v>5604872</v>
      </c>
      <c r="D178" s="28"/>
      <c r="E178" s="41">
        <v>46139</v>
      </c>
      <c r="F178" s="47">
        <v>0.35148148148148151</v>
      </c>
      <c r="G178" s="44">
        <v>6.3</v>
      </c>
      <c r="H178" s="43" t="s">
        <v>236</v>
      </c>
      <c r="I178" s="40" t="s">
        <v>1281</v>
      </c>
    </row>
    <row r="179" spans="1:9" x14ac:dyDescent="0.25">
      <c r="A179" s="40" t="s">
        <v>145</v>
      </c>
      <c r="B179" s="28">
        <v>248</v>
      </c>
      <c r="C179" s="28">
        <v>5637596</v>
      </c>
      <c r="D179" s="28" t="s">
        <v>37</v>
      </c>
      <c r="E179" s="41">
        <v>46139</v>
      </c>
      <c r="F179" s="47">
        <v>0.40769675925925924</v>
      </c>
      <c r="G179" s="44">
        <v>6.3</v>
      </c>
      <c r="H179" s="43" t="s">
        <v>238</v>
      </c>
      <c r="I179" s="40" t="s">
        <v>1281</v>
      </c>
    </row>
    <row r="180" spans="1:9" x14ac:dyDescent="0.25">
      <c r="A180" s="40" t="s">
        <v>145</v>
      </c>
      <c r="B180" s="28">
        <v>248</v>
      </c>
      <c r="C180" s="28">
        <v>5637596</v>
      </c>
      <c r="D180" s="28" t="s">
        <v>37</v>
      </c>
      <c r="E180" s="41">
        <v>46139</v>
      </c>
      <c r="F180" s="47">
        <v>0.41377314814814814</v>
      </c>
      <c r="G180" s="44">
        <v>6.3</v>
      </c>
      <c r="H180" s="43" t="s">
        <v>234</v>
      </c>
      <c r="I180" s="40" t="s">
        <v>1281</v>
      </c>
    </row>
    <row r="181" spans="1:9" x14ac:dyDescent="0.25">
      <c r="A181" s="40" t="s">
        <v>145</v>
      </c>
      <c r="B181" s="28">
        <v>248</v>
      </c>
      <c r="C181" s="28" t="s">
        <v>445</v>
      </c>
      <c r="D181" s="28"/>
      <c r="E181" s="41">
        <v>46142</v>
      </c>
      <c r="F181" s="47">
        <v>8.1828703703703699E-3</v>
      </c>
      <c r="G181" s="44">
        <v>6.3</v>
      </c>
      <c r="H181" s="43" t="s">
        <v>235</v>
      </c>
      <c r="I181" s="40" t="s">
        <v>1281</v>
      </c>
    </row>
    <row r="182" spans="1:9" x14ac:dyDescent="0.25">
      <c r="A182" s="40" t="s">
        <v>145</v>
      </c>
      <c r="B182" s="28">
        <v>248</v>
      </c>
      <c r="C182" s="28" t="s">
        <v>445</v>
      </c>
      <c r="D182" s="28"/>
      <c r="E182" s="41">
        <v>46142</v>
      </c>
      <c r="F182" s="47">
        <v>1.7141203703703704E-2</v>
      </c>
      <c r="G182" s="44">
        <v>6.3</v>
      </c>
      <c r="H182" s="43" t="s">
        <v>236</v>
      </c>
      <c r="I182" s="40" t="s">
        <v>1281</v>
      </c>
    </row>
    <row r="183" spans="1:9" x14ac:dyDescent="0.25">
      <c r="A183" s="40" t="s">
        <v>145</v>
      </c>
      <c r="B183" s="28">
        <v>248</v>
      </c>
      <c r="C183" s="28" t="s">
        <v>446</v>
      </c>
      <c r="D183" s="28"/>
      <c r="E183" s="41">
        <v>46145</v>
      </c>
      <c r="F183" s="47">
        <v>0.86935185185185182</v>
      </c>
      <c r="G183" s="44">
        <v>6.3</v>
      </c>
      <c r="H183" s="43" t="s">
        <v>235</v>
      </c>
      <c r="I183" s="40" t="s">
        <v>1282</v>
      </c>
    </row>
    <row r="184" spans="1:9" x14ac:dyDescent="0.25">
      <c r="A184" s="40" t="s">
        <v>145</v>
      </c>
      <c r="B184" s="28">
        <v>248</v>
      </c>
      <c r="C184" s="28" t="s">
        <v>446</v>
      </c>
      <c r="D184" s="28"/>
      <c r="E184" s="41">
        <v>46145</v>
      </c>
      <c r="F184" s="47">
        <v>0.87678240740740743</v>
      </c>
      <c r="G184" s="44">
        <v>6.3</v>
      </c>
      <c r="H184" s="43" t="s">
        <v>236</v>
      </c>
      <c r="I184" s="40" t="s">
        <v>1282</v>
      </c>
    </row>
    <row r="185" spans="1:9" x14ac:dyDescent="0.25">
      <c r="A185" s="40" t="s">
        <v>145</v>
      </c>
      <c r="B185" s="28">
        <v>248</v>
      </c>
      <c r="C185" s="28">
        <v>5648393</v>
      </c>
      <c r="D185" s="28" t="s">
        <v>37</v>
      </c>
      <c r="E185" s="41">
        <v>46145</v>
      </c>
      <c r="F185" s="47">
        <v>0.95567129629629632</v>
      </c>
      <c r="G185" s="44">
        <v>6.3</v>
      </c>
      <c r="H185" s="43" t="s">
        <v>233</v>
      </c>
      <c r="I185" s="40" t="s">
        <v>1282</v>
      </c>
    </row>
    <row r="186" spans="1:9" x14ac:dyDescent="0.25">
      <c r="A186" s="40" t="s">
        <v>145</v>
      </c>
      <c r="B186" s="28">
        <v>248</v>
      </c>
      <c r="C186" s="28">
        <v>5648393</v>
      </c>
      <c r="D186" s="28" t="s">
        <v>37</v>
      </c>
      <c r="E186" s="41">
        <v>46145</v>
      </c>
      <c r="F186" s="47">
        <v>0.96152777777777776</v>
      </c>
      <c r="G186" s="44">
        <v>6.3</v>
      </c>
      <c r="H186" s="43" t="s">
        <v>234</v>
      </c>
      <c r="I186" s="40" t="s">
        <v>1282</v>
      </c>
    </row>
    <row r="187" spans="1:9" x14ac:dyDescent="0.25">
      <c r="A187" s="40" t="s">
        <v>56</v>
      </c>
      <c r="B187" s="28">
        <v>251</v>
      </c>
      <c r="C187" s="28">
        <v>5636986</v>
      </c>
      <c r="D187" s="28" t="s">
        <v>37</v>
      </c>
      <c r="E187" s="41">
        <v>46139</v>
      </c>
      <c r="F187" s="47">
        <v>0.15988425925925925</v>
      </c>
      <c r="G187" s="44">
        <v>6.3</v>
      </c>
      <c r="H187" s="43" t="s">
        <v>237</v>
      </c>
      <c r="I187" s="40" t="s">
        <v>1281</v>
      </c>
    </row>
    <row r="188" spans="1:9" x14ac:dyDescent="0.25">
      <c r="A188" s="40" t="s">
        <v>56</v>
      </c>
      <c r="B188" s="28">
        <v>251</v>
      </c>
      <c r="C188" s="28">
        <v>5636986</v>
      </c>
      <c r="D188" s="28" t="s">
        <v>37</v>
      </c>
      <c r="E188" s="41">
        <v>46139</v>
      </c>
      <c r="F188" s="47">
        <v>0.16547453703703704</v>
      </c>
      <c r="G188" s="44">
        <v>6.3</v>
      </c>
      <c r="H188" s="43" t="s">
        <v>234</v>
      </c>
      <c r="I188" s="40" t="s">
        <v>1281</v>
      </c>
    </row>
    <row r="189" spans="1:9" x14ac:dyDescent="0.25">
      <c r="A189" s="40" t="s">
        <v>56</v>
      </c>
      <c r="B189" s="28">
        <v>251</v>
      </c>
      <c r="C189" s="28" t="s">
        <v>35</v>
      </c>
      <c r="D189" s="28" t="s">
        <v>38</v>
      </c>
      <c r="E189" s="41">
        <v>46140</v>
      </c>
      <c r="F189" s="47">
        <v>7.291666666666667E-4</v>
      </c>
      <c r="G189" s="44">
        <v>6.3</v>
      </c>
      <c r="H189" s="43" t="s">
        <v>234</v>
      </c>
      <c r="I189" s="40" t="s">
        <v>1281</v>
      </c>
    </row>
    <row r="190" spans="1:9" x14ac:dyDescent="0.25">
      <c r="A190" s="40" t="s">
        <v>56</v>
      </c>
      <c r="B190" s="28">
        <v>251</v>
      </c>
      <c r="C190" s="28">
        <v>5641926</v>
      </c>
      <c r="D190" s="28"/>
      <c r="E190" s="41">
        <v>46141</v>
      </c>
      <c r="F190" s="47">
        <v>0.15564814814814815</v>
      </c>
      <c r="G190" s="44">
        <v>6.3</v>
      </c>
      <c r="H190" s="43" t="s">
        <v>233</v>
      </c>
      <c r="I190" s="40" t="s">
        <v>1281</v>
      </c>
    </row>
    <row r="191" spans="1:9" x14ac:dyDescent="0.25">
      <c r="A191" s="40" t="s">
        <v>56</v>
      </c>
      <c r="B191" s="28">
        <v>251</v>
      </c>
      <c r="C191" s="28">
        <v>5641926</v>
      </c>
      <c r="D191" s="28"/>
      <c r="E191" s="41">
        <v>46141</v>
      </c>
      <c r="F191" s="47">
        <v>0.16046296296296297</v>
      </c>
      <c r="G191" s="42">
        <v>6.3</v>
      </c>
      <c r="H191" s="40" t="s">
        <v>234</v>
      </c>
      <c r="I191" s="40" t="s">
        <v>1281</v>
      </c>
    </row>
    <row r="192" spans="1:9" x14ac:dyDescent="0.25">
      <c r="A192" s="40" t="s">
        <v>56</v>
      </c>
      <c r="B192" s="28">
        <v>251</v>
      </c>
      <c r="C192" s="28" t="s">
        <v>447</v>
      </c>
      <c r="D192" s="28"/>
      <c r="E192" s="41">
        <v>46141</v>
      </c>
      <c r="F192" s="47">
        <v>0.8732523148148148</v>
      </c>
      <c r="G192" s="42">
        <v>6.3</v>
      </c>
      <c r="H192" s="40" t="s">
        <v>235</v>
      </c>
      <c r="I192" s="40" t="s">
        <v>1281</v>
      </c>
    </row>
    <row r="193" spans="1:9" x14ac:dyDescent="0.25">
      <c r="A193" s="40" t="s">
        <v>56</v>
      </c>
      <c r="B193" s="28">
        <v>251</v>
      </c>
      <c r="C193" s="28" t="s">
        <v>447</v>
      </c>
      <c r="D193" s="28"/>
      <c r="E193" s="41">
        <v>46141</v>
      </c>
      <c r="F193" s="47">
        <v>0.87972222222222218</v>
      </c>
      <c r="G193" s="44">
        <v>6.3</v>
      </c>
      <c r="H193" s="43" t="s">
        <v>236</v>
      </c>
      <c r="I193" s="40" t="s">
        <v>1281</v>
      </c>
    </row>
    <row r="194" spans="1:9" x14ac:dyDescent="0.25">
      <c r="A194" s="40" t="s">
        <v>56</v>
      </c>
      <c r="B194" s="28">
        <v>251</v>
      </c>
      <c r="C194" s="28" t="s">
        <v>35</v>
      </c>
      <c r="D194" s="28" t="s">
        <v>38</v>
      </c>
      <c r="E194" s="41">
        <v>46141</v>
      </c>
      <c r="F194" s="47">
        <v>0.90379629629629632</v>
      </c>
      <c r="G194" s="44">
        <v>6.3</v>
      </c>
      <c r="H194" s="43" t="s">
        <v>237</v>
      </c>
      <c r="I194" s="40" t="s">
        <v>1281</v>
      </c>
    </row>
    <row r="195" spans="1:9" x14ac:dyDescent="0.25">
      <c r="A195" s="40" t="s">
        <v>56</v>
      </c>
      <c r="B195" s="28">
        <v>251</v>
      </c>
      <c r="C195" s="28" t="s">
        <v>35</v>
      </c>
      <c r="D195" s="28" t="s">
        <v>38</v>
      </c>
      <c r="E195" s="41">
        <v>46141</v>
      </c>
      <c r="F195" s="47">
        <v>0.9090625</v>
      </c>
      <c r="G195" s="44">
        <v>6.3</v>
      </c>
      <c r="H195" s="43" t="s">
        <v>234</v>
      </c>
      <c r="I195" s="40" t="s">
        <v>1281</v>
      </c>
    </row>
    <row r="196" spans="1:9" x14ac:dyDescent="0.25">
      <c r="A196" s="40" t="s">
        <v>56</v>
      </c>
      <c r="B196" s="28">
        <v>251</v>
      </c>
      <c r="C196" s="28" t="s">
        <v>448</v>
      </c>
      <c r="D196" s="28"/>
      <c r="E196" s="41">
        <v>46143</v>
      </c>
      <c r="F196" s="47">
        <v>6.5624999999999998E-3</v>
      </c>
      <c r="G196" s="44">
        <v>6.3</v>
      </c>
      <c r="H196" s="43" t="s">
        <v>235</v>
      </c>
      <c r="I196" s="40" t="s">
        <v>1282</v>
      </c>
    </row>
    <row r="197" spans="1:9" x14ac:dyDescent="0.25">
      <c r="A197" s="40" t="s">
        <v>56</v>
      </c>
      <c r="B197" s="28">
        <v>251</v>
      </c>
      <c r="C197" s="28" t="s">
        <v>448</v>
      </c>
      <c r="D197" s="28"/>
      <c r="E197" s="41">
        <v>46143</v>
      </c>
      <c r="F197" s="47">
        <v>1.3483796296296296E-2</v>
      </c>
      <c r="G197" s="44">
        <v>6.3</v>
      </c>
      <c r="H197" s="43" t="s">
        <v>239</v>
      </c>
      <c r="I197" s="40" t="s">
        <v>1282</v>
      </c>
    </row>
    <row r="198" spans="1:9" x14ac:dyDescent="0.25">
      <c r="A198" s="40" t="s">
        <v>56</v>
      </c>
      <c r="B198" s="28">
        <v>251</v>
      </c>
      <c r="C198" s="28" t="s">
        <v>35</v>
      </c>
      <c r="D198" s="28" t="s">
        <v>38</v>
      </c>
      <c r="E198" s="41">
        <v>46143</v>
      </c>
      <c r="F198" s="47">
        <v>2.5335648148148149E-2</v>
      </c>
      <c r="G198" s="44">
        <v>6.3</v>
      </c>
      <c r="H198" s="43" t="s">
        <v>237</v>
      </c>
      <c r="I198" s="40" t="s">
        <v>1282</v>
      </c>
    </row>
    <row r="199" spans="1:9" x14ac:dyDescent="0.25">
      <c r="A199" s="40" t="s">
        <v>56</v>
      </c>
      <c r="B199" s="28">
        <v>251</v>
      </c>
      <c r="C199" s="28" t="s">
        <v>35</v>
      </c>
      <c r="D199" s="28" t="s">
        <v>38</v>
      </c>
      <c r="E199" s="45">
        <v>46143</v>
      </c>
      <c r="F199" s="48">
        <v>3.1967592592592596E-2</v>
      </c>
      <c r="G199" s="44">
        <v>6.3</v>
      </c>
      <c r="H199" s="43" t="s">
        <v>234</v>
      </c>
      <c r="I199" s="40" t="s">
        <v>1282</v>
      </c>
    </row>
    <row r="200" spans="1:9" x14ac:dyDescent="0.25">
      <c r="A200" s="40" t="s">
        <v>56</v>
      </c>
      <c r="B200" s="28">
        <v>251</v>
      </c>
      <c r="C200" s="28" t="s">
        <v>35</v>
      </c>
      <c r="D200" s="28" t="s">
        <v>38</v>
      </c>
      <c r="E200" s="45">
        <v>46145</v>
      </c>
      <c r="F200" s="48">
        <v>1.0416666666666667E-4</v>
      </c>
      <c r="G200" s="44">
        <v>6.3</v>
      </c>
      <c r="H200" s="43" t="s">
        <v>234</v>
      </c>
      <c r="I200" s="40" t="s">
        <v>1282</v>
      </c>
    </row>
    <row r="201" spans="1:9" x14ac:dyDescent="0.25">
      <c r="A201" s="40" t="s">
        <v>56</v>
      </c>
      <c r="B201" s="28">
        <v>251</v>
      </c>
      <c r="C201" s="28">
        <v>5648311</v>
      </c>
      <c r="D201" s="28" t="s">
        <v>37</v>
      </c>
      <c r="E201" s="41">
        <v>46145</v>
      </c>
      <c r="F201" s="47">
        <v>6.0902777777777778E-2</v>
      </c>
      <c r="G201" s="44">
        <v>6.3</v>
      </c>
      <c r="H201" s="43" t="s">
        <v>235</v>
      </c>
      <c r="I201" s="40" t="s">
        <v>1282</v>
      </c>
    </row>
    <row r="202" spans="1:9" x14ac:dyDescent="0.25">
      <c r="A202" s="40" t="s">
        <v>56</v>
      </c>
      <c r="B202" s="28">
        <v>251</v>
      </c>
      <c r="C202" s="28">
        <v>5648311</v>
      </c>
      <c r="D202" s="28" t="s">
        <v>37</v>
      </c>
      <c r="E202" s="41">
        <v>46145</v>
      </c>
      <c r="F202" s="47">
        <v>6.7280092592592586E-2</v>
      </c>
      <c r="G202" s="44">
        <v>6.3</v>
      </c>
      <c r="H202" s="43" t="s">
        <v>236</v>
      </c>
      <c r="I202" s="40" t="s">
        <v>1282</v>
      </c>
    </row>
    <row r="203" spans="1:9" x14ac:dyDescent="0.25">
      <c r="A203" s="40" t="s">
        <v>56</v>
      </c>
      <c r="B203" s="28">
        <v>251</v>
      </c>
      <c r="C203" s="28">
        <v>5648333</v>
      </c>
      <c r="D203" s="28"/>
      <c r="E203" s="41">
        <v>46145</v>
      </c>
      <c r="F203" s="47">
        <v>0.25218750000000001</v>
      </c>
      <c r="G203" s="44">
        <v>6.3</v>
      </c>
      <c r="H203" s="43" t="s">
        <v>237</v>
      </c>
      <c r="I203" s="40" t="s">
        <v>1282</v>
      </c>
    </row>
    <row r="204" spans="1:9" x14ac:dyDescent="0.25">
      <c r="A204" s="40" t="s">
        <v>56</v>
      </c>
      <c r="B204" s="28">
        <v>251</v>
      </c>
      <c r="C204" s="28">
        <v>5648333</v>
      </c>
      <c r="D204" s="28"/>
      <c r="E204" s="41">
        <v>46145</v>
      </c>
      <c r="F204" s="47">
        <v>0.25719907407407405</v>
      </c>
      <c r="G204" s="44">
        <v>6.3</v>
      </c>
      <c r="H204" s="43" t="s">
        <v>234</v>
      </c>
      <c r="I204" s="40" t="s">
        <v>1282</v>
      </c>
    </row>
    <row r="205" spans="1:9" x14ac:dyDescent="0.25">
      <c r="A205" s="40" t="s">
        <v>56</v>
      </c>
      <c r="B205" s="28">
        <v>251</v>
      </c>
      <c r="C205" s="28" t="s">
        <v>35</v>
      </c>
      <c r="D205" s="28" t="s">
        <v>38</v>
      </c>
      <c r="E205" s="41">
        <v>46145</v>
      </c>
      <c r="F205" s="47">
        <v>0.84857638888888887</v>
      </c>
      <c r="G205" s="44">
        <v>6.3</v>
      </c>
      <c r="H205" s="43" t="s">
        <v>235</v>
      </c>
      <c r="I205" s="40" t="s">
        <v>1282</v>
      </c>
    </row>
    <row r="206" spans="1:9" x14ac:dyDescent="0.25">
      <c r="A206" s="40" t="s">
        <v>56</v>
      </c>
      <c r="B206" s="28">
        <v>251</v>
      </c>
      <c r="C206" s="28" t="s">
        <v>35</v>
      </c>
      <c r="D206" s="28" t="s">
        <v>38</v>
      </c>
      <c r="E206" s="45">
        <v>46145</v>
      </c>
      <c r="F206" s="48">
        <v>0.85553240740740744</v>
      </c>
      <c r="G206" s="44">
        <v>6.3</v>
      </c>
      <c r="H206" s="43" t="s">
        <v>236</v>
      </c>
      <c r="I206" s="40" t="s">
        <v>1282</v>
      </c>
    </row>
    <row r="207" spans="1:9" x14ac:dyDescent="0.25">
      <c r="A207" s="40" t="s">
        <v>56</v>
      </c>
      <c r="B207" s="28">
        <v>251</v>
      </c>
      <c r="C207" s="28" t="s">
        <v>35</v>
      </c>
      <c r="D207" s="28" t="s">
        <v>38</v>
      </c>
      <c r="E207" s="41">
        <v>46145</v>
      </c>
      <c r="F207" s="47">
        <v>0.86687499999999995</v>
      </c>
      <c r="G207" s="44">
        <v>6.3</v>
      </c>
      <c r="H207" s="43" t="s">
        <v>237</v>
      </c>
      <c r="I207" s="40" t="s">
        <v>1282</v>
      </c>
    </row>
    <row r="208" spans="1:9" x14ac:dyDescent="0.25">
      <c r="A208" s="40" t="s">
        <v>56</v>
      </c>
      <c r="B208" s="28">
        <v>251</v>
      </c>
      <c r="C208" s="28" t="s">
        <v>35</v>
      </c>
      <c r="D208" s="28" t="s">
        <v>38</v>
      </c>
      <c r="E208" s="41">
        <v>46145</v>
      </c>
      <c r="F208" s="47">
        <v>0.87155092592592598</v>
      </c>
      <c r="G208" s="44">
        <v>6.3</v>
      </c>
      <c r="H208" s="43" t="s">
        <v>234</v>
      </c>
      <c r="I208" s="40" t="s">
        <v>1282</v>
      </c>
    </row>
    <row r="209" spans="1:9" x14ac:dyDescent="0.25">
      <c r="A209" s="40" t="s">
        <v>243</v>
      </c>
      <c r="B209" s="28">
        <v>283</v>
      </c>
      <c r="C209" s="28" t="s">
        <v>35</v>
      </c>
      <c r="D209" s="28" t="s">
        <v>38</v>
      </c>
      <c r="E209" s="41">
        <v>46139</v>
      </c>
      <c r="F209" s="47">
        <v>0.9568402777777778</v>
      </c>
      <c r="G209" s="44">
        <v>6.3</v>
      </c>
      <c r="H209" s="43" t="s">
        <v>237</v>
      </c>
      <c r="I209" s="40" t="s">
        <v>1281</v>
      </c>
    </row>
    <row r="210" spans="1:9" x14ac:dyDescent="0.25">
      <c r="A210" s="40" t="s">
        <v>243</v>
      </c>
      <c r="B210" s="28">
        <v>283</v>
      </c>
      <c r="C210" s="28">
        <v>5638416</v>
      </c>
      <c r="D210" s="28"/>
      <c r="E210" s="41">
        <v>46140</v>
      </c>
      <c r="F210" s="47">
        <v>0.49712962962962964</v>
      </c>
      <c r="G210" s="44">
        <v>6.3</v>
      </c>
      <c r="H210" s="43" t="s">
        <v>234</v>
      </c>
      <c r="I210" s="40" t="s">
        <v>1281</v>
      </c>
    </row>
    <row r="211" spans="1:9" x14ac:dyDescent="0.25">
      <c r="A211" s="40" t="s">
        <v>243</v>
      </c>
      <c r="B211" s="28">
        <v>283</v>
      </c>
      <c r="C211" s="28">
        <v>5633852</v>
      </c>
      <c r="D211" s="28"/>
      <c r="E211" s="41">
        <v>46140</v>
      </c>
      <c r="F211" s="47">
        <v>0.82025462962962958</v>
      </c>
      <c r="G211" s="44">
        <v>6.3</v>
      </c>
      <c r="H211" s="43" t="s">
        <v>235</v>
      </c>
      <c r="I211" s="40" t="s">
        <v>1281</v>
      </c>
    </row>
    <row r="212" spans="1:9" x14ac:dyDescent="0.25">
      <c r="A212" s="40" t="s">
        <v>243</v>
      </c>
      <c r="B212" s="28">
        <v>283</v>
      </c>
      <c r="C212" s="28">
        <v>5633852</v>
      </c>
      <c r="D212" s="28"/>
      <c r="E212" s="41">
        <v>46140</v>
      </c>
      <c r="F212" s="47">
        <v>0.83434027777777775</v>
      </c>
      <c r="G212" s="44">
        <v>6.3</v>
      </c>
      <c r="H212" s="43" t="s">
        <v>236</v>
      </c>
      <c r="I212" s="40" t="s">
        <v>1281</v>
      </c>
    </row>
    <row r="213" spans="1:9" x14ac:dyDescent="0.25">
      <c r="A213" s="40" t="s">
        <v>243</v>
      </c>
      <c r="B213" s="28">
        <v>283</v>
      </c>
      <c r="C213" s="28" t="s">
        <v>35</v>
      </c>
      <c r="D213" s="28" t="s">
        <v>38</v>
      </c>
      <c r="E213" s="41">
        <v>46140</v>
      </c>
      <c r="F213" s="47">
        <v>0.92184027777777777</v>
      </c>
      <c r="G213" s="44">
        <v>6.3</v>
      </c>
      <c r="H213" s="43" t="s">
        <v>235</v>
      </c>
      <c r="I213" s="40" t="s">
        <v>1281</v>
      </c>
    </row>
    <row r="214" spans="1:9" x14ac:dyDescent="0.25">
      <c r="A214" s="40" t="s">
        <v>243</v>
      </c>
      <c r="B214" s="28">
        <v>283</v>
      </c>
      <c r="C214" s="28">
        <v>5642152</v>
      </c>
      <c r="D214" s="28"/>
      <c r="E214" s="41">
        <v>46141</v>
      </c>
      <c r="F214" s="47">
        <v>0.32533564814814814</v>
      </c>
      <c r="G214" s="44">
        <v>6.3</v>
      </c>
      <c r="H214" s="43" t="s">
        <v>236</v>
      </c>
      <c r="I214" s="40" t="s">
        <v>1281</v>
      </c>
    </row>
    <row r="215" spans="1:9" x14ac:dyDescent="0.25">
      <c r="A215" s="40" t="s">
        <v>243</v>
      </c>
      <c r="B215" s="28">
        <v>283</v>
      </c>
      <c r="C215" s="28" t="s">
        <v>449</v>
      </c>
      <c r="D215" s="28"/>
      <c r="E215" s="41">
        <v>46141</v>
      </c>
      <c r="F215" s="47">
        <v>0.94768518518518519</v>
      </c>
      <c r="G215" s="44">
        <v>6.3</v>
      </c>
      <c r="H215" s="43" t="s">
        <v>235</v>
      </c>
      <c r="I215" s="40" t="s">
        <v>1281</v>
      </c>
    </row>
    <row r="216" spans="1:9" x14ac:dyDescent="0.25">
      <c r="A216" s="40" t="s">
        <v>243</v>
      </c>
      <c r="B216" s="28">
        <v>283</v>
      </c>
      <c r="C216" s="28" t="s">
        <v>449</v>
      </c>
      <c r="D216" s="28"/>
      <c r="E216" s="41">
        <v>46141</v>
      </c>
      <c r="F216" s="47">
        <v>0.95519675925925929</v>
      </c>
      <c r="G216" s="44">
        <v>6.3</v>
      </c>
      <c r="H216" s="43" t="s">
        <v>236</v>
      </c>
      <c r="I216" s="40" t="s">
        <v>1281</v>
      </c>
    </row>
    <row r="217" spans="1:9" x14ac:dyDescent="0.25">
      <c r="A217" s="40" t="s">
        <v>243</v>
      </c>
      <c r="B217" s="28">
        <v>283</v>
      </c>
      <c r="C217" s="28" t="s">
        <v>35</v>
      </c>
      <c r="D217" s="28" t="s">
        <v>38</v>
      </c>
      <c r="E217" s="41">
        <v>46141</v>
      </c>
      <c r="F217" s="47">
        <v>0.97259259259259256</v>
      </c>
      <c r="G217" s="44">
        <v>6.3</v>
      </c>
      <c r="H217" s="43" t="s">
        <v>237</v>
      </c>
      <c r="I217" s="40" t="s">
        <v>1281</v>
      </c>
    </row>
    <row r="218" spans="1:9" x14ac:dyDescent="0.25">
      <c r="A218" s="40" t="s">
        <v>243</v>
      </c>
      <c r="B218" s="28">
        <v>283</v>
      </c>
      <c r="C218" s="28">
        <v>5647063</v>
      </c>
      <c r="D218" s="28"/>
      <c r="E218" s="41">
        <v>46144</v>
      </c>
      <c r="F218" s="47">
        <v>0.32045138888888891</v>
      </c>
      <c r="G218" s="44">
        <v>6.3</v>
      </c>
      <c r="H218" s="43" t="s">
        <v>236</v>
      </c>
      <c r="I218" s="40" t="s">
        <v>1282</v>
      </c>
    </row>
    <row r="219" spans="1:9" x14ac:dyDescent="0.25">
      <c r="A219" s="40" t="s">
        <v>243</v>
      </c>
      <c r="B219" s="28">
        <v>283</v>
      </c>
      <c r="C219" s="28">
        <v>5648535</v>
      </c>
      <c r="D219" s="28" t="s">
        <v>36</v>
      </c>
      <c r="E219" s="41">
        <v>46145</v>
      </c>
      <c r="F219" s="47">
        <v>0.78126157407407404</v>
      </c>
      <c r="G219" s="44">
        <v>6.3</v>
      </c>
      <c r="H219" s="43" t="s">
        <v>234</v>
      </c>
      <c r="I219" s="40" t="s">
        <v>1282</v>
      </c>
    </row>
    <row r="220" spans="1:9" x14ac:dyDescent="0.25">
      <c r="A220" s="40" t="s">
        <v>450</v>
      </c>
      <c r="B220" s="28">
        <v>291</v>
      </c>
      <c r="C220" s="28">
        <v>5641552</v>
      </c>
      <c r="D220" s="28"/>
      <c r="E220" s="41">
        <v>46140</v>
      </c>
      <c r="F220" s="47">
        <v>0.8425231481481481</v>
      </c>
      <c r="G220" s="44">
        <v>6.3</v>
      </c>
      <c r="H220" s="43" t="s">
        <v>235</v>
      </c>
      <c r="I220" s="40" t="s">
        <v>1281</v>
      </c>
    </row>
    <row r="221" spans="1:9" x14ac:dyDescent="0.25">
      <c r="A221" s="40" t="s">
        <v>450</v>
      </c>
      <c r="B221" s="28">
        <v>291</v>
      </c>
      <c r="C221" s="28">
        <v>5641552</v>
      </c>
      <c r="D221" s="28"/>
      <c r="E221" s="41">
        <v>46140</v>
      </c>
      <c r="F221" s="47">
        <v>0.8520833333333333</v>
      </c>
      <c r="G221" s="44">
        <v>6.3</v>
      </c>
      <c r="H221" s="43" t="s">
        <v>236</v>
      </c>
      <c r="I221" s="40" t="s">
        <v>1281</v>
      </c>
    </row>
    <row r="222" spans="1:9" x14ac:dyDescent="0.25">
      <c r="A222" s="40" t="s">
        <v>450</v>
      </c>
      <c r="B222" s="28">
        <v>291</v>
      </c>
      <c r="C222" s="28">
        <v>5645457</v>
      </c>
      <c r="D222" s="28"/>
      <c r="E222" s="41">
        <v>46142</v>
      </c>
      <c r="F222" s="47">
        <v>0.82523148148148151</v>
      </c>
      <c r="G222" s="44">
        <v>6.3</v>
      </c>
      <c r="H222" s="43" t="s">
        <v>235</v>
      </c>
      <c r="I222" s="40" t="s">
        <v>1281</v>
      </c>
    </row>
    <row r="223" spans="1:9" x14ac:dyDescent="0.25">
      <c r="A223" s="40" t="s">
        <v>450</v>
      </c>
      <c r="B223" s="28">
        <v>291</v>
      </c>
      <c r="C223" s="28">
        <v>5645457</v>
      </c>
      <c r="D223" s="28"/>
      <c r="E223" s="41">
        <v>46142</v>
      </c>
      <c r="F223" s="47">
        <v>0.83450231481481485</v>
      </c>
      <c r="G223" s="42">
        <v>6.3</v>
      </c>
      <c r="H223" s="40" t="s">
        <v>236</v>
      </c>
      <c r="I223" s="40" t="s">
        <v>1281</v>
      </c>
    </row>
    <row r="224" spans="1:9" x14ac:dyDescent="0.25">
      <c r="A224" s="40" t="s">
        <v>450</v>
      </c>
      <c r="B224" s="28">
        <v>291</v>
      </c>
      <c r="C224" s="28">
        <v>5649536</v>
      </c>
      <c r="D224" s="28"/>
      <c r="E224" s="41">
        <v>46145</v>
      </c>
      <c r="F224" s="47">
        <v>0.94894675925925931</v>
      </c>
      <c r="G224" s="42">
        <v>6.3</v>
      </c>
      <c r="H224" s="40" t="s">
        <v>235</v>
      </c>
      <c r="I224" s="40" t="s">
        <v>1282</v>
      </c>
    </row>
    <row r="225" spans="1:9" x14ac:dyDescent="0.25">
      <c r="A225" s="40" t="s">
        <v>450</v>
      </c>
      <c r="B225" s="28">
        <v>291</v>
      </c>
      <c r="C225" s="28">
        <v>5649536</v>
      </c>
      <c r="D225" s="28"/>
      <c r="E225" s="45">
        <v>46145</v>
      </c>
      <c r="F225" s="48">
        <v>0.95519675925925929</v>
      </c>
      <c r="G225" s="42">
        <v>6.3</v>
      </c>
      <c r="H225" s="40" t="s">
        <v>236</v>
      </c>
      <c r="I225" s="40" t="s">
        <v>1282</v>
      </c>
    </row>
    <row r="226" spans="1:9" x14ac:dyDescent="0.25">
      <c r="A226" s="40" t="s">
        <v>182</v>
      </c>
      <c r="B226" s="28">
        <v>292</v>
      </c>
      <c r="C226" s="28">
        <v>5639918</v>
      </c>
      <c r="D226" s="28"/>
      <c r="E226" s="41">
        <v>46140</v>
      </c>
      <c r="F226" s="47">
        <v>0.10855324074074074</v>
      </c>
      <c r="G226" s="42">
        <v>6.3</v>
      </c>
      <c r="H226" s="40" t="s">
        <v>238</v>
      </c>
      <c r="I226" s="40" t="s">
        <v>1281</v>
      </c>
    </row>
    <row r="227" spans="1:9" x14ac:dyDescent="0.25">
      <c r="A227" s="40" t="s">
        <v>182</v>
      </c>
      <c r="B227" s="28">
        <v>292</v>
      </c>
      <c r="C227" s="28">
        <v>5639918</v>
      </c>
      <c r="D227" s="28"/>
      <c r="E227" s="41">
        <v>46140</v>
      </c>
      <c r="F227" s="47">
        <v>0.11311342592592592</v>
      </c>
      <c r="G227" s="42">
        <v>6.3</v>
      </c>
      <c r="H227" s="40" t="s">
        <v>234</v>
      </c>
      <c r="I227" s="40" t="s">
        <v>1281</v>
      </c>
    </row>
    <row r="228" spans="1:9" x14ac:dyDescent="0.25">
      <c r="A228" s="40" t="s">
        <v>182</v>
      </c>
      <c r="B228" s="28">
        <v>292</v>
      </c>
      <c r="C228" s="28">
        <v>5639049</v>
      </c>
      <c r="D228" s="28"/>
      <c r="E228" s="41">
        <v>46140</v>
      </c>
      <c r="F228" s="47">
        <v>0.18009259259259258</v>
      </c>
      <c r="G228" s="42">
        <v>6.3</v>
      </c>
      <c r="H228" s="40" t="s">
        <v>234</v>
      </c>
      <c r="I228" s="40" t="s">
        <v>1281</v>
      </c>
    </row>
    <row r="229" spans="1:9" x14ac:dyDescent="0.25">
      <c r="A229" s="40" t="s">
        <v>182</v>
      </c>
      <c r="B229" s="28">
        <v>292</v>
      </c>
      <c r="C229" s="28">
        <v>5629235</v>
      </c>
      <c r="D229" s="28"/>
      <c r="E229" s="45">
        <v>46140</v>
      </c>
      <c r="F229" s="48">
        <v>0.83339120370370368</v>
      </c>
      <c r="G229" s="44">
        <v>6.3</v>
      </c>
      <c r="H229" s="43" t="s">
        <v>237</v>
      </c>
      <c r="I229" s="40" t="s">
        <v>1281</v>
      </c>
    </row>
    <row r="230" spans="1:9" x14ac:dyDescent="0.25">
      <c r="A230" s="40" t="s">
        <v>182</v>
      </c>
      <c r="B230" s="28">
        <v>292</v>
      </c>
      <c r="C230" s="28">
        <v>5629235</v>
      </c>
      <c r="D230" s="28"/>
      <c r="E230" s="45">
        <v>46140</v>
      </c>
      <c r="F230" s="48">
        <v>0.85412037037037036</v>
      </c>
      <c r="G230" s="44">
        <v>6.3</v>
      </c>
      <c r="H230" s="43" t="s">
        <v>234</v>
      </c>
      <c r="I230" s="40" t="s">
        <v>1281</v>
      </c>
    </row>
    <row r="231" spans="1:9" x14ac:dyDescent="0.25">
      <c r="A231" s="40" t="s">
        <v>182</v>
      </c>
      <c r="B231" s="28">
        <v>292</v>
      </c>
      <c r="C231" s="28" t="s">
        <v>35</v>
      </c>
      <c r="D231" s="28" t="s">
        <v>38</v>
      </c>
      <c r="E231" s="41">
        <v>46140</v>
      </c>
      <c r="F231" s="47">
        <v>0.93583333333333329</v>
      </c>
      <c r="G231" s="44">
        <v>6.3</v>
      </c>
      <c r="H231" s="43" t="s">
        <v>237</v>
      </c>
      <c r="I231" s="40" t="s">
        <v>1281</v>
      </c>
    </row>
    <row r="232" spans="1:9" x14ac:dyDescent="0.25">
      <c r="A232" s="40" t="s">
        <v>182</v>
      </c>
      <c r="B232" s="28">
        <v>292</v>
      </c>
      <c r="C232" s="28" t="s">
        <v>35</v>
      </c>
      <c r="D232" s="28" t="s">
        <v>38</v>
      </c>
      <c r="E232" s="41">
        <v>46140</v>
      </c>
      <c r="F232" s="47">
        <v>0.94125000000000003</v>
      </c>
      <c r="G232" s="44">
        <v>6.3</v>
      </c>
      <c r="H232" s="43" t="s">
        <v>234</v>
      </c>
      <c r="I232" s="40" t="s">
        <v>1281</v>
      </c>
    </row>
    <row r="233" spans="1:9" x14ac:dyDescent="0.25">
      <c r="A233" s="40" t="s">
        <v>182</v>
      </c>
      <c r="B233" s="28">
        <v>292</v>
      </c>
      <c r="C233" s="28" t="s">
        <v>35</v>
      </c>
      <c r="D233" s="28" t="s">
        <v>38</v>
      </c>
      <c r="E233" s="41">
        <v>46140</v>
      </c>
      <c r="F233" s="47">
        <v>0.99837962962962967</v>
      </c>
      <c r="G233" s="44">
        <v>6.3</v>
      </c>
      <c r="H233" s="43" t="s">
        <v>235</v>
      </c>
      <c r="I233" s="40" t="s">
        <v>1281</v>
      </c>
    </row>
    <row r="234" spans="1:9" x14ac:dyDescent="0.25">
      <c r="A234" s="40" t="s">
        <v>182</v>
      </c>
      <c r="B234" s="28">
        <v>292</v>
      </c>
      <c r="C234" s="28" t="s">
        <v>35</v>
      </c>
      <c r="D234" s="28" t="s">
        <v>38</v>
      </c>
      <c r="E234" s="41">
        <v>46141</v>
      </c>
      <c r="F234" s="47">
        <v>4.5486111111111109E-3</v>
      </c>
      <c r="G234" s="44">
        <v>6.3</v>
      </c>
      <c r="H234" s="43" t="s">
        <v>239</v>
      </c>
      <c r="I234" s="40" t="s">
        <v>1281</v>
      </c>
    </row>
    <row r="235" spans="1:9" x14ac:dyDescent="0.25">
      <c r="A235" s="40" t="s">
        <v>182</v>
      </c>
      <c r="B235" s="28">
        <v>292</v>
      </c>
      <c r="C235" s="28">
        <v>5641749</v>
      </c>
      <c r="D235" s="28"/>
      <c r="E235" s="45">
        <v>46141</v>
      </c>
      <c r="F235" s="48">
        <v>0.19826388888888888</v>
      </c>
      <c r="G235" s="44">
        <v>6.3</v>
      </c>
      <c r="H235" s="43" t="s">
        <v>237</v>
      </c>
      <c r="I235" s="40" t="s">
        <v>1281</v>
      </c>
    </row>
    <row r="236" spans="1:9" x14ac:dyDescent="0.25">
      <c r="A236" s="40" t="s">
        <v>182</v>
      </c>
      <c r="B236" s="28">
        <v>292</v>
      </c>
      <c r="C236" s="28">
        <v>5641749</v>
      </c>
      <c r="D236" s="28"/>
      <c r="E236" s="41">
        <v>46141</v>
      </c>
      <c r="F236" s="47">
        <v>0.20347222222222222</v>
      </c>
      <c r="G236" s="42">
        <v>6.3</v>
      </c>
      <c r="H236" s="40" t="s">
        <v>234</v>
      </c>
      <c r="I236" s="40" t="s">
        <v>1281</v>
      </c>
    </row>
    <row r="237" spans="1:9" x14ac:dyDescent="0.25">
      <c r="A237" s="40" t="s">
        <v>182</v>
      </c>
      <c r="B237" s="28">
        <v>292</v>
      </c>
      <c r="C237" s="28">
        <v>5643459</v>
      </c>
      <c r="D237" s="28"/>
      <c r="E237" s="41">
        <v>46141</v>
      </c>
      <c r="F237" s="47">
        <v>0.90762731481481485</v>
      </c>
      <c r="G237" s="42">
        <v>6.3</v>
      </c>
      <c r="H237" s="40" t="s">
        <v>235</v>
      </c>
      <c r="I237" s="40" t="s">
        <v>1281</v>
      </c>
    </row>
    <row r="238" spans="1:9" x14ac:dyDescent="0.25">
      <c r="A238" s="40" t="s">
        <v>182</v>
      </c>
      <c r="B238" s="28">
        <v>292</v>
      </c>
      <c r="C238" s="28">
        <v>5643459</v>
      </c>
      <c r="D238" s="28"/>
      <c r="E238" s="41">
        <v>46141</v>
      </c>
      <c r="F238" s="47">
        <v>0.91468749999999999</v>
      </c>
      <c r="G238" s="42">
        <v>6.3</v>
      </c>
      <c r="H238" s="40" t="s">
        <v>236</v>
      </c>
      <c r="I238" s="40" t="s">
        <v>1281</v>
      </c>
    </row>
    <row r="239" spans="1:9" x14ac:dyDescent="0.25">
      <c r="A239" s="40" t="s">
        <v>182</v>
      </c>
      <c r="B239" s="28">
        <v>292</v>
      </c>
      <c r="C239" s="28">
        <v>5645815</v>
      </c>
      <c r="D239" s="28" t="s">
        <v>37</v>
      </c>
      <c r="E239" s="41">
        <v>46142</v>
      </c>
      <c r="F239" s="47">
        <v>0.96662037037037041</v>
      </c>
      <c r="G239" s="42">
        <v>6.3</v>
      </c>
      <c r="H239" s="40" t="s">
        <v>235</v>
      </c>
      <c r="I239" s="40" t="s">
        <v>1282</v>
      </c>
    </row>
    <row r="240" spans="1:9" x14ac:dyDescent="0.25">
      <c r="A240" s="40" t="s">
        <v>182</v>
      </c>
      <c r="B240" s="28">
        <v>292</v>
      </c>
      <c r="C240" s="28">
        <v>5645815</v>
      </c>
      <c r="D240" s="28" t="s">
        <v>37</v>
      </c>
      <c r="E240" s="41">
        <v>46142</v>
      </c>
      <c r="F240" s="47">
        <v>0.97408564814814813</v>
      </c>
      <c r="G240" s="42">
        <v>6.3</v>
      </c>
      <c r="H240" s="40" t="s">
        <v>236</v>
      </c>
      <c r="I240" s="40" t="s">
        <v>1282</v>
      </c>
    </row>
    <row r="241" spans="1:9" x14ac:dyDescent="0.25">
      <c r="A241" s="40" t="s">
        <v>182</v>
      </c>
      <c r="B241" s="28">
        <v>292</v>
      </c>
      <c r="C241" s="28" t="s">
        <v>35</v>
      </c>
      <c r="D241" s="28" t="s">
        <v>38</v>
      </c>
      <c r="E241" s="41">
        <v>46143</v>
      </c>
      <c r="F241" s="47">
        <v>2.2662037037037036E-2</v>
      </c>
      <c r="G241" s="42">
        <v>6.3</v>
      </c>
      <c r="H241" s="40" t="s">
        <v>233</v>
      </c>
      <c r="I241" s="40" t="s">
        <v>1282</v>
      </c>
    </row>
    <row r="242" spans="1:9" x14ac:dyDescent="0.25">
      <c r="A242" s="40" t="s">
        <v>182</v>
      </c>
      <c r="B242" s="28">
        <v>292</v>
      </c>
      <c r="C242" s="28" t="s">
        <v>35</v>
      </c>
      <c r="D242" s="28" t="s">
        <v>38</v>
      </c>
      <c r="E242" s="41">
        <v>46143</v>
      </c>
      <c r="F242" s="47">
        <v>0.40797453703703701</v>
      </c>
      <c r="G242" s="44">
        <v>6.3</v>
      </c>
      <c r="H242" s="43" t="s">
        <v>235</v>
      </c>
      <c r="I242" s="40" t="s">
        <v>1282</v>
      </c>
    </row>
    <row r="243" spans="1:9" x14ac:dyDescent="0.25">
      <c r="A243" s="40" t="s">
        <v>182</v>
      </c>
      <c r="B243" s="28">
        <v>292</v>
      </c>
      <c r="C243" s="28" t="s">
        <v>35</v>
      </c>
      <c r="D243" s="28" t="s">
        <v>38</v>
      </c>
      <c r="E243" s="41">
        <v>46143</v>
      </c>
      <c r="F243" s="47">
        <v>0.41427083333333331</v>
      </c>
      <c r="G243" s="44">
        <v>6.3</v>
      </c>
      <c r="H243" s="43" t="s">
        <v>236</v>
      </c>
      <c r="I243" s="40" t="s">
        <v>1282</v>
      </c>
    </row>
    <row r="244" spans="1:9" x14ac:dyDescent="0.25">
      <c r="A244" s="40" t="s">
        <v>182</v>
      </c>
      <c r="B244" s="28">
        <v>292</v>
      </c>
      <c r="C244" s="28" t="s">
        <v>35</v>
      </c>
      <c r="D244" s="28" t="s">
        <v>38</v>
      </c>
      <c r="E244" s="41">
        <v>46143</v>
      </c>
      <c r="F244" s="47">
        <v>0.5522569444444444</v>
      </c>
      <c r="G244" s="44">
        <v>6.3</v>
      </c>
      <c r="H244" s="43" t="s">
        <v>237</v>
      </c>
      <c r="I244" s="40" t="s">
        <v>1282</v>
      </c>
    </row>
    <row r="245" spans="1:9" x14ac:dyDescent="0.25">
      <c r="A245" s="40" t="s">
        <v>182</v>
      </c>
      <c r="B245" s="28">
        <v>292</v>
      </c>
      <c r="C245" s="28" t="s">
        <v>35</v>
      </c>
      <c r="D245" s="28" t="s">
        <v>38</v>
      </c>
      <c r="E245" s="41">
        <v>46143</v>
      </c>
      <c r="F245" s="47">
        <v>0.63113425925925926</v>
      </c>
      <c r="G245" s="44">
        <v>6.3</v>
      </c>
      <c r="H245" s="43" t="s">
        <v>236</v>
      </c>
      <c r="I245" s="40" t="s">
        <v>1282</v>
      </c>
    </row>
    <row r="246" spans="1:9" x14ac:dyDescent="0.25">
      <c r="A246" s="40" t="s">
        <v>182</v>
      </c>
      <c r="B246" s="28">
        <v>292</v>
      </c>
      <c r="C246" s="28" t="s">
        <v>35</v>
      </c>
      <c r="D246" s="28" t="s">
        <v>38</v>
      </c>
      <c r="E246" s="41">
        <v>46144</v>
      </c>
      <c r="F246" s="47">
        <v>0.41230324074074076</v>
      </c>
      <c r="G246" s="44">
        <v>6.3</v>
      </c>
      <c r="H246" s="43" t="s">
        <v>235</v>
      </c>
      <c r="I246" s="40" t="s">
        <v>1282</v>
      </c>
    </row>
    <row r="247" spans="1:9" x14ac:dyDescent="0.25">
      <c r="A247" s="40" t="s">
        <v>182</v>
      </c>
      <c r="B247" s="28">
        <v>292</v>
      </c>
      <c r="C247" s="28" t="s">
        <v>35</v>
      </c>
      <c r="D247" s="28" t="s">
        <v>38</v>
      </c>
      <c r="E247" s="41">
        <v>46144</v>
      </c>
      <c r="F247" s="47">
        <v>0.42182870370370368</v>
      </c>
      <c r="G247" s="44">
        <v>6.3</v>
      </c>
      <c r="H247" s="43" t="s">
        <v>236</v>
      </c>
      <c r="I247" s="40" t="s">
        <v>1282</v>
      </c>
    </row>
    <row r="248" spans="1:9" x14ac:dyDescent="0.25">
      <c r="A248" s="40" t="s">
        <v>182</v>
      </c>
      <c r="B248" s="28">
        <v>292</v>
      </c>
      <c r="C248" s="28" t="s">
        <v>35</v>
      </c>
      <c r="D248" s="28" t="s">
        <v>38</v>
      </c>
      <c r="E248" s="41">
        <v>46144</v>
      </c>
      <c r="F248" s="47">
        <v>0.51709490740740738</v>
      </c>
      <c r="G248" s="44">
        <v>6.3</v>
      </c>
      <c r="H248" s="43" t="s">
        <v>237</v>
      </c>
      <c r="I248" s="40" t="s">
        <v>1282</v>
      </c>
    </row>
    <row r="249" spans="1:9" x14ac:dyDescent="0.25">
      <c r="A249" s="40" t="s">
        <v>108</v>
      </c>
      <c r="B249" s="28">
        <v>301</v>
      </c>
      <c r="C249" s="28">
        <v>5638538</v>
      </c>
      <c r="D249" s="28"/>
      <c r="E249" s="45">
        <v>46139</v>
      </c>
      <c r="F249" s="48">
        <v>0.64659722222222227</v>
      </c>
      <c r="G249" s="44">
        <v>6.3</v>
      </c>
      <c r="H249" s="43" t="s">
        <v>235</v>
      </c>
      <c r="I249" s="40" t="s">
        <v>1281</v>
      </c>
    </row>
    <row r="250" spans="1:9" x14ac:dyDescent="0.25">
      <c r="A250" s="40" t="s">
        <v>108</v>
      </c>
      <c r="B250" s="28">
        <v>301</v>
      </c>
      <c r="C250" s="28">
        <v>5638538</v>
      </c>
      <c r="D250" s="28"/>
      <c r="E250" s="41">
        <v>46139</v>
      </c>
      <c r="F250" s="47">
        <v>0.65883101851851855</v>
      </c>
      <c r="G250" s="44">
        <v>6.3</v>
      </c>
      <c r="H250" s="43" t="s">
        <v>236</v>
      </c>
      <c r="I250" s="40" t="s">
        <v>1281</v>
      </c>
    </row>
    <row r="251" spans="1:9" x14ac:dyDescent="0.25">
      <c r="A251" s="40" t="s">
        <v>108</v>
      </c>
      <c r="B251" s="28">
        <v>301</v>
      </c>
      <c r="C251" s="28" t="s">
        <v>451</v>
      </c>
      <c r="D251" s="28"/>
      <c r="E251" s="41">
        <v>46140</v>
      </c>
      <c r="F251" s="47">
        <v>0.5829050925925926</v>
      </c>
      <c r="G251" s="44">
        <v>6.3</v>
      </c>
      <c r="H251" s="43" t="s">
        <v>235</v>
      </c>
      <c r="I251" s="40" t="s">
        <v>1281</v>
      </c>
    </row>
    <row r="252" spans="1:9" x14ac:dyDescent="0.25">
      <c r="A252" s="40" t="s">
        <v>108</v>
      </c>
      <c r="B252" s="28">
        <v>301</v>
      </c>
      <c r="C252" s="28" t="s">
        <v>451</v>
      </c>
      <c r="D252" s="28"/>
      <c r="E252" s="41">
        <v>46140</v>
      </c>
      <c r="F252" s="47">
        <v>0.5914814814814815</v>
      </c>
      <c r="G252" s="42">
        <v>6.3</v>
      </c>
      <c r="H252" s="40" t="s">
        <v>236</v>
      </c>
      <c r="I252" s="40" t="s">
        <v>1281</v>
      </c>
    </row>
    <row r="253" spans="1:9" x14ac:dyDescent="0.25">
      <c r="A253" s="40" t="s">
        <v>108</v>
      </c>
      <c r="B253" s="28">
        <v>301</v>
      </c>
      <c r="C253" s="28" t="s">
        <v>452</v>
      </c>
      <c r="D253" s="28"/>
      <c r="E253" s="45">
        <v>46140</v>
      </c>
      <c r="F253" s="48">
        <v>0.786712962962963</v>
      </c>
      <c r="G253" s="42">
        <v>6.3</v>
      </c>
      <c r="H253" s="40" t="s">
        <v>235</v>
      </c>
      <c r="I253" s="40" t="s">
        <v>1281</v>
      </c>
    </row>
    <row r="254" spans="1:9" x14ac:dyDescent="0.25">
      <c r="A254" s="40" t="s">
        <v>108</v>
      </c>
      <c r="B254" s="28">
        <v>301</v>
      </c>
      <c r="C254" s="28" t="s">
        <v>452</v>
      </c>
      <c r="D254" s="28"/>
      <c r="E254" s="41">
        <v>46140</v>
      </c>
      <c r="F254" s="47">
        <v>0.80473379629629627</v>
      </c>
      <c r="G254" s="44">
        <v>6.3</v>
      </c>
      <c r="H254" s="43" t="s">
        <v>236</v>
      </c>
      <c r="I254" s="40" t="s">
        <v>1281</v>
      </c>
    </row>
    <row r="255" spans="1:9" x14ac:dyDescent="0.25">
      <c r="A255" s="40" t="s">
        <v>108</v>
      </c>
      <c r="B255" s="28">
        <v>301</v>
      </c>
      <c r="C255" s="28">
        <v>5642827</v>
      </c>
      <c r="D255" s="28"/>
      <c r="E255" s="41">
        <v>46141</v>
      </c>
      <c r="F255" s="47">
        <v>0.61346064814814816</v>
      </c>
      <c r="G255" s="44">
        <v>6.3</v>
      </c>
      <c r="H255" s="43" t="s">
        <v>235</v>
      </c>
      <c r="I255" s="40" t="s">
        <v>1281</v>
      </c>
    </row>
    <row r="256" spans="1:9" x14ac:dyDescent="0.25">
      <c r="A256" s="40" t="s">
        <v>108</v>
      </c>
      <c r="B256" s="28">
        <v>301</v>
      </c>
      <c r="C256" s="28">
        <v>5642827</v>
      </c>
      <c r="D256" s="28"/>
      <c r="E256" s="41">
        <v>46141</v>
      </c>
      <c r="F256" s="47">
        <v>0.625</v>
      </c>
      <c r="G256" s="44">
        <v>6.3</v>
      </c>
      <c r="H256" s="43" t="s">
        <v>236</v>
      </c>
      <c r="I256" s="40" t="s">
        <v>1281</v>
      </c>
    </row>
    <row r="257" spans="1:9" x14ac:dyDescent="0.25">
      <c r="A257" s="40" t="s">
        <v>108</v>
      </c>
      <c r="B257" s="28">
        <v>301</v>
      </c>
      <c r="C257" s="28">
        <v>5643060</v>
      </c>
      <c r="D257" s="28"/>
      <c r="E257" s="41">
        <v>46141</v>
      </c>
      <c r="F257" s="47">
        <v>0.65268518518518515</v>
      </c>
      <c r="G257" s="44">
        <v>6.3</v>
      </c>
      <c r="H257" s="43" t="s">
        <v>237</v>
      </c>
      <c r="I257" s="40" t="s">
        <v>1281</v>
      </c>
    </row>
    <row r="258" spans="1:9" x14ac:dyDescent="0.25">
      <c r="A258" s="40" t="s">
        <v>108</v>
      </c>
      <c r="B258" s="28">
        <v>301</v>
      </c>
      <c r="C258" s="28">
        <v>5643060</v>
      </c>
      <c r="D258" s="28"/>
      <c r="E258" s="41">
        <v>46141</v>
      </c>
      <c r="F258" s="47">
        <v>0.6584606481481482</v>
      </c>
      <c r="G258" s="44">
        <v>6.3</v>
      </c>
      <c r="H258" s="43" t="s">
        <v>234</v>
      </c>
      <c r="I258" s="40" t="s">
        <v>1281</v>
      </c>
    </row>
    <row r="259" spans="1:9" x14ac:dyDescent="0.25">
      <c r="A259" s="40" t="s">
        <v>108</v>
      </c>
      <c r="B259" s="28">
        <v>301</v>
      </c>
      <c r="C259" s="28">
        <v>5641433</v>
      </c>
      <c r="D259" s="28"/>
      <c r="E259" s="41">
        <v>46142</v>
      </c>
      <c r="F259" s="47">
        <v>0.65314814814814814</v>
      </c>
      <c r="G259" s="44">
        <v>6.3</v>
      </c>
      <c r="H259" s="43" t="s">
        <v>235</v>
      </c>
      <c r="I259" s="40" t="s">
        <v>1281</v>
      </c>
    </row>
    <row r="260" spans="1:9" x14ac:dyDescent="0.25">
      <c r="A260" s="40" t="s">
        <v>108</v>
      </c>
      <c r="B260" s="28">
        <v>301</v>
      </c>
      <c r="C260" s="28" t="s">
        <v>453</v>
      </c>
      <c r="D260" s="28"/>
      <c r="E260" s="41">
        <v>46145</v>
      </c>
      <c r="F260" s="47">
        <v>0.42902777777777779</v>
      </c>
      <c r="G260" s="44">
        <v>6.3</v>
      </c>
      <c r="H260" s="43" t="s">
        <v>237</v>
      </c>
      <c r="I260" s="40" t="s">
        <v>1282</v>
      </c>
    </row>
    <row r="261" spans="1:9" x14ac:dyDescent="0.25">
      <c r="A261" s="40" t="s">
        <v>108</v>
      </c>
      <c r="B261" s="28">
        <v>301</v>
      </c>
      <c r="C261" s="28" t="s">
        <v>453</v>
      </c>
      <c r="D261" s="28"/>
      <c r="E261" s="41">
        <v>46145</v>
      </c>
      <c r="F261" s="47">
        <v>0.43438657407407405</v>
      </c>
      <c r="G261" s="44">
        <v>6.3</v>
      </c>
      <c r="H261" s="43" t="s">
        <v>234</v>
      </c>
      <c r="I261" s="40" t="s">
        <v>1282</v>
      </c>
    </row>
    <row r="262" spans="1:9" x14ac:dyDescent="0.25">
      <c r="A262" s="40" t="s">
        <v>108</v>
      </c>
      <c r="B262" s="28">
        <v>301</v>
      </c>
      <c r="C262" s="28">
        <v>5648752</v>
      </c>
      <c r="D262" s="28"/>
      <c r="E262" s="41">
        <v>46145</v>
      </c>
      <c r="F262" s="47">
        <v>0.65457175925925926</v>
      </c>
      <c r="G262" s="44">
        <v>6.3</v>
      </c>
      <c r="H262" s="43" t="s">
        <v>235</v>
      </c>
      <c r="I262" s="40" t="s">
        <v>1282</v>
      </c>
    </row>
    <row r="263" spans="1:9" x14ac:dyDescent="0.25">
      <c r="A263" s="40" t="s">
        <v>108</v>
      </c>
      <c r="B263" s="28">
        <v>301</v>
      </c>
      <c r="C263" s="28">
        <v>5648752</v>
      </c>
      <c r="D263" s="28"/>
      <c r="E263" s="41">
        <v>46145</v>
      </c>
      <c r="F263" s="47">
        <v>0.66206018518518517</v>
      </c>
      <c r="G263" s="44">
        <v>6.3</v>
      </c>
      <c r="H263" s="43" t="s">
        <v>236</v>
      </c>
      <c r="I263" s="40" t="s">
        <v>1282</v>
      </c>
    </row>
    <row r="264" spans="1:9" x14ac:dyDescent="0.25">
      <c r="A264" s="40" t="s">
        <v>454</v>
      </c>
      <c r="B264" s="28">
        <v>319</v>
      </c>
      <c r="C264" s="28" t="s">
        <v>35</v>
      </c>
      <c r="D264" s="28" t="s">
        <v>38</v>
      </c>
      <c r="E264" s="41">
        <v>46139</v>
      </c>
      <c r="F264" s="47">
        <v>0.38368055555555558</v>
      </c>
      <c r="G264" s="42">
        <v>6.3</v>
      </c>
      <c r="H264" s="40" t="s">
        <v>235</v>
      </c>
      <c r="I264" s="40" t="s">
        <v>1281</v>
      </c>
    </row>
    <row r="265" spans="1:9" x14ac:dyDescent="0.25">
      <c r="A265" s="40" t="s">
        <v>454</v>
      </c>
      <c r="B265" s="28">
        <v>319</v>
      </c>
      <c r="C265" s="28" t="s">
        <v>35</v>
      </c>
      <c r="D265" s="28" t="s">
        <v>38</v>
      </c>
      <c r="E265" s="41">
        <v>46139</v>
      </c>
      <c r="F265" s="47">
        <v>0.39994212962962961</v>
      </c>
      <c r="G265" s="42">
        <v>6.3</v>
      </c>
      <c r="H265" s="40" t="s">
        <v>236</v>
      </c>
      <c r="I265" s="40" t="s">
        <v>1281</v>
      </c>
    </row>
    <row r="266" spans="1:9" x14ac:dyDescent="0.25">
      <c r="A266" s="40" t="s">
        <v>454</v>
      </c>
      <c r="B266" s="28">
        <v>319</v>
      </c>
      <c r="C266" s="28">
        <v>5646095</v>
      </c>
      <c r="D266" s="28" t="s">
        <v>36</v>
      </c>
      <c r="E266" s="41">
        <v>46143</v>
      </c>
      <c r="F266" s="47">
        <v>0.39849537037037036</v>
      </c>
      <c r="G266" s="42">
        <v>6.3</v>
      </c>
      <c r="H266" s="40" t="s">
        <v>235</v>
      </c>
      <c r="I266" s="40" t="s">
        <v>1282</v>
      </c>
    </row>
    <row r="267" spans="1:9" x14ac:dyDescent="0.25">
      <c r="A267" s="40" t="s">
        <v>109</v>
      </c>
      <c r="B267" s="28">
        <v>380</v>
      </c>
      <c r="C267" s="28">
        <v>5640581</v>
      </c>
      <c r="D267" s="28"/>
      <c r="E267" s="41">
        <v>46140</v>
      </c>
      <c r="F267" s="47">
        <v>0.70619212962962963</v>
      </c>
      <c r="G267" s="42">
        <v>6.3</v>
      </c>
      <c r="H267" s="40" t="s">
        <v>234</v>
      </c>
      <c r="I267" s="40" t="s">
        <v>1281</v>
      </c>
    </row>
    <row r="268" spans="1:9" x14ac:dyDescent="0.25">
      <c r="A268" s="40" t="s">
        <v>109</v>
      </c>
      <c r="B268" s="28">
        <v>380</v>
      </c>
      <c r="C268" s="28">
        <v>5641922</v>
      </c>
      <c r="D268" s="28"/>
      <c r="E268" s="41">
        <v>46141</v>
      </c>
      <c r="F268" s="47">
        <v>0.24222222222222223</v>
      </c>
      <c r="G268" s="42">
        <v>6.3</v>
      </c>
      <c r="H268" s="40" t="s">
        <v>235</v>
      </c>
      <c r="I268" s="40" t="s">
        <v>1281</v>
      </c>
    </row>
    <row r="269" spans="1:9" x14ac:dyDescent="0.25">
      <c r="A269" s="40" t="s">
        <v>109</v>
      </c>
      <c r="B269" s="28">
        <v>380</v>
      </c>
      <c r="C269" s="28">
        <v>5641922</v>
      </c>
      <c r="D269" s="28"/>
      <c r="E269" s="41">
        <v>46141</v>
      </c>
      <c r="F269" s="47">
        <v>0.25256944444444446</v>
      </c>
      <c r="G269" s="44">
        <v>6.3</v>
      </c>
      <c r="H269" s="43" t="s">
        <v>236</v>
      </c>
      <c r="I269" s="40" t="s">
        <v>1281</v>
      </c>
    </row>
    <row r="270" spans="1:9" x14ac:dyDescent="0.25">
      <c r="A270" s="40" t="s">
        <v>109</v>
      </c>
      <c r="B270" s="28">
        <v>380</v>
      </c>
      <c r="C270" s="28">
        <v>5647314</v>
      </c>
      <c r="D270" s="28" t="s">
        <v>37</v>
      </c>
      <c r="E270" s="41">
        <v>46144</v>
      </c>
      <c r="F270" s="47">
        <v>0.40717592592592594</v>
      </c>
      <c r="G270" s="44">
        <v>6.3</v>
      </c>
      <c r="H270" s="43" t="s">
        <v>234</v>
      </c>
      <c r="I270" s="40" t="s">
        <v>1282</v>
      </c>
    </row>
    <row r="271" spans="1:9" x14ac:dyDescent="0.25">
      <c r="A271" s="40" t="s">
        <v>293</v>
      </c>
      <c r="B271" s="28">
        <v>411</v>
      </c>
      <c r="C271" s="28">
        <v>5637773</v>
      </c>
      <c r="D271" s="28"/>
      <c r="E271" s="41">
        <v>46139</v>
      </c>
      <c r="F271" s="47">
        <v>0.19223379629629631</v>
      </c>
      <c r="G271" s="44">
        <v>6.3</v>
      </c>
      <c r="H271" s="43" t="s">
        <v>233</v>
      </c>
      <c r="I271" s="40" t="s">
        <v>1281</v>
      </c>
    </row>
    <row r="272" spans="1:9" x14ac:dyDescent="0.25">
      <c r="A272" s="40" t="s">
        <v>293</v>
      </c>
      <c r="B272" s="28">
        <v>411</v>
      </c>
      <c r="C272" s="28">
        <v>5637524</v>
      </c>
      <c r="D272" s="28"/>
      <c r="E272" s="41">
        <v>46139</v>
      </c>
      <c r="F272" s="47">
        <v>0.26641203703703703</v>
      </c>
      <c r="G272" s="44">
        <v>6.3</v>
      </c>
      <c r="H272" s="43" t="s">
        <v>239</v>
      </c>
      <c r="I272" s="40" t="s">
        <v>1281</v>
      </c>
    </row>
    <row r="273" spans="1:9" x14ac:dyDescent="0.25">
      <c r="A273" s="40" t="s">
        <v>293</v>
      </c>
      <c r="B273" s="28">
        <v>411</v>
      </c>
      <c r="C273" s="28">
        <v>5637032</v>
      </c>
      <c r="D273" s="28"/>
      <c r="E273" s="41">
        <v>46139</v>
      </c>
      <c r="F273" s="47">
        <v>0.33921296296296294</v>
      </c>
      <c r="G273" s="44">
        <v>6.3</v>
      </c>
      <c r="H273" s="43" t="s">
        <v>239</v>
      </c>
      <c r="I273" s="40" t="s">
        <v>1281</v>
      </c>
    </row>
    <row r="274" spans="1:9" x14ac:dyDescent="0.25">
      <c r="A274" s="40" t="s">
        <v>293</v>
      </c>
      <c r="B274" s="28">
        <v>411</v>
      </c>
      <c r="C274" s="28">
        <v>5639751</v>
      </c>
      <c r="D274" s="28"/>
      <c r="E274" s="41">
        <v>46140</v>
      </c>
      <c r="F274" s="47">
        <v>0.28339120370370369</v>
      </c>
      <c r="G274" s="44">
        <v>6.3</v>
      </c>
      <c r="H274" s="43" t="s">
        <v>239</v>
      </c>
      <c r="I274" s="40" t="s">
        <v>1281</v>
      </c>
    </row>
    <row r="275" spans="1:9" x14ac:dyDescent="0.25">
      <c r="A275" s="40" t="s">
        <v>293</v>
      </c>
      <c r="B275" s="28">
        <v>411</v>
      </c>
      <c r="C275" s="28">
        <v>5639298</v>
      </c>
      <c r="D275" s="28"/>
      <c r="E275" s="41">
        <v>46140</v>
      </c>
      <c r="F275" s="47">
        <v>0.32195601851851852</v>
      </c>
      <c r="G275" s="44">
        <v>6.3</v>
      </c>
      <c r="H275" s="43" t="s">
        <v>233</v>
      </c>
      <c r="I275" s="40" t="s">
        <v>1281</v>
      </c>
    </row>
    <row r="276" spans="1:9" x14ac:dyDescent="0.25">
      <c r="A276" s="40" t="s">
        <v>293</v>
      </c>
      <c r="B276" s="28">
        <v>411</v>
      </c>
      <c r="C276" s="28">
        <v>5644439</v>
      </c>
      <c r="D276" s="28"/>
      <c r="E276" s="41">
        <v>46142</v>
      </c>
      <c r="F276" s="47">
        <v>0.68123842592592587</v>
      </c>
      <c r="G276" s="44">
        <v>6.3</v>
      </c>
      <c r="H276" s="43" t="s">
        <v>237</v>
      </c>
      <c r="I276" s="40" t="s">
        <v>1281</v>
      </c>
    </row>
    <row r="277" spans="1:9" x14ac:dyDescent="0.25">
      <c r="A277" s="40" t="s">
        <v>293</v>
      </c>
      <c r="B277" s="28">
        <v>411</v>
      </c>
      <c r="C277" s="28">
        <v>5646902</v>
      </c>
      <c r="D277" s="28"/>
      <c r="E277" s="41">
        <v>46144</v>
      </c>
      <c r="F277" s="47">
        <v>0.26340277777777776</v>
      </c>
      <c r="G277" s="44">
        <v>6.3</v>
      </c>
      <c r="H277" s="43" t="s">
        <v>236</v>
      </c>
      <c r="I277" s="40" t="s">
        <v>1282</v>
      </c>
    </row>
    <row r="278" spans="1:9" x14ac:dyDescent="0.25">
      <c r="A278" s="40" t="s">
        <v>396</v>
      </c>
      <c r="B278" s="28">
        <v>412</v>
      </c>
      <c r="C278" s="28">
        <v>5644339</v>
      </c>
      <c r="D278" s="28"/>
      <c r="E278" s="41">
        <v>46142</v>
      </c>
      <c r="F278" s="47">
        <v>0.4548726851851852</v>
      </c>
      <c r="G278" s="44">
        <v>6.3</v>
      </c>
      <c r="H278" s="43" t="s">
        <v>237</v>
      </c>
      <c r="I278" s="40" t="s">
        <v>1281</v>
      </c>
    </row>
    <row r="279" spans="1:9" x14ac:dyDescent="0.25">
      <c r="A279" s="40" t="s">
        <v>396</v>
      </c>
      <c r="B279" s="28">
        <v>412</v>
      </c>
      <c r="C279" s="28">
        <v>5645076</v>
      </c>
      <c r="D279" s="28"/>
      <c r="E279" s="41">
        <v>46142</v>
      </c>
      <c r="F279" s="47">
        <v>0.7084259259259259</v>
      </c>
      <c r="G279" s="44">
        <v>6.3</v>
      </c>
      <c r="H279" s="43" t="s">
        <v>237</v>
      </c>
      <c r="I279" s="40" t="s">
        <v>1281</v>
      </c>
    </row>
    <row r="280" spans="1:9" x14ac:dyDescent="0.25">
      <c r="A280" s="40" t="s">
        <v>110</v>
      </c>
      <c r="B280" s="28">
        <v>423</v>
      </c>
      <c r="C280" s="28">
        <v>5636422</v>
      </c>
      <c r="D280" s="28"/>
      <c r="E280" s="41">
        <v>46139</v>
      </c>
      <c r="F280" s="47">
        <v>0.32225694444444447</v>
      </c>
      <c r="G280" s="44">
        <v>6.3</v>
      </c>
      <c r="H280" s="43" t="s">
        <v>235</v>
      </c>
      <c r="I280" s="40" t="s">
        <v>1281</v>
      </c>
    </row>
    <row r="281" spans="1:9" x14ac:dyDescent="0.25">
      <c r="A281" s="40" t="s">
        <v>110</v>
      </c>
      <c r="B281" s="28">
        <v>423</v>
      </c>
      <c r="C281" s="28">
        <v>5636422</v>
      </c>
      <c r="D281" s="28"/>
      <c r="E281" s="41">
        <v>46139</v>
      </c>
      <c r="F281" s="47">
        <v>0.33997685185185184</v>
      </c>
      <c r="G281" s="44">
        <v>6.3</v>
      </c>
      <c r="H281" s="43" t="s">
        <v>236</v>
      </c>
      <c r="I281" s="40" t="s">
        <v>1281</v>
      </c>
    </row>
    <row r="282" spans="1:9" x14ac:dyDescent="0.25">
      <c r="A282" s="40" t="s">
        <v>110</v>
      </c>
      <c r="B282" s="28">
        <v>423</v>
      </c>
      <c r="C282" s="28">
        <v>5633832</v>
      </c>
      <c r="D282" s="28"/>
      <c r="E282" s="41">
        <v>46140</v>
      </c>
      <c r="F282" s="47">
        <v>0.28611111111111109</v>
      </c>
      <c r="G282" s="44">
        <v>6.3</v>
      </c>
      <c r="H282" s="43" t="s">
        <v>235</v>
      </c>
      <c r="I282" s="40" t="s">
        <v>1281</v>
      </c>
    </row>
    <row r="283" spans="1:9" x14ac:dyDescent="0.25">
      <c r="A283" s="40" t="s">
        <v>110</v>
      </c>
      <c r="B283" s="28">
        <v>423</v>
      </c>
      <c r="C283" s="28">
        <v>5633832</v>
      </c>
      <c r="D283" s="28"/>
      <c r="E283" s="41">
        <v>46140</v>
      </c>
      <c r="F283" s="47">
        <v>0.29572916666666665</v>
      </c>
      <c r="G283" s="44">
        <v>6.3</v>
      </c>
      <c r="H283" s="43" t="s">
        <v>239</v>
      </c>
      <c r="I283" s="40" t="s">
        <v>1281</v>
      </c>
    </row>
    <row r="284" spans="1:9" x14ac:dyDescent="0.25">
      <c r="A284" s="40" t="s">
        <v>110</v>
      </c>
      <c r="B284" s="28">
        <v>423</v>
      </c>
      <c r="C284" s="28">
        <v>5640313</v>
      </c>
      <c r="D284" s="28"/>
      <c r="E284" s="41">
        <v>46140</v>
      </c>
      <c r="F284" s="47">
        <v>0.5258680555555556</v>
      </c>
      <c r="G284" s="44">
        <v>6.3</v>
      </c>
      <c r="H284" s="43" t="s">
        <v>235</v>
      </c>
      <c r="I284" s="40" t="s">
        <v>1281</v>
      </c>
    </row>
    <row r="285" spans="1:9" x14ac:dyDescent="0.25">
      <c r="A285" s="40" t="s">
        <v>110</v>
      </c>
      <c r="B285" s="28">
        <v>423</v>
      </c>
      <c r="C285" s="28">
        <v>5640313</v>
      </c>
      <c r="D285" s="28"/>
      <c r="E285" s="41">
        <v>46140</v>
      </c>
      <c r="F285" s="47">
        <v>0.53594907407407411</v>
      </c>
      <c r="G285" s="44">
        <v>6.3</v>
      </c>
      <c r="H285" s="43" t="s">
        <v>236</v>
      </c>
      <c r="I285" s="40" t="s">
        <v>1281</v>
      </c>
    </row>
    <row r="286" spans="1:9" x14ac:dyDescent="0.25">
      <c r="A286" s="40" t="s">
        <v>110</v>
      </c>
      <c r="B286" s="28">
        <v>423</v>
      </c>
      <c r="C286" s="28">
        <v>5642203</v>
      </c>
      <c r="D286" s="28"/>
      <c r="E286" s="41">
        <v>46141</v>
      </c>
      <c r="F286" s="47">
        <v>0.40090277777777777</v>
      </c>
      <c r="G286" s="44">
        <v>6.3</v>
      </c>
      <c r="H286" s="43" t="s">
        <v>235</v>
      </c>
      <c r="I286" s="40" t="s">
        <v>1281</v>
      </c>
    </row>
    <row r="287" spans="1:9" x14ac:dyDescent="0.25">
      <c r="A287" s="40" t="s">
        <v>110</v>
      </c>
      <c r="B287" s="28">
        <v>423</v>
      </c>
      <c r="C287" s="28">
        <v>5642203</v>
      </c>
      <c r="D287" s="28"/>
      <c r="E287" s="45">
        <v>46141</v>
      </c>
      <c r="F287" s="48">
        <v>0.41622685185185188</v>
      </c>
      <c r="G287" s="44">
        <v>6.3</v>
      </c>
      <c r="H287" s="43" t="s">
        <v>236</v>
      </c>
      <c r="I287" s="40" t="s">
        <v>1281</v>
      </c>
    </row>
    <row r="288" spans="1:9" x14ac:dyDescent="0.25">
      <c r="A288" s="40" t="s">
        <v>455</v>
      </c>
      <c r="B288" s="28">
        <v>446</v>
      </c>
      <c r="C288" s="28" t="s">
        <v>35</v>
      </c>
      <c r="D288" s="28" t="s">
        <v>38</v>
      </c>
      <c r="E288" s="41">
        <v>46139</v>
      </c>
      <c r="F288" s="47">
        <v>0.73585648148148153</v>
      </c>
      <c r="G288" s="44">
        <v>6.3</v>
      </c>
      <c r="H288" s="43" t="s">
        <v>236</v>
      </c>
      <c r="I288" s="40" t="s">
        <v>1281</v>
      </c>
    </row>
    <row r="289" spans="1:9" x14ac:dyDescent="0.25">
      <c r="A289" s="40" t="s">
        <v>455</v>
      </c>
      <c r="B289" s="28">
        <v>446</v>
      </c>
      <c r="C289" s="28" t="s">
        <v>35</v>
      </c>
      <c r="D289" s="28" t="s">
        <v>38</v>
      </c>
      <c r="E289" s="41">
        <v>46141</v>
      </c>
      <c r="F289" s="47">
        <v>0.39482638888888888</v>
      </c>
      <c r="G289" s="44">
        <v>6.3</v>
      </c>
      <c r="H289" s="43" t="s">
        <v>236</v>
      </c>
      <c r="I289" s="40" t="s">
        <v>1281</v>
      </c>
    </row>
    <row r="290" spans="1:9" x14ac:dyDescent="0.25">
      <c r="A290" s="40" t="s">
        <v>455</v>
      </c>
      <c r="B290" s="28">
        <v>446</v>
      </c>
      <c r="C290" s="28" t="s">
        <v>35</v>
      </c>
      <c r="D290" s="28" t="s">
        <v>38</v>
      </c>
      <c r="E290" s="41">
        <v>46142</v>
      </c>
      <c r="F290" s="47">
        <v>0.65200231481481485</v>
      </c>
      <c r="G290" s="44">
        <v>6.3</v>
      </c>
      <c r="H290" s="43" t="s">
        <v>237</v>
      </c>
      <c r="I290" s="40" t="s">
        <v>1281</v>
      </c>
    </row>
    <row r="291" spans="1:9" x14ac:dyDescent="0.25">
      <c r="A291" s="40" t="s">
        <v>455</v>
      </c>
      <c r="B291" s="28">
        <v>446</v>
      </c>
      <c r="C291" s="28" t="s">
        <v>35</v>
      </c>
      <c r="D291" s="28" t="s">
        <v>38</v>
      </c>
      <c r="E291" s="45">
        <v>46142</v>
      </c>
      <c r="F291" s="48">
        <v>0.74793981481481486</v>
      </c>
      <c r="G291" s="44">
        <v>6.3</v>
      </c>
      <c r="H291" s="43" t="s">
        <v>236</v>
      </c>
      <c r="I291" s="40" t="s">
        <v>1281</v>
      </c>
    </row>
    <row r="292" spans="1:9" x14ac:dyDescent="0.25">
      <c r="A292" s="40" t="s">
        <v>455</v>
      </c>
      <c r="B292" s="28">
        <v>446</v>
      </c>
      <c r="C292" s="28" t="s">
        <v>35</v>
      </c>
      <c r="D292" s="28" t="s">
        <v>38</v>
      </c>
      <c r="E292" s="41">
        <v>46144</v>
      </c>
      <c r="F292" s="47">
        <v>0.33096064814814813</v>
      </c>
      <c r="G292" s="44">
        <v>6.3</v>
      </c>
      <c r="H292" s="43" t="s">
        <v>233</v>
      </c>
      <c r="I292" s="40" t="s">
        <v>1282</v>
      </c>
    </row>
    <row r="293" spans="1:9" x14ac:dyDescent="0.25">
      <c r="A293" s="40" t="s">
        <v>455</v>
      </c>
      <c r="B293" s="28">
        <v>446</v>
      </c>
      <c r="C293" s="28">
        <v>5648109</v>
      </c>
      <c r="D293" s="28"/>
      <c r="E293" s="45">
        <v>46145</v>
      </c>
      <c r="F293" s="48">
        <v>0.32480324074074074</v>
      </c>
      <c r="G293" s="44">
        <v>6.3</v>
      </c>
      <c r="H293" s="43" t="s">
        <v>237</v>
      </c>
      <c r="I293" s="40" t="s">
        <v>1282</v>
      </c>
    </row>
    <row r="294" spans="1:9" x14ac:dyDescent="0.25">
      <c r="A294" s="40" t="s">
        <v>455</v>
      </c>
      <c r="B294" s="28">
        <v>446</v>
      </c>
      <c r="C294" s="28">
        <v>5648109</v>
      </c>
      <c r="D294" s="28"/>
      <c r="E294" s="41">
        <v>46145</v>
      </c>
      <c r="F294" s="47">
        <v>0.33013888888888887</v>
      </c>
      <c r="G294" s="44">
        <v>6.3</v>
      </c>
      <c r="H294" s="43" t="s">
        <v>234</v>
      </c>
      <c r="I294" s="40" t="s">
        <v>1282</v>
      </c>
    </row>
    <row r="295" spans="1:9" x14ac:dyDescent="0.25">
      <c r="A295" s="40" t="s">
        <v>455</v>
      </c>
      <c r="B295" s="28">
        <v>446</v>
      </c>
      <c r="C295" s="28" t="s">
        <v>35</v>
      </c>
      <c r="D295" s="28" t="s">
        <v>38</v>
      </c>
      <c r="E295" s="41">
        <v>46145</v>
      </c>
      <c r="F295" s="47">
        <v>0.37484953703703705</v>
      </c>
      <c r="G295" s="44">
        <v>6.3</v>
      </c>
      <c r="H295" s="43" t="s">
        <v>235</v>
      </c>
      <c r="I295" s="40" t="s">
        <v>1282</v>
      </c>
    </row>
    <row r="296" spans="1:9" x14ac:dyDescent="0.25">
      <c r="A296" s="40" t="s">
        <v>455</v>
      </c>
      <c r="B296" s="28">
        <v>446</v>
      </c>
      <c r="C296" s="28" t="s">
        <v>35</v>
      </c>
      <c r="D296" s="28" t="s">
        <v>38</v>
      </c>
      <c r="E296" s="41">
        <v>46145</v>
      </c>
      <c r="F296" s="47">
        <v>0.37997685185185187</v>
      </c>
      <c r="G296" s="44">
        <v>6.3</v>
      </c>
      <c r="H296" s="43" t="s">
        <v>239</v>
      </c>
      <c r="I296" s="40" t="s">
        <v>1282</v>
      </c>
    </row>
    <row r="297" spans="1:9" x14ac:dyDescent="0.25">
      <c r="A297" s="40" t="s">
        <v>455</v>
      </c>
      <c r="B297" s="28">
        <v>446</v>
      </c>
      <c r="C297" s="28">
        <v>10585851</v>
      </c>
      <c r="D297" s="28"/>
      <c r="E297" s="41">
        <v>46145</v>
      </c>
      <c r="F297" s="47">
        <v>0.51877314814814812</v>
      </c>
      <c r="G297" s="44">
        <v>6.3</v>
      </c>
      <c r="H297" s="43" t="s">
        <v>233</v>
      </c>
      <c r="I297" s="40" t="s">
        <v>1282</v>
      </c>
    </row>
    <row r="298" spans="1:9" x14ac:dyDescent="0.25">
      <c r="A298" s="40" t="s">
        <v>455</v>
      </c>
      <c r="B298" s="28">
        <v>446</v>
      </c>
      <c r="C298" s="28">
        <v>10585851</v>
      </c>
      <c r="D298" s="28"/>
      <c r="E298" s="41">
        <v>46145</v>
      </c>
      <c r="F298" s="47">
        <v>0.52460648148148148</v>
      </c>
      <c r="G298" s="44">
        <v>6.3</v>
      </c>
      <c r="H298" s="43" t="s">
        <v>234</v>
      </c>
      <c r="I298" s="40" t="s">
        <v>1282</v>
      </c>
    </row>
    <row r="299" spans="1:9" x14ac:dyDescent="0.25">
      <c r="A299" s="40" t="s">
        <v>111</v>
      </c>
      <c r="B299" s="28">
        <v>467</v>
      </c>
      <c r="C299" s="28">
        <v>5638047</v>
      </c>
      <c r="D299" s="28"/>
      <c r="E299" s="45">
        <v>46139</v>
      </c>
      <c r="F299" s="48">
        <v>0.51809027777777783</v>
      </c>
      <c r="G299" s="44">
        <v>6.3</v>
      </c>
      <c r="H299" s="43" t="s">
        <v>234</v>
      </c>
      <c r="I299" s="40" t="s">
        <v>1281</v>
      </c>
    </row>
    <row r="300" spans="1:9" x14ac:dyDescent="0.25">
      <c r="A300" s="40" t="s">
        <v>111</v>
      </c>
      <c r="B300" s="28">
        <v>467</v>
      </c>
      <c r="C300" s="28">
        <v>5644333</v>
      </c>
      <c r="D300" s="28"/>
      <c r="E300" s="41">
        <v>46142</v>
      </c>
      <c r="F300" s="47">
        <v>0.53180555555555553</v>
      </c>
      <c r="G300" s="44">
        <v>6.3</v>
      </c>
      <c r="H300" s="43" t="s">
        <v>237</v>
      </c>
      <c r="I300" s="40" t="s">
        <v>1281</v>
      </c>
    </row>
    <row r="301" spans="1:9" x14ac:dyDescent="0.25">
      <c r="A301" s="40" t="s">
        <v>111</v>
      </c>
      <c r="B301" s="28">
        <v>467</v>
      </c>
      <c r="C301" s="28" t="s">
        <v>35</v>
      </c>
      <c r="D301" s="28" t="s">
        <v>38</v>
      </c>
      <c r="E301" s="41">
        <v>46142</v>
      </c>
      <c r="F301" s="47">
        <v>0.58516203703703706</v>
      </c>
      <c r="G301" s="44">
        <v>6.3</v>
      </c>
      <c r="H301" s="43" t="s">
        <v>234</v>
      </c>
      <c r="I301" s="40" t="s">
        <v>1281</v>
      </c>
    </row>
    <row r="302" spans="1:9" x14ac:dyDescent="0.25">
      <c r="A302" s="40" t="s">
        <v>112</v>
      </c>
      <c r="B302" s="28">
        <v>507</v>
      </c>
      <c r="C302" s="28">
        <v>5637651</v>
      </c>
      <c r="D302" s="28"/>
      <c r="E302" s="41">
        <v>46139</v>
      </c>
      <c r="F302" s="47">
        <v>0.3284259259259259</v>
      </c>
      <c r="G302" s="44">
        <v>6.3</v>
      </c>
      <c r="H302" s="43" t="s">
        <v>236</v>
      </c>
      <c r="I302" s="40" t="s">
        <v>1281</v>
      </c>
    </row>
    <row r="303" spans="1:9" x14ac:dyDescent="0.25">
      <c r="A303" s="40" t="s">
        <v>112</v>
      </c>
      <c r="B303" s="28">
        <v>507</v>
      </c>
      <c r="C303" s="28" t="s">
        <v>35</v>
      </c>
      <c r="D303" s="28" t="s">
        <v>38</v>
      </c>
      <c r="E303" s="41">
        <v>46139</v>
      </c>
      <c r="F303" s="47">
        <v>0.39489583333333333</v>
      </c>
      <c r="G303" s="44">
        <v>6.3</v>
      </c>
      <c r="H303" s="43" t="s">
        <v>237</v>
      </c>
      <c r="I303" s="40" t="s">
        <v>1281</v>
      </c>
    </row>
    <row r="304" spans="1:9" x14ac:dyDescent="0.25">
      <c r="A304" s="40" t="s">
        <v>112</v>
      </c>
      <c r="B304" s="28">
        <v>507</v>
      </c>
      <c r="C304" s="28">
        <v>5637464</v>
      </c>
      <c r="D304" s="28"/>
      <c r="E304" s="41">
        <v>46139</v>
      </c>
      <c r="F304" s="47">
        <v>0.4168634259259259</v>
      </c>
      <c r="G304" s="44">
        <v>6.3</v>
      </c>
      <c r="H304" s="43" t="s">
        <v>234</v>
      </c>
      <c r="I304" s="40" t="s">
        <v>1281</v>
      </c>
    </row>
    <row r="305" spans="1:9" x14ac:dyDescent="0.25">
      <c r="A305" s="40" t="s">
        <v>112</v>
      </c>
      <c r="B305" s="28">
        <v>507</v>
      </c>
      <c r="C305" s="28">
        <v>5638848</v>
      </c>
      <c r="D305" s="28"/>
      <c r="E305" s="41">
        <v>46140</v>
      </c>
      <c r="F305" s="47">
        <v>0.2258101851851852</v>
      </c>
      <c r="G305" s="44">
        <v>6.3</v>
      </c>
      <c r="H305" s="43" t="s">
        <v>234</v>
      </c>
      <c r="I305" s="40" t="s">
        <v>1281</v>
      </c>
    </row>
    <row r="306" spans="1:9" x14ac:dyDescent="0.25">
      <c r="A306" s="40" t="s">
        <v>112</v>
      </c>
      <c r="B306" s="28">
        <v>507</v>
      </c>
      <c r="C306" s="28">
        <v>5642053</v>
      </c>
      <c r="D306" s="28"/>
      <c r="E306" s="41">
        <v>46141</v>
      </c>
      <c r="F306" s="47">
        <v>0.37953703703703706</v>
      </c>
      <c r="G306" s="44">
        <v>6.3</v>
      </c>
      <c r="H306" s="43" t="s">
        <v>234</v>
      </c>
      <c r="I306" s="40" t="s">
        <v>1281</v>
      </c>
    </row>
    <row r="307" spans="1:9" x14ac:dyDescent="0.25">
      <c r="A307" s="40" t="s">
        <v>112</v>
      </c>
      <c r="B307" s="28">
        <v>507</v>
      </c>
      <c r="C307" s="28">
        <v>10568527</v>
      </c>
      <c r="D307" s="28"/>
      <c r="E307" s="41">
        <v>46142</v>
      </c>
      <c r="F307" s="47">
        <v>0.2744328703703704</v>
      </c>
      <c r="G307" s="44">
        <v>6.3</v>
      </c>
      <c r="H307" s="43" t="s">
        <v>234</v>
      </c>
      <c r="I307" s="40" t="s">
        <v>1281</v>
      </c>
    </row>
    <row r="308" spans="1:9" x14ac:dyDescent="0.25">
      <c r="A308" s="40" t="s">
        <v>112</v>
      </c>
      <c r="B308" s="28">
        <v>507</v>
      </c>
      <c r="C308" s="28">
        <v>5644184</v>
      </c>
      <c r="D308" s="28"/>
      <c r="E308" s="41">
        <v>46142</v>
      </c>
      <c r="F308" s="47">
        <v>0.36645833333333333</v>
      </c>
      <c r="G308" s="44">
        <v>6.3</v>
      </c>
      <c r="H308" s="43" t="s">
        <v>235</v>
      </c>
      <c r="I308" s="40" t="s">
        <v>1281</v>
      </c>
    </row>
    <row r="309" spans="1:9" x14ac:dyDescent="0.25">
      <c r="A309" s="40" t="s">
        <v>112</v>
      </c>
      <c r="B309" s="28">
        <v>507</v>
      </c>
      <c r="C309" s="28">
        <v>5644184</v>
      </c>
      <c r="D309" s="28"/>
      <c r="E309" s="45">
        <v>46142</v>
      </c>
      <c r="F309" s="48">
        <v>0.38484953703703706</v>
      </c>
      <c r="G309" s="42">
        <v>6.3</v>
      </c>
      <c r="H309" s="40" t="s">
        <v>236</v>
      </c>
      <c r="I309" s="40" t="s">
        <v>1281</v>
      </c>
    </row>
    <row r="310" spans="1:9" x14ac:dyDescent="0.25">
      <c r="A310" s="40" t="s">
        <v>395</v>
      </c>
      <c r="B310" s="28">
        <v>515</v>
      </c>
      <c r="C310" s="28">
        <v>5637873</v>
      </c>
      <c r="D310" s="28"/>
      <c r="E310" s="41">
        <v>46139</v>
      </c>
      <c r="F310" s="47">
        <v>0.38361111111111112</v>
      </c>
      <c r="G310" s="42">
        <v>6.3</v>
      </c>
      <c r="H310" s="40" t="s">
        <v>235</v>
      </c>
      <c r="I310" s="40" t="s">
        <v>1281</v>
      </c>
    </row>
    <row r="311" spans="1:9" x14ac:dyDescent="0.25">
      <c r="A311" s="40" t="s">
        <v>395</v>
      </c>
      <c r="B311" s="28">
        <v>515</v>
      </c>
      <c r="C311" s="28">
        <v>5637873</v>
      </c>
      <c r="D311" s="28"/>
      <c r="E311" s="45">
        <v>46139</v>
      </c>
      <c r="F311" s="48">
        <v>0.40357638888888892</v>
      </c>
      <c r="G311" s="44">
        <v>6.3</v>
      </c>
      <c r="H311" s="43" t="s">
        <v>236</v>
      </c>
      <c r="I311" s="40" t="s">
        <v>1281</v>
      </c>
    </row>
    <row r="312" spans="1:9" x14ac:dyDescent="0.25">
      <c r="A312" s="40" t="s">
        <v>395</v>
      </c>
      <c r="B312" s="28">
        <v>515</v>
      </c>
      <c r="C312" s="28">
        <v>5640012</v>
      </c>
      <c r="D312" s="28"/>
      <c r="E312" s="45">
        <v>46140</v>
      </c>
      <c r="F312" s="48">
        <v>0.34697916666666667</v>
      </c>
      <c r="G312" s="44">
        <v>6.3</v>
      </c>
      <c r="H312" s="43" t="s">
        <v>235</v>
      </c>
      <c r="I312" s="40" t="s">
        <v>1281</v>
      </c>
    </row>
    <row r="313" spans="1:9" x14ac:dyDescent="0.25">
      <c r="A313" s="40" t="s">
        <v>395</v>
      </c>
      <c r="B313" s="28">
        <v>515</v>
      </c>
      <c r="C313" s="28">
        <v>5640012</v>
      </c>
      <c r="D313" s="28"/>
      <c r="E313" s="41">
        <v>46140</v>
      </c>
      <c r="F313" s="47">
        <v>0.37256944444444445</v>
      </c>
      <c r="G313" s="44">
        <v>6.3</v>
      </c>
      <c r="H313" s="43" t="s">
        <v>236</v>
      </c>
      <c r="I313" s="40" t="s">
        <v>1281</v>
      </c>
    </row>
    <row r="314" spans="1:9" x14ac:dyDescent="0.25">
      <c r="A314" s="40" t="s">
        <v>395</v>
      </c>
      <c r="B314" s="28">
        <v>515</v>
      </c>
      <c r="C314" s="28">
        <v>5641399</v>
      </c>
      <c r="D314" s="28"/>
      <c r="E314" s="41">
        <v>46141</v>
      </c>
      <c r="F314" s="47">
        <v>0.25930555555555557</v>
      </c>
      <c r="G314" s="44">
        <v>6.3</v>
      </c>
      <c r="H314" s="43" t="s">
        <v>235</v>
      </c>
      <c r="I314" s="40" t="s">
        <v>1281</v>
      </c>
    </row>
    <row r="315" spans="1:9" x14ac:dyDescent="0.25">
      <c r="A315" s="40" t="s">
        <v>395</v>
      </c>
      <c r="B315" s="28">
        <v>515</v>
      </c>
      <c r="C315" s="28">
        <v>5641399</v>
      </c>
      <c r="D315" s="28"/>
      <c r="E315" s="45">
        <v>46141</v>
      </c>
      <c r="F315" s="48">
        <v>0.26990740740740743</v>
      </c>
      <c r="G315" s="44">
        <v>6.3</v>
      </c>
      <c r="H315" s="43" t="s">
        <v>236</v>
      </c>
      <c r="I315" s="40" t="s">
        <v>1281</v>
      </c>
    </row>
    <row r="316" spans="1:9" x14ac:dyDescent="0.25">
      <c r="A316" s="40" t="s">
        <v>395</v>
      </c>
      <c r="B316" s="28">
        <v>515</v>
      </c>
      <c r="C316" s="28">
        <v>5643913</v>
      </c>
      <c r="D316" s="28"/>
      <c r="E316" s="41">
        <v>46142</v>
      </c>
      <c r="F316" s="47">
        <v>0.3142361111111111</v>
      </c>
      <c r="G316" s="44">
        <v>6.3</v>
      </c>
      <c r="H316" s="43" t="s">
        <v>235</v>
      </c>
      <c r="I316" s="40" t="s">
        <v>1281</v>
      </c>
    </row>
    <row r="317" spans="1:9" x14ac:dyDescent="0.25">
      <c r="A317" s="40" t="s">
        <v>395</v>
      </c>
      <c r="B317" s="28">
        <v>515</v>
      </c>
      <c r="C317" s="28">
        <v>5643913</v>
      </c>
      <c r="D317" s="28"/>
      <c r="E317" s="41">
        <v>46142</v>
      </c>
      <c r="F317" s="47">
        <v>0.31957175925925924</v>
      </c>
      <c r="G317" s="44">
        <v>6.3</v>
      </c>
      <c r="H317" s="43" t="s">
        <v>240</v>
      </c>
      <c r="I317" s="40" t="s">
        <v>1281</v>
      </c>
    </row>
    <row r="318" spans="1:9" x14ac:dyDescent="0.25">
      <c r="A318" s="40" t="s">
        <v>113</v>
      </c>
      <c r="B318" s="28">
        <v>529</v>
      </c>
      <c r="C318" s="28">
        <v>5637327</v>
      </c>
      <c r="D318" s="28"/>
      <c r="E318" s="41">
        <v>46139</v>
      </c>
      <c r="F318" s="47">
        <v>0.21559027777777778</v>
      </c>
      <c r="G318" s="44">
        <v>6.3</v>
      </c>
      <c r="H318" s="43" t="s">
        <v>236</v>
      </c>
      <c r="I318" s="40" t="s">
        <v>1281</v>
      </c>
    </row>
    <row r="319" spans="1:9" x14ac:dyDescent="0.25">
      <c r="A319" s="40" t="s">
        <v>113</v>
      </c>
      <c r="B319" s="28">
        <v>529</v>
      </c>
      <c r="C319" s="28" t="s">
        <v>35</v>
      </c>
      <c r="D319" s="28" t="s">
        <v>38</v>
      </c>
      <c r="E319" s="45">
        <v>46139</v>
      </c>
      <c r="F319" s="48">
        <v>0.48234953703703703</v>
      </c>
      <c r="G319" s="44">
        <v>6.3</v>
      </c>
      <c r="H319" s="43" t="s">
        <v>233</v>
      </c>
      <c r="I319" s="40" t="s">
        <v>1281</v>
      </c>
    </row>
    <row r="320" spans="1:9" x14ac:dyDescent="0.25">
      <c r="A320" s="40" t="s">
        <v>113</v>
      </c>
      <c r="B320" s="28">
        <v>529</v>
      </c>
      <c r="C320" s="28" t="s">
        <v>35</v>
      </c>
      <c r="D320" s="28" t="s">
        <v>38</v>
      </c>
      <c r="E320" s="41">
        <v>46139</v>
      </c>
      <c r="F320" s="47">
        <v>0.49086805555555557</v>
      </c>
      <c r="G320" s="44">
        <v>6.3</v>
      </c>
      <c r="H320" s="43" t="s">
        <v>234</v>
      </c>
      <c r="I320" s="40" t="s">
        <v>1281</v>
      </c>
    </row>
    <row r="321" spans="1:9" x14ac:dyDescent="0.25">
      <c r="A321" s="40" t="s">
        <v>113</v>
      </c>
      <c r="B321" s="28">
        <v>529</v>
      </c>
      <c r="C321" s="28">
        <v>5641833</v>
      </c>
      <c r="D321" s="28"/>
      <c r="E321" s="41">
        <v>46141</v>
      </c>
      <c r="F321" s="47">
        <v>0.26126157407407408</v>
      </c>
      <c r="G321" s="44">
        <v>6.3</v>
      </c>
      <c r="H321" s="43" t="s">
        <v>242</v>
      </c>
      <c r="I321" s="40" t="s">
        <v>1281</v>
      </c>
    </row>
    <row r="322" spans="1:9" x14ac:dyDescent="0.25">
      <c r="A322" s="40" t="s">
        <v>113</v>
      </c>
      <c r="B322" s="28">
        <v>529</v>
      </c>
      <c r="C322" s="28">
        <v>5641833</v>
      </c>
      <c r="D322" s="28"/>
      <c r="E322" s="41">
        <v>46141</v>
      </c>
      <c r="F322" s="47">
        <v>0.27342592592592591</v>
      </c>
      <c r="G322" s="44">
        <v>6.3</v>
      </c>
      <c r="H322" s="43" t="s">
        <v>240</v>
      </c>
      <c r="I322" s="40" t="s">
        <v>1281</v>
      </c>
    </row>
    <row r="323" spans="1:9" x14ac:dyDescent="0.25">
      <c r="A323" s="40" t="s">
        <v>113</v>
      </c>
      <c r="B323" s="28">
        <v>529</v>
      </c>
      <c r="C323" s="28">
        <v>5641838</v>
      </c>
      <c r="D323" s="28"/>
      <c r="E323" s="41">
        <v>46141</v>
      </c>
      <c r="F323" s="47">
        <v>0.66599537037037038</v>
      </c>
      <c r="G323" s="42">
        <v>6.3</v>
      </c>
      <c r="H323" s="40" t="s">
        <v>236</v>
      </c>
      <c r="I323" s="40" t="s">
        <v>1281</v>
      </c>
    </row>
    <row r="324" spans="1:9" x14ac:dyDescent="0.25">
      <c r="A324" s="40" t="s">
        <v>113</v>
      </c>
      <c r="B324" s="28">
        <v>529</v>
      </c>
      <c r="C324" s="28" t="s">
        <v>35</v>
      </c>
      <c r="D324" s="28" t="s">
        <v>38</v>
      </c>
      <c r="E324" s="41">
        <v>46141</v>
      </c>
      <c r="F324" s="47">
        <v>0.75006944444444446</v>
      </c>
      <c r="G324" s="42">
        <v>6.3</v>
      </c>
      <c r="H324" s="40" t="s">
        <v>240</v>
      </c>
      <c r="I324" s="40" t="s">
        <v>1281</v>
      </c>
    </row>
    <row r="325" spans="1:9" x14ac:dyDescent="0.25">
      <c r="A325" s="40" t="s">
        <v>113</v>
      </c>
      <c r="B325" s="28">
        <v>529</v>
      </c>
      <c r="C325" s="28">
        <v>5644363</v>
      </c>
      <c r="D325" s="28"/>
      <c r="E325" s="41">
        <v>46142</v>
      </c>
      <c r="F325" s="47">
        <v>0.72115740740740741</v>
      </c>
      <c r="G325" s="42">
        <v>6.3</v>
      </c>
      <c r="H325" s="40" t="s">
        <v>236</v>
      </c>
      <c r="I325" s="40" t="s">
        <v>1281</v>
      </c>
    </row>
    <row r="326" spans="1:9" x14ac:dyDescent="0.25">
      <c r="A326" s="40" t="s">
        <v>114</v>
      </c>
      <c r="B326" s="28">
        <v>541</v>
      </c>
      <c r="C326" s="28">
        <v>5639755</v>
      </c>
      <c r="D326" s="28"/>
      <c r="E326" s="45">
        <v>46140</v>
      </c>
      <c r="F326" s="48">
        <v>0.34136574074074072</v>
      </c>
      <c r="G326" s="42">
        <v>6.3</v>
      </c>
      <c r="H326" s="40" t="s">
        <v>238</v>
      </c>
      <c r="I326" s="40" t="s">
        <v>1281</v>
      </c>
    </row>
    <row r="327" spans="1:9" x14ac:dyDescent="0.25">
      <c r="A327" s="40" t="s">
        <v>114</v>
      </c>
      <c r="B327" s="28">
        <v>541</v>
      </c>
      <c r="C327" s="28">
        <v>5639755</v>
      </c>
      <c r="D327" s="28"/>
      <c r="E327" s="41">
        <v>46140</v>
      </c>
      <c r="F327" s="47">
        <v>0.35388888888888886</v>
      </c>
      <c r="G327" s="42">
        <v>6.3</v>
      </c>
      <c r="H327" s="40" t="s">
        <v>234</v>
      </c>
      <c r="I327" s="40" t="s">
        <v>1281</v>
      </c>
    </row>
    <row r="328" spans="1:9" x14ac:dyDescent="0.25">
      <c r="A328" s="40" t="s">
        <v>114</v>
      </c>
      <c r="B328" s="28">
        <v>541</v>
      </c>
      <c r="C328" s="28">
        <v>5642529</v>
      </c>
      <c r="D328" s="28"/>
      <c r="E328" s="41">
        <v>46142</v>
      </c>
      <c r="F328" s="47">
        <v>0.27126157407407409</v>
      </c>
      <c r="G328" s="42">
        <v>6.3</v>
      </c>
      <c r="H328" s="40" t="s">
        <v>238</v>
      </c>
      <c r="I328" s="40" t="s">
        <v>1281</v>
      </c>
    </row>
    <row r="329" spans="1:9" x14ac:dyDescent="0.25">
      <c r="A329" s="40" t="s">
        <v>114</v>
      </c>
      <c r="B329" s="28">
        <v>541</v>
      </c>
      <c r="C329" s="28">
        <v>5642529</v>
      </c>
      <c r="D329" s="28"/>
      <c r="E329" s="45">
        <v>46142</v>
      </c>
      <c r="F329" s="48">
        <v>0.27706018518518516</v>
      </c>
      <c r="G329" s="44">
        <v>6.3</v>
      </c>
      <c r="H329" s="43" t="s">
        <v>234</v>
      </c>
      <c r="I329" s="40" t="s">
        <v>1281</v>
      </c>
    </row>
    <row r="330" spans="1:9" x14ac:dyDescent="0.25">
      <c r="A330" s="40" t="s">
        <v>114</v>
      </c>
      <c r="B330" s="28">
        <v>541</v>
      </c>
      <c r="C330" s="28">
        <v>5644195</v>
      </c>
      <c r="D330" s="28"/>
      <c r="E330" s="41">
        <v>46142</v>
      </c>
      <c r="F330" s="47">
        <v>0.7005555555555556</v>
      </c>
      <c r="G330" s="44">
        <v>6.3</v>
      </c>
      <c r="H330" s="43" t="s">
        <v>235</v>
      </c>
      <c r="I330" s="40" t="s">
        <v>1281</v>
      </c>
    </row>
    <row r="331" spans="1:9" x14ac:dyDescent="0.25">
      <c r="A331" s="40" t="s">
        <v>114</v>
      </c>
      <c r="B331" s="28">
        <v>541</v>
      </c>
      <c r="C331" s="28">
        <v>5644195</v>
      </c>
      <c r="D331" s="28"/>
      <c r="E331" s="45">
        <v>46142</v>
      </c>
      <c r="F331" s="48">
        <v>0.71402777777777782</v>
      </c>
      <c r="G331" s="44">
        <v>6.3</v>
      </c>
      <c r="H331" s="43" t="s">
        <v>239</v>
      </c>
      <c r="I331" s="40" t="s">
        <v>1281</v>
      </c>
    </row>
    <row r="332" spans="1:9" x14ac:dyDescent="0.25">
      <c r="A332" s="40" t="s">
        <v>115</v>
      </c>
      <c r="B332" s="28">
        <v>553</v>
      </c>
      <c r="C332" s="28">
        <v>5641092</v>
      </c>
      <c r="D332" s="28"/>
      <c r="E332" s="41">
        <v>46140</v>
      </c>
      <c r="F332" s="47">
        <v>0.77079861111111114</v>
      </c>
      <c r="G332" s="44">
        <v>6.3</v>
      </c>
      <c r="H332" s="43" t="s">
        <v>238</v>
      </c>
      <c r="I332" s="40" t="s">
        <v>1281</v>
      </c>
    </row>
    <row r="333" spans="1:9" x14ac:dyDescent="0.25">
      <c r="A333" s="40" t="s">
        <v>115</v>
      </c>
      <c r="B333" s="28">
        <v>553</v>
      </c>
      <c r="C333" s="28">
        <v>5642445</v>
      </c>
      <c r="D333" s="28"/>
      <c r="E333" s="41">
        <v>46141</v>
      </c>
      <c r="F333" s="47">
        <v>0.5728819444444444</v>
      </c>
      <c r="G333" s="44">
        <v>6.3</v>
      </c>
      <c r="H333" s="43" t="s">
        <v>235</v>
      </c>
      <c r="I333" s="40" t="s">
        <v>1281</v>
      </c>
    </row>
    <row r="334" spans="1:9" x14ac:dyDescent="0.25">
      <c r="A334" s="40" t="s">
        <v>115</v>
      </c>
      <c r="B334" s="28">
        <v>553</v>
      </c>
      <c r="C334" s="28">
        <v>5642445</v>
      </c>
      <c r="D334" s="28"/>
      <c r="E334" s="41">
        <v>46141</v>
      </c>
      <c r="F334" s="47">
        <v>0.58481481481481479</v>
      </c>
      <c r="G334" s="44">
        <v>6.3</v>
      </c>
      <c r="H334" s="43" t="s">
        <v>236</v>
      </c>
      <c r="I334" s="40" t="s">
        <v>1281</v>
      </c>
    </row>
    <row r="335" spans="1:9" x14ac:dyDescent="0.25">
      <c r="A335" s="40" t="s">
        <v>279</v>
      </c>
      <c r="B335" s="28">
        <v>561</v>
      </c>
      <c r="C335" s="28">
        <v>5637157</v>
      </c>
      <c r="D335" s="28"/>
      <c r="E335" s="41">
        <v>46139</v>
      </c>
      <c r="F335" s="47">
        <v>0.1685763888888889</v>
      </c>
      <c r="G335" s="44">
        <v>6.3</v>
      </c>
      <c r="H335" s="43" t="s">
        <v>237</v>
      </c>
      <c r="I335" s="40" t="s">
        <v>1281</v>
      </c>
    </row>
    <row r="336" spans="1:9" x14ac:dyDescent="0.25">
      <c r="A336" s="40" t="s">
        <v>279</v>
      </c>
      <c r="B336" s="28">
        <v>561</v>
      </c>
      <c r="C336" s="28">
        <v>5637157</v>
      </c>
      <c r="D336" s="28"/>
      <c r="E336" s="45">
        <v>46139</v>
      </c>
      <c r="F336" s="48">
        <v>0.1736574074074074</v>
      </c>
      <c r="G336" s="42">
        <v>6.3</v>
      </c>
      <c r="H336" s="40" t="s">
        <v>234</v>
      </c>
      <c r="I336" s="40" t="s">
        <v>1281</v>
      </c>
    </row>
    <row r="337" spans="1:9" x14ac:dyDescent="0.25">
      <c r="A337" s="40" t="s">
        <v>279</v>
      </c>
      <c r="B337" s="28">
        <v>561</v>
      </c>
      <c r="C337" s="28">
        <v>5635839</v>
      </c>
      <c r="D337" s="28"/>
      <c r="E337" s="41">
        <v>46139</v>
      </c>
      <c r="F337" s="47">
        <v>0.3775</v>
      </c>
      <c r="G337" s="42">
        <v>6.3</v>
      </c>
      <c r="H337" s="40" t="s">
        <v>237</v>
      </c>
      <c r="I337" s="40" t="s">
        <v>1281</v>
      </c>
    </row>
    <row r="338" spans="1:9" x14ac:dyDescent="0.25">
      <c r="A338" s="40" t="s">
        <v>279</v>
      </c>
      <c r="B338" s="28">
        <v>561</v>
      </c>
      <c r="C338" s="28">
        <v>5635839</v>
      </c>
      <c r="D338" s="28"/>
      <c r="E338" s="41">
        <v>46139</v>
      </c>
      <c r="F338" s="47">
        <v>0.38842592592592595</v>
      </c>
      <c r="G338" s="44">
        <v>6.3</v>
      </c>
      <c r="H338" s="43" t="s">
        <v>234</v>
      </c>
      <c r="I338" s="40" t="s">
        <v>1281</v>
      </c>
    </row>
    <row r="339" spans="1:9" x14ac:dyDescent="0.25">
      <c r="A339" s="40" t="s">
        <v>279</v>
      </c>
      <c r="B339" s="28">
        <v>561</v>
      </c>
      <c r="C339" s="28">
        <v>5638039</v>
      </c>
      <c r="D339" s="28"/>
      <c r="E339" s="45">
        <v>46139</v>
      </c>
      <c r="F339" s="48">
        <v>0.42940972222222223</v>
      </c>
      <c r="G339" s="44">
        <v>6.3</v>
      </c>
      <c r="H339" s="43" t="s">
        <v>235</v>
      </c>
      <c r="I339" s="40" t="s">
        <v>1281</v>
      </c>
    </row>
    <row r="340" spans="1:9" x14ac:dyDescent="0.25">
      <c r="A340" s="40" t="s">
        <v>279</v>
      </c>
      <c r="B340" s="28">
        <v>561</v>
      </c>
      <c r="C340" s="28">
        <v>5639516</v>
      </c>
      <c r="D340" s="28"/>
      <c r="E340" s="41">
        <v>46140</v>
      </c>
      <c r="F340" s="47">
        <v>0.30486111111111114</v>
      </c>
      <c r="G340" s="44">
        <v>6.3</v>
      </c>
      <c r="H340" s="43" t="s">
        <v>235</v>
      </c>
      <c r="I340" s="40" t="s">
        <v>1281</v>
      </c>
    </row>
    <row r="341" spans="1:9" x14ac:dyDescent="0.25">
      <c r="A341" s="40" t="s">
        <v>279</v>
      </c>
      <c r="B341" s="28">
        <v>561</v>
      </c>
      <c r="C341" s="28">
        <v>5639516</v>
      </c>
      <c r="D341" s="28"/>
      <c r="E341" s="41">
        <v>46140</v>
      </c>
      <c r="F341" s="47">
        <v>0.31590277777777775</v>
      </c>
      <c r="G341" s="44">
        <v>6.3</v>
      </c>
      <c r="H341" s="43" t="s">
        <v>236</v>
      </c>
      <c r="I341" s="40" t="s">
        <v>1281</v>
      </c>
    </row>
    <row r="342" spans="1:9" x14ac:dyDescent="0.25">
      <c r="A342" s="40" t="s">
        <v>279</v>
      </c>
      <c r="B342" s="28">
        <v>561</v>
      </c>
      <c r="C342" s="28">
        <v>5641426</v>
      </c>
      <c r="D342" s="28"/>
      <c r="E342" s="41">
        <v>46141</v>
      </c>
      <c r="F342" s="47">
        <v>0.26686342592592593</v>
      </c>
      <c r="G342" s="44">
        <v>6.3</v>
      </c>
      <c r="H342" s="43" t="s">
        <v>233</v>
      </c>
      <c r="I342" s="40" t="s">
        <v>1281</v>
      </c>
    </row>
    <row r="343" spans="1:9" x14ac:dyDescent="0.25">
      <c r="A343" s="40" t="s">
        <v>279</v>
      </c>
      <c r="B343" s="28">
        <v>561</v>
      </c>
      <c r="C343" s="28">
        <v>5641426</v>
      </c>
      <c r="D343" s="28"/>
      <c r="E343" s="41">
        <v>46141</v>
      </c>
      <c r="F343" s="47">
        <v>0.27266203703703706</v>
      </c>
      <c r="G343" s="44">
        <v>6.3</v>
      </c>
      <c r="H343" s="43" t="s">
        <v>234</v>
      </c>
      <c r="I343" s="40" t="s">
        <v>1281</v>
      </c>
    </row>
    <row r="344" spans="1:9" x14ac:dyDescent="0.25">
      <c r="A344" s="40" t="s">
        <v>279</v>
      </c>
      <c r="B344" s="28">
        <v>561</v>
      </c>
      <c r="C344" s="28" t="s">
        <v>456</v>
      </c>
      <c r="D344" s="28"/>
      <c r="E344" s="41">
        <v>46142</v>
      </c>
      <c r="F344" s="47">
        <v>0.59418981481481481</v>
      </c>
      <c r="G344" s="44">
        <v>6.3</v>
      </c>
      <c r="H344" s="43" t="s">
        <v>235</v>
      </c>
      <c r="I344" s="40" t="s">
        <v>1281</v>
      </c>
    </row>
    <row r="345" spans="1:9" x14ac:dyDescent="0.25">
      <c r="A345" s="40" t="s">
        <v>279</v>
      </c>
      <c r="B345" s="28">
        <v>561</v>
      </c>
      <c r="C345" s="28" t="s">
        <v>456</v>
      </c>
      <c r="D345" s="28"/>
      <c r="E345" s="41">
        <v>46142</v>
      </c>
      <c r="F345" s="47">
        <v>0.60770833333333329</v>
      </c>
      <c r="G345" s="44">
        <v>6.3</v>
      </c>
      <c r="H345" s="43" t="s">
        <v>240</v>
      </c>
      <c r="I345" s="40" t="s">
        <v>1281</v>
      </c>
    </row>
    <row r="346" spans="1:9" x14ac:dyDescent="0.25">
      <c r="A346" s="40" t="s">
        <v>279</v>
      </c>
      <c r="B346" s="28">
        <v>561</v>
      </c>
      <c r="C346" s="28" t="s">
        <v>35</v>
      </c>
      <c r="D346" s="28" t="s">
        <v>38</v>
      </c>
      <c r="E346" s="45">
        <v>46143</v>
      </c>
      <c r="F346" s="48">
        <v>0.77023148148148146</v>
      </c>
      <c r="G346" s="44">
        <v>6.3</v>
      </c>
      <c r="H346" s="43" t="s">
        <v>235</v>
      </c>
      <c r="I346" s="40" t="s">
        <v>1282</v>
      </c>
    </row>
    <row r="347" spans="1:9" x14ac:dyDescent="0.25">
      <c r="A347" s="40" t="s">
        <v>279</v>
      </c>
      <c r="B347" s="28">
        <v>561</v>
      </c>
      <c r="C347" s="28">
        <v>5646996</v>
      </c>
      <c r="D347" s="28" t="s">
        <v>36</v>
      </c>
      <c r="E347" s="41">
        <v>46144</v>
      </c>
      <c r="F347" s="47">
        <v>0.24800925925925926</v>
      </c>
      <c r="G347" s="44">
        <v>6.3</v>
      </c>
      <c r="H347" s="43" t="s">
        <v>237</v>
      </c>
      <c r="I347" s="40" t="s">
        <v>1282</v>
      </c>
    </row>
    <row r="348" spans="1:9" x14ac:dyDescent="0.25">
      <c r="A348" s="40" t="s">
        <v>279</v>
      </c>
      <c r="B348" s="28">
        <v>561</v>
      </c>
      <c r="C348" s="28">
        <v>5646996</v>
      </c>
      <c r="D348" s="28" t="s">
        <v>36</v>
      </c>
      <c r="E348" s="41">
        <v>46144</v>
      </c>
      <c r="F348" s="47">
        <v>0.25346064814814817</v>
      </c>
      <c r="G348" s="44">
        <v>6.3</v>
      </c>
      <c r="H348" s="43" t="s">
        <v>234</v>
      </c>
      <c r="I348" s="40" t="s">
        <v>1282</v>
      </c>
    </row>
    <row r="349" spans="1:9" x14ac:dyDescent="0.25">
      <c r="A349" s="40" t="s">
        <v>279</v>
      </c>
      <c r="B349" s="28">
        <v>561</v>
      </c>
      <c r="C349" s="28">
        <v>5646833</v>
      </c>
      <c r="D349" s="28"/>
      <c r="E349" s="41">
        <v>46144</v>
      </c>
      <c r="F349" s="47">
        <v>0.42075231481481479</v>
      </c>
      <c r="G349" s="44">
        <v>6.3</v>
      </c>
      <c r="H349" s="43" t="s">
        <v>237</v>
      </c>
      <c r="I349" s="40" t="s">
        <v>1282</v>
      </c>
    </row>
    <row r="350" spans="1:9" x14ac:dyDescent="0.25">
      <c r="A350" s="40" t="s">
        <v>279</v>
      </c>
      <c r="B350" s="28">
        <v>561</v>
      </c>
      <c r="C350" s="28">
        <v>5647385</v>
      </c>
      <c r="D350" s="28"/>
      <c r="E350" s="45">
        <v>46145</v>
      </c>
      <c r="F350" s="48">
        <v>0.30729166666666669</v>
      </c>
      <c r="G350" s="44">
        <v>6.3</v>
      </c>
      <c r="H350" s="43" t="s">
        <v>234</v>
      </c>
      <c r="I350" s="40" t="s">
        <v>1282</v>
      </c>
    </row>
    <row r="351" spans="1:9" x14ac:dyDescent="0.25">
      <c r="A351" s="40" t="s">
        <v>457</v>
      </c>
      <c r="B351" s="28">
        <v>596</v>
      </c>
      <c r="C351" s="28">
        <v>5643720</v>
      </c>
      <c r="D351" s="28"/>
      <c r="E351" s="45">
        <v>46141</v>
      </c>
      <c r="F351" s="48">
        <v>0.91567129629629629</v>
      </c>
      <c r="G351" s="44">
        <v>6.3</v>
      </c>
      <c r="H351" s="43" t="s">
        <v>238</v>
      </c>
      <c r="I351" s="40" t="s">
        <v>1281</v>
      </c>
    </row>
    <row r="352" spans="1:9" x14ac:dyDescent="0.25">
      <c r="A352" s="40" t="s">
        <v>116</v>
      </c>
      <c r="B352" s="28">
        <v>633</v>
      </c>
      <c r="C352" s="28">
        <v>5638192</v>
      </c>
      <c r="D352" s="28"/>
      <c r="E352" s="45">
        <v>46140</v>
      </c>
      <c r="F352" s="48">
        <v>0.37887731481481479</v>
      </c>
      <c r="G352" s="44">
        <v>6.3</v>
      </c>
      <c r="H352" s="43" t="s">
        <v>236</v>
      </c>
      <c r="I352" s="40" t="s">
        <v>1281</v>
      </c>
    </row>
    <row r="353" spans="1:9" x14ac:dyDescent="0.25">
      <c r="A353" s="40" t="s">
        <v>116</v>
      </c>
      <c r="B353" s="28">
        <v>633</v>
      </c>
      <c r="C353" s="28">
        <v>5638971</v>
      </c>
      <c r="D353" s="28"/>
      <c r="E353" s="41">
        <v>46140</v>
      </c>
      <c r="F353" s="47">
        <v>0.92443287037037036</v>
      </c>
      <c r="G353" s="44">
        <v>6.3</v>
      </c>
      <c r="H353" s="43" t="s">
        <v>237</v>
      </c>
      <c r="I353" s="40" t="s">
        <v>1281</v>
      </c>
    </row>
    <row r="354" spans="1:9" x14ac:dyDescent="0.25">
      <c r="A354" s="40" t="s">
        <v>116</v>
      </c>
      <c r="B354" s="28">
        <v>633</v>
      </c>
      <c r="C354" s="28">
        <v>5640637</v>
      </c>
      <c r="D354" s="28"/>
      <c r="E354" s="41">
        <v>46141</v>
      </c>
      <c r="F354" s="47">
        <v>0.30603009259259262</v>
      </c>
      <c r="G354" s="44">
        <v>6.3</v>
      </c>
      <c r="H354" s="43" t="s">
        <v>235</v>
      </c>
      <c r="I354" s="40" t="s">
        <v>1281</v>
      </c>
    </row>
    <row r="355" spans="1:9" x14ac:dyDescent="0.25">
      <c r="A355" s="40" t="s">
        <v>116</v>
      </c>
      <c r="B355" s="28">
        <v>633</v>
      </c>
      <c r="C355" s="28">
        <v>5640637</v>
      </c>
      <c r="D355" s="28"/>
      <c r="E355" s="41">
        <v>46141</v>
      </c>
      <c r="F355" s="47">
        <v>0.31210648148148146</v>
      </c>
      <c r="G355" s="42">
        <v>6.3</v>
      </c>
      <c r="H355" s="40" t="s">
        <v>240</v>
      </c>
      <c r="I355" s="40" t="s">
        <v>1281</v>
      </c>
    </row>
    <row r="356" spans="1:9" x14ac:dyDescent="0.25">
      <c r="A356" s="40" t="s">
        <v>116</v>
      </c>
      <c r="B356" s="28">
        <v>633</v>
      </c>
      <c r="C356" s="28" t="s">
        <v>35</v>
      </c>
      <c r="D356" s="28" t="s">
        <v>38</v>
      </c>
      <c r="E356" s="41">
        <v>46142</v>
      </c>
      <c r="F356" s="47">
        <v>0.86499999999999999</v>
      </c>
      <c r="G356" s="42">
        <v>6.3</v>
      </c>
      <c r="H356" s="40" t="s">
        <v>234</v>
      </c>
      <c r="I356" s="40" t="s">
        <v>1281</v>
      </c>
    </row>
    <row r="357" spans="1:9" x14ac:dyDescent="0.25">
      <c r="A357" s="40" t="s">
        <v>116</v>
      </c>
      <c r="B357" s="28">
        <v>633</v>
      </c>
      <c r="C357" s="28">
        <v>5645688</v>
      </c>
      <c r="D357" s="28"/>
      <c r="E357" s="41">
        <v>46142</v>
      </c>
      <c r="F357" s="47">
        <v>0.92049768518518515</v>
      </c>
      <c r="G357" s="44">
        <v>6.3</v>
      </c>
      <c r="H357" s="43" t="s">
        <v>235</v>
      </c>
      <c r="I357" s="40" t="s">
        <v>1281</v>
      </c>
    </row>
    <row r="358" spans="1:9" x14ac:dyDescent="0.25">
      <c r="A358" s="40" t="s">
        <v>116</v>
      </c>
      <c r="B358" s="28">
        <v>633</v>
      </c>
      <c r="C358" s="28">
        <v>5645688</v>
      </c>
      <c r="D358" s="28"/>
      <c r="E358" s="41">
        <v>46142</v>
      </c>
      <c r="F358" s="47">
        <v>0.92768518518518517</v>
      </c>
      <c r="G358" s="44">
        <v>6.3</v>
      </c>
      <c r="H358" s="43" t="s">
        <v>239</v>
      </c>
      <c r="I358" s="40" t="s">
        <v>1281</v>
      </c>
    </row>
    <row r="359" spans="1:9" x14ac:dyDescent="0.25">
      <c r="A359" s="40" t="s">
        <v>116</v>
      </c>
      <c r="B359" s="28">
        <v>633</v>
      </c>
      <c r="C359" s="28">
        <v>5645834</v>
      </c>
      <c r="D359" s="28"/>
      <c r="E359" s="45">
        <v>46143</v>
      </c>
      <c r="F359" s="48">
        <v>5.5682870370370369E-2</v>
      </c>
      <c r="G359" s="44">
        <v>6.3</v>
      </c>
      <c r="H359" s="43" t="s">
        <v>233</v>
      </c>
      <c r="I359" s="40" t="s">
        <v>1282</v>
      </c>
    </row>
    <row r="360" spans="1:9" x14ac:dyDescent="0.25">
      <c r="A360" s="40" t="s">
        <v>143</v>
      </c>
      <c r="B360" s="28">
        <v>643</v>
      </c>
      <c r="C360" s="28">
        <v>5641658</v>
      </c>
      <c r="D360" s="28"/>
      <c r="E360" s="41">
        <v>46141</v>
      </c>
      <c r="F360" s="47">
        <v>0.29844907407407406</v>
      </c>
      <c r="G360" s="44">
        <v>6.3</v>
      </c>
      <c r="H360" s="43" t="s">
        <v>235</v>
      </c>
      <c r="I360" s="40" t="s">
        <v>1281</v>
      </c>
    </row>
    <row r="361" spans="1:9" x14ac:dyDescent="0.25">
      <c r="A361" s="40" t="s">
        <v>143</v>
      </c>
      <c r="B361" s="28">
        <v>643</v>
      </c>
      <c r="C361" s="28">
        <v>5641658</v>
      </c>
      <c r="D361" s="28"/>
      <c r="E361" s="41">
        <v>46141</v>
      </c>
      <c r="F361" s="47">
        <v>0.3200925925925926</v>
      </c>
      <c r="G361" s="44">
        <v>6.3</v>
      </c>
      <c r="H361" s="43" t="s">
        <v>236</v>
      </c>
      <c r="I361" s="40" t="s">
        <v>1281</v>
      </c>
    </row>
    <row r="362" spans="1:9" x14ac:dyDescent="0.25">
      <c r="A362" s="40" t="s">
        <v>143</v>
      </c>
      <c r="B362" s="28">
        <v>643</v>
      </c>
      <c r="C362" s="28" t="s">
        <v>35</v>
      </c>
      <c r="D362" s="28" t="s">
        <v>38</v>
      </c>
      <c r="E362" s="41">
        <v>46144</v>
      </c>
      <c r="F362" s="47">
        <v>0.64155092592592589</v>
      </c>
      <c r="G362" s="44">
        <v>6.3</v>
      </c>
      <c r="H362" s="43" t="s">
        <v>237</v>
      </c>
      <c r="I362" s="40" t="s">
        <v>1282</v>
      </c>
    </row>
    <row r="363" spans="1:9" x14ac:dyDescent="0.25">
      <c r="A363" s="40" t="s">
        <v>143</v>
      </c>
      <c r="B363" s="28">
        <v>643</v>
      </c>
      <c r="C363" s="28">
        <v>5648238</v>
      </c>
      <c r="D363" s="28" t="s">
        <v>36</v>
      </c>
      <c r="E363" s="41">
        <v>46145</v>
      </c>
      <c r="F363" s="47">
        <v>0.2951273148148148</v>
      </c>
      <c r="G363" s="44">
        <v>6.3</v>
      </c>
      <c r="H363" s="43" t="s">
        <v>236</v>
      </c>
      <c r="I363" s="40" t="s">
        <v>1282</v>
      </c>
    </row>
    <row r="364" spans="1:9" x14ac:dyDescent="0.25">
      <c r="A364" s="40" t="s">
        <v>143</v>
      </c>
      <c r="B364" s="28">
        <v>643</v>
      </c>
      <c r="C364" s="28">
        <v>5648519</v>
      </c>
      <c r="D364" s="28"/>
      <c r="E364" s="41">
        <v>46145</v>
      </c>
      <c r="F364" s="47">
        <v>0.81064814814814812</v>
      </c>
      <c r="G364" s="44">
        <v>6.3</v>
      </c>
      <c r="H364" s="43" t="s">
        <v>236</v>
      </c>
      <c r="I364" s="40" t="s">
        <v>1282</v>
      </c>
    </row>
    <row r="365" spans="1:9" x14ac:dyDescent="0.25">
      <c r="A365" s="40" t="s">
        <v>342</v>
      </c>
      <c r="B365" s="28">
        <v>658</v>
      </c>
      <c r="C365" s="28" t="s">
        <v>35</v>
      </c>
      <c r="D365" s="28" t="s">
        <v>38</v>
      </c>
      <c r="E365" s="45">
        <v>46145</v>
      </c>
      <c r="F365" s="48">
        <v>0.9802777777777778</v>
      </c>
      <c r="G365" s="44">
        <v>6.3</v>
      </c>
      <c r="H365" s="43" t="s">
        <v>241</v>
      </c>
      <c r="I365" s="40" t="s">
        <v>1282</v>
      </c>
    </row>
    <row r="366" spans="1:9" x14ac:dyDescent="0.25">
      <c r="A366" s="40" t="s">
        <v>342</v>
      </c>
      <c r="B366" s="28">
        <v>658</v>
      </c>
      <c r="C366" s="28" t="s">
        <v>35</v>
      </c>
      <c r="D366" s="28" t="s">
        <v>38</v>
      </c>
      <c r="E366" s="41">
        <v>46145</v>
      </c>
      <c r="F366" s="47">
        <v>0.99055555555555552</v>
      </c>
      <c r="G366" s="44">
        <v>6.3</v>
      </c>
      <c r="H366" s="43" t="s">
        <v>234</v>
      </c>
      <c r="I366" s="40" t="s">
        <v>1282</v>
      </c>
    </row>
    <row r="367" spans="1:9" x14ac:dyDescent="0.25">
      <c r="A367" s="40" t="s">
        <v>347</v>
      </c>
      <c r="B367" s="28">
        <v>659</v>
      </c>
      <c r="C367" s="28">
        <v>5627022</v>
      </c>
      <c r="D367" s="28"/>
      <c r="E367" s="41">
        <v>46139</v>
      </c>
      <c r="F367" s="47">
        <v>0.81248842592592596</v>
      </c>
      <c r="G367" s="44">
        <v>6.3</v>
      </c>
      <c r="H367" s="43" t="s">
        <v>237</v>
      </c>
      <c r="I367" s="40" t="s">
        <v>1281</v>
      </c>
    </row>
    <row r="368" spans="1:9" x14ac:dyDescent="0.25">
      <c r="A368" s="40" t="s">
        <v>347</v>
      </c>
      <c r="B368" s="28">
        <v>659</v>
      </c>
      <c r="C368" s="28">
        <v>5627022</v>
      </c>
      <c r="D368" s="28"/>
      <c r="E368" s="41">
        <v>46139</v>
      </c>
      <c r="F368" s="47">
        <v>0.83731481481481485</v>
      </c>
      <c r="G368" s="44">
        <v>6.3</v>
      </c>
      <c r="H368" s="43" t="s">
        <v>234</v>
      </c>
      <c r="I368" s="40" t="s">
        <v>1281</v>
      </c>
    </row>
    <row r="369" spans="1:9" x14ac:dyDescent="0.25">
      <c r="A369" s="40" t="s">
        <v>347</v>
      </c>
      <c r="B369" s="28">
        <v>659</v>
      </c>
      <c r="C369" s="28">
        <v>5640899</v>
      </c>
      <c r="D369" s="28"/>
      <c r="E369" s="41">
        <v>46140</v>
      </c>
      <c r="F369" s="47">
        <v>0.73277777777777775</v>
      </c>
      <c r="G369" s="44">
        <v>6.3</v>
      </c>
      <c r="H369" s="43" t="s">
        <v>234</v>
      </c>
      <c r="I369" s="40" t="s">
        <v>1281</v>
      </c>
    </row>
    <row r="370" spans="1:9" x14ac:dyDescent="0.25">
      <c r="A370" s="40" t="s">
        <v>347</v>
      </c>
      <c r="B370" s="28">
        <v>659</v>
      </c>
      <c r="C370" s="28">
        <v>5643076</v>
      </c>
      <c r="D370" s="28"/>
      <c r="E370" s="41">
        <v>46141</v>
      </c>
      <c r="F370" s="47">
        <v>0.89724537037037033</v>
      </c>
      <c r="G370" s="44">
        <v>6.3</v>
      </c>
      <c r="H370" s="43" t="s">
        <v>233</v>
      </c>
      <c r="I370" s="40" t="s">
        <v>1281</v>
      </c>
    </row>
    <row r="371" spans="1:9" x14ac:dyDescent="0.25">
      <c r="A371" s="40" t="s">
        <v>347</v>
      </c>
      <c r="B371" s="28">
        <v>659</v>
      </c>
      <c r="C371" s="28">
        <v>5643076</v>
      </c>
      <c r="D371" s="28"/>
      <c r="E371" s="41">
        <v>46141</v>
      </c>
      <c r="F371" s="47">
        <v>0.90216435185185184</v>
      </c>
      <c r="G371" s="44">
        <v>6.3</v>
      </c>
      <c r="H371" s="43" t="s">
        <v>234</v>
      </c>
      <c r="I371" s="40" t="s">
        <v>1281</v>
      </c>
    </row>
    <row r="372" spans="1:9" x14ac:dyDescent="0.25">
      <c r="A372" s="40" t="s">
        <v>347</v>
      </c>
      <c r="B372" s="28">
        <v>659</v>
      </c>
      <c r="C372" s="28">
        <v>5644334</v>
      </c>
      <c r="D372" s="28"/>
      <c r="E372" s="41">
        <v>46142</v>
      </c>
      <c r="F372" s="47">
        <v>0.70270833333333338</v>
      </c>
      <c r="G372" s="44">
        <v>6.3</v>
      </c>
      <c r="H372" s="43" t="s">
        <v>239</v>
      </c>
      <c r="I372" s="40" t="s">
        <v>1281</v>
      </c>
    </row>
    <row r="373" spans="1:9" x14ac:dyDescent="0.25">
      <c r="A373" s="40" t="s">
        <v>347</v>
      </c>
      <c r="B373" s="28">
        <v>659</v>
      </c>
      <c r="C373" s="28">
        <v>5639677</v>
      </c>
      <c r="D373" s="28"/>
      <c r="E373" s="41">
        <v>46142</v>
      </c>
      <c r="F373" s="47">
        <v>0.76418981481481485</v>
      </c>
      <c r="G373" s="44">
        <v>6.3</v>
      </c>
      <c r="H373" s="43" t="s">
        <v>233</v>
      </c>
      <c r="I373" s="40" t="s">
        <v>1281</v>
      </c>
    </row>
    <row r="374" spans="1:9" x14ac:dyDescent="0.25">
      <c r="A374" s="40" t="s">
        <v>347</v>
      </c>
      <c r="B374" s="28">
        <v>659</v>
      </c>
      <c r="C374" s="28" t="s">
        <v>35</v>
      </c>
      <c r="D374" s="28" t="s">
        <v>38</v>
      </c>
      <c r="E374" s="41">
        <v>46145</v>
      </c>
      <c r="F374" s="47">
        <v>0.31641203703703702</v>
      </c>
      <c r="G374" s="44">
        <v>6.3</v>
      </c>
      <c r="H374" s="43" t="s">
        <v>240</v>
      </c>
      <c r="I374" s="40" t="s">
        <v>1282</v>
      </c>
    </row>
    <row r="375" spans="1:9" x14ac:dyDescent="0.25">
      <c r="A375" s="40" t="s">
        <v>458</v>
      </c>
      <c r="B375" s="28">
        <v>660</v>
      </c>
      <c r="C375" s="28">
        <v>5643287</v>
      </c>
      <c r="D375" s="28" t="s">
        <v>36</v>
      </c>
      <c r="E375" s="41">
        <v>46141</v>
      </c>
      <c r="F375" s="47">
        <v>0.82687500000000003</v>
      </c>
      <c r="G375" s="44">
        <v>6.3</v>
      </c>
      <c r="H375" s="43" t="s">
        <v>237</v>
      </c>
      <c r="I375" s="40" t="s">
        <v>1281</v>
      </c>
    </row>
    <row r="376" spans="1:9" x14ac:dyDescent="0.25">
      <c r="A376" s="40" t="s">
        <v>458</v>
      </c>
      <c r="B376" s="28">
        <v>660</v>
      </c>
      <c r="C376" s="28">
        <v>5643542</v>
      </c>
      <c r="D376" s="28"/>
      <c r="E376" s="41">
        <v>46141</v>
      </c>
      <c r="F376" s="47">
        <v>0.94563657407407409</v>
      </c>
      <c r="G376" s="44">
        <v>6.3</v>
      </c>
      <c r="H376" s="43" t="s">
        <v>235</v>
      </c>
      <c r="I376" s="40" t="s">
        <v>1281</v>
      </c>
    </row>
    <row r="377" spans="1:9" x14ac:dyDescent="0.25">
      <c r="A377" s="40" t="s">
        <v>458</v>
      </c>
      <c r="B377" s="28">
        <v>660</v>
      </c>
      <c r="C377" s="28">
        <v>5643542</v>
      </c>
      <c r="D377" s="28"/>
      <c r="E377" s="41">
        <v>46141</v>
      </c>
      <c r="F377" s="47">
        <v>0.95228009259259261</v>
      </c>
      <c r="G377" s="44">
        <v>6.3</v>
      </c>
      <c r="H377" s="43" t="s">
        <v>239</v>
      </c>
      <c r="I377" s="40" t="s">
        <v>1281</v>
      </c>
    </row>
    <row r="378" spans="1:9" x14ac:dyDescent="0.25">
      <c r="A378" s="40" t="s">
        <v>458</v>
      </c>
      <c r="B378" s="28">
        <v>660</v>
      </c>
      <c r="C378" s="28" t="s">
        <v>35</v>
      </c>
      <c r="D378" s="28" t="s">
        <v>38</v>
      </c>
      <c r="E378" s="41">
        <v>46142</v>
      </c>
      <c r="F378" s="47">
        <v>0.5568981481481482</v>
      </c>
      <c r="G378" s="44">
        <v>6.3</v>
      </c>
      <c r="H378" s="43" t="s">
        <v>236</v>
      </c>
      <c r="I378" s="40" t="s">
        <v>1282</v>
      </c>
    </row>
    <row r="379" spans="1:9" x14ac:dyDescent="0.25">
      <c r="A379" s="40" t="s">
        <v>458</v>
      </c>
      <c r="B379" s="28">
        <v>660</v>
      </c>
      <c r="C379" s="28" t="s">
        <v>35</v>
      </c>
      <c r="D379" s="28" t="s">
        <v>38</v>
      </c>
      <c r="E379" s="41">
        <v>46142</v>
      </c>
      <c r="F379" s="47">
        <v>0.56331018518518516</v>
      </c>
      <c r="G379" s="44">
        <v>6.3</v>
      </c>
      <c r="H379" s="43" t="s">
        <v>234</v>
      </c>
      <c r="I379" s="40" t="s">
        <v>1281</v>
      </c>
    </row>
    <row r="380" spans="1:9" x14ac:dyDescent="0.25">
      <c r="A380" s="40" t="s">
        <v>458</v>
      </c>
      <c r="B380" s="28">
        <v>660</v>
      </c>
      <c r="C380" s="28" t="s">
        <v>459</v>
      </c>
      <c r="D380" s="28"/>
      <c r="E380" s="45">
        <v>46142</v>
      </c>
      <c r="F380" s="48">
        <v>0.62026620370370367</v>
      </c>
      <c r="G380" s="44">
        <v>6.3</v>
      </c>
      <c r="H380" s="43" t="s">
        <v>235</v>
      </c>
      <c r="I380" s="40" t="s">
        <v>1281</v>
      </c>
    </row>
    <row r="381" spans="1:9" x14ac:dyDescent="0.25">
      <c r="A381" s="40" t="s">
        <v>458</v>
      </c>
      <c r="B381" s="28">
        <v>660</v>
      </c>
      <c r="C381" s="28" t="s">
        <v>35</v>
      </c>
      <c r="D381" s="28" t="s">
        <v>38</v>
      </c>
      <c r="E381" s="41">
        <v>46144</v>
      </c>
      <c r="F381" s="47">
        <v>0.4505439814814815</v>
      </c>
      <c r="G381" s="44">
        <v>6.3</v>
      </c>
      <c r="H381" s="43" t="s">
        <v>237</v>
      </c>
      <c r="I381" s="40" t="s">
        <v>1282</v>
      </c>
    </row>
    <row r="382" spans="1:9" x14ac:dyDescent="0.25">
      <c r="A382" s="40" t="s">
        <v>458</v>
      </c>
      <c r="B382" s="28">
        <v>660</v>
      </c>
      <c r="C382" s="28" t="s">
        <v>35</v>
      </c>
      <c r="D382" s="28" t="s">
        <v>38</v>
      </c>
      <c r="E382" s="41">
        <v>46145</v>
      </c>
      <c r="F382" s="47">
        <v>1.2939814814814815E-2</v>
      </c>
      <c r="G382" s="44">
        <v>6.3</v>
      </c>
      <c r="H382" s="43" t="s">
        <v>236</v>
      </c>
      <c r="I382" s="40" t="s">
        <v>1282</v>
      </c>
    </row>
    <row r="383" spans="1:9" x14ac:dyDescent="0.25">
      <c r="A383" s="40" t="s">
        <v>57</v>
      </c>
      <c r="B383" s="28">
        <v>674</v>
      </c>
      <c r="C383" s="28" t="s">
        <v>35</v>
      </c>
      <c r="D383" s="28" t="s">
        <v>38</v>
      </c>
      <c r="E383" s="45">
        <v>46139</v>
      </c>
      <c r="F383" s="48">
        <v>0.42377314814814815</v>
      </c>
      <c r="G383" s="44">
        <v>6.3</v>
      </c>
      <c r="H383" s="43" t="s">
        <v>235</v>
      </c>
      <c r="I383" s="40" t="s">
        <v>1281</v>
      </c>
    </row>
    <row r="384" spans="1:9" x14ac:dyDescent="0.25">
      <c r="A384" s="40" t="s">
        <v>57</v>
      </c>
      <c r="B384" s="28">
        <v>674</v>
      </c>
      <c r="C384" s="28">
        <v>5638083</v>
      </c>
      <c r="D384" s="28"/>
      <c r="E384" s="45">
        <v>46139</v>
      </c>
      <c r="F384" s="48">
        <v>0.49697916666666669</v>
      </c>
      <c r="G384" s="44">
        <v>6.3</v>
      </c>
      <c r="H384" s="43" t="s">
        <v>234</v>
      </c>
      <c r="I384" s="40" t="s">
        <v>1281</v>
      </c>
    </row>
    <row r="385" spans="1:9" x14ac:dyDescent="0.25">
      <c r="A385" s="40" t="s">
        <v>57</v>
      </c>
      <c r="B385" s="28">
        <v>674</v>
      </c>
      <c r="C385" s="28" t="s">
        <v>35</v>
      </c>
      <c r="D385" s="28" t="s">
        <v>38</v>
      </c>
      <c r="E385" s="41">
        <v>46140</v>
      </c>
      <c r="F385" s="47">
        <v>0.27217592592592593</v>
      </c>
      <c r="G385" s="44">
        <v>6.3</v>
      </c>
      <c r="H385" s="43" t="s">
        <v>234</v>
      </c>
      <c r="I385" s="40" t="s">
        <v>1281</v>
      </c>
    </row>
    <row r="386" spans="1:9" x14ac:dyDescent="0.25">
      <c r="A386" s="40" t="s">
        <v>57</v>
      </c>
      <c r="B386" s="28">
        <v>674</v>
      </c>
      <c r="C386" s="28" t="s">
        <v>35</v>
      </c>
      <c r="D386" s="28" t="s">
        <v>38</v>
      </c>
      <c r="E386" s="41">
        <v>46140</v>
      </c>
      <c r="F386" s="47">
        <v>0.76693287037037039</v>
      </c>
      <c r="G386" s="42">
        <v>6.3</v>
      </c>
      <c r="H386" s="40" t="s">
        <v>235</v>
      </c>
      <c r="I386" s="40" t="s">
        <v>1281</v>
      </c>
    </row>
    <row r="387" spans="1:9" x14ac:dyDescent="0.25">
      <c r="A387" s="40" t="s">
        <v>57</v>
      </c>
      <c r="B387" s="28">
        <v>674</v>
      </c>
      <c r="C387" s="28">
        <v>5644555</v>
      </c>
      <c r="D387" s="28" t="s">
        <v>37</v>
      </c>
      <c r="E387" s="41">
        <v>46142</v>
      </c>
      <c r="F387" s="47">
        <v>0.66106481481481483</v>
      </c>
      <c r="G387" s="42">
        <v>6.3</v>
      </c>
      <c r="H387" s="40" t="s">
        <v>234</v>
      </c>
      <c r="I387" s="40" t="s">
        <v>1281</v>
      </c>
    </row>
    <row r="388" spans="1:9" x14ac:dyDescent="0.25">
      <c r="A388" s="40" t="s">
        <v>57</v>
      </c>
      <c r="B388" s="28">
        <v>674</v>
      </c>
      <c r="C388" s="28">
        <v>5645144</v>
      </c>
      <c r="D388" s="28"/>
      <c r="E388" s="41">
        <v>46142</v>
      </c>
      <c r="F388" s="47">
        <v>0.71680555555555558</v>
      </c>
      <c r="G388" s="42">
        <v>6.3</v>
      </c>
      <c r="H388" s="40" t="s">
        <v>235</v>
      </c>
      <c r="I388" s="40" t="s">
        <v>1281</v>
      </c>
    </row>
    <row r="389" spans="1:9" x14ac:dyDescent="0.25">
      <c r="A389" s="40" t="s">
        <v>57</v>
      </c>
      <c r="B389" s="28">
        <v>674</v>
      </c>
      <c r="C389" s="28">
        <v>5645329</v>
      </c>
      <c r="D389" s="28"/>
      <c r="E389" s="41">
        <v>46142</v>
      </c>
      <c r="F389" s="47">
        <v>0.81337962962962962</v>
      </c>
      <c r="G389" s="42">
        <v>6.3</v>
      </c>
      <c r="H389" s="40" t="s">
        <v>234</v>
      </c>
      <c r="I389" s="40" t="s">
        <v>1281</v>
      </c>
    </row>
    <row r="390" spans="1:9" x14ac:dyDescent="0.25">
      <c r="A390" s="40" t="s">
        <v>161</v>
      </c>
      <c r="B390" s="28">
        <v>677</v>
      </c>
      <c r="C390" s="28">
        <v>5639365</v>
      </c>
      <c r="D390" s="28"/>
      <c r="E390" s="41">
        <v>46140</v>
      </c>
      <c r="F390" s="47">
        <v>0.108125</v>
      </c>
      <c r="G390" s="44">
        <v>6.3</v>
      </c>
      <c r="H390" s="43" t="s">
        <v>234</v>
      </c>
      <c r="I390" s="40" t="s">
        <v>1281</v>
      </c>
    </row>
    <row r="391" spans="1:9" x14ac:dyDescent="0.25">
      <c r="A391" s="40" t="s">
        <v>161</v>
      </c>
      <c r="B391" s="28">
        <v>677</v>
      </c>
      <c r="C391" s="28" t="s">
        <v>460</v>
      </c>
      <c r="D391" s="28"/>
      <c r="E391" s="41">
        <v>46141</v>
      </c>
      <c r="F391" s="47">
        <v>0.10423611111111111</v>
      </c>
      <c r="G391" s="44">
        <v>6.3</v>
      </c>
      <c r="H391" s="43" t="s">
        <v>235</v>
      </c>
      <c r="I391" s="40" t="s">
        <v>1281</v>
      </c>
    </row>
    <row r="392" spans="1:9" x14ac:dyDescent="0.25">
      <c r="A392" s="40" t="s">
        <v>161</v>
      </c>
      <c r="B392" s="28">
        <v>677</v>
      </c>
      <c r="C392" s="28">
        <v>5640783</v>
      </c>
      <c r="D392" s="28"/>
      <c r="E392" s="41">
        <v>46141</v>
      </c>
      <c r="F392" s="47">
        <v>0.16159722222222223</v>
      </c>
      <c r="G392" s="44">
        <v>6.3</v>
      </c>
      <c r="H392" s="43" t="s">
        <v>237</v>
      </c>
      <c r="I392" s="40" t="s">
        <v>1281</v>
      </c>
    </row>
    <row r="393" spans="1:9" x14ac:dyDescent="0.25">
      <c r="A393" s="40" t="s">
        <v>161</v>
      </c>
      <c r="B393" s="28">
        <v>677</v>
      </c>
      <c r="C393" s="28">
        <v>5640783</v>
      </c>
      <c r="D393" s="28"/>
      <c r="E393" s="41">
        <v>46141</v>
      </c>
      <c r="F393" s="47">
        <v>0.166875</v>
      </c>
      <c r="G393" s="44">
        <v>6.3</v>
      </c>
      <c r="H393" s="43" t="s">
        <v>234</v>
      </c>
      <c r="I393" s="40" t="s">
        <v>1281</v>
      </c>
    </row>
    <row r="394" spans="1:9" x14ac:dyDescent="0.25">
      <c r="A394" s="40" t="s">
        <v>161</v>
      </c>
      <c r="B394" s="28">
        <v>677</v>
      </c>
      <c r="C394" s="28">
        <v>5645896</v>
      </c>
      <c r="D394" s="28"/>
      <c r="E394" s="41">
        <v>46143</v>
      </c>
      <c r="F394" s="47">
        <v>3.2349537037037038E-2</v>
      </c>
      <c r="G394" s="44">
        <v>6.3</v>
      </c>
      <c r="H394" s="43" t="s">
        <v>235</v>
      </c>
      <c r="I394" s="40" t="s">
        <v>1282</v>
      </c>
    </row>
    <row r="395" spans="1:9" x14ac:dyDescent="0.25">
      <c r="A395" s="40" t="s">
        <v>161</v>
      </c>
      <c r="B395" s="28">
        <v>677</v>
      </c>
      <c r="C395" s="28">
        <v>5645896</v>
      </c>
      <c r="D395" s="28"/>
      <c r="E395" s="41">
        <v>46143</v>
      </c>
      <c r="F395" s="47">
        <v>3.9490740740740743E-2</v>
      </c>
      <c r="G395" s="44">
        <v>6.3</v>
      </c>
      <c r="H395" s="43" t="s">
        <v>236</v>
      </c>
      <c r="I395" s="40" t="s">
        <v>1282</v>
      </c>
    </row>
    <row r="396" spans="1:9" x14ac:dyDescent="0.25">
      <c r="A396" s="40" t="s">
        <v>161</v>
      </c>
      <c r="B396" s="28">
        <v>677</v>
      </c>
      <c r="C396" s="28">
        <v>5644280</v>
      </c>
      <c r="D396" s="28"/>
      <c r="E396" s="41">
        <v>46143</v>
      </c>
      <c r="F396" s="47">
        <v>0.25482638888888887</v>
      </c>
      <c r="G396" s="44">
        <v>6.3</v>
      </c>
      <c r="H396" s="43" t="s">
        <v>237</v>
      </c>
      <c r="I396" s="40" t="s">
        <v>1282</v>
      </c>
    </row>
    <row r="397" spans="1:9" x14ac:dyDescent="0.25">
      <c r="A397" s="40" t="s">
        <v>161</v>
      </c>
      <c r="B397" s="28">
        <v>677</v>
      </c>
      <c r="C397" s="28">
        <v>5644280</v>
      </c>
      <c r="D397" s="28"/>
      <c r="E397" s="41">
        <v>46143</v>
      </c>
      <c r="F397" s="47">
        <v>0.25973379629629628</v>
      </c>
      <c r="G397" s="44">
        <v>6.3</v>
      </c>
      <c r="H397" s="43" t="s">
        <v>234</v>
      </c>
      <c r="I397" s="40" t="s">
        <v>1282</v>
      </c>
    </row>
    <row r="398" spans="1:9" x14ac:dyDescent="0.25">
      <c r="A398" s="40" t="s">
        <v>161</v>
      </c>
      <c r="B398" s="28">
        <v>677</v>
      </c>
      <c r="C398" s="28">
        <v>5647081</v>
      </c>
      <c r="D398" s="28"/>
      <c r="E398" s="41">
        <v>46144</v>
      </c>
      <c r="F398" s="47">
        <v>0.24231481481481482</v>
      </c>
      <c r="G398" s="44">
        <v>6.3</v>
      </c>
      <c r="H398" s="43" t="s">
        <v>237</v>
      </c>
      <c r="I398" s="40" t="s">
        <v>1282</v>
      </c>
    </row>
    <row r="399" spans="1:9" x14ac:dyDescent="0.25">
      <c r="A399" s="40" t="s">
        <v>161</v>
      </c>
      <c r="B399" s="28">
        <v>677</v>
      </c>
      <c r="C399" s="28">
        <v>5647081</v>
      </c>
      <c r="D399" s="28"/>
      <c r="E399" s="41">
        <v>46144</v>
      </c>
      <c r="F399" s="47">
        <v>0.24732638888888889</v>
      </c>
      <c r="G399" s="44">
        <v>6.3</v>
      </c>
      <c r="H399" s="43" t="s">
        <v>234</v>
      </c>
      <c r="I399" s="40" t="s">
        <v>1282</v>
      </c>
    </row>
    <row r="400" spans="1:9" x14ac:dyDescent="0.25">
      <c r="A400" s="40" t="s">
        <v>161</v>
      </c>
      <c r="B400" s="28">
        <v>677</v>
      </c>
      <c r="C400" s="28">
        <v>5648146</v>
      </c>
      <c r="D400" s="28"/>
      <c r="E400" s="41">
        <v>46145</v>
      </c>
      <c r="F400" s="47">
        <v>0.3087037037037037</v>
      </c>
      <c r="G400" s="44">
        <v>6.3</v>
      </c>
      <c r="H400" s="43" t="s">
        <v>233</v>
      </c>
      <c r="I400" s="40" t="s">
        <v>1282</v>
      </c>
    </row>
    <row r="401" spans="1:9" x14ac:dyDescent="0.25">
      <c r="A401" s="40" t="s">
        <v>161</v>
      </c>
      <c r="B401" s="28">
        <v>677</v>
      </c>
      <c r="C401" s="28">
        <v>5648146</v>
      </c>
      <c r="D401" s="28"/>
      <c r="E401" s="41">
        <v>46145</v>
      </c>
      <c r="F401" s="47">
        <v>0.31369212962962961</v>
      </c>
      <c r="G401" s="44">
        <v>6.3</v>
      </c>
      <c r="H401" s="43" t="s">
        <v>234</v>
      </c>
      <c r="I401" s="40" t="s">
        <v>1282</v>
      </c>
    </row>
    <row r="402" spans="1:9" x14ac:dyDescent="0.25">
      <c r="A402" s="40" t="s">
        <v>161</v>
      </c>
      <c r="B402" s="28">
        <v>677</v>
      </c>
      <c r="C402" s="28" t="s">
        <v>461</v>
      </c>
      <c r="D402" s="28"/>
      <c r="E402" s="41">
        <v>46145</v>
      </c>
      <c r="F402" s="47">
        <v>0.8044675925925926</v>
      </c>
      <c r="G402" s="44">
        <v>6.3</v>
      </c>
      <c r="H402" s="43" t="s">
        <v>235</v>
      </c>
      <c r="I402" s="40" t="s">
        <v>1282</v>
      </c>
    </row>
    <row r="403" spans="1:9" x14ac:dyDescent="0.25">
      <c r="A403" s="40" t="s">
        <v>161</v>
      </c>
      <c r="B403" s="28">
        <v>677</v>
      </c>
      <c r="C403" s="28" t="s">
        <v>461</v>
      </c>
      <c r="D403" s="28"/>
      <c r="E403" s="41">
        <v>46145</v>
      </c>
      <c r="F403" s="47">
        <v>0.81202546296296296</v>
      </c>
      <c r="G403" s="44">
        <v>6.3</v>
      </c>
      <c r="H403" s="43" t="s">
        <v>236</v>
      </c>
      <c r="I403" s="40" t="s">
        <v>1282</v>
      </c>
    </row>
    <row r="404" spans="1:9" x14ac:dyDescent="0.25">
      <c r="A404" s="40" t="s">
        <v>356</v>
      </c>
      <c r="B404" s="28">
        <v>679</v>
      </c>
      <c r="C404" s="28" t="s">
        <v>462</v>
      </c>
      <c r="D404" s="28"/>
      <c r="E404" s="41">
        <v>46140</v>
      </c>
      <c r="F404" s="47">
        <v>0.53868055555555561</v>
      </c>
      <c r="G404" s="44">
        <v>6.3</v>
      </c>
      <c r="H404" s="43" t="s">
        <v>235</v>
      </c>
      <c r="I404" s="40" t="s">
        <v>1281</v>
      </c>
    </row>
    <row r="405" spans="1:9" x14ac:dyDescent="0.25">
      <c r="A405" s="40" t="s">
        <v>356</v>
      </c>
      <c r="B405" s="28">
        <v>679</v>
      </c>
      <c r="C405" s="28" t="s">
        <v>35</v>
      </c>
      <c r="D405" s="28" t="s">
        <v>38</v>
      </c>
      <c r="E405" s="41">
        <v>46140</v>
      </c>
      <c r="F405" s="47">
        <v>0.56290509259259258</v>
      </c>
      <c r="G405" s="44">
        <v>6.3</v>
      </c>
      <c r="H405" s="43" t="s">
        <v>234</v>
      </c>
      <c r="I405" s="40" t="s">
        <v>1281</v>
      </c>
    </row>
    <row r="406" spans="1:9" x14ac:dyDescent="0.25">
      <c r="A406" s="40" t="s">
        <v>356</v>
      </c>
      <c r="B406" s="28">
        <v>679</v>
      </c>
      <c r="C406" s="28">
        <v>5643340</v>
      </c>
      <c r="D406" s="28"/>
      <c r="E406" s="41">
        <v>46141</v>
      </c>
      <c r="F406" s="47">
        <v>0.80134259259259255</v>
      </c>
      <c r="G406" s="44">
        <v>6.3</v>
      </c>
      <c r="H406" s="43" t="s">
        <v>235</v>
      </c>
      <c r="I406" s="40" t="s">
        <v>1281</v>
      </c>
    </row>
    <row r="407" spans="1:9" x14ac:dyDescent="0.25">
      <c r="A407" s="40" t="s">
        <v>356</v>
      </c>
      <c r="B407" s="28">
        <v>679</v>
      </c>
      <c r="C407" s="28">
        <v>5643340</v>
      </c>
      <c r="D407" s="28"/>
      <c r="E407" s="41">
        <v>46141</v>
      </c>
      <c r="F407" s="47">
        <v>0.8230439814814815</v>
      </c>
      <c r="G407" s="44">
        <v>6.3</v>
      </c>
      <c r="H407" s="43" t="s">
        <v>236</v>
      </c>
      <c r="I407" s="40" t="s">
        <v>1281</v>
      </c>
    </row>
    <row r="408" spans="1:9" x14ac:dyDescent="0.25">
      <c r="A408" s="40" t="s">
        <v>356</v>
      </c>
      <c r="B408" s="28">
        <v>679</v>
      </c>
      <c r="C408" s="28">
        <v>5646462</v>
      </c>
      <c r="D408" s="28"/>
      <c r="E408" s="41">
        <v>46143</v>
      </c>
      <c r="F408" s="47">
        <v>0.62351851851851847</v>
      </c>
      <c r="G408" s="44">
        <v>6.3</v>
      </c>
      <c r="H408" s="43" t="s">
        <v>235</v>
      </c>
      <c r="I408" s="40" t="s">
        <v>1282</v>
      </c>
    </row>
    <row r="409" spans="1:9" x14ac:dyDescent="0.25">
      <c r="A409" s="40" t="s">
        <v>356</v>
      </c>
      <c r="B409" s="28">
        <v>679</v>
      </c>
      <c r="C409" s="28">
        <v>5646462</v>
      </c>
      <c r="D409" s="28"/>
      <c r="E409" s="41">
        <v>46143</v>
      </c>
      <c r="F409" s="47">
        <v>0.63096064814814812</v>
      </c>
      <c r="G409" s="44">
        <v>6.3</v>
      </c>
      <c r="H409" s="43" t="s">
        <v>239</v>
      </c>
      <c r="I409" s="40" t="s">
        <v>1282</v>
      </c>
    </row>
    <row r="410" spans="1:9" x14ac:dyDescent="0.25">
      <c r="A410" s="40" t="s">
        <v>356</v>
      </c>
      <c r="B410" s="28">
        <v>679</v>
      </c>
      <c r="C410" s="28">
        <v>5640367</v>
      </c>
      <c r="D410" s="28" t="s">
        <v>37</v>
      </c>
      <c r="E410" s="41">
        <v>46145</v>
      </c>
      <c r="F410" s="47">
        <v>0.6131712962962963</v>
      </c>
      <c r="G410" s="42">
        <v>6.3</v>
      </c>
      <c r="H410" s="40" t="s">
        <v>235</v>
      </c>
      <c r="I410" s="40" t="s">
        <v>1282</v>
      </c>
    </row>
    <row r="411" spans="1:9" x14ac:dyDescent="0.25">
      <c r="A411" s="40" t="s">
        <v>356</v>
      </c>
      <c r="B411" s="28">
        <v>679</v>
      </c>
      <c r="C411" s="28">
        <v>5640367</v>
      </c>
      <c r="D411" s="28" t="s">
        <v>37</v>
      </c>
      <c r="E411" s="41">
        <v>46145</v>
      </c>
      <c r="F411" s="47">
        <v>0.62092592592592588</v>
      </c>
      <c r="G411" s="42">
        <v>6.3</v>
      </c>
      <c r="H411" s="40" t="s">
        <v>236</v>
      </c>
      <c r="I411" s="40" t="s">
        <v>1282</v>
      </c>
    </row>
    <row r="412" spans="1:9" x14ac:dyDescent="0.25">
      <c r="A412" s="40" t="s">
        <v>117</v>
      </c>
      <c r="B412" s="28">
        <v>680</v>
      </c>
      <c r="C412" s="28" t="s">
        <v>35</v>
      </c>
      <c r="D412" s="28" t="s">
        <v>38</v>
      </c>
      <c r="E412" s="45">
        <v>46142</v>
      </c>
      <c r="F412" s="48">
        <v>0.63437500000000002</v>
      </c>
      <c r="G412" s="44">
        <v>6.3</v>
      </c>
      <c r="H412" s="43" t="s">
        <v>235</v>
      </c>
      <c r="I412" s="40" t="s">
        <v>1281</v>
      </c>
    </row>
    <row r="413" spans="1:9" x14ac:dyDescent="0.25">
      <c r="A413" s="40" t="s">
        <v>325</v>
      </c>
      <c r="B413" s="28">
        <v>684</v>
      </c>
      <c r="C413" s="28" t="s">
        <v>35</v>
      </c>
      <c r="D413" s="28" t="s">
        <v>38</v>
      </c>
      <c r="E413" s="41">
        <v>46139</v>
      </c>
      <c r="F413" s="47">
        <v>0.48819444444444443</v>
      </c>
      <c r="G413" s="44">
        <v>6.3</v>
      </c>
      <c r="H413" s="43" t="s">
        <v>237</v>
      </c>
      <c r="I413" s="40" t="s">
        <v>1281</v>
      </c>
    </row>
    <row r="414" spans="1:9" x14ac:dyDescent="0.25">
      <c r="A414" s="40" t="s">
        <v>325</v>
      </c>
      <c r="B414" s="28">
        <v>684</v>
      </c>
      <c r="C414" s="28" t="s">
        <v>35</v>
      </c>
      <c r="D414" s="28" t="s">
        <v>38</v>
      </c>
      <c r="E414" s="45">
        <v>46139</v>
      </c>
      <c r="F414" s="48">
        <v>0.51629629629629625</v>
      </c>
      <c r="G414" s="44">
        <v>6.3</v>
      </c>
      <c r="H414" s="43" t="s">
        <v>235</v>
      </c>
      <c r="I414" s="40" t="s">
        <v>1281</v>
      </c>
    </row>
    <row r="415" spans="1:9" x14ac:dyDescent="0.25">
      <c r="A415" s="40" t="s">
        <v>325</v>
      </c>
      <c r="B415" s="28">
        <v>684</v>
      </c>
      <c r="C415" s="28" t="s">
        <v>35</v>
      </c>
      <c r="D415" s="28" t="s">
        <v>38</v>
      </c>
      <c r="E415" s="41">
        <v>46139</v>
      </c>
      <c r="F415" s="47">
        <v>0.5269907407407407</v>
      </c>
      <c r="G415" s="44">
        <v>6.3</v>
      </c>
      <c r="H415" s="43" t="s">
        <v>239</v>
      </c>
      <c r="I415" s="40" t="s">
        <v>1281</v>
      </c>
    </row>
    <row r="416" spans="1:9" x14ac:dyDescent="0.25">
      <c r="A416" s="40" t="s">
        <v>325</v>
      </c>
      <c r="B416" s="28">
        <v>684</v>
      </c>
      <c r="C416" s="28" t="s">
        <v>35</v>
      </c>
      <c r="D416" s="28" t="s">
        <v>38</v>
      </c>
      <c r="E416" s="41">
        <v>46141</v>
      </c>
      <c r="F416" s="47">
        <v>0.49765046296296295</v>
      </c>
      <c r="G416" s="44">
        <v>6.3</v>
      </c>
      <c r="H416" s="43" t="s">
        <v>236</v>
      </c>
      <c r="I416" s="40" t="s">
        <v>1281</v>
      </c>
    </row>
    <row r="417" spans="1:9" x14ac:dyDescent="0.25">
      <c r="A417" s="40" t="s">
        <v>325</v>
      </c>
      <c r="B417" s="28">
        <v>684</v>
      </c>
      <c r="C417" s="28">
        <v>5645459</v>
      </c>
      <c r="D417" s="28" t="s">
        <v>37</v>
      </c>
      <c r="E417" s="41">
        <v>46143</v>
      </c>
      <c r="F417" s="47">
        <v>0.30929398148148146</v>
      </c>
      <c r="G417" s="44">
        <v>6.3</v>
      </c>
      <c r="H417" s="43" t="s">
        <v>234</v>
      </c>
      <c r="I417" s="40" t="s">
        <v>1282</v>
      </c>
    </row>
    <row r="418" spans="1:9" x14ac:dyDescent="0.25">
      <c r="A418" s="40" t="s">
        <v>325</v>
      </c>
      <c r="B418" s="28">
        <v>684</v>
      </c>
      <c r="C418" s="28">
        <v>5646096</v>
      </c>
      <c r="D418" s="28"/>
      <c r="E418" s="41">
        <v>46143</v>
      </c>
      <c r="F418" s="47">
        <v>0.36047453703703702</v>
      </c>
      <c r="G418" s="44">
        <v>6.3</v>
      </c>
      <c r="H418" s="43" t="s">
        <v>235</v>
      </c>
      <c r="I418" s="40" t="s">
        <v>1282</v>
      </c>
    </row>
    <row r="419" spans="1:9" x14ac:dyDescent="0.25">
      <c r="A419" s="40" t="s">
        <v>325</v>
      </c>
      <c r="B419" s="28">
        <v>684</v>
      </c>
      <c r="C419" s="28">
        <v>5646096</v>
      </c>
      <c r="D419" s="28"/>
      <c r="E419" s="41">
        <v>46143</v>
      </c>
      <c r="F419" s="47">
        <v>0.36905092592592592</v>
      </c>
      <c r="G419" s="44">
        <v>6.3</v>
      </c>
      <c r="H419" s="43" t="s">
        <v>240</v>
      </c>
      <c r="I419" s="40" t="s">
        <v>1282</v>
      </c>
    </row>
    <row r="420" spans="1:9" x14ac:dyDescent="0.25">
      <c r="A420" s="40" t="s">
        <v>325</v>
      </c>
      <c r="B420" s="28">
        <v>684</v>
      </c>
      <c r="C420" s="28" t="s">
        <v>35</v>
      </c>
      <c r="D420" s="28" t="s">
        <v>38</v>
      </c>
      <c r="E420" s="41">
        <v>46143</v>
      </c>
      <c r="F420" s="47">
        <v>0.52909722222222222</v>
      </c>
      <c r="G420" s="44">
        <v>6.3</v>
      </c>
      <c r="H420" s="43" t="s">
        <v>237</v>
      </c>
      <c r="I420" s="40" t="s">
        <v>1282</v>
      </c>
    </row>
    <row r="421" spans="1:9" x14ac:dyDescent="0.25">
      <c r="A421" s="40" t="s">
        <v>223</v>
      </c>
      <c r="B421" s="28">
        <v>688</v>
      </c>
      <c r="C421" s="28">
        <v>5640484</v>
      </c>
      <c r="D421" s="28"/>
      <c r="E421" s="45">
        <v>46140</v>
      </c>
      <c r="F421" s="48">
        <v>0.64841435185185181</v>
      </c>
      <c r="G421" s="44">
        <v>6.3</v>
      </c>
      <c r="H421" s="43" t="s">
        <v>237</v>
      </c>
      <c r="I421" s="40" t="s">
        <v>1281</v>
      </c>
    </row>
    <row r="422" spans="1:9" x14ac:dyDescent="0.25">
      <c r="A422" s="40" t="s">
        <v>223</v>
      </c>
      <c r="B422" s="28">
        <v>688</v>
      </c>
      <c r="C422" s="28">
        <v>5643248</v>
      </c>
      <c r="D422" s="28"/>
      <c r="E422" s="41">
        <v>46141</v>
      </c>
      <c r="F422" s="47">
        <v>0.85174768518518518</v>
      </c>
      <c r="G422" s="44">
        <v>6.3</v>
      </c>
      <c r="H422" s="43" t="s">
        <v>233</v>
      </c>
      <c r="I422" s="40" t="s">
        <v>1281</v>
      </c>
    </row>
    <row r="423" spans="1:9" x14ac:dyDescent="0.25">
      <c r="A423" s="40" t="s">
        <v>223</v>
      </c>
      <c r="B423" s="28">
        <v>688</v>
      </c>
      <c r="C423" s="28">
        <v>5644389</v>
      </c>
      <c r="D423" s="28"/>
      <c r="E423" s="41">
        <v>46142</v>
      </c>
      <c r="F423" s="47">
        <v>0.57795138888888886</v>
      </c>
      <c r="G423" s="44">
        <v>6.3</v>
      </c>
      <c r="H423" s="43" t="s">
        <v>237</v>
      </c>
      <c r="I423" s="40" t="s">
        <v>1281</v>
      </c>
    </row>
    <row r="424" spans="1:9" x14ac:dyDescent="0.25">
      <c r="A424" s="40" t="s">
        <v>223</v>
      </c>
      <c r="B424" s="28">
        <v>688</v>
      </c>
      <c r="C424" s="28">
        <v>5644557</v>
      </c>
      <c r="D424" s="28"/>
      <c r="E424" s="41">
        <v>46142</v>
      </c>
      <c r="F424" s="47">
        <v>0.75280092592592596</v>
      </c>
      <c r="G424" s="44">
        <v>6.3</v>
      </c>
      <c r="H424" s="43" t="s">
        <v>239</v>
      </c>
      <c r="I424" s="40" t="s">
        <v>1281</v>
      </c>
    </row>
    <row r="425" spans="1:9" x14ac:dyDescent="0.25">
      <c r="A425" s="40" t="s">
        <v>58</v>
      </c>
      <c r="B425" s="28">
        <v>707</v>
      </c>
      <c r="C425" s="28" t="s">
        <v>35</v>
      </c>
      <c r="D425" s="28" t="s">
        <v>38</v>
      </c>
      <c r="E425" s="41">
        <v>46141</v>
      </c>
      <c r="F425" s="47">
        <v>0.61443287037037042</v>
      </c>
      <c r="G425" s="44">
        <v>6.3</v>
      </c>
      <c r="H425" s="43" t="s">
        <v>235</v>
      </c>
      <c r="I425" s="40" t="s">
        <v>1281</v>
      </c>
    </row>
    <row r="426" spans="1:9" x14ac:dyDescent="0.25">
      <c r="A426" s="40" t="s">
        <v>58</v>
      </c>
      <c r="B426" s="28">
        <v>707</v>
      </c>
      <c r="C426" s="28" t="s">
        <v>35</v>
      </c>
      <c r="D426" s="28" t="s">
        <v>38</v>
      </c>
      <c r="E426" s="41">
        <v>46141</v>
      </c>
      <c r="F426" s="47">
        <v>0.62616898148148148</v>
      </c>
      <c r="G426" s="44">
        <v>6.3</v>
      </c>
      <c r="H426" s="43" t="s">
        <v>236</v>
      </c>
      <c r="I426" s="40" t="s">
        <v>1281</v>
      </c>
    </row>
    <row r="427" spans="1:9" x14ac:dyDescent="0.25">
      <c r="A427" s="40" t="s">
        <v>58</v>
      </c>
      <c r="B427" s="28">
        <v>707</v>
      </c>
      <c r="C427" s="28" t="s">
        <v>35</v>
      </c>
      <c r="D427" s="28" t="s">
        <v>38</v>
      </c>
      <c r="E427" s="41">
        <v>46141</v>
      </c>
      <c r="F427" s="47">
        <v>0.66652777777777783</v>
      </c>
      <c r="G427" s="44">
        <v>6.3</v>
      </c>
      <c r="H427" s="43" t="s">
        <v>233</v>
      </c>
      <c r="I427" s="40" t="s">
        <v>1281</v>
      </c>
    </row>
    <row r="428" spans="1:9" x14ac:dyDescent="0.25">
      <c r="A428" s="40" t="s">
        <v>58</v>
      </c>
      <c r="B428" s="28">
        <v>707</v>
      </c>
      <c r="C428" s="28" t="s">
        <v>35</v>
      </c>
      <c r="D428" s="28" t="s">
        <v>38</v>
      </c>
      <c r="E428" s="41">
        <v>46144</v>
      </c>
      <c r="F428" s="47">
        <v>0.76459490740740743</v>
      </c>
      <c r="G428" s="44">
        <v>6.3</v>
      </c>
      <c r="H428" s="43" t="s">
        <v>239</v>
      </c>
      <c r="I428" s="40" t="s">
        <v>1282</v>
      </c>
    </row>
    <row r="429" spans="1:9" x14ac:dyDescent="0.25">
      <c r="A429" s="40" t="s">
        <v>265</v>
      </c>
      <c r="B429" s="28">
        <v>709</v>
      </c>
      <c r="C429" s="28">
        <v>5638570</v>
      </c>
      <c r="D429" s="28"/>
      <c r="E429" s="41">
        <v>46140</v>
      </c>
      <c r="F429" s="47">
        <v>0.20899305555555556</v>
      </c>
      <c r="G429" s="44">
        <v>6.3</v>
      </c>
      <c r="H429" s="43" t="s">
        <v>237</v>
      </c>
      <c r="I429" s="40" t="s">
        <v>1281</v>
      </c>
    </row>
    <row r="430" spans="1:9" x14ac:dyDescent="0.25">
      <c r="A430" s="40" t="s">
        <v>265</v>
      </c>
      <c r="B430" s="28">
        <v>709</v>
      </c>
      <c r="C430" s="28">
        <v>5638570</v>
      </c>
      <c r="D430" s="28"/>
      <c r="E430" s="45">
        <v>46140</v>
      </c>
      <c r="F430" s="48">
        <v>0.21401620370370369</v>
      </c>
      <c r="G430" s="44">
        <v>6.3</v>
      </c>
      <c r="H430" s="43" t="s">
        <v>234</v>
      </c>
      <c r="I430" s="40" t="s">
        <v>1281</v>
      </c>
    </row>
    <row r="431" spans="1:9" x14ac:dyDescent="0.25">
      <c r="A431" s="40" t="s">
        <v>265</v>
      </c>
      <c r="B431" s="28">
        <v>709</v>
      </c>
      <c r="C431" s="28">
        <v>5640181</v>
      </c>
      <c r="D431" s="28"/>
      <c r="E431" s="41">
        <v>46140</v>
      </c>
      <c r="F431" s="47">
        <v>0.39211805555555557</v>
      </c>
      <c r="G431" s="42">
        <v>6.3</v>
      </c>
      <c r="H431" s="40" t="s">
        <v>235</v>
      </c>
      <c r="I431" s="40" t="s">
        <v>1281</v>
      </c>
    </row>
    <row r="432" spans="1:9" x14ac:dyDescent="0.25">
      <c r="A432" s="40" t="s">
        <v>265</v>
      </c>
      <c r="B432" s="28">
        <v>709</v>
      </c>
      <c r="C432" s="28">
        <v>5638402</v>
      </c>
      <c r="D432" s="28"/>
      <c r="E432" s="41">
        <v>46140</v>
      </c>
      <c r="F432" s="47">
        <v>0.47196759259259258</v>
      </c>
      <c r="G432" s="42">
        <v>6.3</v>
      </c>
      <c r="H432" s="40" t="s">
        <v>237</v>
      </c>
      <c r="I432" s="40" t="s">
        <v>1281</v>
      </c>
    </row>
    <row r="433" spans="1:9" x14ac:dyDescent="0.25">
      <c r="A433" s="40" t="s">
        <v>265</v>
      </c>
      <c r="B433" s="28">
        <v>709</v>
      </c>
      <c r="C433" s="28">
        <v>5638402</v>
      </c>
      <c r="D433" s="28"/>
      <c r="E433" s="41">
        <v>46140</v>
      </c>
      <c r="F433" s="47">
        <v>0.48377314814814815</v>
      </c>
      <c r="G433" s="42">
        <v>6.3</v>
      </c>
      <c r="H433" s="40" t="s">
        <v>234</v>
      </c>
      <c r="I433" s="40" t="s">
        <v>1281</v>
      </c>
    </row>
    <row r="434" spans="1:9" x14ac:dyDescent="0.25">
      <c r="A434" s="40" t="s">
        <v>265</v>
      </c>
      <c r="B434" s="28">
        <v>709</v>
      </c>
      <c r="C434" s="28">
        <v>5640943</v>
      </c>
      <c r="D434" s="28"/>
      <c r="E434" s="41">
        <v>46141</v>
      </c>
      <c r="F434" s="47">
        <v>0.27130787037037035</v>
      </c>
      <c r="G434" s="42">
        <v>6.3</v>
      </c>
      <c r="H434" s="40" t="s">
        <v>237</v>
      </c>
      <c r="I434" s="40" t="s">
        <v>1281</v>
      </c>
    </row>
    <row r="435" spans="1:9" x14ac:dyDescent="0.25">
      <c r="A435" s="40" t="s">
        <v>265</v>
      </c>
      <c r="B435" s="28">
        <v>709</v>
      </c>
      <c r="C435" s="28">
        <v>5640943</v>
      </c>
      <c r="D435" s="28"/>
      <c r="E435" s="41">
        <v>46141</v>
      </c>
      <c r="F435" s="47">
        <v>0.27728009259259262</v>
      </c>
      <c r="G435" s="42">
        <v>6.3</v>
      </c>
      <c r="H435" s="40" t="s">
        <v>234</v>
      </c>
      <c r="I435" s="40" t="s">
        <v>1281</v>
      </c>
    </row>
    <row r="436" spans="1:9" x14ac:dyDescent="0.25">
      <c r="A436" s="40" t="s">
        <v>265</v>
      </c>
      <c r="B436" s="28">
        <v>709</v>
      </c>
      <c r="C436" s="28">
        <v>5638440</v>
      </c>
      <c r="D436" s="28"/>
      <c r="E436" s="41">
        <v>46141</v>
      </c>
      <c r="F436" s="47">
        <v>0.36535879629629631</v>
      </c>
      <c r="G436" s="42">
        <v>6.3</v>
      </c>
      <c r="H436" s="40" t="s">
        <v>235</v>
      </c>
      <c r="I436" s="40" t="s">
        <v>1281</v>
      </c>
    </row>
    <row r="437" spans="1:9" x14ac:dyDescent="0.25">
      <c r="A437" s="40" t="s">
        <v>265</v>
      </c>
      <c r="B437" s="28">
        <v>709</v>
      </c>
      <c r="C437" s="28">
        <v>5638440</v>
      </c>
      <c r="D437" s="28"/>
      <c r="E437" s="41">
        <v>46141</v>
      </c>
      <c r="F437" s="47">
        <v>0.38070601851851854</v>
      </c>
      <c r="G437" s="42">
        <v>6.3</v>
      </c>
      <c r="H437" s="40" t="s">
        <v>236</v>
      </c>
      <c r="I437" s="40" t="s">
        <v>1281</v>
      </c>
    </row>
    <row r="438" spans="1:9" x14ac:dyDescent="0.25">
      <c r="A438" s="40" t="s">
        <v>265</v>
      </c>
      <c r="B438" s="28">
        <v>709</v>
      </c>
      <c r="C438" s="28">
        <v>5640807</v>
      </c>
      <c r="D438" s="28"/>
      <c r="E438" s="41">
        <v>46141</v>
      </c>
      <c r="F438" s="47">
        <v>0.47403935185185186</v>
      </c>
      <c r="G438" s="44">
        <v>6.3</v>
      </c>
      <c r="H438" s="43" t="s">
        <v>233</v>
      </c>
      <c r="I438" s="40" t="s">
        <v>1281</v>
      </c>
    </row>
    <row r="439" spans="1:9" x14ac:dyDescent="0.25">
      <c r="A439" s="40" t="s">
        <v>265</v>
      </c>
      <c r="B439" s="28">
        <v>709</v>
      </c>
      <c r="C439" s="28">
        <v>5640807</v>
      </c>
      <c r="D439" s="28"/>
      <c r="E439" s="41">
        <v>46141</v>
      </c>
      <c r="F439" s="47">
        <v>0.48409722222222223</v>
      </c>
      <c r="G439" s="44">
        <v>6.3</v>
      </c>
      <c r="H439" s="43" t="s">
        <v>234</v>
      </c>
      <c r="I439" s="40" t="s">
        <v>1281</v>
      </c>
    </row>
    <row r="440" spans="1:9" x14ac:dyDescent="0.25">
      <c r="A440" s="40" t="s">
        <v>265</v>
      </c>
      <c r="B440" s="28">
        <v>709</v>
      </c>
      <c r="C440" s="28">
        <v>5638432</v>
      </c>
      <c r="D440" s="28"/>
      <c r="E440" s="41">
        <v>46142</v>
      </c>
      <c r="F440" s="47">
        <v>0.39940972222222221</v>
      </c>
      <c r="G440" s="44">
        <v>6.3</v>
      </c>
      <c r="H440" s="43" t="s">
        <v>235</v>
      </c>
      <c r="I440" s="40" t="s">
        <v>1281</v>
      </c>
    </row>
    <row r="441" spans="1:9" x14ac:dyDescent="0.25">
      <c r="A441" s="40" t="s">
        <v>265</v>
      </c>
      <c r="B441" s="28">
        <v>709</v>
      </c>
      <c r="C441" s="28">
        <v>5638432</v>
      </c>
      <c r="D441" s="28"/>
      <c r="E441" s="41">
        <v>46142</v>
      </c>
      <c r="F441" s="47">
        <v>0.41381944444444446</v>
      </c>
      <c r="G441" s="44">
        <v>6.3</v>
      </c>
      <c r="H441" s="43" t="s">
        <v>236</v>
      </c>
      <c r="I441" s="40" t="s">
        <v>1281</v>
      </c>
    </row>
    <row r="442" spans="1:9" x14ac:dyDescent="0.25">
      <c r="A442" s="40" t="s">
        <v>265</v>
      </c>
      <c r="B442" s="28">
        <v>709</v>
      </c>
      <c r="C442" s="28">
        <v>5642741</v>
      </c>
      <c r="D442" s="28"/>
      <c r="E442" s="41">
        <v>46142</v>
      </c>
      <c r="F442" s="47">
        <v>0.54377314814814814</v>
      </c>
      <c r="G442" s="44">
        <v>6.3</v>
      </c>
      <c r="H442" s="43" t="s">
        <v>233</v>
      </c>
      <c r="I442" s="40" t="s">
        <v>1281</v>
      </c>
    </row>
    <row r="443" spans="1:9" x14ac:dyDescent="0.25">
      <c r="A443" s="40" t="s">
        <v>265</v>
      </c>
      <c r="B443" s="28">
        <v>709</v>
      </c>
      <c r="C443" s="28">
        <v>5642741</v>
      </c>
      <c r="D443" s="28"/>
      <c r="E443" s="41">
        <v>46142</v>
      </c>
      <c r="F443" s="47">
        <v>0.54994212962962963</v>
      </c>
      <c r="G443" s="44">
        <v>6.3</v>
      </c>
      <c r="H443" s="43" t="s">
        <v>234</v>
      </c>
      <c r="I443" s="40" t="s">
        <v>1281</v>
      </c>
    </row>
    <row r="444" spans="1:9" x14ac:dyDescent="0.25">
      <c r="A444" s="40" t="s">
        <v>463</v>
      </c>
      <c r="B444" s="28">
        <v>715</v>
      </c>
      <c r="C444" s="28">
        <v>5637924</v>
      </c>
      <c r="D444" s="28"/>
      <c r="E444" s="41">
        <v>46139</v>
      </c>
      <c r="F444" s="47">
        <v>0.36655092592592592</v>
      </c>
      <c r="G444" s="44">
        <v>6.3</v>
      </c>
      <c r="H444" s="43" t="s">
        <v>235</v>
      </c>
      <c r="I444" s="40" t="s">
        <v>1281</v>
      </c>
    </row>
    <row r="445" spans="1:9" x14ac:dyDescent="0.25">
      <c r="A445" s="40" t="s">
        <v>463</v>
      </c>
      <c r="B445" s="28">
        <v>715</v>
      </c>
      <c r="C445" s="28">
        <v>5637924</v>
      </c>
      <c r="D445" s="28"/>
      <c r="E445" s="41">
        <v>46139</v>
      </c>
      <c r="F445" s="47">
        <v>0.38081018518518517</v>
      </c>
      <c r="G445" s="44">
        <v>6.3</v>
      </c>
      <c r="H445" s="43" t="s">
        <v>236</v>
      </c>
      <c r="I445" s="40" t="s">
        <v>1281</v>
      </c>
    </row>
    <row r="446" spans="1:9" x14ac:dyDescent="0.25">
      <c r="A446" s="40" t="s">
        <v>463</v>
      </c>
      <c r="B446" s="28">
        <v>715</v>
      </c>
      <c r="C446" s="28">
        <v>5627855</v>
      </c>
      <c r="D446" s="28"/>
      <c r="E446" s="41">
        <v>46139</v>
      </c>
      <c r="F446" s="47">
        <v>0.51828703703703705</v>
      </c>
      <c r="G446" s="44">
        <v>6.3</v>
      </c>
      <c r="H446" s="43" t="s">
        <v>237</v>
      </c>
      <c r="I446" s="40" t="s">
        <v>1281</v>
      </c>
    </row>
    <row r="447" spans="1:9" x14ac:dyDescent="0.25">
      <c r="A447" s="40" t="s">
        <v>463</v>
      </c>
      <c r="B447" s="28">
        <v>715</v>
      </c>
      <c r="C447" s="28">
        <v>5627855</v>
      </c>
      <c r="D447" s="28"/>
      <c r="E447" s="41">
        <v>46139</v>
      </c>
      <c r="F447" s="47">
        <v>0.52503472222222225</v>
      </c>
      <c r="G447" s="42">
        <v>6.3</v>
      </c>
      <c r="H447" s="40" t="s">
        <v>234</v>
      </c>
      <c r="I447" s="40" t="s">
        <v>1281</v>
      </c>
    </row>
    <row r="448" spans="1:9" x14ac:dyDescent="0.25">
      <c r="A448" s="40" t="s">
        <v>463</v>
      </c>
      <c r="B448" s="28">
        <v>715</v>
      </c>
      <c r="C448" s="28">
        <v>5639026</v>
      </c>
      <c r="D448" s="28" t="s">
        <v>36</v>
      </c>
      <c r="E448" s="41">
        <v>46139</v>
      </c>
      <c r="F448" s="47">
        <v>0.77067129629629627</v>
      </c>
      <c r="G448" s="42">
        <v>6.3</v>
      </c>
      <c r="H448" s="40" t="s">
        <v>235</v>
      </c>
      <c r="I448" s="40" t="s">
        <v>1281</v>
      </c>
    </row>
    <row r="449" spans="1:9" x14ac:dyDescent="0.25">
      <c r="A449" s="40" t="s">
        <v>463</v>
      </c>
      <c r="B449" s="28">
        <v>715</v>
      </c>
      <c r="C449" s="28">
        <v>5639026</v>
      </c>
      <c r="D449" s="28" t="s">
        <v>36</v>
      </c>
      <c r="E449" s="41">
        <v>46139</v>
      </c>
      <c r="F449" s="47">
        <v>0.78315972222222219</v>
      </c>
      <c r="G449" s="42">
        <v>6.3</v>
      </c>
      <c r="H449" s="40" t="s">
        <v>236</v>
      </c>
      <c r="I449" s="40" t="s">
        <v>1281</v>
      </c>
    </row>
    <row r="450" spans="1:9" x14ac:dyDescent="0.25">
      <c r="A450" s="40" t="s">
        <v>463</v>
      </c>
      <c r="B450" s="28">
        <v>715</v>
      </c>
      <c r="C450" s="28">
        <v>5636856</v>
      </c>
      <c r="D450" s="28"/>
      <c r="E450" s="41">
        <v>46139</v>
      </c>
      <c r="F450" s="47">
        <v>0.84881944444444446</v>
      </c>
      <c r="G450" s="42">
        <v>6.3</v>
      </c>
      <c r="H450" s="40" t="s">
        <v>237</v>
      </c>
      <c r="I450" s="40" t="s">
        <v>1281</v>
      </c>
    </row>
    <row r="451" spans="1:9" x14ac:dyDescent="0.25">
      <c r="A451" s="40" t="s">
        <v>463</v>
      </c>
      <c r="B451" s="28">
        <v>715</v>
      </c>
      <c r="C451" s="28">
        <v>5636856</v>
      </c>
      <c r="D451" s="28"/>
      <c r="E451" s="41">
        <v>46139</v>
      </c>
      <c r="F451" s="47">
        <v>0.87065972222222221</v>
      </c>
      <c r="G451" s="44">
        <v>6.3</v>
      </c>
      <c r="H451" s="43" t="s">
        <v>234</v>
      </c>
      <c r="I451" s="40" t="s">
        <v>1281</v>
      </c>
    </row>
    <row r="452" spans="1:9" x14ac:dyDescent="0.25">
      <c r="A452" s="40" t="s">
        <v>463</v>
      </c>
      <c r="B452" s="28">
        <v>715</v>
      </c>
      <c r="C452" s="28" t="s">
        <v>35</v>
      </c>
      <c r="D452" s="28" t="s">
        <v>38</v>
      </c>
      <c r="E452" s="41">
        <v>46140</v>
      </c>
      <c r="F452" s="47">
        <v>0.60543981481481479</v>
      </c>
      <c r="G452" s="44">
        <v>6.3</v>
      </c>
      <c r="H452" s="43" t="s">
        <v>237</v>
      </c>
      <c r="I452" s="40" t="s">
        <v>1281</v>
      </c>
    </row>
    <row r="453" spans="1:9" x14ac:dyDescent="0.25">
      <c r="A453" s="40" t="s">
        <v>463</v>
      </c>
      <c r="B453" s="28">
        <v>715</v>
      </c>
      <c r="C453" s="28" t="s">
        <v>35</v>
      </c>
      <c r="D453" s="28" t="s">
        <v>38</v>
      </c>
      <c r="E453" s="41">
        <v>46141</v>
      </c>
      <c r="F453" s="47">
        <v>0.9122569444444445</v>
      </c>
      <c r="G453" s="44">
        <v>6.3</v>
      </c>
      <c r="H453" s="43" t="s">
        <v>237</v>
      </c>
      <c r="I453" s="40" t="s">
        <v>1281</v>
      </c>
    </row>
    <row r="454" spans="1:9" x14ac:dyDescent="0.25">
      <c r="A454" s="40" t="s">
        <v>463</v>
      </c>
      <c r="B454" s="28">
        <v>715</v>
      </c>
      <c r="C454" s="28" t="s">
        <v>35</v>
      </c>
      <c r="D454" s="28" t="s">
        <v>38</v>
      </c>
      <c r="E454" s="41">
        <v>46141</v>
      </c>
      <c r="F454" s="47">
        <v>0.9180787037037037</v>
      </c>
      <c r="G454" s="44">
        <v>6.3</v>
      </c>
      <c r="H454" s="43" t="s">
        <v>234</v>
      </c>
      <c r="I454" s="40" t="s">
        <v>1281</v>
      </c>
    </row>
    <row r="455" spans="1:9" x14ac:dyDescent="0.25">
      <c r="A455" s="40" t="s">
        <v>463</v>
      </c>
      <c r="B455" s="28">
        <v>715</v>
      </c>
      <c r="C455" s="28">
        <v>5645091</v>
      </c>
      <c r="D455" s="28" t="s">
        <v>37</v>
      </c>
      <c r="E455" s="41">
        <v>46142</v>
      </c>
      <c r="F455" s="47">
        <v>0.68089120370370371</v>
      </c>
      <c r="G455" s="44">
        <v>6.3</v>
      </c>
      <c r="H455" s="43" t="s">
        <v>235</v>
      </c>
      <c r="I455" s="40" t="s">
        <v>1281</v>
      </c>
    </row>
    <row r="456" spans="1:9" x14ac:dyDescent="0.25">
      <c r="A456" s="40" t="s">
        <v>463</v>
      </c>
      <c r="B456" s="28">
        <v>715</v>
      </c>
      <c r="C456" s="28">
        <v>5645091</v>
      </c>
      <c r="D456" s="28" t="s">
        <v>37</v>
      </c>
      <c r="E456" s="45">
        <v>46142</v>
      </c>
      <c r="F456" s="48">
        <v>0.69130787037037034</v>
      </c>
      <c r="G456" s="44">
        <v>6.3</v>
      </c>
      <c r="H456" s="43" t="s">
        <v>239</v>
      </c>
      <c r="I456" s="40" t="s">
        <v>1281</v>
      </c>
    </row>
    <row r="457" spans="1:9" x14ac:dyDescent="0.25">
      <c r="A457" s="40" t="s">
        <v>463</v>
      </c>
      <c r="B457" s="28">
        <v>715</v>
      </c>
      <c r="C457" s="28" t="s">
        <v>464</v>
      </c>
      <c r="D457" s="28"/>
      <c r="E457" s="41">
        <v>46142</v>
      </c>
      <c r="F457" s="47">
        <v>0.91138888888888892</v>
      </c>
      <c r="G457" s="44">
        <v>6.3</v>
      </c>
      <c r="H457" s="43" t="s">
        <v>235</v>
      </c>
      <c r="I457" s="40" t="s">
        <v>1281</v>
      </c>
    </row>
    <row r="458" spans="1:9" x14ac:dyDescent="0.25">
      <c r="A458" s="40" t="s">
        <v>463</v>
      </c>
      <c r="B458" s="28">
        <v>715</v>
      </c>
      <c r="C458" s="28" t="s">
        <v>464</v>
      </c>
      <c r="D458" s="28"/>
      <c r="E458" s="41">
        <v>46142</v>
      </c>
      <c r="F458" s="47">
        <v>0.91935185185185186</v>
      </c>
      <c r="G458" s="44">
        <v>6.3</v>
      </c>
      <c r="H458" s="43" t="s">
        <v>236</v>
      </c>
      <c r="I458" s="40" t="s">
        <v>1281</v>
      </c>
    </row>
    <row r="459" spans="1:9" x14ac:dyDescent="0.25">
      <c r="A459" s="40" t="s">
        <v>463</v>
      </c>
      <c r="B459" s="28">
        <v>715</v>
      </c>
      <c r="C459" s="28" t="s">
        <v>35</v>
      </c>
      <c r="D459" s="28" t="s">
        <v>38</v>
      </c>
      <c r="E459" s="45">
        <v>46143</v>
      </c>
      <c r="F459" s="48">
        <v>0.26707175925925924</v>
      </c>
      <c r="G459" s="44">
        <v>6.3</v>
      </c>
      <c r="H459" s="43" t="s">
        <v>237</v>
      </c>
      <c r="I459" s="40" t="s">
        <v>1282</v>
      </c>
    </row>
    <row r="460" spans="1:9" x14ac:dyDescent="0.25">
      <c r="A460" s="40" t="s">
        <v>463</v>
      </c>
      <c r="B460" s="28">
        <v>715</v>
      </c>
      <c r="C460" s="28" t="s">
        <v>35</v>
      </c>
      <c r="D460" s="28" t="s">
        <v>38</v>
      </c>
      <c r="E460" s="41">
        <v>46143</v>
      </c>
      <c r="F460" s="47">
        <v>0.70734953703703707</v>
      </c>
      <c r="G460" s="44">
        <v>6.3</v>
      </c>
      <c r="H460" s="43" t="s">
        <v>236</v>
      </c>
      <c r="I460" s="40" t="s">
        <v>1282</v>
      </c>
    </row>
    <row r="461" spans="1:9" x14ac:dyDescent="0.25">
      <c r="A461" s="40" t="s">
        <v>463</v>
      </c>
      <c r="B461" s="28">
        <v>715</v>
      </c>
      <c r="C461" s="28">
        <v>5648926</v>
      </c>
      <c r="D461" s="28"/>
      <c r="E461" s="45">
        <v>46145</v>
      </c>
      <c r="F461" s="48">
        <v>0.70848379629629632</v>
      </c>
      <c r="G461" s="44">
        <v>6.3</v>
      </c>
      <c r="H461" s="43" t="s">
        <v>235</v>
      </c>
      <c r="I461" s="40" t="s">
        <v>1282</v>
      </c>
    </row>
    <row r="462" spans="1:9" x14ac:dyDescent="0.25">
      <c r="A462" s="40" t="s">
        <v>463</v>
      </c>
      <c r="B462" s="28">
        <v>715</v>
      </c>
      <c r="C462" s="28" t="s">
        <v>35</v>
      </c>
      <c r="D462" s="28" t="s">
        <v>38</v>
      </c>
      <c r="E462" s="41">
        <v>46145</v>
      </c>
      <c r="F462" s="47">
        <v>0.99687499999999996</v>
      </c>
      <c r="G462" s="44">
        <v>6.3</v>
      </c>
      <c r="H462" s="43" t="s">
        <v>237</v>
      </c>
      <c r="I462" s="40" t="s">
        <v>1282</v>
      </c>
    </row>
    <row r="463" spans="1:9" x14ac:dyDescent="0.25">
      <c r="A463" s="40" t="s">
        <v>118</v>
      </c>
      <c r="B463" s="28">
        <v>722</v>
      </c>
      <c r="C463" s="28" t="s">
        <v>35</v>
      </c>
      <c r="D463" s="28" t="s">
        <v>38</v>
      </c>
      <c r="E463" s="45">
        <v>46139</v>
      </c>
      <c r="F463" s="48">
        <v>0.82879629629629625</v>
      </c>
      <c r="G463" s="44">
        <v>6.3</v>
      </c>
      <c r="H463" s="43" t="s">
        <v>237</v>
      </c>
      <c r="I463" s="40" t="s">
        <v>1281</v>
      </c>
    </row>
    <row r="464" spans="1:9" x14ac:dyDescent="0.25">
      <c r="A464" s="40" t="s">
        <v>118</v>
      </c>
      <c r="B464" s="28">
        <v>722</v>
      </c>
      <c r="C464" s="28" t="s">
        <v>35</v>
      </c>
      <c r="D464" s="28" t="s">
        <v>38</v>
      </c>
      <c r="E464" s="41">
        <v>46139</v>
      </c>
      <c r="F464" s="47">
        <v>0.91763888888888889</v>
      </c>
      <c r="G464" s="44">
        <v>6.3</v>
      </c>
      <c r="H464" s="43" t="s">
        <v>236</v>
      </c>
      <c r="I464" s="40" t="s">
        <v>1281</v>
      </c>
    </row>
    <row r="465" spans="1:9" x14ac:dyDescent="0.25">
      <c r="A465" s="40" t="s">
        <v>118</v>
      </c>
      <c r="B465" s="28">
        <v>722</v>
      </c>
      <c r="C465" s="28" t="s">
        <v>35</v>
      </c>
      <c r="D465" s="28" t="s">
        <v>38</v>
      </c>
      <c r="E465" s="41">
        <v>46140</v>
      </c>
      <c r="F465" s="47">
        <v>3.1631944444444442E-2</v>
      </c>
      <c r="G465" s="44">
        <v>6.3</v>
      </c>
      <c r="H465" s="43" t="s">
        <v>237</v>
      </c>
      <c r="I465" s="40" t="s">
        <v>1281</v>
      </c>
    </row>
    <row r="466" spans="1:9" x14ac:dyDescent="0.25">
      <c r="A466" s="40" t="s">
        <v>118</v>
      </c>
      <c r="B466" s="28">
        <v>722</v>
      </c>
      <c r="C466" s="28" t="s">
        <v>35</v>
      </c>
      <c r="D466" s="28" t="s">
        <v>38</v>
      </c>
      <c r="E466" s="41">
        <v>46140</v>
      </c>
      <c r="F466" s="47">
        <v>0.19854166666666667</v>
      </c>
      <c r="G466" s="44">
        <v>6.3</v>
      </c>
      <c r="H466" s="43" t="s">
        <v>233</v>
      </c>
      <c r="I466" s="40" t="s">
        <v>1281</v>
      </c>
    </row>
    <row r="467" spans="1:9" x14ac:dyDescent="0.25">
      <c r="A467" s="40" t="s">
        <v>118</v>
      </c>
      <c r="B467" s="28">
        <v>722</v>
      </c>
      <c r="C467" s="28" t="s">
        <v>35</v>
      </c>
      <c r="D467" s="28" t="s">
        <v>38</v>
      </c>
      <c r="E467" s="41">
        <v>46140</v>
      </c>
      <c r="F467" s="47">
        <v>0.20398148148148149</v>
      </c>
      <c r="G467" s="44">
        <v>6.3</v>
      </c>
      <c r="H467" s="43" t="s">
        <v>234</v>
      </c>
      <c r="I467" s="40" t="s">
        <v>1281</v>
      </c>
    </row>
    <row r="468" spans="1:9" x14ac:dyDescent="0.25">
      <c r="A468" s="40" t="s">
        <v>118</v>
      </c>
      <c r="B468" s="28">
        <v>722</v>
      </c>
      <c r="C468" s="28" t="s">
        <v>35</v>
      </c>
      <c r="D468" s="28" t="s">
        <v>38</v>
      </c>
      <c r="E468" s="41">
        <v>46141</v>
      </c>
      <c r="F468" s="47">
        <v>3.1215277777777779E-2</v>
      </c>
      <c r="G468" s="44">
        <v>6.3</v>
      </c>
      <c r="H468" s="43" t="s">
        <v>237</v>
      </c>
      <c r="I468" s="40" t="s">
        <v>1281</v>
      </c>
    </row>
    <row r="469" spans="1:9" x14ac:dyDescent="0.25">
      <c r="A469" s="40" t="s">
        <v>118</v>
      </c>
      <c r="B469" s="28">
        <v>722</v>
      </c>
      <c r="C469" s="28">
        <v>5643177</v>
      </c>
      <c r="D469" s="28"/>
      <c r="E469" s="41">
        <v>46141</v>
      </c>
      <c r="F469" s="47">
        <v>0.74914351851851857</v>
      </c>
      <c r="G469" s="44">
        <v>6.3</v>
      </c>
      <c r="H469" s="43" t="s">
        <v>234</v>
      </c>
      <c r="I469" s="40" t="s">
        <v>1281</v>
      </c>
    </row>
    <row r="470" spans="1:9" x14ac:dyDescent="0.25">
      <c r="A470" s="40" t="s">
        <v>118</v>
      </c>
      <c r="B470" s="28">
        <v>722</v>
      </c>
      <c r="C470" s="28" t="s">
        <v>35</v>
      </c>
      <c r="D470" s="28" t="s">
        <v>38</v>
      </c>
      <c r="E470" s="45">
        <v>46141</v>
      </c>
      <c r="F470" s="48">
        <v>0.96542824074074074</v>
      </c>
      <c r="G470" s="44">
        <v>6.3</v>
      </c>
      <c r="H470" s="43" t="s">
        <v>235</v>
      </c>
      <c r="I470" s="40" t="s">
        <v>1281</v>
      </c>
    </row>
    <row r="471" spans="1:9" x14ac:dyDescent="0.25">
      <c r="A471" s="40" t="s">
        <v>118</v>
      </c>
      <c r="B471" s="28">
        <v>722</v>
      </c>
      <c r="C471" s="28" t="s">
        <v>35</v>
      </c>
      <c r="D471" s="28" t="s">
        <v>38</v>
      </c>
      <c r="E471" s="45">
        <v>46141</v>
      </c>
      <c r="F471" s="48">
        <v>0.97187500000000004</v>
      </c>
      <c r="G471" s="44">
        <v>6.3</v>
      </c>
      <c r="H471" s="43" t="s">
        <v>236</v>
      </c>
      <c r="I471" s="40" t="s">
        <v>1281</v>
      </c>
    </row>
    <row r="472" spans="1:9" x14ac:dyDescent="0.25">
      <c r="A472" s="40" t="s">
        <v>118</v>
      </c>
      <c r="B472" s="28">
        <v>722</v>
      </c>
      <c r="C472" s="28" t="s">
        <v>35</v>
      </c>
      <c r="D472" s="28" t="s">
        <v>38</v>
      </c>
      <c r="E472" s="41">
        <v>46142</v>
      </c>
      <c r="F472" s="47">
        <v>4.3043981481481482E-2</v>
      </c>
      <c r="G472" s="44">
        <v>6.3</v>
      </c>
      <c r="H472" s="43" t="s">
        <v>237</v>
      </c>
      <c r="I472" s="40" t="s">
        <v>1281</v>
      </c>
    </row>
    <row r="473" spans="1:9" x14ac:dyDescent="0.25">
      <c r="A473" s="40" t="s">
        <v>118</v>
      </c>
      <c r="B473" s="28">
        <v>722</v>
      </c>
      <c r="C473" s="28">
        <v>5644462</v>
      </c>
      <c r="D473" s="28"/>
      <c r="E473" s="41">
        <v>46142</v>
      </c>
      <c r="F473" s="47">
        <v>0.58869212962962958</v>
      </c>
      <c r="G473" s="42">
        <v>6.3</v>
      </c>
      <c r="H473" s="40" t="s">
        <v>235</v>
      </c>
      <c r="I473" s="40" t="s">
        <v>1281</v>
      </c>
    </row>
    <row r="474" spans="1:9" x14ac:dyDescent="0.25">
      <c r="A474" s="40" t="s">
        <v>118</v>
      </c>
      <c r="B474" s="28">
        <v>722</v>
      </c>
      <c r="C474" s="28">
        <v>5644462</v>
      </c>
      <c r="D474" s="28"/>
      <c r="E474" s="41">
        <v>46142</v>
      </c>
      <c r="F474" s="47">
        <v>0.6026273148148148</v>
      </c>
      <c r="G474" s="42">
        <v>6.3</v>
      </c>
      <c r="H474" s="40" t="s">
        <v>236</v>
      </c>
      <c r="I474" s="40" t="s">
        <v>1281</v>
      </c>
    </row>
    <row r="475" spans="1:9" x14ac:dyDescent="0.25">
      <c r="A475" s="40" t="s">
        <v>118</v>
      </c>
      <c r="B475" s="28">
        <v>722</v>
      </c>
      <c r="C475" s="28" t="s">
        <v>35</v>
      </c>
      <c r="D475" s="28" t="s">
        <v>38</v>
      </c>
      <c r="E475" s="41">
        <v>46142</v>
      </c>
      <c r="F475" s="47">
        <v>0.9802777777777778</v>
      </c>
      <c r="G475" s="44">
        <v>6.3</v>
      </c>
      <c r="H475" s="43" t="s">
        <v>234</v>
      </c>
      <c r="I475" s="40" t="s">
        <v>1282</v>
      </c>
    </row>
    <row r="476" spans="1:9" x14ac:dyDescent="0.25">
      <c r="A476" s="40" t="s">
        <v>118</v>
      </c>
      <c r="B476" s="28">
        <v>722</v>
      </c>
      <c r="C476" s="28">
        <v>5645734</v>
      </c>
      <c r="D476" s="28"/>
      <c r="E476" s="41">
        <v>46143</v>
      </c>
      <c r="F476" s="47">
        <v>0.31784722222222223</v>
      </c>
      <c r="G476" s="44">
        <v>6.3</v>
      </c>
      <c r="H476" s="43" t="s">
        <v>237</v>
      </c>
      <c r="I476" s="40" t="s">
        <v>1282</v>
      </c>
    </row>
    <row r="477" spans="1:9" x14ac:dyDescent="0.25">
      <c r="A477" s="40" t="s">
        <v>118</v>
      </c>
      <c r="B477" s="28">
        <v>722</v>
      </c>
      <c r="C477" s="28">
        <v>5645757</v>
      </c>
      <c r="D477" s="28"/>
      <c r="E477" s="45">
        <v>46143</v>
      </c>
      <c r="F477" s="48">
        <v>0.48521990740740739</v>
      </c>
      <c r="G477" s="44">
        <v>6.3</v>
      </c>
      <c r="H477" s="43" t="s">
        <v>238</v>
      </c>
      <c r="I477" s="40" t="s">
        <v>1282</v>
      </c>
    </row>
    <row r="478" spans="1:9" x14ac:dyDescent="0.25">
      <c r="A478" s="40" t="s">
        <v>118</v>
      </c>
      <c r="B478" s="28">
        <v>722</v>
      </c>
      <c r="C478" s="28">
        <v>5645757</v>
      </c>
      <c r="D478" s="28"/>
      <c r="E478" s="41">
        <v>46143</v>
      </c>
      <c r="F478" s="47">
        <v>0.48993055555555554</v>
      </c>
      <c r="G478" s="44">
        <v>6.3</v>
      </c>
      <c r="H478" s="43" t="s">
        <v>234</v>
      </c>
      <c r="I478" s="40" t="s">
        <v>1282</v>
      </c>
    </row>
    <row r="479" spans="1:9" x14ac:dyDescent="0.25">
      <c r="A479" s="40" t="s">
        <v>118</v>
      </c>
      <c r="B479" s="28">
        <v>722</v>
      </c>
      <c r="C479" s="28" t="s">
        <v>35</v>
      </c>
      <c r="D479" s="28" t="s">
        <v>38</v>
      </c>
      <c r="E479" s="41">
        <v>46143</v>
      </c>
      <c r="F479" s="47">
        <v>0.82773148148148146</v>
      </c>
      <c r="G479" s="44">
        <v>6.3</v>
      </c>
      <c r="H479" s="43" t="s">
        <v>235</v>
      </c>
      <c r="I479" s="40" t="s">
        <v>1282</v>
      </c>
    </row>
    <row r="480" spans="1:9" x14ac:dyDescent="0.25">
      <c r="A480" s="40" t="s">
        <v>118</v>
      </c>
      <c r="B480" s="28">
        <v>722</v>
      </c>
      <c r="C480" s="28" t="s">
        <v>35</v>
      </c>
      <c r="D480" s="28" t="s">
        <v>38</v>
      </c>
      <c r="E480" s="45">
        <v>46143</v>
      </c>
      <c r="F480" s="48">
        <v>0.83564814814814814</v>
      </c>
      <c r="G480" s="44">
        <v>6.3</v>
      </c>
      <c r="H480" s="43" t="s">
        <v>236</v>
      </c>
      <c r="I480" s="40" t="s">
        <v>1282</v>
      </c>
    </row>
    <row r="481" spans="1:9" x14ac:dyDescent="0.25">
      <c r="A481" s="40" t="s">
        <v>118</v>
      </c>
      <c r="B481" s="28">
        <v>722</v>
      </c>
      <c r="C481" s="28" t="s">
        <v>35</v>
      </c>
      <c r="D481" s="28" t="s">
        <v>38</v>
      </c>
      <c r="E481" s="41">
        <v>46144</v>
      </c>
      <c r="F481" s="47">
        <v>4.5092592592592594E-2</v>
      </c>
      <c r="G481" s="44">
        <v>6.3</v>
      </c>
      <c r="H481" s="43" t="s">
        <v>237</v>
      </c>
      <c r="I481" s="40" t="s">
        <v>1282</v>
      </c>
    </row>
    <row r="482" spans="1:9" x14ac:dyDescent="0.25">
      <c r="A482" s="40" t="s">
        <v>118</v>
      </c>
      <c r="B482" s="28">
        <v>722</v>
      </c>
      <c r="C482" s="28" t="s">
        <v>35</v>
      </c>
      <c r="D482" s="28" t="s">
        <v>38</v>
      </c>
      <c r="E482" s="45">
        <v>46144</v>
      </c>
      <c r="F482" s="48">
        <v>0.50488425925925928</v>
      </c>
      <c r="G482" s="44">
        <v>6.3</v>
      </c>
      <c r="H482" s="43" t="s">
        <v>235</v>
      </c>
      <c r="I482" s="40" t="s">
        <v>1282</v>
      </c>
    </row>
    <row r="483" spans="1:9" x14ac:dyDescent="0.25">
      <c r="A483" s="40" t="s">
        <v>118</v>
      </c>
      <c r="B483" s="28">
        <v>722</v>
      </c>
      <c r="C483" s="28" t="s">
        <v>35</v>
      </c>
      <c r="D483" s="28" t="s">
        <v>38</v>
      </c>
      <c r="E483" s="41">
        <v>46144</v>
      </c>
      <c r="F483" s="47">
        <v>0.51248842592592592</v>
      </c>
      <c r="G483" s="44">
        <v>6.3</v>
      </c>
      <c r="H483" s="43" t="s">
        <v>239</v>
      </c>
      <c r="I483" s="40" t="s">
        <v>1282</v>
      </c>
    </row>
    <row r="484" spans="1:9" x14ac:dyDescent="0.25">
      <c r="A484" s="40" t="s">
        <v>118</v>
      </c>
      <c r="B484" s="28">
        <v>722</v>
      </c>
      <c r="C484" s="28" t="s">
        <v>35</v>
      </c>
      <c r="D484" s="28" t="s">
        <v>38</v>
      </c>
      <c r="E484" s="41">
        <v>46144</v>
      </c>
      <c r="F484" s="47">
        <v>0.73141203703703705</v>
      </c>
      <c r="G484" s="44">
        <v>6.3</v>
      </c>
      <c r="H484" s="43" t="s">
        <v>237</v>
      </c>
      <c r="I484" s="40" t="s">
        <v>1282</v>
      </c>
    </row>
    <row r="485" spans="1:9" x14ac:dyDescent="0.25">
      <c r="A485" s="40" t="s">
        <v>118</v>
      </c>
      <c r="B485" s="28">
        <v>722</v>
      </c>
      <c r="C485" s="28">
        <v>5647379</v>
      </c>
      <c r="D485" s="28"/>
      <c r="E485" s="45">
        <v>46144</v>
      </c>
      <c r="F485" s="48">
        <v>0.8772685185185185</v>
      </c>
      <c r="G485" s="44">
        <v>6.3</v>
      </c>
      <c r="H485" s="43" t="s">
        <v>238</v>
      </c>
      <c r="I485" s="40" t="s">
        <v>1282</v>
      </c>
    </row>
    <row r="486" spans="1:9" x14ac:dyDescent="0.25">
      <c r="A486" s="40" t="s">
        <v>118</v>
      </c>
      <c r="B486" s="28">
        <v>722</v>
      </c>
      <c r="C486" s="28">
        <v>5647379</v>
      </c>
      <c r="D486" s="28"/>
      <c r="E486" s="41">
        <v>46144</v>
      </c>
      <c r="F486" s="47">
        <v>0.88209490740740737</v>
      </c>
      <c r="G486" s="44">
        <v>6.3</v>
      </c>
      <c r="H486" s="43" t="s">
        <v>234</v>
      </c>
      <c r="I486" s="40" t="s">
        <v>1282</v>
      </c>
    </row>
    <row r="487" spans="1:9" x14ac:dyDescent="0.25">
      <c r="A487" s="40" t="s">
        <v>118</v>
      </c>
      <c r="B487" s="28">
        <v>722</v>
      </c>
      <c r="C487" s="28">
        <v>5648006</v>
      </c>
      <c r="D487" s="28"/>
      <c r="E487" s="41">
        <v>46144</v>
      </c>
      <c r="F487" s="47">
        <v>0.93931712962962965</v>
      </c>
      <c r="G487" s="44">
        <v>6.3</v>
      </c>
      <c r="H487" s="43" t="s">
        <v>235</v>
      </c>
      <c r="I487" s="40" t="s">
        <v>1282</v>
      </c>
    </row>
    <row r="488" spans="1:9" x14ac:dyDescent="0.25">
      <c r="A488" s="40" t="s">
        <v>118</v>
      </c>
      <c r="B488" s="28">
        <v>722</v>
      </c>
      <c r="C488" s="28">
        <v>5648006</v>
      </c>
      <c r="D488" s="28"/>
      <c r="E488" s="45">
        <v>46144</v>
      </c>
      <c r="F488" s="48">
        <v>0.94559027777777782</v>
      </c>
      <c r="G488" s="44">
        <v>6.3</v>
      </c>
      <c r="H488" s="43" t="s">
        <v>239</v>
      </c>
      <c r="I488" s="40" t="s">
        <v>1282</v>
      </c>
    </row>
    <row r="489" spans="1:9" x14ac:dyDescent="0.25">
      <c r="A489" s="40" t="s">
        <v>118</v>
      </c>
      <c r="B489" s="28">
        <v>722</v>
      </c>
      <c r="C489" s="28" t="s">
        <v>35</v>
      </c>
      <c r="D489" s="28" t="s">
        <v>38</v>
      </c>
      <c r="E489" s="41">
        <v>46145</v>
      </c>
      <c r="F489" s="47">
        <v>3.201388888888889E-2</v>
      </c>
      <c r="G489" s="44">
        <v>6.3</v>
      </c>
      <c r="H489" s="43" t="s">
        <v>237</v>
      </c>
      <c r="I489" s="40" t="s">
        <v>1282</v>
      </c>
    </row>
    <row r="490" spans="1:9" x14ac:dyDescent="0.25">
      <c r="A490" s="40" t="s">
        <v>176</v>
      </c>
      <c r="B490" s="28">
        <v>735</v>
      </c>
      <c r="C490" s="28" t="s">
        <v>35</v>
      </c>
      <c r="D490" s="28" t="s">
        <v>38</v>
      </c>
      <c r="E490" s="41">
        <v>46139</v>
      </c>
      <c r="F490" s="47">
        <v>0.59091435185185182</v>
      </c>
      <c r="G490" s="44">
        <v>6.3</v>
      </c>
      <c r="H490" s="43" t="s">
        <v>235</v>
      </c>
      <c r="I490" s="40" t="s">
        <v>1281</v>
      </c>
    </row>
    <row r="491" spans="1:9" x14ac:dyDescent="0.25">
      <c r="A491" s="40" t="s">
        <v>176</v>
      </c>
      <c r="B491" s="28">
        <v>735</v>
      </c>
      <c r="C491" s="28" t="s">
        <v>35</v>
      </c>
      <c r="D491" s="28" t="s">
        <v>38</v>
      </c>
      <c r="E491" s="41">
        <v>46139</v>
      </c>
      <c r="F491" s="47">
        <v>0.60225694444444444</v>
      </c>
      <c r="G491" s="44">
        <v>6.3</v>
      </c>
      <c r="H491" s="43" t="s">
        <v>239</v>
      </c>
      <c r="I491" s="40" t="s">
        <v>1281</v>
      </c>
    </row>
    <row r="492" spans="1:9" x14ac:dyDescent="0.25">
      <c r="A492" s="40" t="s">
        <v>176</v>
      </c>
      <c r="B492" s="28">
        <v>735</v>
      </c>
      <c r="C492" s="28" t="s">
        <v>35</v>
      </c>
      <c r="D492" s="28" t="s">
        <v>38</v>
      </c>
      <c r="E492" s="41">
        <v>46139</v>
      </c>
      <c r="F492" s="47">
        <v>0.63428240740740738</v>
      </c>
      <c r="G492" s="44">
        <v>6.3</v>
      </c>
      <c r="H492" s="43" t="s">
        <v>234</v>
      </c>
      <c r="I492" s="40" t="s">
        <v>1281</v>
      </c>
    </row>
    <row r="493" spans="1:9" x14ac:dyDescent="0.25">
      <c r="A493" s="40" t="s">
        <v>176</v>
      </c>
      <c r="B493" s="28">
        <v>735</v>
      </c>
      <c r="C493" s="28" t="s">
        <v>465</v>
      </c>
      <c r="D493" s="28"/>
      <c r="E493" s="41">
        <v>46141</v>
      </c>
      <c r="F493" s="47">
        <v>0.52811342592592592</v>
      </c>
      <c r="G493" s="44">
        <v>6.3</v>
      </c>
      <c r="H493" s="43" t="s">
        <v>235</v>
      </c>
      <c r="I493" s="40" t="s">
        <v>1281</v>
      </c>
    </row>
    <row r="494" spans="1:9" x14ac:dyDescent="0.25">
      <c r="A494" s="40" t="s">
        <v>176</v>
      </c>
      <c r="B494" s="28">
        <v>735</v>
      </c>
      <c r="C494" s="28" t="s">
        <v>465</v>
      </c>
      <c r="D494" s="28"/>
      <c r="E494" s="41">
        <v>46141</v>
      </c>
      <c r="F494" s="47">
        <v>0.53866898148148146</v>
      </c>
      <c r="G494" s="44">
        <v>6.3</v>
      </c>
      <c r="H494" s="43" t="s">
        <v>236</v>
      </c>
      <c r="I494" s="40" t="s">
        <v>1281</v>
      </c>
    </row>
    <row r="495" spans="1:9" x14ac:dyDescent="0.25">
      <c r="A495" s="40" t="s">
        <v>176</v>
      </c>
      <c r="B495" s="28">
        <v>735</v>
      </c>
      <c r="C495" s="28" t="s">
        <v>35</v>
      </c>
      <c r="D495" s="28" t="s">
        <v>38</v>
      </c>
      <c r="E495" s="41">
        <v>46141</v>
      </c>
      <c r="F495" s="47">
        <v>0.57884259259259263</v>
      </c>
      <c r="G495" s="44">
        <v>6.3</v>
      </c>
      <c r="H495" s="43" t="s">
        <v>233</v>
      </c>
      <c r="I495" s="40" t="s">
        <v>1281</v>
      </c>
    </row>
    <row r="496" spans="1:9" x14ac:dyDescent="0.25">
      <c r="A496" s="40" t="s">
        <v>176</v>
      </c>
      <c r="B496" s="28">
        <v>735</v>
      </c>
      <c r="C496" s="28">
        <v>5644134</v>
      </c>
      <c r="D496" s="28"/>
      <c r="E496" s="41">
        <v>46142</v>
      </c>
      <c r="F496" s="47">
        <v>0.89660879629629631</v>
      </c>
      <c r="G496" s="44">
        <v>6.3</v>
      </c>
      <c r="H496" s="43" t="s">
        <v>235</v>
      </c>
      <c r="I496" s="40" t="s">
        <v>1281</v>
      </c>
    </row>
    <row r="497" spans="1:9" x14ac:dyDescent="0.25">
      <c r="A497" s="40" t="s">
        <v>176</v>
      </c>
      <c r="B497" s="28">
        <v>735</v>
      </c>
      <c r="C497" s="28">
        <v>5644134</v>
      </c>
      <c r="D497" s="28"/>
      <c r="E497" s="41">
        <v>46142</v>
      </c>
      <c r="F497" s="47">
        <v>0.90579861111111115</v>
      </c>
      <c r="G497" s="42">
        <v>6.3</v>
      </c>
      <c r="H497" s="40" t="s">
        <v>236</v>
      </c>
      <c r="I497" s="40" t="s">
        <v>1281</v>
      </c>
    </row>
    <row r="498" spans="1:9" x14ac:dyDescent="0.25">
      <c r="A498" s="40" t="s">
        <v>176</v>
      </c>
      <c r="B498" s="28">
        <v>735</v>
      </c>
      <c r="C498" s="28">
        <v>5645660</v>
      </c>
      <c r="D498" s="28" t="s">
        <v>37</v>
      </c>
      <c r="E498" s="41">
        <v>46143</v>
      </c>
      <c r="F498" s="47">
        <v>0.47152777777777777</v>
      </c>
      <c r="G498" s="42">
        <v>6.3</v>
      </c>
      <c r="H498" s="40" t="s">
        <v>237</v>
      </c>
      <c r="I498" s="40" t="s">
        <v>1282</v>
      </c>
    </row>
    <row r="499" spans="1:9" x14ac:dyDescent="0.25">
      <c r="A499" s="40" t="s">
        <v>176</v>
      </c>
      <c r="B499" s="28">
        <v>735</v>
      </c>
      <c r="C499" s="28">
        <v>5645660</v>
      </c>
      <c r="D499" s="28" t="s">
        <v>37</v>
      </c>
      <c r="E499" s="41">
        <v>46143</v>
      </c>
      <c r="F499" s="47">
        <v>0.47752314814814817</v>
      </c>
      <c r="G499" s="42">
        <v>6.3</v>
      </c>
      <c r="H499" s="40" t="s">
        <v>234</v>
      </c>
      <c r="I499" s="40" t="s">
        <v>1282</v>
      </c>
    </row>
    <row r="500" spans="1:9" x14ac:dyDescent="0.25">
      <c r="A500" s="40" t="s">
        <v>176</v>
      </c>
      <c r="B500" s="28">
        <v>735</v>
      </c>
      <c r="C500" s="28" t="s">
        <v>466</v>
      </c>
      <c r="D500" s="28"/>
      <c r="E500" s="41">
        <v>46143</v>
      </c>
      <c r="F500" s="47">
        <v>0.85464120370370367</v>
      </c>
      <c r="G500" s="42">
        <v>6.3</v>
      </c>
      <c r="H500" s="40" t="s">
        <v>235</v>
      </c>
      <c r="I500" s="40" t="s">
        <v>1282</v>
      </c>
    </row>
    <row r="501" spans="1:9" x14ac:dyDescent="0.25">
      <c r="A501" s="40" t="s">
        <v>176</v>
      </c>
      <c r="B501" s="28">
        <v>735</v>
      </c>
      <c r="C501" s="28" t="s">
        <v>466</v>
      </c>
      <c r="D501" s="28"/>
      <c r="E501" s="41">
        <v>46143</v>
      </c>
      <c r="F501" s="47">
        <v>0.86275462962962968</v>
      </c>
      <c r="G501" s="42">
        <v>6.3</v>
      </c>
      <c r="H501" s="40" t="s">
        <v>236</v>
      </c>
      <c r="I501" s="40" t="s">
        <v>1282</v>
      </c>
    </row>
    <row r="502" spans="1:9" x14ac:dyDescent="0.25">
      <c r="A502" s="40" t="s">
        <v>176</v>
      </c>
      <c r="B502" s="28">
        <v>735</v>
      </c>
      <c r="C502" s="28" t="s">
        <v>35</v>
      </c>
      <c r="D502" s="28" t="s">
        <v>38</v>
      </c>
      <c r="E502" s="41">
        <v>46143</v>
      </c>
      <c r="F502" s="47">
        <v>0.8780324074074074</v>
      </c>
      <c r="G502" s="44">
        <v>6.3</v>
      </c>
      <c r="H502" s="43" t="s">
        <v>237</v>
      </c>
      <c r="I502" s="40" t="s">
        <v>1282</v>
      </c>
    </row>
    <row r="503" spans="1:9" x14ac:dyDescent="0.25">
      <c r="A503" s="40" t="s">
        <v>176</v>
      </c>
      <c r="B503" s="28">
        <v>735</v>
      </c>
      <c r="C503" s="28" t="s">
        <v>467</v>
      </c>
      <c r="D503" s="28"/>
      <c r="E503" s="41">
        <v>46144</v>
      </c>
      <c r="F503" s="47">
        <v>0.33180555555555558</v>
      </c>
      <c r="G503" s="44">
        <v>6.3</v>
      </c>
      <c r="H503" s="43" t="s">
        <v>235</v>
      </c>
      <c r="I503" s="40" t="s">
        <v>1282</v>
      </c>
    </row>
    <row r="504" spans="1:9" x14ac:dyDescent="0.25">
      <c r="A504" s="40" t="s">
        <v>176</v>
      </c>
      <c r="B504" s="28">
        <v>735</v>
      </c>
      <c r="C504" s="28" t="s">
        <v>467</v>
      </c>
      <c r="D504" s="28"/>
      <c r="E504" s="41">
        <v>46144</v>
      </c>
      <c r="F504" s="47">
        <v>0.34033564814814815</v>
      </c>
      <c r="G504" s="44">
        <v>6.3</v>
      </c>
      <c r="H504" s="43" t="s">
        <v>236</v>
      </c>
      <c r="I504" s="40" t="s">
        <v>1282</v>
      </c>
    </row>
    <row r="505" spans="1:9" x14ac:dyDescent="0.25">
      <c r="A505" s="40" t="s">
        <v>176</v>
      </c>
      <c r="B505" s="28">
        <v>735</v>
      </c>
      <c r="C505" s="28" t="s">
        <v>468</v>
      </c>
      <c r="D505" s="28"/>
      <c r="E505" s="41">
        <v>46144</v>
      </c>
      <c r="F505" s="47">
        <v>0.84843749999999996</v>
      </c>
      <c r="G505" s="44">
        <v>6.3</v>
      </c>
      <c r="H505" s="43" t="s">
        <v>235</v>
      </c>
      <c r="I505" s="40" t="s">
        <v>1282</v>
      </c>
    </row>
    <row r="506" spans="1:9" x14ac:dyDescent="0.25">
      <c r="A506" s="40" t="s">
        <v>176</v>
      </c>
      <c r="B506" s="28">
        <v>735</v>
      </c>
      <c r="C506" s="28" t="s">
        <v>468</v>
      </c>
      <c r="D506" s="28"/>
      <c r="E506" s="41">
        <v>46144</v>
      </c>
      <c r="F506" s="47">
        <v>0.85623842592592592</v>
      </c>
      <c r="G506" s="44">
        <v>6.3</v>
      </c>
      <c r="H506" s="43" t="s">
        <v>236</v>
      </c>
      <c r="I506" s="40" t="s">
        <v>1282</v>
      </c>
    </row>
    <row r="507" spans="1:9" x14ac:dyDescent="0.25">
      <c r="A507" s="40" t="s">
        <v>176</v>
      </c>
      <c r="B507" s="28">
        <v>735</v>
      </c>
      <c r="C507" s="28" t="s">
        <v>469</v>
      </c>
      <c r="D507" s="28"/>
      <c r="E507" s="41">
        <v>46145</v>
      </c>
      <c r="F507" s="47">
        <v>0.74934027777777779</v>
      </c>
      <c r="G507" s="44">
        <v>6.3</v>
      </c>
      <c r="H507" s="43" t="s">
        <v>235</v>
      </c>
      <c r="I507" s="40" t="s">
        <v>1282</v>
      </c>
    </row>
    <row r="508" spans="1:9" x14ac:dyDescent="0.25">
      <c r="A508" s="40" t="s">
        <v>176</v>
      </c>
      <c r="B508" s="28">
        <v>735</v>
      </c>
      <c r="C508" s="28" t="s">
        <v>469</v>
      </c>
      <c r="D508" s="28"/>
      <c r="E508" s="41">
        <v>46145</v>
      </c>
      <c r="F508" s="47">
        <v>0.75737268518518519</v>
      </c>
      <c r="G508" s="44">
        <v>6.3</v>
      </c>
      <c r="H508" s="43" t="s">
        <v>239</v>
      </c>
      <c r="I508" s="40" t="s">
        <v>1282</v>
      </c>
    </row>
    <row r="509" spans="1:9" x14ac:dyDescent="0.25">
      <c r="A509" s="40" t="s">
        <v>176</v>
      </c>
      <c r="B509" s="28">
        <v>735</v>
      </c>
      <c r="C509" s="28" t="s">
        <v>35</v>
      </c>
      <c r="D509" s="28" t="s">
        <v>38</v>
      </c>
      <c r="E509" s="41">
        <v>46145</v>
      </c>
      <c r="F509" s="47">
        <v>0.77675925925925926</v>
      </c>
      <c r="G509" s="44">
        <v>6.3</v>
      </c>
      <c r="H509" s="43" t="s">
        <v>233</v>
      </c>
      <c r="I509" s="40" t="s">
        <v>1282</v>
      </c>
    </row>
    <row r="510" spans="1:9" x14ac:dyDescent="0.25">
      <c r="A510" s="40" t="s">
        <v>470</v>
      </c>
      <c r="B510" s="28">
        <v>747</v>
      </c>
      <c r="C510" s="28" t="s">
        <v>471</v>
      </c>
      <c r="D510" s="28"/>
      <c r="E510" s="41">
        <v>46143</v>
      </c>
      <c r="F510" s="47">
        <v>0.93222222222222217</v>
      </c>
      <c r="G510" s="44">
        <v>6.3</v>
      </c>
      <c r="H510" s="43" t="s">
        <v>237</v>
      </c>
      <c r="I510" s="40" t="s">
        <v>1282</v>
      </c>
    </row>
    <row r="511" spans="1:9" x14ac:dyDescent="0.25">
      <c r="A511" s="40" t="s">
        <v>470</v>
      </c>
      <c r="B511" s="28">
        <v>747</v>
      </c>
      <c r="C511" s="28" t="s">
        <v>471</v>
      </c>
      <c r="D511" s="28"/>
      <c r="E511" s="41">
        <v>46143</v>
      </c>
      <c r="F511" s="47">
        <v>0.93795138888888885</v>
      </c>
      <c r="G511" s="44">
        <v>6.3</v>
      </c>
      <c r="H511" s="43" t="s">
        <v>234</v>
      </c>
      <c r="I511" s="40" t="s">
        <v>1282</v>
      </c>
    </row>
    <row r="512" spans="1:9" x14ac:dyDescent="0.25">
      <c r="A512" s="40" t="s">
        <v>470</v>
      </c>
      <c r="B512" s="28">
        <v>747</v>
      </c>
      <c r="C512" s="28">
        <v>5647666</v>
      </c>
      <c r="D512" s="28"/>
      <c r="E512" s="41">
        <v>46145</v>
      </c>
      <c r="F512" s="47">
        <v>0.81890046296296293</v>
      </c>
      <c r="G512" s="44">
        <v>6.3</v>
      </c>
      <c r="H512" s="43" t="s">
        <v>235</v>
      </c>
      <c r="I512" s="40" t="s">
        <v>1282</v>
      </c>
    </row>
    <row r="513" spans="1:9" x14ac:dyDescent="0.25">
      <c r="A513" s="40" t="s">
        <v>470</v>
      </c>
      <c r="B513" s="28">
        <v>747</v>
      </c>
      <c r="C513" s="28">
        <v>5647666</v>
      </c>
      <c r="D513" s="28"/>
      <c r="E513" s="41">
        <v>46145</v>
      </c>
      <c r="F513" s="47">
        <v>0.82701388888888894</v>
      </c>
      <c r="G513" s="42">
        <v>6.3</v>
      </c>
      <c r="H513" s="40" t="s">
        <v>236</v>
      </c>
      <c r="I513" s="40" t="s">
        <v>1282</v>
      </c>
    </row>
    <row r="514" spans="1:9" x14ac:dyDescent="0.25">
      <c r="A514" s="40" t="s">
        <v>470</v>
      </c>
      <c r="B514" s="28">
        <v>747</v>
      </c>
      <c r="C514" s="28" t="s">
        <v>472</v>
      </c>
      <c r="D514" s="28"/>
      <c r="E514" s="41">
        <v>46145</v>
      </c>
      <c r="F514" s="47">
        <v>0.9027546296296296</v>
      </c>
      <c r="G514" s="42">
        <v>6.3</v>
      </c>
      <c r="H514" s="40" t="s">
        <v>233</v>
      </c>
      <c r="I514" s="40" t="s">
        <v>1282</v>
      </c>
    </row>
    <row r="515" spans="1:9" x14ac:dyDescent="0.25">
      <c r="A515" s="40" t="s">
        <v>470</v>
      </c>
      <c r="B515" s="28">
        <v>747</v>
      </c>
      <c r="C515" s="28" t="s">
        <v>472</v>
      </c>
      <c r="D515" s="28"/>
      <c r="E515" s="41">
        <v>46145</v>
      </c>
      <c r="F515" s="47">
        <v>0.90861111111111115</v>
      </c>
      <c r="G515" s="44">
        <v>6.3</v>
      </c>
      <c r="H515" s="43" t="s">
        <v>234</v>
      </c>
      <c r="I515" s="40" t="s">
        <v>1282</v>
      </c>
    </row>
    <row r="516" spans="1:9" x14ac:dyDescent="0.25">
      <c r="A516" s="40" t="s">
        <v>268</v>
      </c>
      <c r="B516" s="28">
        <v>760</v>
      </c>
      <c r="C516" s="28" t="s">
        <v>35</v>
      </c>
      <c r="D516" s="28" t="s">
        <v>38</v>
      </c>
      <c r="E516" s="41">
        <v>46139</v>
      </c>
      <c r="F516" s="47">
        <v>0.62420138888888888</v>
      </c>
      <c r="G516" s="44">
        <v>6.3</v>
      </c>
      <c r="H516" s="43" t="s">
        <v>237</v>
      </c>
      <c r="I516" s="40" t="s">
        <v>1281</v>
      </c>
    </row>
    <row r="517" spans="1:9" x14ac:dyDescent="0.25">
      <c r="A517" s="40" t="s">
        <v>268</v>
      </c>
      <c r="B517" s="28">
        <v>760</v>
      </c>
      <c r="C517" s="28" t="s">
        <v>35</v>
      </c>
      <c r="D517" s="28" t="s">
        <v>38</v>
      </c>
      <c r="E517" s="41">
        <v>46139</v>
      </c>
      <c r="F517" s="47">
        <v>0.63062499999999999</v>
      </c>
      <c r="G517" s="42">
        <v>6.3</v>
      </c>
      <c r="H517" s="40" t="s">
        <v>234</v>
      </c>
      <c r="I517" s="40" t="s">
        <v>1281</v>
      </c>
    </row>
    <row r="518" spans="1:9" x14ac:dyDescent="0.25">
      <c r="A518" s="40" t="s">
        <v>59</v>
      </c>
      <c r="B518" s="28">
        <v>766</v>
      </c>
      <c r="C518" s="28">
        <v>5642311</v>
      </c>
      <c r="D518" s="28"/>
      <c r="E518" s="41">
        <v>46141</v>
      </c>
      <c r="F518" s="47">
        <v>0.65452546296296299</v>
      </c>
      <c r="G518" s="44">
        <v>6.3</v>
      </c>
      <c r="H518" s="43" t="s">
        <v>235</v>
      </c>
      <c r="I518" s="40" t="s">
        <v>1281</v>
      </c>
    </row>
    <row r="519" spans="1:9" x14ac:dyDescent="0.25">
      <c r="A519" s="40" t="s">
        <v>59</v>
      </c>
      <c r="B519" s="28">
        <v>766</v>
      </c>
      <c r="C519" s="28">
        <v>5642311</v>
      </c>
      <c r="D519" s="28"/>
      <c r="E519" s="41">
        <v>46141</v>
      </c>
      <c r="F519" s="47">
        <v>0.67112268518518514</v>
      </c>
      <c r="G519" s="44">
        <v>6.3</v>
      </c>
      <c r="H519" s="43" t="s">
        <v>236</v>
      </c>
      <c r="I519" s="40" t="s">
        <v>1281</v>
      </c>
    </row>
    <row r="520" spans="1:9" x14ac:dyDescent="0.25">
      <c r="A520" s="40" t="s">
        <v>59</v>
      </c>
      <c r="B520" s="28">
        <v>766</v>
      </c>
      <c r="C520" s="28">
        <v>5644413</v>
      </c>
      <c r="D520" s="28"/>
      <c r="E520" s="45">
        <v>46142</v>
      </c>
      <c r="F520" s="48">
        <v>0.45466435185185183</v>
      </c>
      <c r="G520" s="42">
        <v>6.3</v>
      </c>
      <c r="H520" s="40" t="s">
        <v>235</v>
      </c>
      <c r="I520" s="40" t="s">
        <v>1281</v>
      </c>
    </row>
    <row r="521" spans="1:9" x14ac:dyDescent="0.25">
      <c r="A521" s="40" t="s">
        <v>59</v>
      </c>
      <c r="B521" s="28">
        <v>766</v>
      </c>
      <c r="C521" s="28">
        <v>5644413</v>
      </c>
      <c r="D521" s="28"/>
      <c r="E521" s="41">
        <v>46142</v>
      </c>
      <c r="F521" s="47">
        <v>0.47098379629629628</v>
      </c>
      <c r="G521" s="42">
        <v>6.3</v>
      </c>
      <c r="H521" s="40" t="s">
        <v>236</v>
      </c>
      <c r="I521" s="40" t="s">
        <v>1281</v>
      </c>
    </row>
    <row r="522" spans="1:9" x14ac:dyDescent="0.25">
      <c r="A522" s="40" t="s">
        <v>59</v>
      </c>
      <c r="B522" s="28">
        <v>766</v>
      </c>
      <c r="C522" s="28" t="s">
        <v>473</v>
      </c>
      <c r="D522" s="28"/>
      <c r="E522" s="45">
        <v>46145</v>
      </c>
      <c r="F522" s="48">
        <v>9.2361111111111116E-3</v>
      </c>
      <c r="G522" s="42">
        <v>6.3</v>
      </c>
      <c r="H522" s="40" t="s">
        <v>235</v>
      </c>
      <c r="I522" s="40" t="s">
        <v>1282</v>
      </c>
    </row>
    <row r="523" spans="1:9" x14ac:dyDescent="0.25">
      <c r="A523" s="40" t="s">
        <v>59</v>
      </c>
      <c r="B523" s="28">
        <v>766</v>
      </c>
      <c r="C523" s="28" t="s">
        <v>473</v>
      </c>
      <c r="D523" s="28"/>
      <c r="E523" s="41">
        <v>46145</v>
      </c>
      <c r="F523" s="47">
        <v>1.699074074074074E-2</v>
      </c>
      <c r="G523" s="42">
        <v>6.3</v>
      </c>
      <c r="H523" s="40" t="s">
        <v>236</v>
      </c>
      <c r="I523" s="40" t="s">
        <v>1282</v>
      </c>
    </row>
    <row r="524" spans="1:9" x14ac:dyDescent="0.25">
      <c r="A524" s="40" t="s">
        <v>60</v>
      </c>
      <c r="B524" s="28">
        <v>772</v>
      </c>
      <c r="C524" s="28">
        <v>5636152</v>
      </c>
      <c r="D524" s="28"/>
      <c r="E524" s="41">
        <v>46139</v>
      </c>
      <c r="F524" s="47">
        <v>0.33255787037037038</v>
      </c>
      <c r="G524" s="42">
        <v>6.3</v>
      </c>
      <c r="H524" s="40" t="s">
        <v>234</v>
      </c>
      <c r="I524" s="40" t="s">
        <v>1281</v>
      </c>
    </row>
    <row r="525" spans="1:9" x14ac:dyDescent="0.25">
      <c r="A525" s="40" t="s">
        <v>60</v>
      </c>
      <c r="B525" s="28">
        <v>772</v>
      </c>
      <c r="C525" s="28">
        <v>5643249</v>
      </c>
      <c r="D525" s="28"/>
      <c r="E525" s="41">
        <v>46141</v>
      </c>
      <c r="F525" s="47">
        <v>0.76239583333333338</v>
      </c>
      <c r="G525" s="42">
        <v>6.3</v>
      </c>
      <c r="H525" s="40" t="s">
        <v>235</v>
      </c>
      <c r="I525" s="40" t="s">
        <v>1281</v>
      </c>
    </row>
    <row r="526" spans="1:9" x14ac:dyDescent="0.25">
      <c r="A526" s="40" t="s">
        <v>60</v>
      </c>
      <c r="B526" s="28">
        <v>772</v>
      </c>
      <c r="C526" s="28">
        <v>5643249</v>
      </c>
      <c r="D526" s="28"/>
      <c r="E526" s="41">
        <v>46141</v>
      </c>
      <c r="F526" s="47">
        <v>0.78500000000000003</v>
      </c>
      <c r="G526" s="44">
        <v>6.3</v>
      </c>
      <c r="H526" s="43" t="s">
        <v>236</v>
      </c>
      <c r="I526" s="40" t="s">
        <v>1281</v>
      </c>
    </row>
    <row r="527" spans="1:9" x14ac:dyDescent="0.25">
      <c r="A527" s="40" t="s">
        <v>60</v>
      </c>
      <c r="B527" s="28">
        <v>772</v>
      </c>
      <c r="C527" s="28" t="s">
        <v>474</v>
      </c>
      <c r="D527" s="28"/>
      <c r="E527" s="41">
        <v>46143</v>
      </c>
      <c r="F527" s="47">
        <v>0.78226851851851853</v>
      </c>
      <c r="G527" s="44">
        <v>6.3</v>
      </c>
      <c r="H527" s="43" t="s">
        <v>235</v>
      </c>
      <c r="I527" s="40" t="s">
        <v>1282</v>
      </c>
    </row>
    <row r="528" spans="1:9" x14ac:dyDescent="0.25">
      <c r="A528" s="40" t="s">
        <v>60</v>
      </c>
      <c r="B528" s="28">
        <v>772</v>
      </c>
      <c r="C528" s="28" t="s">
        <v>474</v>
      </c>
      <c r="D528" s="28"/>
      <c r="E528" s="41">
        <v>46143</v>
      </c>
      <c r="F528" s="47">
        <v>0.78993055555555558</v>
      </c>
      <c r="G528" s="44">
        <v>6.3</v>
      </c>
      <c r="H528" s="43" t="s">
        <v>236</v>
      </c>
      <c r="I528" s="40" t="s">
        <v>1282</v>
      </c>
    </row>
    <row r="529" spans="1:9" x14ac:dyDescent="0.25">
      <c r="A529" s="40" t="s">
        <v>60</v>
      </c>
      <c r="B529" s="28">
        <v>772</v>
      </c>
      <c r="C529" s="28" t="s">
        <v>475</v>
      </c>
      <c r="D529" s="28"/>
      <c r="E529" s="41">
        <v>46144</v>
      </c>
      <c r="F529" s="47">
        <v>0.62370370370370365</v>
      </c>
      <c r="G529" s="44">
        <v>6.3</v>
      </c>
      <c r="H529" s="43" t="s">
        <v>235</v>
      </c>
      <c r="I529" s="40" t="s">
        <v>1282</v>
      </c>
    </row>
    <row r="530" spans="1:9" x14ac:dyDescent="0.25">
      <c r="A530" s="40" t="s">
        <v>60</v>
      </c>
      <c r="B530" s="28">
        <v>772</v>
      </c>
      <c r="C530" s="28" t="s">
        <v>475</v>
      </c>
      <c r="D530" s="28"/>
      <c r="E530" s="45">
        <v>46144</v>
      </c>
      <c r="F530" s="48">
        <v>0.64033564814814814</v>
      </c>
      <c r="G530" s="44">
        <v>6.3</v>
      </c>
      <c r="H530" s="43" t="s">
        <v>240</v>
      </c>
      <c r="I530" s="40" t="s">
        <v>1282</v>
      </c>
    </row>
    <row r="531" spans="1:9" x14ac:dyDescent="0.25">
      <c r="A531" s="40" t="s">
        <v>60</v>
      </c>
      <c r="B531" s="28">
        <v>772</v>
      </c>
      <c r="C531" s="28" t="s">
        <v>35</v>
      </c>
      <c r="D531" s="28" t="s">
        <v>38</v>
      </c>
      <c r="E531" s="41">
        <v>46144</v>
      </c>
      <c r="F531" s="47">
        <v>0.78569444444444447</v>
      </c>
      <c r="G531" s="44">
        <v>6.3</v>
      </c>
      <c r="H531" s="43" t="s">
        <v>233</v>
      </c>
      <c r="I531" s="40" t="s">
        <v>1282</v>
      </c>
    </row>
    <row r="532" spans="1:9" x14ac:dyDescent="0.25">
      <c r="A532" s="40" t="s">
        <v>60</v>
      </c>
      <c r="B532" s="28">
        <v>772</v>
      </c>
      <c r="C532" s="28" t="s">
        <v>35</v>
      </c>
      <c r="D532" s="28" t="s">
        <v>38</v>
      </c>
      <c r="E532" s="41">
        <v>46144</v>
      </c>
      <c r="F532" s="47">
        <v>0.79196759259259264</v>
      </c>
      <c r="G532" s="44">
        <v>6.3</v>
      </c>
      <c r="H532" s="43" t="s">
        <v>234</v>
      </c>
      <c r="I532" s="40" t="s">
        <v>1282</v>
      </c>
    </row>
    <row r="533" spans="1:9" x14ac:dyDescent="0.25">
      <c r="A533" s="40" t="s">
        <v>368</v>
      </c>
      <c r="B533" s="28">
        <v>774</v>
      </c>
      <c r="C533" s="28">
        <v>5640554</v>
      </c>
      <c r="D533" s="28" t="s">
        <v>37</v>
      </c>
      <c r="E533" s="41">
        <v>46140</v>
      </c>
      <c r="F533" s="47">
        <v>0.60160879629629627</v>
      </c>
      <c r="G533" s="44">
        <v>6.3</v>
      </c>
      <c r="H533" s="43" t="s">
        <v>240</v>
      </c>
      <c r="I533" s="40" t="s">
        <v>1281</v>
      </c>
    </row>
    <row r="534" spans="1:9" x14ac:dyDescent="0.25">
      <c r="A534" s="40" t="s">
        <v>368</v>
      </c>
      <c r="B534" s="28">
        <v>774</v>
      </c>
      <c r="C534" s="28" t="s">
        <v>35</v>
      </c>
      <c r="D534" s="28" t="s">
        <v>38</v>
      </c>
      <c r="E534" s="41">
        <v>46144</v>
      </c>
      <c r="F534" s="47">
        <v>0.74359953703703707</v>
      </c>
      <c r="G534" s="44">
        <v>6.3</v>
      </c>
      <c r="H534" s="43" t="s">
        <v>235</v>
      </c>
      <c r="I534" s="40" t="s">
        <v>1282</v>
      </c>
    </row>
    <row r="535" spans="1:9" x14ac:dyDescent="0.25">
      <c r="A535" s="40" t="s">
        <v>368</v>
      </c>
      <c r="B535" s="28">
        <v>774</v>
      </c>
      <c r="C535" s="28" t="s">
        <v>35</v>
      </c>
      <c r="D535" s="28" t="s">
        <v>38</v>
      </c>
      <c r="E535" s="45">
        <v>46144</v>
      </c>
      <c r="F535" s="48">
        <v>0.7507638888888889</v>
      </c>
      <c r="G535" s="44">
        <v>6.3</v>
      </c>
      <c r="H535" s="43" t="s">
        <v>239</v>
      </c>
      <c r="I535" s="40" t="s">
        <v>1282</v>
      </c>
    </row>
    <row r="536" spans="1:9" x14ac:dyDescent="0.25">
      <c r="A536" s="40" t="s">
        <v>368</v>
      </c>
      <c r="B536" s="28">
        <v>774</v>
      </c>
      <c r="C536" s="28" t="s">
        <v>35</v>
      </c>
      <c r="D536" s="28" t="s">
        <v>38</v>
      </c>
      <c r="E536" s="45">
        <v>46144</v>
      </c>
      <c r="F536" s="48">
        <v>0.91207175925925921</v>
      </c>
      <c r="G536" s="44">
        <v>6.3</v>
      </c>
      <c r="H536" s="43" t="s">
        <v>238</v>
      </c>
      <c r="I536" s="40" t="s">
        <v>1282</v>
      </c>
    </row>
    <row r="537" spans="1:9" x14ac:dyDescent="0.25">
      <c r="A537" s="40" t="s">
        <v>368</v>
      </c>
      <c r="B537" s="28">
        <v>774</v>
      </c>
      <c r="C537" s="28" t="s">
        <v>35</v>
      </c>
      <c r="D537" s="28" t="s">
        <v>38</v>
      </c>
      <c r="E537" s="41">
        <v>46144</v>
      </c>
      <c r="F537" s="47">
        <v>0.93579861111111107</v>
      </c>
      <c r="G537" s="44">
        <v>6.3</v>
      </c>
      <c r="H537" s="43" t="s">
        <v>242</v>
      </c>
      <c r="I537" s="40" t="s">
        <v>1282</v>
      </c>
    </row>
    <row r="538" spans="1:9" x14ac:dyDescent="0.25">
      <c r="A538" s="40" t="s">
        <v>476</v>
      </c>
      <c r="B538" s="28">
        <v>781</v>
      </c>
      <c r="C538" s="28">
        <v>5637027</v>
      </c>
      <c r="D538" s="28"/>
      <c r="E538" s="45">
        <v>46139</v>
      </c>
      <c r="F538" s="48">
        <v>0.15156249999999999</v>
      </c>
      <c r="G538" s="44">
        <v>6.3</v>
      </c>
      <c r="H538" s="43" t="s">
        <v>237</v>
      </c>
      <c r="I538" s="40" t="s">
        <v>1281</v>
      </c>
    </row>
    <row r="539" spans="1:9" x14ac:dyDescent="0.25">
      <c r="A539" s="40" t="s">
        <v>476</v>
      </c>
      <c r="B539" s="28">
        <v>781</v>
      </c>
      <c r="C539" s="28">
        <v>5637027</v>
      </c>
      <c r="D539" s="28"/>
      <c r="E539" s="41">
        <v>46139</v>
      </c>
      <c r="F539" s="47">
        <v>0.15641203703703704</v>
      </c>
      <c r="G539" s="44">
        <v>6.3</v>
      </c>
      <c r="H539" s="43" t="s">
        <v>234</v>
      </c>
      <c r="I539" s="40" t="s">
        <v>1281</v>
      </c>
    </row>
    <row r="540" spans="1:9" x14ac:dyDescent="0.25">
      <c r="A540" s="40" t="s">
        <v>476</v>
      </c>
      <c r="B540" s="28">
        <v>781</v>
      </c>
      <c r="C540" s="28">
        <v>5639410</v>
      </c>
      <c r="D540" s="28"/>
      <c r="E540" s="41">
        <v>46139</v>
      </c>
      <c r="F540" s="47">
        <v>0.94405092592592588</v>
      </c>
      <c r="G540" s="44">
        <v>6.3</v>
      </c>
      <c r="H540" s="43" t="s">
        <v>235</v>
      </c>
      <c r="I540" s="40" t="s">
        <v>1281</v>
      </c>
    </row>
    <row r="541" spans="1:9" x14ac:dyDescent="0.25">
      <c r="A541" s="40" t="s">
        <v>476</v>
      </c>
      <c r="B541" s="28">
        <v>781</v>
      </c>
      <c r="C541" s="28">
        <v>5639410</v>
      </c>
      <c r="D541" s="28"/>
      <c r="E541" s="41">
        <v>46139</v>
      </c>
      <c r="F541" s="47">
        <v>0.95081018518518523</v>
      </c>
      <c r="G541" s="44">
        <v>6.3</v>
      </c>
      <c r="H541" s="43" t="s">
        <v>236</v>
      </c>
      <c r="I541" s="40" t="s">
        <v>1281</v>
      </c>
    </row>
    <row r="542" spans="1:9" x14ac:dyDescent="0.25">
      <c r="A542" s="40" t="s">
        <v>476</v>
      </c>
      <c r="B542" s="28">
        <v>781</v>
      </c>
      <c r="C542" s="28">
        <v>5639831</v>
      </c>
      <c r="D542" s="28"/>
      <c r="E542" s="41">
        <v>46140</v>
      </c>
      <c r="F542" s="47">
        <v>2.0671296296296295E-2</v>
      </c>
      <c r="G542" s="44">
        <v>6.3</v>
      </c>
      <c r="H542" s="43" t="s">
        <v>235</v>
      </c>
      <c r="I542" s="40" t="s">
        <v>1281</v>
      </c>
    </row>
    <row r="543" spans="1:9" x14ac:dyDescent="0.25">
      <c r="A543" s="40" t="s">
        <v>476</v>
      </c>
      <c r="B543" s="28">
        <v>781</v>
      </c>
      <c r="C543" s="28">
        <v>5639831</v>
      </c>
      <c r="D543" s="28"/>
      <c r="E543" s="45">
        <v>46140</v>
      </c>
      <c r="F543" s="48">
        <v>2.704861111111111E-2</v>
      </c>
      <c r="G543" s="42">
        <v>6.3</v>
      </c>
      <c r="H543" s="40" t="s">
        <v>236</v>
      </c>
      <c r="I543" s="40" t="s">
        <v>1281</v>
      </c>
    </row>
    <row r="544" spans="1:9" x14ac:dyDescent="0.25">
      <c r="A544" s="40" t="s">
        <v>476</v>
      </c>
      <c r="B544" s="28">
        <v>781</v>
      </c>
      <c r="C544" s="28">
        <v>5639419</v>
      </c>
      <c r="D544" s="28"/>
      <c r="E544" s="41">
        <v>46140</v>
      </c>
      <c r="F544" s="47">
        <v>0.16096064814814814</v>
      </c>
      <c r="G544" s="42">
        <v>6.3</v>
      </c>
      <c r="H544" s="40" t="s">
        <v>237</v>
      </c>
      <c r="I544" s="40" t="s">
        <v>1281</v>
      </c>
    </row>
    <row r="545" spans="1:9" x14ac:dyDescent="0.25">
      <c r="A545" s="40" t="s">
        <v>476</v>
      </c>
      <c r="B545" s="28">
        <v>781</v>
      </c>
      <c r="C545" s="28">
        <v>5639419</v>
      </c>
      <c r="D545" s="28"/>
      <c r="E545" s="41">
        <v>46140</v>
      </c>
      <c r="F545" s="47">
        <v>0.16589120370370369</v>
      </c>
      <c r="G545" s="44">
        <v>6.3</v>
      </c>
      <c r="H545" s="43" t="s">
        <v>234</v>
      </c>
      <c r="I545" s="40" t="s">
        <v>1281</v>
      </c>
    </row>
    <row r="546" spans="1:9" x14ac:dyDescent="0.25">
      <c r="A546" s="40" t="s">
        <v>476</v>
      </c>
      <c r="B546" s="28">
        <v>781</v>
      </c>
      <c r="C546" s="28">
        <v>5644115</v>
      </c>
      <c r="D546" s="28"/>
      <c r="E546" s="41">
        <v>46142</v>
      </c>
      <c r="F546" s="47">
        <v>0.23284722222222223</v>
      </c>
      <c r="G546" s="44">
        <v>6.3</v>
      </c>
      <c r="H546" s="43" t="s">
        <v>235</v>
      </c>
      <c r="I546" s="40" t="s">
        <v>1281</v>
      </c>
    </row>
    <row r="547" spans="1:9" x14ac:dyDescent="0.25">
      <c r="A547" s="40" t="s">
        <v>476</v>
      </c>
      <c r="B547" s="28">
        <v>781</v>
      </c>
      <c r="C547" s="28">
        <v>5645283</v>
      </c>
      <c r="D547" s="28"/>
      <c r="E547" s="41">
        <v>46142</v>
      </c>
      <c r="F547" s="47">
        <v>0.82901620370370366</v>
      </c>
      <c r="G547" s="44">
        <v>6.3</v>
      </c>
      <c r="H547" s="43" t="s">
        <v>235</v>
      </c>
      <c r="I547" s="40" t="s">
        <v>1281</v>
      </c>
    </row>
    <row r="548" spans="1:9" x14ac:dyDescent="0.25">
      <c r="A548" s="40" t="s">
        <v>476</v>
      </c>
      <c r="B548" s="28">
        <v>781</v>
      </c>
      <c r="C548" s="28">
        <v>5645283</v>
      </c>
      <c r="D548" s="28"/>
      <c r="E548" s="41">
        <v>46142</v>
      </c>
      <c r="F548" s="47">
        <v>0.83877314814814818</v>
      </c>
      <c r="G548" s="44">
        <v>6.3</v>
      </c>
      <c r="H548" s="43" t="s">
        <v>239</v>
      </c>
      <c r="I548" s="40" t="s">
        <v>1281</v>
      </c>
    </row>
    <row r="549" spans="1:9" x14ac:dyDescent="0.25">
      <c r="A549" s="40" t="s">
        <v>476</v>
      </c>
      <c r="B549" s="28">
        <v>781</v>
      </c>
      <c r="C549" s="28">
        <v>5645812</v>
      </c>
      <c r="D549" s="28"/>
      <c r="E549" s="45">
        <v>46142</v>
      </c>
      <c r="F549" s="48">
        <v>0.96377314814814818</v>
      </c>
      <c r="G549" s="44">
        <v>6.3</v>
      </c>
      <c r="H549" s="43" t="s">
        <v>235</v>
      </c>
      <c r="I549" s="40" t="s">
        <v>1282</v>
      </c>
    </row>
    <row r="550" spans="1:9" x14ac:dyDescent="0.25">
      <c r="A550" s="40" t="s">
        <v>476</v>
      </c>
      <c r="B550" s="28">
        <v>781</v>
      </c>
      <c r="C550" s="28">
        <v>5645812</v>
      </c>
      <c r="D550" s="28"/>
      <c r="E550" s="41">
        <v>46142</v>
      </c>
      <c r="F550" s="47">
        <v>0.97001157407407412</v>
      </c>
      <c r="G550" s="44">
        <v>6.3</v>
      </c>
      <c r="H550" s="43" t="s">
        <v>239</v>
      </c>
      <c r="I550" s="40" t="s">
        <v>1282</v>
      </c>
    </row>
    <row r="551" spans="1:9" x14ac:dyDescent="0.25">
      <c r="A551" s="40" t="s">
        <v>476</v>
      </c>
      <c r="B551" s="28">
        <v>781</v>
      </c>
      <c r="C551" s="28">
        <v>5645920</v>
      </c>
      <c r="D551" s="28"/>
      <c r="E551" s="41">
        <v>46143</v>
      </c>
      <c r="F551" s="47">
        <v>3.8726851851851853E-2</v>
      </c>
      <c r="G551" s="44">
        <v>6.3</v>
      </c>
      <c r="H551" s="43" t="s">
        <v>235</v>
      </c>
      <c r="I551" s="40" t="s">
        <v>1282</v>
      </c>
    </row>
    <row r="552" spans="1:9" x14ac:dyDescent="0.25">
      <c r="A552" s="40" t="s">
        <v>476</v>
      </c>
      <c r="B552" s="28">
        <v>781</v>
      </c>
      <c r="C552" s="28">
        <v>5645920</v>
      </c>
      <c r="D552" s="28"/>
      <c r="E552" s="41">
        <v>46143</v>
      </c>
      <c r="F552" s="47">
        <v>4.5497685185185183E-2</v>
      </c>
      <c r="G552" s="44">
        <v>6.3</v>
      </c>
      <c r="H552" s="43" t="s">
        <v>236</v>
      </c>
      <c r="I552" s="40" t="s">
        <v>1282</v>
      </c>
    </row>
    <row r="553" spans="1:9" x14ac:dyDescent="0.25">
      <c r="A553" s="40" t="s">
        <v>476</v>
      </c>
      <c r="B553" s="28">
        <v>781</v>
      </c>
      <c r="C553" s="28">
        <v>5645865</v>
      </c>
      <c r="D553" s="28"/>
      <c r="E553" s="41">
        <v>46143</v>
      </c>
      <c r="F553" s="47">
        <v>0.20265046296296296</v>
      </c>
      <c r="G553" s="44">
        <v>6.3</v>
      </c>
      <c r="H553" s="43" t="s">
        <v>237</v>
      </c>
      <c r="I553" s="40" t="s">
        <v>1282</v>
      </c>
    </row>
    <row r="554" spans="1:9" x14ac:dyDescent="0.25">
      <c r="A554" s="40" t="s">
        <v>476</v>
      </c>
      <c r="B554" s="28">
        <v>781</v>
      </c>
      <c r="C554" s="28">
        <v>5645865</v>
      </c>
      <c r="D554" s="28"/>
      <c r="E554" s="41">
        <v>46143</v>
      </c>
      <c r="F554" s="47">
        <v>0.20752314814814815</v>
      </c>
      <c r="G554" s="44">
        <v>6.3</v>
      </c>
      <c r="H554" s="43" t="s">
        <v>234</v>
      </c>
      <c r="I554" s="40" t="s">
        <v>1282</v>
      </c>
    </row>
    <row r="555" spans="1:9" x14ac:dyDescent="0.25">
      <c r="A555" s="40" t="s">
        <v>476</v>
      </c>
      <c r="B555" s="28">
        <v>781</v>
      </c>
      <c r="C555" s="28">
        <v>5642543</v>
      </c>
      <c r="D555" s="28"/>
      <c r="E555" s="45">
        <v>46143</v>
      </c>
      <c r="F555" s="48">
        <v>0.27069444444444446</v>
      </c>
      <c r="G555" s="44">
        <v>6.3</v>
      </c>
      <c r="H555" s="43" t="s">
        <v>237</v>
      </c>
      <c r="I555" s="40" t="s">
        <v>1282</v>
      </c>
    </row>
    <row r="556" spans="1:9" x14ac:dyDescent="0.25">
      <c r="A556" s="40" t="s">
        <v>476</v>
      </c>
      <c r="B556" s="28">
        <v>781</v>
      </c>
      <c r="C556" s="28">
        <v>5642543</v>
      </c>
      <c r="D556" s="28"/>
      <c r="E556" s="41">
        <v>46143</v>
      </c>
      <c r="F556" s="47">
        <v>0.27582175925925928</v>
      </c>
      <c r="G556" s="44">
        <v>6.3</v>
      </c>
      <c r="H556" s="43" t="s">
        <v>234</v>
      </c>
      <c r="I556" s="40" t="s">
        <v>1282</v>
      </c>
    </row>
    <row r="557" spans="1:9" x14ac:dyDescent="0.25">
      <c r="A557" s="40" t="s">
        <v>476</v>
      </c>
      <c r="B557" s="28">
        <v>781</v>
      </c>
      <c r="C557" s="28" t="s">
        <v>477</v>
      </c>
      <c r="D557" s="28"/>
      <c r="E557" s="41">
        <v>46143</v>
      </c>
      <c r="F557" s="47">
        <v>0.35486111111111113</v>
      </c>
      <c r="G557" s="44">
        <v>6.3</v>
      </c>
      <c r="H557" s="43" t="s">
        <v>235</v>
      </c>
      <c r="I557" s="40" t="s">
        <v>1282</v>
      </c>
    </row>
    <row r="558" spans="1:9" x14ac:dyDescent="0.25">
      <c r="A558" s="40" t="s">
        <v>476</v>
      </c>
      <c r="B558" s="28">
        <v>781</v>
      </c>
      <c r="C558" s="28" t="s">
        <v>477</v>
      </c>
      <c r="D558" s="28"/>
      <c r="E558" s="45">
        <v>46143</v>
      </c>
      <c r="F558" s="48">
        <v>0.36275462962962962</v>
      </c>
      <c r="G558" s="44">
        <v>6.3</v>
      </c>
      <c r="H558" s="43" t="s">
        <v>236</v>
      </c>
      <c r="I558" s="40" t="s">
        <v>1282</v>
      </c>
    </row>
    <row r="559" spans="1:9" x14ac:dyDescent="0.25">
      <c r="A559" s="40" t="s">
        <v>323</v>
      </c>
      <c r="B559" s="28">
        <v>785</v>
      </c>
      <c r="C559" s="28" t="s">
        <v>35</v>
      </c>
      <c r="D559" s="28" t="s">
        <v>38</v>
      </c>
      <c r="E559" s="41">
        <v>46139</v>
      </c>
      <c r="F559" s="47">
        <v>1.0046296296296296E-2</v>
      </c>
      <c r="G559" s="44">
        <v>6.3</v>
      </c>
      <c r="H559" s="43" t="s">
        <v>234</v>
      </c>
      <c r="I559" s="40" t="s">
        <v>1281</v>
      </c>
    </row>
    <row r="560" spans="1:9" x14ac:dyDescent="0.25">
      <c r="A560" s="40" t="s">
        <v>323</v>
      </c>
      <c r="B560" s="28">
        <v>785</v>
      </c>
      <c r="C560" s="28" t="s">
        <v>478</v>
      </c>
      <c r="D560" s="28"/>
      <c r="E560" s="45">
        <v>46140</v>
      </c>
      <c r="F560" s="48">
        <v>0.44603009259259258</v>
      </c>
      <c r="G560" s="44">
        <v>6.3</v>
      </c>
      <c r="H560" s="43" t="s">
        <v>235</v>
      </c>
      <c r="I560" s="40" t="s">
        <v>1281</v>
      </c>
    </row>
    <row r="561" spans="1:9" x14ac:dyDescent="0.25">
      <c r="A561" s="40" t="s">
        <v>323</v>
      </c>
      <c r="B561" s="28">
        <v>785</v>
      </c>
      <c r="C561" s="28" t="s">
        <v>478</v>
      </c>
      <c r="D561" s="28"/>
      <c r="E561" s="41">
        <v>46140</v>
      </c>
      <c r="F561" s="47">
        <v>0.45666666666666667</v>
      </c>
      <c r="G561" s="44">
        <v>6.3</v>
      </c>
      <c r="H561" s="43" t="s">
        <v>236</v>
      </c>
      <c r="I561" s="40" t="s">
        <v>1281</v>
      </c>
    </row>
    <row r="562" spans="1:9" x14ac:dyDescent="0.25">
      <c r="A562" s="40" t="s">
        <v>323</v>
      </c>
      <c r="B562" s="28">
        <v>785</v>
      </c>
      <c r="C562" s="28" t="s">
        <v>35</v>
      </c>
      <c r="D562" s="28" t="s">
        <v>38</v>
      </c>
      <c r="E562" s="41">
        <v>46140</v>
      </c>
      <c r="F562" s="47">
        <v>0.48417824074074073</v>
      </c>
      <c r="G562" s="44">
        <v>6.3</v>
      </c>
      <c r="H562" s="43" t="s">
        <v>237</v>
      </c>
      <c r="I562" s="40" t="s">
        <v>1281</v>
      </c>
    </row>
    <row r="563" spans="1:9" x14ac:dyDescent="0.25">
      <c r="A563" s="40" t="s">
        <v>323</v>
      </c>
      <c r="B563" s="28">
        <v>785</v>
      </c>
      <c r="C563" s="28" t="s">
        <v>35</v>
      </c>
      <c r="D563" s="28" t="s">
        <v>38</v>
      </c>
      <c r="E563" s="45">
        <v>46140</v>
      </c>
      <c r="F563" s="48">
        <v>0.49180555555555555</v>
      </c>
      <c r="G563" s="44">
        <v>6.3</v>
      </c>
      <c r="H563" s="43" t="s">
        <v>234</v>
      </c>
      <c r="I563" s="40" t="s">
        <v>1281</v>
      </c>
    </row>
    <row r="564" spans="1:9" x14ac:dyDescent="0.25">
      <c r="A564" s="40" t="s">
        <v>323</v>
      </c>
      <c r="B564" s="28">
        <v>785</v>
      </c>
      <c r="C564" s="28">
        <v>5643849</v>
      </c>
      <c r="D564" s="28"/>
      <c r="E564" s="41">
        <v>46141</v>
      </c>
      <c r="F564" s="47">
        <v>0.96026620370370375</v>
      </c>
      <c r="G564" s="44">
        <v>6.3</v>
      </c>
      <c r="H564" s="43" t="s">
        <v>235</v>
      </c>
      <c r="I564" s="40" t="s">
        <v>1281</v>
      </c>
    </row>
    <row r="565" spans="1:9" x14ac:dyDescent="0.25">
      <c r="A565" s="40" t="s">
        <v>323</v>
      </c>
      <c r="B565" s="28">
        <v>785</v>
      </c>
      <c r="C565" s="28">
        <v>5643849</v>
      </c>
      <c r="D565" s="28"/>
      <c r="E565" s="41">
        <v>46141</v>
      </c>
      <c r="F565" s="47">
        <v>0.96787037037037038</v>
      </c>
      <c r="G565" s="44">
        <v>6.3</v>
      </c>
      <c r="H565" s="43" t="s">
        <v>236</v>
      </c>
      <c r="I565" s="40" t="s">
        <v>1281</v>
      </c>
    </row>
    <row r="566" spans="1:9" x14ac:dyDescent="0.25">
      <c r="A566" s="40" t="s">
        <v>323</v>
      </c>
      <c r="B566" s="28">
        <v>785</v>
      </c>
      <c r="C566" s="28">
        <v>5644009</v>
      </c>
      <c r="D566" s="28"/>
      <c r="E566" s="41">
        <v>46142</v>
      </c>
      <c r="F566" s="47">
        <v>3.8773148148148147E-2</v>
      </c>
      <c r="G566" s="44">
        <v>6.3</v>
      </c>
      <c r="H566" s="43" t="s">
        <v>235</v>
      </c>
      <c r="I566" s="40" t="s">
        <v>1282</v>
      </c>
    </row>
    <row r="567" spans="1:9" x14ac:dyDescent="0.25">
      <c r="A567" s="40" t="s">
        <v>323</v>
      </c>
      <c r="B567" s="28">
        <v>785</v>
      </c>
      <c r="C567" s="28">
        <v>5644009</v>
      </c>
      <c r="D567" s="28"/>
      <c r="E567" s="41">
        <v>46142</v>
      </c>
      <c r="F567" s="47">
        <v>5.1273148148148151E-2</v>
      </c>
      <c r="G567" s="42">
        <v>6.3</v>
      </c>
      <c r="H567" s="40" t="s">
        <v>236</v>
      </c>
      <c r="I567" s="40" t="s">
        <v>1281</v>
      </c>
    </row>
    <row r="568" spans="1:9" x14ac:dyDescent="0.25">
      <c r="A568" s="40" t="s">
        <v>323</v>
      </c>
      <c r="B568" s="28">
        <v>785</v>
      </c>
      <c r="C568" s="28" t="s">
        <v>479</v>
      </c>
      <c r="D568" s="28"/>
      <c r="E568" s="41">
        <v>46145</v>
      </c>
      <c r="F568" s="47">
        <v>0.63975694444444442</v>
      </c>
      <c r="G568" s="44">
        <v>6.3</v>
      </c>
      <c r="H568" s="43" t="s">
        <v>235</v>
      </c>
      <c r="I568" s="40" t="s">
        <v>1282</v>
      </c>
    </row>
    <row r="569" spans="1:9" x14ac:dyDescent="0.25">
      <c r="A569" s="40" t="s">
        <v>323</v>
      </c>
      <c r="B569" s="28">
        <v>785</v>
      </c>
      <c r="C569" s="28" t="s">
        <v>479</v>
      </c>
      <c r="D569" s="28"/>
      <c r="E569" s="41">
        <v>46145</v>
      </c>
      <c r="F569" s="47">
        <v>0.64701388888888889</v>
      </c>
      <c r="G569" s="44">
        <v>6.3</v>
      </c>
      <c r="H569" s="43" t="s">
        <v>236</v>
      </c>
      <c r="I569" s="40" t="s">
        <v>1282</v>
      </c>
    </row>
    <row r="570" spans="1:9" x14ac:dyDescent="0.25">
      <c r="A570" s="40" t="s">
        <v>323</v>
      </c>
      <c r="B570" s="28">
        <v>785</v>
      </c>
      <c r="C570" s="28" t="s">
        <v>35</v>
      </c>
      <c r="D570" s="28" t="s">
        <v>38</v>
      </c>
      <c r="E570" s="45">
        <v>46145</v>
      </c>
      <c r="F570" s="48">
        <v>0.66204861111111113</v>
      </c>
      <c r="G570" s="44">
        <v>6.3</v>
      </c>
      <c r="H570" s="43" t="s">
        <v>237</v>
      </c>
      <c r="I570" s="40" t="s">
        <v>1282</v>
      </c>
    </row>
    <row r="571" spans="1:9" x14ac:dyDescent="0.25">
      <c r="A571" s="40" t="s">
        <v>323</v>
      </c>
      <c r="B571" s="28">
        <v>785</v>
      </c>
      <c r="C571" s="28" t="s">
        <v>35</v>
      </c>
      <c r="D571" s="28" t="s">
        <v>38</v>
      </c>
      <c r="E571" s="45">
        <v>46145</v>
      </c>
      <c r="F571" s="48">
        <v>0.66778935185185184</v>
      </c>
      <c r="G571" s="44">
        <v>6.3</v>
      </c>
      <c r="H571" s="43" t="s">
        <v>234</v>
      </c>
      <c r="I571" s="40" t="s">
        <v>1282</v>
      </c>
    </row>
    <row r="572" spans="1:9" x14ac:dyDescent="0.25">
      <c r="A572" s="40" t="s">
        <v>61</v>
      </c>
      <c r="B572" s="28">
        <v>790</v>
      </c>
      <c r="C572" s="28">
        <v>5637621</v>
      </c>
      <c r="D572" s="28"/>
      <c r="E572" s="41">
        <v>46139</v>
      </c>
      <c r="F572" s="47">
        <v>8.9930555555555562E-3</v>
      </c>
      <c r="G572" s="44">
        <v>6.3</v>
      </c>
      <c r="H572" s="43" t="s">
        <v>235</v>
      </c>
      <c r="I572" s="40" t="s">
        <v>1281</v>
      </c>
    </row>
    <row r="573" spans="1:9" x14ac:dyDescent="0.25">
      <c r="A573" s="40" t="s">
        <v>61</v>
      </c>
      <c r="B573" s="28">
        <v>790</v>
      </c>
      <c r="C573" s="28">
        <v>5637621</v>
      </c>
      <c r="D573" s="28"/>
      <c r="E573" s="41">
        <v>46139</v>
      </c>
      <c r="F573" s="47">
        <v>1.5706018518518518E-2</v>
      </c>
      <c r="G573" s="44">
        <v>6.3</v>
      </c>
      <c r="H573" s="43" t="s">
        <v>236</v>
      </c>
      <c r="I573" s="40" t="s">
        <v>1281</v>
      </c>
    </row>
    <row r="574" spans="1:9" x14ac:dyDescent="0.25">
      <c r="A574" s="40" t="s">
        <v>61</v>
      </c>
      <c r="B574" s="28">
        <v>790</v>
      </c>
      <c r="C574" s="28" t="s">
        <v>35</v>
      </c>
      <c r="D574" s="28" t="s">
        <v>38</v>
      </c>
      <c r="E574" s="41">
        <v>46139</v>
      </c>
      <c r="F574" s="47">
        <v>4.7083333333333331E-2</v>
      </c>
      <c r="G574" s="44">
        <v>6.3</v>
      </c>
      <c r="H574" s="43" t="s">
        <v>233</v>
      </c>
      <c r="I574" s="40" t="s">
        <v>1281</v>
      </c>
    </row>
    <row r="575" spans="1:9" x14ac:dyDescent="0.25">
      <c r="A575" s="40" t="s">
        <v>61</v>
      </c>
      <c r="B575" s="28">
        <v>790</v>
      </c>
      <c r="C575" s="28">
        <v>5637756</v>
      </c>
      <c r="D575" s="28"/>
      <c r="E575" s="41">
        <v>46139</v>
      </c>
      <c r="F575" s="47">
        <v>8.924768518518518E-2</v>
      </c>
      <c r="G575" s="44">
        <v>6.3</v>
      </c>
      <c r="H575" s="43" t="s">
        <v>235</v>
      </c>
      <c r="I575" s="40" t="s">
        <v>1281</v>
      </c>
    </row>
    <row r="576" spans="1:9" x14ac:dyDescent="0.25">
      <c r="A576" s="40" t="s">
        <v>61</v>
      </c>
      <c r="B576" s="28">
        <v>790</v>
      </c>
      <c r="C576" s="28">
        <v>5637756</v>
      </c>
      <c r="D576" s="28"/>
      <c r="E576" s="41">
        <v>46139</v>
      </c>
      <c r="F576" s="47">
        <v>9.5879629629629634E-2</v>
      </c>
      <c r="G576" s="44">
        <v>6.3</v>
      </c>
      <c r="H576" s="43" t="s">
        <v>236</v>
      </c>
      <c r="I576" s="40" t="s">
        <v>1281</v>
      </c>
    </row>
    <row r="577" spans="1:9" x14ac:dyDescent="0.25">
      <c r="A577" s="40" t="s">
        <v>61</v>
      </c>
      <c r="B577" s="28">
        <v>790</v>
      </c>
      <c r="C577" s="28" t="s">
        <v>480</v>
      </c>
      <c r="D577" s="28"/>
      <c r="E577" s="41">
        <v>46139</v>
      </c>
      <c r="F577" s="47">
        <v>0.23640046296296297</v>
      </c>
      <c r="G577" s="44">
        <v>6.3</v>
      </c>
      <c r="H577" s="43" t="s">
        <v>236</v>
      </c>
      <c r="I577" s="40" t="s">
        <v>1281</v>
      </c>
    </row>
    <row r="578" spans="1:9" x14ac:dyDescent="0.25">
      <c r="A578" s="40" t="s">
        <v>61</v>
      </c>
      <c r="B578" s="28">
        <v>790</v>
      </c>
      <c r="C578" s="28" t="s">
        <v>481</v>
      </c>
      <c r="D578" s="28"/>
      <c r="E578" s="41">
        <v>46139</v>
      </c>
      <c r="F578" s="47">
        <v>0.94349537037037035</v>
      </c>
      <c r="G578" s="44">
        <v>6.3</v>
      </c>
      <c r="H578" s="43" t="s">
        <v>235</v>
      </c>
      <c r="I578" s="40" t="s">
        <v>1281</v>
      </c>
    </row>
    <row r="579" spans="1:9" x14ac:dyDescent="0.25">
      <c r="A579" s="40" t="s">
        <v>61</v>
      </c>
      <c r="B579" s="28">
        <v>790</v>
      </c>
      <c r="C579" s="28" t="s">
        <v>481</v>
      </c>
      <c r="D579" s="28"/>
      <c r="E579" s="41">
        <v>46139</v>
      </c>
      <c r="F579" s="47">
        <v>0.95060185185185186</v>
      </c>
      <c r="G579" s="44">
        <v>6.3</v>
      </c>
      <c r="H579" s="43" t="s">
        <v>236</v>
      </c>
      <c r="I579" s="40" t="s">
        <v>1281</v>
      </c>
    </row>
    <row r="580" spans="1:9" x14ac:dyDescent="0.25">
      <c r="A580" s="40" t="s">
        <v>61</v>
      </c>
      <c r="B580" s="28">
        <v>790</v>
      </c>
      <c r="C580" s="28" t="s">
        <v>482</v>
      </c>
      <c r="D580" s="28"/>
      <c r="E580" s="41">
        <v>46140</v>
      </c>
      <c r="F580" s="47">
        <v>8.774305555555556E-2</v>
      </c>
      <c r="G580" s="44">
        <v>6.3</v>
      </c>
      <c r="H580" s="43" t="s">
        <v>235</v>
      </c>
      <c r="I580" s="40" t="s">
        <v>1281</v>
      </c>
    </row>
    <row r="581" spans="1:9" x14ac:dyDescent="0.25">
      <c r="A581" s="40" t="s">
        <v>61</v>
      </c>
      <c r="B581" s="28">
        <v>790</v>
      </c>
      <c r="C581" s="28" t="s">
        <v>482</v>
      </c>
      <c r="D581" s="28"/>
      <c r="E581" s="41">
        <v>46140</v>
      </c>
      <c r="F581" s="47">
        <v>9.4560185185185192E-2</v>
      </c>
      <c r="G581" s="44">
        <v>6.3</v>
      </c>
      <c r="H581" s="43" t="s">
        <v>236</v>
      </c>
      <c r="I581" s="40" t="s">
        <v>1281</v>
      </c>
    </row>
    <row r="582" spans="1:9" x14ac:dyDescent="0.25">
      <c r="A582" s="40" t="s">
        <v>61</v>
      </c>
      <c r="B582" s="28">
        <v>790</v>
      </c>
      <c r="C582" s="28">
        <v>5639597</v>
      </c>
      <c r="D582" s="28" t="s">
        <v>36</v>
      </c>
      <c r="E582" s="41">
        <v>46140</v>
      </c>
      <c r="F582" s="47">
        <v>0.17322916666666666</v>
      </c>
      <c r="G582" s="44">
        <v>6.3</v>
      </c>
      <c r="H582" s="43" t="s">
        <v>234</v>
      </c>
      <c r="I582" s="40" t="s">
        <v>1281</v>
      </c>
    </row>
    <row r="583" spans="1:9" x14ac:dyDescent="0.25">
      <c r="A583" s="40" t="s">
        <v>61</v>
      </c>
      <c r="B583" s="28">
        <v>790</v>
      </c>
      <c r="C583" s="28">
        <v>5632701</v>
      </c>
      <c r="D583" s="28"/>
      <c r="E583" s="41">
        <v>46140</v>
      </c>
      <c r="F583" s="47">
        <v>0.96450231481481485</v>
      </c>
      <c r="G583" s="44">
        <v>6.3</v>
      </c>
      <c r="H583" s="43" t="s">
        <v>235</v>
      </c>
      <c r="I583" s="40" t="s">
        <v>1281</v>
      </c>
    </row>
    <row r="584" spans="1:9" x14ac:dyDescent="0.25">
      <c r="A584" s="40" t="s">
        <v>61</v>
      </c>
      <c r="B584" s="28">
        <v>790</v>
      </c>
      <c r="C584" s="28">
        <v>5632701</v>
      </c>
      <c r="D584" s="28"/>
      <c r="E584" s="41">
        <v>46140</v>
      </c>
      <c r="F584" s="47">
        <v>0.97174768518518517</v>
      </c>
      <c r="G584" s="44">
        <v>6.3</v>
      </c>
      <c r="H584" s="43" t="s">
        <v>236</v>
      </c>
      <c r="I584" s="40" t="s">
        <v>1281</v>
      </c>
    </row>
    <row r="585" spans="1:9" x14ac:dyDescent="0.25">
      <c r="A585" s="40" t="s">
        <v>61</v>
      </c>
      <c r="B585" s="28">
        <v>790</v>
      </c>
      <c r="C585" s="28" t="s">
        <v>35</v>
      </c>
      <c r="D585" s="28" t="s">
        <v>38</v>
      </c>
      <c r="E585" s="41">
        <v>46141</v>
      </c>
      <c r="F585" s="47">
        <v>0.97349537037037037</v>
      </c>
      <c r="G585" s="44">
        <v>6.3</v>
      </c>
      <c r="H585" s="43" t="s">
        <v>234</v>
      </c>
      <c r="I585" s="40" t="s">
        <v>1281</v>
      </c>
    </row>
    <row r="586" spans="1:9" x14ac:dyDescent="0.25">
      <c r="A586" s="40" t="s">
        <v>230</v>
      </c>
      <c r="B586" s="28">
        <v>793</v>
      </c>
      <c r="C586" s="28" t="s">
        <v>483</v>
      </c>
      <c r="D586" s="28"/>
      <c r="E586" s="41">
        <v>46139</v>
      </c>
      <c r="F586" s="47">
        <v>0.45140046296296299</v>
      </c>
      <c r="G586" s="42">
        <v>6.3</v>
      </c>
      <c r="H586" s="40" t="s">
        <v>235</v>
      </c>
      <c r="I586" s="40" t="s">
        <v>1281</v>
      </c>
    </row>
    <row r="587" spans="1:9" x14ac:dyDescent="0.25">
      <c r="A587" s="40" t="s">
        <v>230</v>
      </c>
      <c r="B587" s="28">
        <v>793</v>
      </c>
      <c r="C587" s="28" t="s">
        <v>483</v>
      </c>
      <c r="D587" s="28"/>
      <c r="E587" s="41">
        <v>46139</v>
      </c>
      <c r="F587" s="47">
        <v>0.46149305555555553</v>
      </c>
      <c r="G587" s="42">
        <v>6.3</v>
      </c>
      <c r="H587" s="40" t="s">
        <v>236</v>
      </c>
      <c r="I587" s="40" t="s">
        <v>1281</v>
      </c>
    </row>
    <row r="588" spans="1:9" x14ac:dyDescent="0.25">
      <c r="A588" s="40" t="s">
        <v>230</v>
      </c>
      <c r="B588" s="28">
        <v>793</v>
      </c>
      <c r="C588" s="28" t="s">
        <v>35</v>
      </c>
      <c r="D588" s="28" t="s">
        <v>38</v>
      </c>
      <c r="E588" s="41">
        <v>46139</v>
      </c>
      <c r="F588" s="47">
        <v>0.50780092592592596</v>
      </c>
      <c r="G588" s="42">
        <v>6.3</v>
      </c>
      <c r="H588" s="40" t="s">
        <v>237</v>
      </c>
      <c r="I588" s="40" t="s">
        <v>1281</v>
      </c>
    </row>
    <row r="589" spans="1:9" x14ac:dyDescent="0.25">
      <c r="A589" s="40" t="s">
        <v>230</v>
      </c>
      <c r="B589" s="28">
        <v>793</v>
      </c>
      <c r="C589" s="28" t="s">
        <v>35</v>
      </c>
      <c r="D589" s="28" t="s">
        <v>38</v>
      </c>
      <c r="E589" s="41">
        <v>46141</v>
      </c>
      <c r="F589" s="47">
        <v>0.4079861111111111</v>
      </c>
      <c r="G589" s="42">
        <v>6.3</v>
      </c>
      <c r="H589" s="40" t="s">
        <v>235</v>
      </c>
      <c r="I589" s="40" t="s">
        <v>1281</v>
      </c>
    </row>
    <row r="590" spans="1:9" x14ac:dyDescent="0.25">
      <c r="A590" s="40" t="s">
        <v>230</v>
      </c>
      <c r="B590" s="28">
        <v>793</v>
      </c>
      <c r="C590" s="28" t="s">
        <v>35</v>
      </c>
      <c r="D590" s="28" t="s">
        <v>38</v>
      </c>
      <c r="E590" s="45">
        <v>46141</v>
      </c>
      <c r="F590" s="48">
        <v>0.53097222222222218</v>
      </c>
      <c r="G590" s="44">
        <v>6.3</v>
      </c>
      <c r="H590" s="43" t="s">
        <v>234</v>
      </c>
      <c r="I590" s="40" t="s">
        <v>1281</v>
      </c>
    </row>
    <row r="591" spans="1:9" x14ac:dyDescent="0.25">
      <c r="A591" s="40" t="s">
        <v>230</v>
      </c>
      <c r="B591" s="28">
        <v>793</v>
      </c>
      <c r="C591" s="28">
        <v>5645897</v>
      </c>
      <c r="D591" s="28" t="s">
        <v>37</v>
      </c>
      <c r="E591" s="41">
        <v>46143</v>
      </c>
      <c r="F591" s="47">
        <v>0.72303240740740737</v>
      </c>
      <c r="G591" s="44">
        <v>6.3</v>
      </c>
      <c r="H591" s="43" t="s">
        <v>235</v>
      </c>
      <c r="I591" s="40" t="s">
        <v>1282</v>
      </c>
    </row>
    <row r="592" spans="1:9" x14ac:dyDescent="0.25">
      <c r="A592" s="40" t="s">
        <v>230</v>
      </c>
      <c r="B592" s="28">
        <v>793</v>
      </c>
      <c r="C592" s="28" t="s">
        <v>35</v>
      </c>
      <c r="D592" s="28" t="s">
        <v>38</v>
      </c>
      <c r="E592" s="41">
        <v>46143</v>
      </c>
      <c r="F592" s="47">
        <v>0.77599537037037036</v>
      </c>
      <c r="G592" s="44">
        <v>6.3</v>
      </c>
      <c r="H592" s="43" t="s">
        <v>238</v>
      </c>
      <c r="I592" s="40" t="s">
        <v>1282</v>
      </c>
    </row>
    <row r="593" spans="1:9" x14ac:dyDescent="0.25">
      <c r="A593" s="40" t="s">
        <v>230</v>
      </c>
      <c r="B593" s="28">
        <v>793</v>
      </c>
      <c r="C593" s="28" t="s">
        <v>484</v>
      </c>
      <c r="D593" s="28"/>
      <c r="E593" s="41">
        <v>46145</v>
      </c>
      <c r="F593" s="47">
        <v>0.56111111111111112</v>
      </c>
      <c r="G593" s="44">
        <v>6.3</v>
      </c>
      <c r="H593" s="43" t="s">
        <v>235</v>
      </c>
      <c r="I593" s="40" t="s">
        <v>1282</v>
      </c>
    </row>
    <row r="594" spans="1:9" x14ac:dyDescent="0.25">
      <c r="A594" s="40" t="s">
        <v>230</v>
      </c>
      <c r="B594" s="28">
        <v>793</v>
      </c>
      <c r="C594" s="28" t="s">
        <v>484</v>
      </c>
      <c r="D594" s="28"/>
      <c r="E594" s="41">
        <v>46145</v>
      </c>
      <c r="F594" s="47">
        <v>0.56743055555555555</v>
      </c>
      <c r="G594" s="44">
        <v>6.3</v>
      </c>
      <c r="H594" s="43" t="s">
        <v>236</v>
      </c>
      <c r="I594" s="40" t="s">
        <v>1282</v>
      </c>
    </row>
    <row r="595" spans="1:9" x14ac:dyDescent="0.25">
      <c r="A595" s="40" t="s">
        <v>230</v>
      </c>
      <c r="B595" s="28">
        <v>793</v>
      </c>
      <c r="C595" s="28" t="s">
        <v>35</v>
      </c>
      <c r="D595" s="28" t="s">
        <v>38</v>
      </c>
      <c r="E595" s="41">
        <v>46145</v>
      </c>
      <c r="F595" s="47">
        <v>0.57936342592592593</v>
      </c>
      <c r="G595" s="44">
        <v>6.3</v>
      </c>
      <c r="H595" s="43" t="s">
        <v>237</v>
      </c>
      <c r="I595" s="40" t="s">
        <v>1282</v>
      </c>
    </row>
    <row r="596" spans="1:9" x14ac:dyDescent="0.25">
      <c r="A596" s="40" t="s">
        <v>230</v>
      </c>
      <c r="B596" s="28">
        <v>793</v>
      </c>
      <c r="C596" s="28">
        <v>5648985</v>
      </c>
      <c r="D596" s="28"/>
      <c r="E596" s="41">
        <v>46145</v>
      </c>
      <c r="F596" s="47">
        <v>0.74130787037037038</v>
      </c>
      <c r="G596" s="44">
        <v>6.3</v>
      </c>
      <c r="H596" s="43" t="s">
        <v>235</v>
      </c>
      <c r="I596" s="40" t="s">
        <v>1282</v>
      </c>
    </row>
    <row r="597" spans="1:9" x14ac:dyDescent="0.25">
      <c r="A597" s="40" t="s">
        <v>230</v>
      </c>
      <c r="B597" s="28">
        <v>793</v>
      </c>
      <c r="C597" s="28">
        <v>5648985</v>
      </c>
      <c r="D597" s="28"/>
      <c r="E597" s="41">
        <v>46145</v>
      </c>
      <c r="F597" s="47">
        <v>0.74731481481481477</v>
      </c>
      <c r="G597" s="44">
        <v>6.3</v>
      </c>
      <c r="H597" s="43" t="s">
        <v>236</v>
      </c>
      <c r="I597" s="40" t="s">
        <v>1282</v>
      </c>
    </row>
    <row r="598" spans="1:9" x14ac:dyDescent="0.25">
      <c r="A598" s="40" t="s">
        <v>230</v>
      </c>
      <c r="B598" s="28">
        <v>793</v>
      </c>
      <c r="C598" s="28" t="s">
        <v>35</v>
      </c>
      <c r="D598" s="28" t="s">
        <v>38</v>
      </c>
      <c r="E598" s="41">
        <v>46145</v>
      </c>
      <c r="F598" s="47">
        <v>0.77982638888888889</v>
      </c>
      <c r="G598" s="44">
        <v>6.3</v>
      </c>
      <c r="H598" s="43" t="s">
        <v>233</v>
      </c>
      <c r="I598" s="40" t="s">
        <v>1282</v>
      </c>
    </row>
    <row r="599" spans="1:9" x14ac:dyDescent="0.25">
      <c r="A599" s="40" t="s">
        <v>230</v>
      </c>
      <c r="B599" s="28">
        <v>793</v>
      </c>
      <c r="C599" s="28" t="s">
        <v>35</v>
      </c>
      <c r="D599" s="28" t="s">
        <v>38</v>
      </c>
      <c r="E599" s="41">
        <v>46145</v>
      </c>
      <c r="F599" s="47">
        <v>0.7855092592592593</v>
      </c>
      <c r="G599" s="44">
        <v>6.3</v>
      </c>
      <c r="H599" s="43" t="s">
        <v>234</v>
      </c>
      <c r="I599" s="40" t="s">
        <v>1282</v>
      </c>
    </row>
    <row r="600" spans="1:9" x14ac:dyDescent="0.25">
      <c r="A600" s="40" t="s">
        <v>230</v>
      </c>
      <c r="B600" s="28">
        <v>793</v>
      </c>
      <c r="C600" s="28">
        <v>5649249</v>
      </c>
      <c r="D600" s="28"/>
      <c r="E600" s="41">
        <v>46145</v>
      </c>
      <c r="F600" s="47">
        <v>0.85821759259259256</v>
      </c>
      <c r="G600" s="44">
        <v>6.3</v>
      </c>
      <c r="H600" s="43" t="s">
        <v>235</v>
      </c>
      <c r="I600" s="40" t="s">
        <v>1282</v>
      </c>
    </row>
    <row r="601" spans="1:9" x14ac:dyDescent="0.25">
      <c r="A601" s="40" t="s">
        <v>230</v>
      </c>
      <c r="B601" s="28">
        <v>793</v>
      </c>
      <c r="C601" s="28">
        <v>5649249</v>
      </c>
      <c r="D601" s="28"/>
      <c r="E601" s="41">
        <v>46145</v>
      </c>
      <c r="F601" s="47">
        <v>0.86512731481481486</v>
      </c>
      <c r="G601" s="44">
        <v>6.3</v>
      </c>
      <c r="H601" s="43" t="s">
        <v>236</v>
      </c>
      <c r="I601" s="40" t="s">
        <v>1282</v>
      </c>
    </row>
    <row r="602" spans="1:9" x14ac:dyDescent="0.25">
      <c r="A602" s="40" t="s">
        <v>230</v>
      </c>
      <c r="B602" s="28">
        <v>793</v>
      </c>
      <c r="C602" s="28" t="s">
        <v>35</v>
      </c>
      <c r="D602" s="28" t="s">
        <v>38</v>
      </c>
      <c r="E602" s="41">
        <v>46145</v>
      </c>
      <c r="F602" s="47">
        <v>0.88021990740740741</v>
      </c>
      <c r="G602" s="44">
        <v>6.3</v>
      </c>
      <c r="H602" s="43" t="s">
        <v>237</v>
      </c>
      <c r="I602" s="40" t="s">
        <v>1282</v>
      </c>
    </row>
    <row r="603" spans="1:9" x14ac:dyDescent="0.25">
      <c r="A603" s="40" t="s">
        <v>230</v>
      </c>
      <c r="B603" s="28">
        <v>793</v>
      </c>
      <c r="C603" s="28">
        <v>5649023</v>
      </c>
      <c r="D603" s="28"/>
      <c r="E603" s="45">
        <v>46145</v>
      </c>
      <c r="F603" s="48">
        <v>0.92947916666666663</v>
      </c>
      <c r="G603" s="44">
        <v>6.3</v>
      </c>
      <c r="H603" s="43" t="s">
        <v>235</v>
      </c>
      <c r="I603" s="40" t="s">
        <v>1282</v>
      </c>
    </row>
    <row r="604" spans="1:9" x14ac:dyDescent="0.25">
      <c r="A604" s="40" t="s">
        <v>230</v>
      </c>
      <c r="B604" s="28">
        <v>793</v>
      </c>
      <c r="C604" s="28">
        <v>5649023</v>
      </c>
      <c r="D604" s="28"/>
      <c r="E604" s="41">
        <v>46145</v>
      </c>
      <c r="F604" s="47">
        <v>0.93600694444444443</v>
      </c>
      <c r="G604" s="44">
        <v>6.3</v>
      </c>
      <c r="H604" s="43" t="s">
        <v>236</v>
      </c>
      <c r="I604" s="40" t="s">
        <v>1282</v>
      </c>
    </row>
    <row r="605" spans="1:9" x14ac:dyDescent="0.25">
      <c r="A605" s="40" t="s">
        <v>62</v>
      </c>
      <c r="B605" s="28">
        <v>794</v>
      </c>
      <c r="C605" s="28" t="s">
        <v>485</v>
      </c>
      <c r="D605" s="28"/>
      <c r="E605" s="41">
        <v>46141</v>
      </c>
      <c r="F605" s="47">
        <v>0.84787037037037039</v>
      </c>
      <c r="G605" s="44">
        <v>6.3</v>
      </c>
      <c r="H605" s="43" t="s">
        <v>235</v>
      </c>
      <c r="I605" s="40" t="s">
        <v>1281</v>
      </c>
    </row>
    <row r="606" spans="1:9" x14ac:dyDescent="0.25">
      <c r="A606" s="40" t="s">
        <v>62</v>
      </c>
      <c r="B606" s="28">
        <v>794</v>
      </c>
      <c r="C606" s="28" t="s">
        <v>485</v>
      </c>
      <c r="D606" s="28"/>
      <c r="E606" s="41">
        <v>46141</v>
      </c>
      <c r="F606" s="47">
        <v>0.86319444444444449</v>
      </c>
      <c r="G606" s="44">
        <v>6.3</v>
      </c>
      <c r="H606" s="43" t="s">
        <v>236</v>
      </c>
      <c r="I606" s="40" t="s">
        <v>1281</v>
      </c>
    </row>
    <row r="607" spans="1:9" x14ac:dyDescent="0.25">
      <c r="A607" s="40" t="s">
        <v>62</v>
      </c>
      <c r="B607" s="28">
        <v>794</v>
      </c>
      <c r="C607" s="28">
        <v>5646850</v>
      </c>
      <c r="D607" s="28"/>
      <c r="E607" s="41">
        <v>46143</v>
      </c>
      <c r="F607" s="47">
        <v>0.91214120370370366</v>
      </c>
      <c r="G607" s="44">
        <v>6.3</v>
      </c>
      <c r="H607" s="43" t="s">
        <v>235</v>
      </c>
      <c r="I607" s="40" t="s">
        <v>1282</v>
      </c>
    </row>
    <row r="608" spans="1:9" x14ac:dyDescent="0.25">
      <c r="A608" s="40" t="s">
        <v>62</v>
      </c>
      <c r="B608" s="28">
        <v>794</v>
      </c>
      <c r="C608" s="28">
        <v>5646850</v>
      </c>
      <c r="D608" s="28"/>
      <c r="E608" s="45">
        <v>46143</v>
      </c>
      <c r="F608" s="48">
        <v>0.91927083333333337</v>
      </c>
      <c r="G608" s="44">
        <v>6.3</v>
      </c>
      <c r="H608" s="43" t="s">
        <v>236</v>
      </c>
      <c r="I608" s="40" t="s">
        <v>1282</v>
      </c>
    </row>
    <row r="609" spans="1:9" x14ac:dyDescent="0.25">
      <c r="A609" s="40" t="s">
        <v>63</v>
      </c>
      <c r="B609" s="28">
        <v>795</v>
      </c>
      <c r="C609" s="28" t="s">
        <v>486</v>
      </c>
      <c r="D609" s="28"/>
      <c r="E609" s="41">
        <v>46139</v>
      </c>
      <c r="F609" s="47">
        <v>6.5497685185185187E-2</v>
      </c>
      <c r="G609" s="42">
        <v>6.3</v>
      </c>
      <c r="H609" s="40" t="s">
        <v>235</v>
      </c>
      <c r="I609" s="40" t="s">
        <v>1281</v>
      </c>
    </row>
    <row r="610" spans="1:9" x14ac:dyDescent="0.25">
      <c r="A610" s="40" t="s">
        <v>63</v>
      </c>
      <c r="B610" s="28">
        <v>795</v>
      </c>
      <c r="C610" s="28" t="s">
        <v>486</v>
      </c>
      <c r="D610" s="28"/>
      <c r="E610" s="45">
        <v>46139</v>
      </c>
      <c r="F610" s="48">
        <v>7.166666666666667E-2</v>
      </c>
      <c r="G610" s="44">
        <v>6.3</v>
      </c>
      <c r="H610" s="43" t="s">
        <v>236</v>
      </c>
      <c r="I610" s="40" t="s">
        <v>1281</v>
      </c>
    </row>
    <row r="611" spans="1:9" x14ac:dyDescent="0.25">
      <c r="A611" s="40" t="s">
        <v>63</v>
      </c>
      <c r="B611" s="28">
        <v>795</v>
      </c>
      <c r="C611" s="28" t="s">
        <v>35</v>
      </c>
      <c r="D611" s="28" t="s">
        <v>38</v>
      </c>
      <c r="E611" s="41">
        <v>46139</v>
      </c>
      <c r="F611" s="47">
        <v>9.7083333333333327E-2</v>
      </c>
      <c r="G611" s="44">
        <v>6.3</v>
      </c>
      <c r="H611" s="43" t="s">
        <v>237</v>
      </c>
      <c r="I611" s="40" t="s">
        <v>1281</v>
      </c>
    </row>
    <row r="612" spans="1:9" x14ac:dyDescent="0.25">
      <c r="A612" s="40" t="s">
        <v>63</v>
      </c>
      <c r="B612" s="28">
        <v>795</v>
      </c>
      <c r="C612" s="28" t="s">
        <v>35</v>
      </c>
      <c r="D612" s="28" t="s">
        <v>38</v>
      </c>
      <c r="E612" s="41">
        <v>46139</v>
      </c>
      <c r="F612" s="47">
        <v>0.10175925925925926</v>
      </c>
      <c r="G612" s="44">
        <v>6.3</v>
      </c>
      <c r="H612" s="43" t="s">
        <v>234</v>
      </c>
      <c r="I612" s="40" t="s">
        <v>1281</v>
      </c>
    </row>
    <row r="613" spans="1:9" x14ac:dyDescent="0.25">
      <c r="A613" s="40" t="s">
        <v>63</v>
      </c>
      <c r="B613" s="28">
        <v>795</v>
      </c>
      <c r="C613" s="28">
        <v>5649366</v>
      </c>
      <c r="D613" s="28"/>
      <c r="E613" s="41">
        <v>46145</v>
      </c>
      <c r="F613" s="47">
        <v>0.89883101851851854</v>
      </c>
      <c r="G613" s="44">
        <v>6.3</v>
      </c>
      <c r="H613" s="43" t="s">
        <v>235</v>
      </c>
      <c r="I613" s="40" t="s">
        <v>1282</v>
      </c>
    </row>
    <row r="614" spans="1:9" x14ac:dyDescent="0.25">
      <c r="A614" s="40" t="s">
        <v>63</v>
      </c>
      <c r="B614" s="28">
        <v>795</v>
      </c>
      <c r="C614" s="28">
        <v>5649366</v>
      </c>
      <c r="D614" s="28"/>
      <c r="E614" s="41">
        <v>46145</v>
      </c>
      <c r="F614" s="47">
        <v>0.90555555555555556</v>
      </c>
      <c r="G614" s="44">
        <v>6.3</v>
      </c>
      <c r="H614" s="43" t="s">
        <v>236</v>
      </c>
      <c r="I614" s="40" t="s">
        <v>1282</v>
      </c>
    </row>
    <row r="615" spans="1:9" x14ac:dyDescent="0.25">
      <c r="A615" s="40" t="s">
        <v>63</v>
      </c>
      <c r="B615" s="28">
        <v>795</v>
      </c>
      <c r="C615" s="28" t="s">
        <v>35</v>
      </c>
      <c r="D615" s="28" t="s">
        <v>38</v>
      </c>
      <c r="E615" s="41">
        <v>46145</v>
      </c>
      <c r="F615" s="47">
        <v>0.91181712962962957</v>
      </c>
      <c r="G615" s="44">
        <v>6.3</v>
      </c>
      <c r="H615" s="43" t="s">
        <v>237</v>
      </c>
      <c r="I615" s="40" t="s">
        <v>1282</v>
      </c>
    </row>
    <row r="616" spans="1:9" x14ac:dyDescent="0.25">
      <c r="A616" s="40" t="s">
        <v>63</v>
      </c>
      <c r="B616" s="28">
        <v>795</v>
      </c>
      <c r="C616" s="28" t="s">
        <v>35</v>
      </c>
      <c r="D616" s="28" t="s">
        <v>38</v>
      </c>
      <c r="E616" s="45">
        <v>46145</v>
      </c>
      <c r="F616" s="48">
        <v>0.91699074074074072</v>
      </c>
      <c r="G616" s="44">
        <v>6.3</v>
      </c>
      <c r="H616" s="43" t="s">
        <v>234</v>
      </c>
      <c r="I616" s="40" t="s">
        <v>1282</v>
      </c>
    </row>
    <row r="617" spans="1:9" x14ac:dyDescent="0.25">
      <c r="A617" s="40" t="s">
        <v>63</v>
      </c>
      <c r="B617" s="28">
        <v>795</v>
      </c>
      <c r="C617" s="28" t="s">
        <v>487</v>
      </c>
      <c r="D617" s="28"/>
      <c r="E617" s="41">
        <v>46145</v>
      </c>
      <c r="F617" s="47">
        <v>0.94621527777777781</v>
      </c>
      <c r="G617" s="44">
        <v>6.3</v>
      </c>
      <c r="H617" s="43" t="s">
        <v>235</v>
      </c>
      <c r="I617" s="40" t="s">
        <v>1282</v>
      </c>
    </row>
    <row r="618" spans="1:9" x14ac:dyDescent="0.25">
      <c r="A618" s="40" t="s">
        <v>63</v>
      </c>
      <c r="B618" s="28">
        <v>795</v>
      </c>
      <c r="C618" s="28" t="s">
        <v>487</v>
      </c>
      <c r="D618" s="28"/>
      <c r="E618" s="41">
        <v>46145</v>
      </c>
      <c r="F618" s="47">
        <v>0.95497685185185188</v>
      </c>
      <c r="G618" s="44">
        <v>6.3</v>
      </c>
      <c r="H618" s="43" t="s">
        <v>236</v>
      </c>
      <c r="I618" s="40" t="s">
        <v>1282</v>
      </c>
    </row>
    <row r="619" spans="1:9" x14ac:dyDescent="0.25">
      <c r="A619" s="40" t="s">
        <v>488</v>
      </c>
      <c r="B619" s="28">
        <v>803</v>
      </c>
      <c r="C619" s="28">
        <v>5637332</v>
      </c>
      <c r="D619" s="28" t="s">
        <v>36</v>
      </c>
      <c r="E619" s="41">
        <v>46139</v>
      </c>
      <c r="F619" s="47">
        <v>0.68923611111111116</v>
      </c>
      <c r="G619" s="44">
        <v>6.3</v>
      </c>
      <c r="H619" s="43" t="s">
        <v>236</v>
      </c>
      <c r="I619" s="40" t="s">
        <v>1281</v>
      </c>
    </row>
    <row r="620" spans="1:9" x14ac:dyDescent="0.25">
      <c r="A620" s="40" t="s">
        <v>488</v>
      </c>
      <c r="B620" s="28">
        <v>803</v>
      </c>
      <c r="C620" s="28">
        <v>5636786</v>
      </c>
      <c r="D620" s="28"/>
      <c r="E620" s="41">
        <v>46139</v>
      </c>
      <c r="F620" s="47">
        <v>0.80251157407407403</v>
      </c>
      <c r="G620" s="44">
        <v>6.3</v>
      </c>
      <c r="H620" s="43" t="s">
        <v>233</v>
      </c>
      <c r="I620" s="40" t="s">
        <v>1281</v>
      </c>
    </row>
    <row r="621" spans="1:9" x14ac:dyDescent="0.25">
      <c r="A621" s="40" t="s">
        <v>488</v>
      </c>
      <c r="B621" s="28">
        <v>803</v>
      </c>
      <c r="C621" s="28">
        <v>5636786</v>
      </c>
      <c r="D621" s="28"/>
      <c r="E621" s="45">
        <v>46139</v>
      </c>
      <c r="F621" s="48">
        <v>0.83393518518518517</v>
      </c>
      <c r="G621" s="44">
        <v>6.3</v>
      </c>
      <c r="H621" s="43" t="s">
        <v>234</v>
      </c>
      <c r="I621" s="40" t="s">
        <v>1281</v>
      </c>
    </row>
    <row r="622" spans="1:9" x14ac:dyDescent="0.25">
      <c r="A622" s="40" t="s">
        <v>488</v>
      </c>
      <c r="B622" s="28">
        <v>803</v>
      </c>
      <c r="C622" s="28">
        <v>5640560</v>
      </c>
      <c r="D622" s="28"/>
      <c r="E622" s="41">
        <v>46140</v>
      </c>
      <c r="F622" s="47">
        <v>0.59552083333333339</v>
      </c>
      <c r="G622" s="44">
        <v>6.3</v>
      </c>
      <c r="H622" s="43" t="s">
        <v>235</v>
      </c>
      <c r="I622" s="40" t="s">
        <v>1281</v>
      </c>
    </row>
    <row r="623" spans="1:9" x14ac:dyDescent="0.25">
      <c r="A623" s="40" t="s">
        <v>488</v>
      </c>
      <c r="B623" s="28">
        <v>803</v>
      </c>
      <c r="C623" s="28">
        <v>5640560</v>
      </c>
      <c r="D623" s="28"/>
      <c r="E623" s="41">
        <v>46140</v>
      </c>
      <c r="F623" s="47">
        <v>0.60700231481481481</v>
      </c>
      <c r="G623" s="42">
        <v>6.3</v>
      </c>
      <c r="H623" s="40" t="s">
        <v>236</v>
      </c>
      <c r="I623" s="40" t="s">
        <v>1281</v>
      </c>
    </row>
    <row r="624" spans="1:9" x14ac:dyDescent="0.25">
      <c r="A624" s="40" t="s">
        <v>488</v>
      </c>
      <c r="B624" s="28">
        <v>803</v>
      </c>
      <c r="C624" s="28">
        <v>5641737</v>
      </c>
      <c r="D624" s="28"/>
      <c r="E624" s="41">
        <v>46140</v>
      </c>
      <c r="F624" s="47">
        <v>0.91320601851851857</v>
      </c>
      <c r="G624" s="42">
        <v>6.3</v>
      </c>
      <c r="H624" s="40" t="s">
        <v>235</v>
      </c>
      <c r="I624" s="40" t="s">
        <v>1281</v>
      </c>
    </row>
    <row r="625" spans="1:9" x14ac:dyDescent="0.25">
      <c r="A625" s="40" t="s">
        <v>488</v>
      </c>
      <c r="B625" s="28">
        <v>803</v>
      </c>
      <c r="C625" s="28">
        <v>5641737</v>
      </c>
      <c r="D625" s="28"/>
      <c r="E625" s="41">
        <v>46140</v>
      </c>
      <c r="F625" s="47">
        <v>0.9213541666666667</v>
      </c>
      <c r="G625" s="44">
        <v>6.3</v>
      </c>
      <c r="H625" s="43" t="s">
        <v>236</v>
      </c>
      <c r="I625" s="40" t="s">
        <v>1281</v>
      </c>
    </row>
    <row r="626" spans="1:9" x14ac:dyDescent="0.25">
      <c r="A626" s="40" t="s">
        <v>488</v>
      </c>
      <c r="B626" s="28">
        <v>803</v>
      </c>
      <c r="C626" s="28" t="s">
        <v>35</v>
      </c>
      <c r="D626" s="28" t="s">
        <v>38</v>
      </c>
      <c r="E626" s="45">
        <v>46140</v>
      </c>
      <c r="F626" s="48">
        <v>0.96923611111111108</v>
      </c>
      <c r="G626" s="44">
        <v>6.3</v>
      </c>
      <c r="H626" s="43" t="s">
        <v>233</v>
      </c>
      <c r="I626" s="40" t="s">
        <v>1281</v>
      </c>
    </row>
    <row r="627" spans="1:9" x14ac:dyDescent="0.25">
      <c r="A627" s="40" t="s">
        <v>488</v>
      </c>
      <c r="B627" s="28">
        <v>803</v>
      </c>
      <c r="C627" s="28">
        <v>5642437</v>
      </c>
      <c r="D627" s="28"/>
      <c r="E627" s="41">
        <v>46141</v>
      </c>
      <c r="F627" s="47">
        <v>0.45534722222222224</v>
      </c>
      <c r="G627" s="44">
        <v>6.3</v>
      </c>
      <c r="H627" s="43" t="s">
        <v>235</v>
      </c>
      <c r="I627" s="40" t="s">
        <v>1281</v>
      </c>
    </row>
    <row r="628" spans="1:9" x14ac:dyDescent="0.25">
      <c r="A628" s="40" t="s">
        <v>488</v>
      </c>
      <c r="B628" s="28">
        <v>803</v>
      </c>
      <c r="C628" s="28">
        <v>5627856</v>
      </c>
      <c r="D628" s="28"/>
      <c r="E628" s="41">
        <v>46141</v>
      </c>
      <c r="F628" s="47">
        <v>0.73825231481481479</v>
      </c>
      <c r="G628" s="44">
        <v>6.3</v>
      </c>
      <c r="H628" s="43" t="s">
        <v>235</v>
      </c>
      <c r="I628" s="40" t="s">
        <v>1281</v>
      </c>
    </row>
    <row r="629" spans="1:9" x14ac:dyDescent="0.25">
      <c r="A629" s="40" t="s">
        <v>488</v>
      </c>
      <c r="B629" s="28">
        <v>803</v>
      </c>
      <c r="C629" s="28">
        <v>5627856</v>
      </c>
      <c r="D629" s="28"/>
      <c r="E629" s="41">
        <v>46141</v>
      </c>
      <c r="F629" s="47">
        <v>0.75267361111111108</v>
      </c>
      <c r="G629" s="44">
        <v>6.3</v>
      </c>
      <c r="H629" s="43" t="s">
        <v>236</v>
      </c>
      <c r="I629" s="40" t="s">
        <v>1281</v>
      </c>
    </row>
    <row r="630" spans="1:9" x14ac:dyDescent="0.25">
      <c r="A630" s="40" t="s">
        <v>488</v>
      </c>
      <c r="B630" s="28">
        <v>803</v>
      </c>
      <c r="C630" s="28">
        <v>5640677</v>
      </c>
      <c r="D630" s="28"/>
      <c r="E630" s="41">
        <v>46141</v>
      </c>
      <c r="F630" s="47">
        <v>0.82972222222222225</v>
      </c>
      <c r="G630" s="44">
        <v>6.3</v>
      </c>
      <c r="H630" s="43" t="s">
        <v>237</v>
      </c>
      <c r="I630" s="40" t="s">
        <v>1281</v>
      </c>
    </row>
    <row r="631" spans="1:9" x14ac:dyDescent="0.25">
      <c r="A631" s="40" t="s">
        <v>488</v>
      </c>
      <c r="B631" s="28">
        <v>803</v>
      </c>
      <c r="C631" s="28">
        <v>5640677</v>
      </c>
      <c r="D631" s="28"/>
      <c r="E631" s="41">
        <v>46141</v>
      </c>
      <c r="F631" s="47">
        <v>0.84501157407407412</v>
      </c>
      <c r="G631" s="44">
        <v>6.3</v>
      </c>
      <c r="H631" s="43" t="s">
        <v>234</v>
      </c>
      <c r="I631" s="40" t="s">
        <v>1281</v>
      </c>
    </row>
    <row r="632" spans="1:9" x14ac:dyDescent="0.25">
      <c r="A632" s="40" t="s">
        <v>488</v>
      </c>
      <c r="B632" s="28">
        <v>803</v>
      </c>
      <c r="C632" s="28" t="s">
        <v>35</v>
      </c>
      <c r="D632" s="28" t="s">
        <v>38</v>
      </c>
      <c r="E632" s="45">
        <v>46143</v>
      </c>
      <c r="F632" s="48">
        <v>8.3888888888888888E-2</v>
      </c>
      <c r="G632" s="42">
        <v>6.3</v>
      </c>
      <c r="H632" s="40" t="s">
        <v>237</v>
      </c>
      <c r="I632" s="40" t="s">
        <v>1282</v>
      </c>
    </row>
    <row r="633" spans="1:9" x14ac:dyDescent="0.25">
      <c r="A633" s="40" t="s">
        <v>488</v>
      </c>
      <c r="B633" s="28">
        <v>803</v>
      </c>
      <c r="C633" s="28" t="s">
        <v>35</v>
      </c>
      <c r="D633" s="28" t="s">
        <v>38</v>
      </c>
      <c r="E633" s="41">
        <v>46143</v>
      </c>
      <c r="F633" s="47">
        <v>9.0567129629629636E-2</v>
      </c>
      <c r="G633" s="44">
        <v>6.3</v>
      </c>
      <c r="H633" s="43" t="s">
        <v>234</v>
      </c>
      <c r="I633" s="40" t="s">
        <v>1282</v>
      </c>
    </row>
    <row r="634" spans="1:9" x14ac:dyDescent="0.25">
      <c r="A634" s="40" t="s">
        <v>488</v>
      </c>
      <c r="B634" s="28">
        <v>803</v>
      </c>
      <c r="C634" s="28" t="s">
        <v>35</v>
      </c>
      <c r="D634" s="28" t="s">
        <v>38</v>
      </c>
      <c r="E634" s="41">
        <v>46143</v>
      </c>
      <c r="F634" s="47">
        <v>0.60402777777777783</v>
      </c>
      <c r="G634" s="44">
        <v>6.3</v>
      </c>
      <c r="H634" s="43" t="s">
        <v>235</v>
      </c>
      <c r="I634" s="40" t="s">
        <v>1282</v>
      </c>
    </row>
    <row r="635" spans="1:9" x14ac:dyDescent="0.25">
      <c r="A635" s="40" t="s">
        <v>64</v>
      </c>
      <c r="B635" s="28">
        <v>807</v>
      </c>
      <c r="C635" s="28" t="s">
        <v>489</v>
      </c>
      <c r="D635" s="28"/>
      <c r="E635" s="41">
        <v>46139</v>
      </c>
      <c r="F635" s="47">
        <v>0.6670949074074074</v>
      </c>
      <c r="G635" s="44">
        <v>6.3</v>
      </c>
      <c r="H635" s="43" t="s">
        <v>235</v>
      </c>
      <c r="I635" s="40" t="s">
        <v>1281</v>
      </c>
    </row>
    <row r="636" spans="1:9" x14ac:dyDescent="0.25">
      <c r="A636" s="40" t="s">
        <v>64</v>
      </c>
      <c r="B636" s="28">
        <v>807</v>
      </c>
      <c r="C636" s="28" t="s">
        <v>489</v>
      </c>
      <c r="D636" s="28"/>
      <c r="E636" s="41">
        <v>46139</v>
      </c>
      <c r="F636" s="47">
        <v>0.68417824074074074</v>
      </c>
      <c r="G636" s="42">
        <v>6.3</v>
      </c>
      <c r="H636" s="40" t="s">
        <v>236</v>
      </c>
      <c r="I636" s="40" t="s">
        <v>1281</v>
      </c>
    </row>
    <row r="637" spans="1:9" x14ac:dyDescent="0.25">
      <c r="A637" s="40" t="s">
        <v>64</v>
      </c>
      <c r="B637" s="28">
        <v>807</v>
      </c>
      <c r="C637" s="28" t="s">
        <v>35</v>
      </c>
      <c r="D637" s="28" t="s">
        <v>38</v>
      </c>
      <c r="E637" s="41">
        <v>46139</v>
      </c>
      <c r="F637" s="47">
        <v>0.69995370370370369</v>
      </c>
      <c r="G637" s="42">
        <v>6.3</v>
      </c>
      <c r="H637" s="40" t="s">
        <v>238</v>
      </c>
      <c r="I637" s="40" t="s">
        <v>1281</v>
      </c>
    </row>
    <row r="638" spans="1:9" x14ac:dyDescent="0.25">
      <c r="A638" s="40" t="s">
        <v>64</v>
      </c>
      <c r="B638" s="28">
        <v>807</v>
      </c>
      <c r="C638" s="28">
        <v>5646305</v>
      </c>
      <c r="D638" s="28" t="s">
        <v>37</v>
      </c>
      <c r="E638" s="41">
        <v>46143</v>
      </c>
      <c r="F638" s="47">
        <v>0.5747106481481481</v>
      </c>
      <c r="G638" s="44">
        <v>6.3</v>
      </c>
      <c r="H638" s="43" t="s">
        <v>233</v>
      </c>
      <c r="I638" s="40" t="s">
        <v>1282</v>
      </c>
    </row>
    <row r="639" spans="1:9" x14ac:dyDescent="0.25">
      <c r="A639" s="40" t="s">
        <v>64</v>
      </c>
      <c r="B639" s="28">
        <v>807</v>
      </c>
      <c r="C639" s="28" t="s">
        <v>490</v>
      </c>
      <c r="D639" s="28"/>
      <c r="E639" s="45">
        <v>46145</v>
      </c>
      <c r="F639" s="48">
        <v>0.5793518518518519</v>
      </c>
      <c r="G639" s="44">
        <v>6.3</v>
      </c>
      <c r="H639" s="43" t="s">
        <v>235</v>
      </c>
      <c r="I639" s="40" t="s">
        <v>1282</v>
      </c>
    </row>
    <row r="640" spans="1:9" x14ac:dyDescent="0.25">
      <c r="A640" s="40" t="s">
        <v>64</v>
      </c>
      <c r="B640" s="28">
        <v>807</v>
      </c>
      <c r="C640" s="28" t="s">
        <v>490</v>
      </c>
      <c r="D640" s="28"/>
      <c r="E640" s="41">
        <v>46145</v>
      </c>
      <c r="F640" s="47">
        <v>0.58635416666666662</v>
      </c>
      <c r="G640" s="44">
        <v>6.3</v>
      </c>
      <c r="H640" s="43" t="s">
        <v>236</v>
      </c>
      <c r="I640" s="40" t="s">
        <v>1282</v>
      </c>
    </row>
    <row r="641" spans="1:9" x14ac:dyDescent="0.25">
      <c r="A641" s="40" t="s">
        <v>339</v>
      </c>
      <c r="B641" s="28">
        <v>818</v>
      </c>
      <c r="C641" s="28" t="s">
        <v>35</v>
      </c>
      <c r="D641" s="28" t="s">
        <v>38</v>
      </c>
      <c r="E641" s="41">
        <v>46139</v>
      </c>
      <c r="F641" s="47">
        <v>0.86665509259259255</v>
      </c>
      <c r="G641" s="44">
        <v>6.3</v>
      </c>
      <c r="H641" s="43" t="s">
        <v>238</v>
      </c>
      <c r="I641" s="40" t="s">
        <v>1281</v>
      </c>
    </row>
    <row r="642" spans="1:9" x14ac:dyDescent="0.25">
      <c r="A642" s="40" t="s">
        <v>339</v>
      </c>
      <c r="B642" s="28">
        <v>818</v>
      </c>
      <c r="C642" s="28" t="s">
        <v>35</v>
      </c>
      <c r="D642" s="28" t="s">
        <v>38</v>
      </c>
      <c r="E642" s="41">
        <v>46139</v>
      </c>
      <c r="F642" s="47">
        <v>0.88803240740740741</v>
      </c>
      <c r="G642" s="44">
        <v>6.3</v>
      </c>
      <c r="H642" s="43" t="s">
        <v>234</v>
      </c>
      <c r="I642" s="40" t="s">
        <v>1281</v>
      </c>
    </row>
    <row r="643" spans="1:9" x14ac:dyDescent="0.25">
      <c r="A643" s="40" t="s">
        <v>339</v>
      </c>
      <c r="B643" s="28">
        <v>818</v>
      </c>
      <c r="C643" s="28" t="s">
        <v>35</v>
      </c>
      <c r="D643" s="28" t="s">
        <v>38</v>
      </c>
      <c r="E643" s="41">
        <v>46141</v>
      </c>
      <c r="F643" s="47">
        <v>0.85499999999999998</v>
      </c>
      <c r="G643" s="44">
        <v>6.3</v>
      </c>
      <c r="H643" s="43" t="s">
        <v>238</v>
      </c>
      <c r="I643" s="40" t="s">
        <v>1281</v>
      </c>
    </row>
    <row r="644" spans="1:9" x14ac:dyDescent="0.25">
      <c r="A644" s="40" t="s">
        <v>339</v>
      </c>
      <c r="B644" s="28">
        <v>818</v>
      </c>
      <c r="C644" s="28" t="s">
        <v>35</v>
      </c>
      <c r="D644" s="28" t="s">
        <v>38</v>
      </c>
      <c r="E644" s="41">
        <v>46141</v>
      </c>
      <c r="F644" s="47">
        <v>0.86756944444444439</v>
      </c>
      <c r="G644" s="44">
        <v>6.3</v>
      </c>
      <c r="H644" s="43" t="s">
        <v>234</v>
      </c>
      <c r="I644" s="40" t="s">
        <v>1281</v>
      </c>
    </row>
    <row r="645" spans="1:9" x14ac:dyDescent="0.25">
      <c r="A645" s="40" t="s">
        <v>339</v>
      </c>
      <c r="B645" s="28">
        <v>818</v>
      </c>
      <c r="C645" s="28" t="s">
        <v>35</v>
      </c>
      <c r="D645" s="28" t="s">
        <v>38</v>
      </c>
      <c r="E645" s="41">
        <v>46144</v>
      </c>
      <c r="F645" s="47">
        <v>0.82895833333333335</v>
      </c>
      <c r="G645" s="44">
        <v>6.3</v>
      </c>
      <c r="H645" s="43" t="s">
        <v>238</v>
      </c>
      <c r="I645" s="40" t="s">
        <v>1282</v>
      </c>
    </row>
    <row r="646" spans="1:9" x14ac:dyDescent="0.25">
      <c r="A646" s="40" t="s">
        <v>339</v>
      </c>
      <c r="B646" s="28">
        <v>818</v>
      </c>
      <c r="C646" s="28" t="s">
        <v>491</v>
      </c>
      <c r="D646" s="28"/>
      <c r="E646" s="45">
        <v>46145</v>
      </c>
      <c r="F646" s="48">
        <v>0.85795138888888889</v>
      </c>
      <c r="G646" s="44">
        <v>6.3</v>
      </c>
      <c r="H646" s="43" t="s">
        <v>235</v>
      </c>
      <c r="I646" s="40" t="s">
        <v>1282</v>
      </c>
    </row>
    <row r="647" spans="1:9" x14ac:dyDescent="0.25">
      <c r="A647" s="40" t="s">
        <v>339</v>
      </c>
      <c r="B647" s="28">
        <v>818</v>
      </c>
      <c r="C647" s="28" t="s">
        <v>491</v>
      </c>
      <c r="D647" s="28"/>
      <c r="E647" s="45">
        <v>46145</v>
      </c>
      <c r="F647" s="48">
        <v>0.86517361111111113</v>
      </c>
      <c r="G647" s="44">
        <v>6.3</v>
      </c>
      <c r="H647" s="43" t="s">
        <v>236</v>
      </c>
      <c r="I647" s="40" t="s">
        <v>1282</v>
      </c>
    </row>
    <row r="648" spans="1:9" x14ac:dyDescent="0.25">
      <c r="A648" s="40" t="s">
        <v>339</v>
      </c>
      <c r="B648" s="28">
        <v>818</v>
      </c>
      <c r="C648" s="28" t="s">
        <v>35</v>
      </c>
      <c r="D648" s="28" t="s">
        <v>38</v>
      </c>
      <c r="E648" s="41">
        <v>46145</v>
      </c>
      <c r="F648" s="47">
        <v>0.89769675925925929</v>
      </c>
      <c r="G648" s="44">
        <v>6.3</v>
      </c>
      <c r="H648" s="43" t="s">
        <v>238</v>
      </c>
      <c r="I648" s="40" t="s">
        <v>1282</v>
      </c>
    </row>
    <row r="649" spans="1:9" x14ac:dyDescent="0.25">
      <c r="A649" s="40" t="s">
        <v>339</v>
      </c>
      <c r="B649" s="28">
        <v>818</v>
      </c>
      <c r="C649" s="28">
        <v>5649487</v>
      </c>
      <c r="D649" s="28"/>
      <c r="E649" s="41">
        <v>46145</v>
      </c>
      <c r="F649" s="47">
        <v>0.92950231481481482</v>
      </c>
      <c r="G649" s="44">
        <v>6.3</v>
      </c>
      <c r="H649" s="43" t="s">
        <v>235</v>
      </c>
      <c r="I649" s="40" t="s">
        <v>1282</v>
      </c>
    </row>
    <row r="650" spans="1:9" x14ac:dyDescent="0.25">
      <c r="A650" s="40" t="s">
        <v>339</v>
      </c>
      <c r="B650" s="28">
        <v>818</v>
      </c>
      <c r="C650" s="28">
        <v>5649487</v>
      </c>
      <c r="D650" s="28"/>
      <c r="E650" s="41">
        <v>46145</v>
      </c>
      <c r="F650" s="47">
        <v>0.93606481481481485</v>
      </c>
      <c r="G650" s="44">
        <v>6.3</v>
      </c>
      <c r="H650" s="43" t="s">
        <v>236</v>
      </c>
      <c r="I650" s="40" t="s">
        <v>1282</v>
      </c>
    </row>
    <row r="651" spans="1:9" x14ac:dyDescent="0.25">
      <c r="A651" s="40" t="s">
        <v>339</v>
      </c>
      <c r="B651" s="28">
        <v>818</v>
      </c>
      <c r="C651" s="28" t="s">
        <v>35</v>
      </c>
      <c r="D651" s="28" t="s">
        <v>38</v>
      </c>
      <c r="E651" s="45">
        <v>46145</v>
      </c>
      <c r="F651" s="48">
        <v>0.94841435185185186</v>
      </c>
      <c r="G651" s="44">
        <v>6.3</v>
      </c>
      <c r="H651" s="43" t="s">
        <v>237</v>
      </c>
      <c r="I651" s="40" t="s">
        <v>1282</v>
      </c>
    </row>
    <row r="652" spans="1:9" x14ac:dyDescent="0.25">
      <c r="A652" s="40" t="s">
        <v>339</v>
      </c>
      <c r="B652" s="28">
        <v>818</v>
      </c>
      <c r="C652" s="28" t="s">
        <v>492</v>
      </c>
      <c r="D652" s="28"/>
      <c r="E652" s="45">
        <v>46145</v>
      </c>
      <c r="F652" s="48">
        <v>0.97700231481481481</v>
      </c>
      <c r="G652" s="44">
        <v>6.3</v>
      </c>
      <c r="H652" s="43" t="s">
        <v>235</v>
      </c>
      <c r="I652" s="40" t="s">
        <v>1282</v>
      </c>
    </row>
    <row r="653" spans="1:9" x14ac:dyDescent="0.25">
      <c r="A653" s="40" t="s">
        <v>339</v>
      </c>
      <c r="B653" s="28">
        <v>818</v>
      </c>
      <c r="C653" s="28" t="s">
        <v>492</v>
      </c>
      <c r="D653" s="28"/>
      <c r="E653" s="41">
        <v>46145</v>
      </c>
      <c r="F653" s="47">
        <v>0.98355324074074069</v>
      </c>
      <c r="G653" s="44">
        <v>6.3</v>
      </c>
      <c r="H653" s="43" t="s">
        <v>236</v>
      </c>
      <c r="I653" s="40" t="s">
        <v>1282</v>
      </c>
    </row>
    <row r="654" spans="1:9" x14ac:dyDescent="0.25">
      <c r="A654" s="40" t="s">
        <v>339</v>
      </c>
      <c r="B654" s="28">
        <v>818</v>
      </c>
      <c r="C654" s="28" t="s">
        <v>35</v>
      </c>
      <c r="D654" s="28" t="s">
        <v>38</v>
      </c>
      <c r="E654" s="45">
        <v>46145</v>
      </c>
      <c r="F654" s="48">
        <v>0.99576388888888889</v>
      </c>
      <c r="G654" s="44">
        <v>6.3</v>
      </c>
      <c r="H654" s="43" t="s">
        <v>237</v>
      </c>
      <c r="I654" s="40" t="s">
        <v>1282</v>
      </c>
    </row>
    <row r="655" spans="1:9" x14ac:dyDescent="0.25">
      <c r="A655" s="40" t="s">
        <v>183</v>
      </c>
      <c r="B655" s="28">
        <v>821</v>
      </c>
      <c r="C655" s="28" t="s">
        <v>493</v>
      </c>
      <c r="D655" s="28"/>
      <c r="E655" s="41">
        <v>46139</v>
      </c>
      <c r="F655" s="47">
        <v>0.54355324074074074</v>
      </c>
      <c r="G655" s="44">
        <v>6.3</v>
      </c>
      <c r="H655" s="43" t="s">
        <v>235</v>
      </c>
      <c r="I655" s="40" t="s">
        <v>1281</v>
      </c>
    </row>
    <row r="656" spans="1:9" x14ac:dyDescent="0.25">
      <c r="A656" s="40" t="s">
        <v>183</v>
      </c>
      <c r="B656" s="28">
        <v>821</v>
      </c>
      <c r="C656" s="28" t="s">
        <v>493</v>
      </c>
      <c r="D656" s="28"/>
      <c r="E656" s="41">
        <v>46139</v>
      </c>
      <c r="F656" s="47">
        <v>0.55109953703703707</v>
      </c>
      <c r="G656" s="44">
        <v>6.3</v>
      </c>
      <c r="H656" s="43" t="s">
        <v>239</v>
      </c>
      <c r="I656" s="40" t="s">
        <v>1281</v>
      </c>
    </row>
    <row r="657" spans="1:9" x14ac:dyDescent="0.25">
      <c r="A657" s="40" t="s">
        <v>183</v>
      </c>
      <c r="B657" s="28">
        <v>821</v>
      </c>
      <c r="C657" s="28" t="s">
        <v>35</v>
      </c>
      <c r="D657" s="28" t="s">
        <v>38</v>
      </c>
      <c r="E657" s="41">
        <v>46139</v>
      </c>
      <c r="F657" s="47">
        <v>0.56853009259259257</v>
      </c>
      <c r="G657" s="44">
        <v>6.3</v>
      </c>
      <c r="H657" s="43" t="s">
        <v>233</v>
      </c>
      <c r="I657" s="40" t="s">
        <v>1281</v>
      </c>
    </row>
    <row r="658" spans="1:9" x14ac:dyDescent="0.25">
      <c r="A658" s="40" t="s">
        <v>183</v>
      </c>
      <c r="B658" s="28">
        <v>821</v>
      </c>
      <c r="C658" s="28">
        <v>5642193</v>
      </c>
      <c r="D658" s="28"/>
      <c r="E658" s="45">
        <v>46141</v>
      </c>
      <c r="F658" s="48">
        <v>0.48194444444444445</v>
      </c>
      <c r="G658" s="44">
        <v>6.3</v>
      </c>
      <c r="H658" s="43" t="s">
        <v>235</v>
      </c>
      <c r="I658" s="40" t="s">
        <v>1281</v>
      </c>
    </row>
    <row r="659" spans="1:9" x14ac:dyDescent="0.25">
      <c r="A659" s="40" t="s">
        <v>183</v>
      </c>
      <c r="B659" s="28">
        <v>821</v>
      </c>
      <c r="C659" s="28" t="s">
        <v>35</v>
      </c>
      <c r="D659" s="28" t="s">
        <v>38</v>
      </c>
      <c r="E659" s="41">
        <v>46141</v>
      </c>
      <c r="F659" s="47">
        <v>0.49981481481481482</v>
      </c>
      <c r="G659" s="44">
        <v>6.3</v>
      </c>
      <c r="H659" s="43" t="s">
        <v>234</v>
      </c>
      <c r="I659" s="40" t="s">
        <v>1281</v>
      </c>
    </row>
    <row r="660" spans="1:9" x14ac:dyDescent="0.25">
      <c r="A660" s="40" t="s">
        <v>183</v>
      </c>
      <c r="B660" s="28">
        <v>821</v>
      </c>
      <c r="C660" s="28">
        <v>5646110</v>
      </c>
      <c r="D660" s="28"/>
      <c r="E660" s="41">
        <v>46143</v>
      </c>
      <c r="F660" s="47">
        <v>0.42175925925925928</v>
      </c>
      <c r="G660" s="42">
        <v>6.3</v>
      </c>
      <c r="H660" s="40" t="s">
        <v>235</v>
      </c>
      <c r="I660" s="40" t="s">
        <v>1282</v>
      </c>
    </row>
    <row r="661" spans="1:9" x14ac:dyDescent="0.25">
      <c r="A661" s="40" t="s">
        <v>183</v>
      </c>
      <c r="B661" s="28">
        <v>821</v>
      </c>
      <c r="C661" s="28">
        <v>5646110</v>
      </c>
      <c r="D661" s="28"/>
      <c r="E661" s="45">
        <v>46143</v>
      </c>
      <c r="F661" s="48">
        <v>0.4283912037037037</v>
      </c>
      <c r="G661" s="42">
        <v>6.3</v>
      </c>
      <c r="H661" s="40" t="s">
        <v>239</v>
      </c>
      <c r="I661" s="40" t="s">
        <v>1282</v>
      </c>
    </row>
    <row r="662" spans="1:9" x14ac:dyDescent="0.25">
      <c r="A662" s="40" t="s">
        <v>183</v>
      </c>
      <c r="B662" s="28">
        <v>821</v>
      </c>
      <c r="C662" s="28" t="s">
        <v>494</v>
      </c>
      <c r="D662" s="28"/>
      <c r="E662" s="41">
        <v>46143</v>
      </c>
      <c r="F662" s="47">
        <v>0.59319444444444447</v>
      </c>
      <c r="G662" s="44">
        <v>6.3</v>
      </c>
      <c r="H662" s="43" t="s">
        <v>235</v>
      </c>
      <c r="I662" s="40" t="s">
        <v>1282</v>
      </c>
    </row>
    <row r="663" spans="1:9" x14ac:dyDescent="0.25">
      <c r="A663" s="40" t="s">
        <v>183</v>
      </c>
      <c r="B663" s="28">
        <v>821</v>
      </c>
      <c r="C663" s="28" t="s">
        <v>494</v>
      </c>
      <c r="D663" s="28"/>
      <c r="E663" s="41">
        <v>46143</v>
      </c>
      <c r="F663" s="47">
        <v>0.60020833333333334</v>
      </c>
      <c r="G663" s="44">
        <v>6.3</v>
      </c>
      <c r="H663" s="43" t="s">
        <v>236</v>
      </c>
      <c r="I663" s="40" t="s">
        <v>1282</v>
      </c>
    </row>
    <row r="664" spans="1:9" x14ac:dyDescent="0.25">
      <c r="A664" s="40" t="s">
        <v>263</v>
      </c>
      <c r="B664" s="28">
        <v>826</v>
      </c>
      <c r="C664" s="28" t="s">
        <v>35</v>
      </c>
      <c r="D664" s="28" t="s">
        <v>38</v>
      </c>
      <c r="E664" s="41">
        <v>46139</v>
      </c>
      <c r="F664" s="47">
        <v>2.2465277777777778E-2</v>
      </c>
      <c r="G664" s="44">
        <v>6.3</v>
      </c>
      <c r="H664" s="43" t="s">
        <v>235</v>
      </c>
      <c r="I664" s="40" t="s">
        <v>1281</v>
      </c>
    </row>
    <row r="665" spans="1:9" x14ac:dyDescent="0.25">
      <c r="A665" s="40" t="s">
        <v>263</v>
      </c>
      <c r="B665" s="28">
        <v>826</v>
      </c>
      <c r="C665" s="28" t="s">
        <v>35</v>
      </c>
      <c r="D665" s="28" t="s">
        <v>38</v>
      </c>
      <c r="E665" s="41">
        <v>46139</v>
      </c>
      <c r="F665" s="47">
        <v>2.9733796296296296E-2</v>
      </c>
      <c r="G665" s="44">
        <v>6.3</v>
      </c>
      <c r="H665" s="43" t="s">
        <v>236</v>
      </c>
      <c r="I665" s="40" t="s">
        <v>1281</v>
      </c>
    </row>
    <row r="666" spans="1:9" x14ac:dyDescent="0.25">
      <c r="A666" s="40" t="s">
        <v>263</v>
      </c>
      <c r="B666" s="28">
        <v>826</v>
      </c>
      <c r="C666" s="28" t="s">
        <v>35</v>
      </c>
      <c r="D666" s="28" t="s">
        <v>38</v>
      </c>
      <c r="E666" s="41">
        <v>46139</v>
      </c>
      <c r="F666" s="47">
        <v>0.29145833333333332</v>
      </c>
      <c r="G666" s="44">
        <v>6.3</v>
      </c>
      <c r="H666" s="43" t="s">
        <v>235</v>
      </c>
      <c r="I666" s="40" t="s">
        <v>1281</v>
      </c>
    </row>
    <row r="667" spans="1:9" x14ac:dyDescent="0.25">
      <c r="A667" s="40" t="s">
        <v>263</v>
      </c>
      <c r="B667" s="28">
        <v>826</v>
      </c>
      <c r="C667" s="28">
        <v>5637174</v>
      </c>
      <c r="D667" s="28" t="s">
        <v>36</v>
      </c>
      <c r="E667" s="45">
        <v>46139</v>
      </c>
      <c r="F667" s="48">
        <v>0.38123842592592594</v>
      </c>
      <c r="G667" s="44">
        <v>6.3</v>
      </c>
      <c r="H667" s="43" t="s">
        <v>233</v>
      </c>
      <c r="I667" s="40" t="s">
        <v>1281</v>
      </c>
    </row>
    <row r="668" spans="1:9" x14ac:dyDescent="0.25">
      <c r="A668" s="40" t="s">
        <v>263</v>
      </c>
      <c r="B668" s="28">
        <v>826</v>
      </c>
      <c r="C668" s="28">
        <v>5637174</v>
      </c>
      <c r="D668" s="28" t="s">
        <v>36</v>
      </c>
      <c r="E668" s="41">
        <v>46139</v>
      </c>
      <c r="F668" s="47">
        <v>0.3918402777777778</v>
      </c>
      <c r="G668" s="44">
        <v>6.3</v>
      </c>
      <c r="H668" s="43" t="s">
        <v>234</v>
      </c>
      <c r="I668" s="40" t="s">
        <v>1281</v>
      </c>
    </row>
    <row r="669" spans="1:9" x14ac:dyDescent="0.25">
      <c r="A669" s="40" t="s">
        <v>263</v>
      </c>
      <c r="B669" s="28">
        <v>826</v>
      </c>
      <c r="C669" s="28" t="s">
        <v>495</v>
      </c>
      <c r="D669" s="28"/>
      <c r="E669" s="41">
        <v>46140</v>
      </c>
      <c r="F669" s="47">
        <v>0.81853009259259257</v>
      </c>
      <c r="G669" s="44">
        <v>6.3</v>
      </c>
      <c r="H669" s="43" t="s">
        <v>235</v>
      </c>
      <c r="I669" s="40" t="s">
        <v>1281</v>
      </c>
    </row>
    <row r="670" spans="1:9" x14ac:dyDescent="0.25">
      <c r="A670" s="40" t="s">
        <v>263</v>
      </c>
      <c r="B670" s="28">
        <v>826</v>
      </c>
      <c r="C670" s="28" t="s">
        <v>495</v>
      </c>
      <c r="D670" s="28"/>
      <c r="E670" s="41">
        <v>46140</v>
      </c>
      <c r="F670" s="47">
        <v>0.83231481481481484</v>
      </c>
      <c r="G670" s="44">
        <v>6.3</v>
      </c>
      <c r="H670" s="43" t="s">
        <v>236</v>
      </c>
      <c r="I670" s="40" t="s">
        <v>1281</v>
      </c>
    </row>
    <row r="671" spans="1:9" x14ac:dyDescent="0.25">
      <c r="A671" s="40" t="s">
        <v>263</v>
      </c>
      <c r="B671" s="28">
        <v>826</v>
      </c>
      <c r="C671" s="28">
        <v>5649373</v>
      </c>
      <c r="D671" s="28"/>
      <c r="E671" s="41">
        <v>46145</v>
      </c>
      <c r="F671" s="47">
        <v>0.90393518518518523</v>
      </c>
      <c r="G671" s="44">
        <v>6.3</v>
      </c>
      <c r="H671" s="43" t="s">
        <v>235</v>
      </c>
      <c r="I671" s="40" t="s">
        <v>1282</v>
      </c>
    </row>
    <row r="672" spans="1:9" x14ac:dyDescent="0.25">
      <c r="A672" s="40" t="s">
        <v>263</v>
      </c>
      <c r="B672" s="28">
        <v>826</v>
      </c>
      <c r="C672" s="28">
        <v>5649373</v>
      </c>
      <c r="D672" s="28"/>
      <c r="E672" s="41">
        <v>46145</v>
      </c>
      <c r="F672" s="47">
        <v>0.91127314814814819</v>
      </c>
      <c r="G672" s="44">
        <v>6.3</v>
      </c>
      <c r="H672" s="43" t="s">
        <v>236</v>
      </c>
      <c r="I672" s="40" t="s">
        <v>1282</v>
      </c>
    </row>
    <row r="673" spans="1:9" x14ac:dyDescent="0.25">
      <c r="A673" s="40" t="s">
        <v>65</v>
      </c>
      <c r="B673" s="28">
        <v>830</v>
      </c>
      <c r="C673" s="28" t="s">
        <v>496</v>
      </c>
      <c r="D673" s="28"/>
      <c r="E673" s="41">
        <v>46141</v>
      </c>
      <c r="F673" s="47">
        <v>0.33915509259259258</v>
      </c>
      <c r="G673" s="44">
        <v>6.3</v>
      </c>
      <c r="H673" s="43" t="s">
        <v>235</v>
      </c>
      <c r="I673" s="40" t="s">
        <v>1281</v>
      </c>
    </row>
    <row r="674" spans="1:9" x14ac:dyDescent="0.25">
      <c r="A674" s="40" t="s">
        <v>65</v>
      </c>
      <c r="B674" s="28">
        <v>830</v>
      </c>
      <c r="C674" s="28" t="s">
        <v>35</v>
      </c>
      <c r="D674" s="28" t="s">
        <v>38</v>
      </c>
      <c r="E674" s="41">
        <v>46141</v>
      </c>
      <c r="F674" s="47">
        <v>0.40850694444444446</v>
      </c>
      <c r="G674" s="44">
        <v>6.3</v>
      </c>
      <c r="H674" s="43" t="s">
        <v>234</v>
      </c>
      <c r="I674" s="40" t="s">
        <v>1281</v>
      </c>
    </row>
    <row r="675" spans="1:9" x14ac:dyDescent="0.25">
      <c r="A675" s="40" t="s">
        <v>65</v>
      </c>
      <c r="B675" s="28">
        <v>830</v>
      </c>
      <c r="C675" s="28" t="s">
        <v>497</v>
      </c>
      <c r="D675" s="28"/>
      <c r="E675" s="41">
        <v>46141</v>
      </c>
      <c r="F675" s="47">
        <v>0.44839120370370372</v>
      </c>
      <c r="G675" s="44">
        <v>6.3</v>
      </c>
      <c r="H675" s="43" t="s">
        <v>235</v>
      </c>
      <c r="I675" s="40" t="s">
        <v>1281</v>
      </c>
    </row>
    <row r="676" spans="1:9" x14ac:dyDescent="0.25">
      <c r="A676" s="40" t="s">
        <v>65</v>
      </c>
      <c r="B676" s="28">
        <v>830</v>
      </c>
      <c r="C676" s="28" t="s">
        <v>497</v>
      </c>
      <c r="D676" s="28"/>
      <c r="E676" s="41">
        <v>46141</v>
      </c>
      <c r="F676" s="47">
        <v>0.4586574074074074</v>
      </c>
      <c r="G676" s="44">
        <v>6.3</v>
      </c>
      <c r="H676" s="43" t="s">
        <v>239</v>
      </c>
      <c r="I676" s="40" t="s">
        <v>1281</v>
      </c>
    </row>
    <row r="677" spans="1:9" x14ac:dyDescent="0.25">
      <c r="A677" s="40" t="s">
        <v>65</v>
      </c>
      <c r="B677" s="28">
        <v>830</v>
      </c>
      <c r="C677" s="28">
        <v>5643576</v>
      </c>
      <c r="D677" s="28"/>
      <c r="E677" s="41">
        <v>46141</v>
      </c>
      <c r="F677" s="47">
        <v>0.84285879629629634</v>
      </c>
      <c r="G677" s="44">
        <v>6.3</v>
      </c>
      <c r="H677" s="43" t="s">
        <v>235</v>
      </c>
      <c r="I677" s="40" t="s">
        <v>1281</v>
      </c>
    </row>
    <row r="678" spans="1:9" x14ac:dyDescent="0.25">
      <c r="A678" s="40" t="s">
        <v>65</v>
      </c>
      <c r="B678" s="28">
        <v>830</v>
      </c>
      <c r="C678" s="28" t="s">
        <v>35</v>
      </c>
      <c r="D678" s="28" t="s">
        <v>38</v>
      </c>
      <c r="E678" s="41">
        <v>46141</v>
      </c>
      <c r="F678" s="47">
        <v>0.89209490740740738</v>
      </c>
      <c r="G678" s="44">
        <v>6.3</v>
      </c>
      <c r="H678" s="43" t="s">
        <v>234</v>
      </c>
      <c r="I678" s="40" t="s">
        <v>1281</v>
      </c>
    </row>
    <row r="679" spans="1:9" x14ac:dyDescent="0.25">
      <c r="A679" s="40" t="s">
        <v>65</v>
      </c>
      <c r="B679" s="28">
        <v>830</v>
      </c>
      <c r="C679" s="28">
        <v>5643487</v>
      </c>
      <c r="D679" s="28"/>
      <c r="E679" s="41">
        <v>46141</v>
      </c>
      <c r="F679" s="47">
        <v>0.92935185185185187</v>
      </c>
      <c r="G679" s="44">
        <v>6.3</v>
      </c>
      <c r="H679" s="43" t="s">
        <v>235</v>
      </c>
      <c r="I679" s="40" t="s">
        <v>1281</v>
      </c>
    </row>
    <row r="680" spans="1:9" x14ac:dyDescent="0.25">
      <c r="A680" s="40" t="s">
        <v>65</v>
      </c>
      <c r="B680" s="28">
        <v>830</v>
      </c>
      <c r="C680" s="28">
        <v>5643487</v>
      </c>
      <c r="D680" s="28"/>
      <c r="E680" s="41">
        <v>46141</v>
      </c>
      <c r="F680" s="47">
        <v>0.93778935185185186</v>
      </c>
      <c r="G680" s="44">
        <v>6.3</v>
      </c>
      <c r="H680" s="43" t="s">
        <v>236</v>
      </c>
      <c r="I680" s="40" t="s">
        <v>1281</v>
      </c>
    </row>
    <row r="681" spans="1:9" x14ac:dyDescent="0.25">
      <c r="A681" s="40" t="s">
        <v>65</v>
      </c>
      <c r="B681" s="28">
        <v>830</v>
      </c>
      <c r="C681" s="28" t="s">
        <v>35</v>
      </c>
      <c r="D681" s="28" t="s">
        <v>38</v>
      </c>
      <c r="E681" s="41">
        <v>46142</v>
      </c>
      <c r="F681" s="47">
        <v>0.49564814814814817</v>
      </c>
      <c r="G681" s="44">
        <v>6.3</v>
      </c>
      <c r="H681" s="43" t="s">
        <v>235</v>
      </c>
      <c r="I681" s="40" t="s">
        <v>1281</v>
      </c>
    </row>
    <row r="682" spans="1:9" x14ac:dyDescent="0.25">
      <c r="A682" s="40" t="s">
        <v>65</v>
      </c>
      <c r="B682" s="28">
        <v>830</v>
      </c>
      <c r="C682" s="28" t="s">
        <v>35</v>
      </c>
      <c r="D682" s="28" t="s">
        <v>38</v>
      </c>
      <c r="E682" s="41">
        <v>46143</v>
      </c>
      <c r="F682" s="47">
        <v>0.29287037037037039</v>
      </c>
      <c r="G682" s="44">
        <v>6.3</v>
      </c>
      <c r="H682" s="43" t="s">
        <v>235</v>
      </c>
      <c r="I682" s="40" t="s">
        <v>1282</v>
      </c>
    </row>
    <row r="683" spans="1:9" x14ac:dyDescent="0.25">
      <c r="A683" s="40" t="s">
        <v>65</v>
      </c>
      <c r="B683" s="28">
        <v>830</v>
      </c>
      <c r="C683" s="28" t="s">
        <v>35</v>
      </c>
      <c r="D683" s="28" t="s">
        <v>38</v>
      </c>
      <c r="E683" s="41">
        <v>46143</v>
      </c>
      <c r="F683" s="47">
        <v>0.29922453703703705</v>
      </c>
      <c r="G683" s="44">
        <v>6.3</v>
      </c>
      <c r="H683" s="43" t="s">
        <v>239</v>
      </c>
      <c r="I683" s="40" t="s">
        <v>1282</v>
      </c>
    </row>
    <row r="684" spans="1:9" x14ac:dyDescent="0.25">
      <c r="A684" s="40" t="s">
        <v>65</v>
      </c>
      <c r="B684" s="28">
        <v>830</v>
      </c>
      <c r="C684" s="28" t="s">
        <v>498</v>
      </c>
      <c r="D684" s="28"/>
      <c r="E684" s="41">
        <v>46145</v>
      </c>
      <c r="F684" s="47">
        <v>0.40515046296296298</v>
      </c>
      <c r="G684" s="44">
        <v>6.3</v>
      </c>
      <c r="H684" s="43" t="s">
        <v>235</v>
      </c>
      <c r="I684" s="40" t="s">
        <v>1282</v>
      </c>
    </row>
    <row r="685" spans="1:9" x14ac:dyDescent="0.25">
      <c r="A685" s="40" t="s">
        <v>65</v>
      </c>
      <c r="B685" s="28">
        <v>830</v>
      </c>
      <c r="C685" s="28" t="s">
        <v>498</v>
      </c>
      <c r="D685" s="28"/>
      <c r="E685" s="41">
        <v>46145</v>
      </c>
      <c r="F685" s="47">
        <v>0.41199074074074077</v>
      </c>
      <c r="G685" s="44">
        <v>6.3</v>
      </c>
      <c r="H685" s="43" t="s">
        <v>239</v>
      </c>
      <c r="I685" s="40" t="s">
        <v>1282</v>
      </c>
    </row>
    <row r="686" spans="1:9" x14ac:dyDescent="0.25">
      <c r="A686" s="40" t="s">
        <v>65</v>
      </c>
      <c r="B686" s="28">
        <v>830</v>
      </c>
      <c r="C686" s="28">
        <v>5648472</v>
      </c>
      <c r="D686" s="28"/>
      <c r="E686" s="45">
        <v>46145</v>
      </c>
      <c r="F686" s="48">
        <v>0.47843750000000002</v>
      </c>
      <c r="G686" s="44">
        <v>6.3</v>
      </c>
      <c r="H686" s="43" t="s">
        <v>234</v>
      </c>
      <c r="I686" s="40" t="s">
        <v>1282</v>
      </c>
    </row>
    <row r="687" spans="1:9" x14ac:dyDescent="0.25">
      <c r="A687" s="40" t="s">
        <v>66</v>
      </c>
      <c r="B687" s="28">
        <v>831</v>
      </c>
      <c r="C687" s="28" t="s">
        <v>499</v>
      </c>
      <c r="D687" s="28"/>
      <c r="E687" s="41">
        <v>46141</v>
      </c>
      <c r="F687" s="47">
        <v>0.83648148148148149</v>
      </c>
      <c r="G687" s="44">
        <v>6.3</v>
      </c>
      <c r="H687" s="43" t="s">
        <v>235</v>
      </c>
      <c r="I687" s="40" t="s">
        <v>1281</v>
      </c>
    </row>
    <row r="688" spans="1:9" x14ac:dyDescent="0.25">
      <c r="A688" s="40" t="s">
        <v>66</v>
      </c>
      <c r="B688" s="28">
        <v>831</v>
      </c>
      <c r="C688" s="28" t="s">
        <v>499</v>
      </c>
      <c r="D688" s="28"/>
      <c r="E688" s="41">
        <v>46141</v>
      </c>
      <c r="F688" s="47">
        <v>0.85032407407407407</v>
      </c>
      <c r="G688" s="44">
        <v>6.3</v>
      </c>
      <c r="H688" s="43" t="s">
        <v>236</v>
      </c>
      <c r="I688" s="40" t="s">
        <v>1281</v>
      </c>
    </row>
    <row r="689" spans="1:9" x14ac:dyDescent="0.25">
      <c r="A689" s="40" t="s">
        <v>66</v>
      </c>
      <c r="B689" s="28">
        <v>831</v>
      </c>
      <c r="C689" s="28" t="s">
        <v>500</v>
      </c>
      <c r="D689" s="28"/>
      <c r="E689" s="45">
        <v>46141</v>
      </c>
      <c r="F689" s="48">
        <v>0.96709490740740744</v>
      </c>
      <c r="G689" s="42">
        <v>6.3</v>
      </c>
      <c r="H689" s="40" t="s">
        <v>235</v>
      </c>
      <c r="I689" s="40" t="s">
        <v>1281</v>
      </c>
    </row>
    <row r="690" spans="1:9" x14ac:dyDescent="0.25">
      <c r="A690" s="40" t="s">
        <v>66</v>
      </c>
      <c r="B690" s="28">
        <v>831</v>
      </c>
      <c r="C690" s="28" t="s">
        <v>500</v>
      </c>
      <c r="D690" s="28"/>
      <c r="E690" s="41">
        <v>46141</v>
      </c>
      <c r="F690" s="47">
        <v>0.97355324074074079</v>
      </c>
      <c r="G690" s="42">
        <v>6.3</v>
      </c>
      <c r="H690" s="40" t="s">
        <v>236</v>
      </c>
      <c r="I690" s="40" t="s">
        <v>1281</v>
      </c>
    </row>
    <row r="691" spans="1:9" x14ac:dyDescent="0.25">
      <c r="A691" s="40" t="s">
        <v>66</v>
      </c>
      <c r="B691" s="28">
        <v>831</v>
      </c>
      <c r="C691" s="28">
        <v>5648909</v>
      </c>
      <c r="D691" s="28"/>
      <c r="E691" s="41">
        <v>46145</v>
      </c>
      <c r="F691" s="47">
        <v>0.69722222222222219</v>
      </c>
      <c r="G691" s="44">
        <v>6.3</v>
      </c>
      <c r="H691" s="43" t="s">
        <v>235</v>
      </c>
      <c r="I691" s="40" t="s">
        <v>1282</v>
      </c>
    </row>
    <row r="692" spans="1:9" x14ac:dyDescent="0.25">
      <c r="A692" s="40" t="s">
        <v>67</v>
      </c>
      <c r="B692" s="28">
        <v>837</v>
      </c>
      <c r="C692" s="28">
        <v>5636824</v>
      </c>
      <c r="D692" s="28"/>
      <c r="E692" s="41">
        <v>46139</v>
      </c>
      <c r="F692" s="47">
        <v>0.83793981481481483</v>
      </c>
      <c r="G692" s="44">
        <v>6.3</v>
      </c>
      <c r="H692" s="43" t="s">
        <v>235</v>
      </c>
      <c r="I692" s="40" t="s">
        <v>1281</v>
      </c>
    </row>
    <row r="693" spans="1:9" x14ac:dyDescent="0.25">
      <c r="A693" s="40" t="s">
        <v>67</v>
      </c>
      <c r="B693" s="28">
        <v>837</v>
      </c>
      <c r="C693" s="28" t="s">
        <v>35</v>
      </c>
      <c r="D693" s="28" t="s">
        <v>38</v>
      </c>
      <c r="E693" s="41">
        <v>46144</v>
      </c>
      <c r="F693" s="47">
        <v>0.38295138888888891</v>
      </c>
      <c r="G693" s="44">
        <v>6.3</v>
      </c>
      <c r="H693" s="43" t="s">
        <v>234</v>
      </c>
      <c r="I693" s="40" t="s">
        <v>1282</v>
      </c>
    </row>
    <row r="694" spans="1:9" x14ac:dyDescent="0.25">
      <c r="A694" s="40" t="s">
        <v>67</v>
      </c>
      <c r="B694" s="28">
        <v>837</v>
      </c>
      <c r="C694" s="28" t="s">
        <v>501</v>
      </c>
      <c r="D694" s="28"/>
      <c r="E694" s="41">
        <v>46144</v>
      </c>
      <c r="F694" s="47">
        <v>0.63252314814814814</v>
      </c>
      <c r="G694" s="44">
        <v>6.3</v>
      </c>
      <c r="H694" s="43" t="s">
        <v>235</v>
      </c>
      <c r="I694" s="40" t="s">
        <v>1282</v>
      </c>
    </row>
    <row r="695" spans="1:9" x14ac:dyDescent="0.25">
      <c r="A695" s="40" t="s">
        <v>67</v>
      </c>
      <c r="B695" s="28">
        <v>837</v>
      </c>
      <c r="C695" s="28" t="s">
        <v>501</v>
      </c>
      <c r="D695" s="28"/>
      <c r="E695" s="41">
        <v>46144</v>
      </c>
      <c r="F695" s="47">
        <v>0.6441782407407407</v>
      </c>
      <c r="G695" s="44">
        <v>6.3</v>
      </c>
      <c r="H695" s="43" t="s">
        <v>236</v>
      </c>
      <c r="I695" s="40" t="s">
        <v>1282</v>
      </c>
    </row>
    <row r="696" spans="1:9" x14ac:dyDescent="0.25">
      <c r="A696" s="40" t="s">
        <v>67</v>
      </c>
      <c r="B696" s="28">
        <v>837</v>
      </c>
      <c r="C696" s="28" t="s">
        <v>35</v>
      </c>
      <c r="D696" s="28" t="s">
        <v>38</v>
      </c>
      <c r="E696" s="41">
        <v>46144</v>
      </c>
      <c r="F696" s="47">
        <v>0.65473379629629624</v>
      </c>
      <c r="G696" s="44">
        <v>6.3</v>
      </c>
      <c r="H696" s="43" t="s">
        <v>237</v>
      </c>
      <c r="I696" s="40" t="s">
        <v>1282</v>
      </c>
    </row>
    <row r="697" spans="1:9" x14ac:dyDescent="0.25">
      <c r="A697" s="40" t="s">
        <v>67</v>
      </c>
      <c r="B697" s="28">
        <v>837</v>
      </c>
      <c r="C697" s="28" t="s">
        <v>35</v>
      </c>
      <c r="D697" s="28" t="s">
        <v>38</v>
      </c>
      <c r="E697" s="41">
        <v>46144</v>
      </c>
      <c r="F697" s="47">
        <v>0.66109953703703705</v>
      </c>
      <c r="G697" s="44">
        <v>6.3</v>
      </c>
      <c r="H697" s="43" t="s">
        <v>234</v>
      </c>
      <c r="I697" s="40" t="s">
        <v>1282</v>
      </c>
    </row>
    <row r="698" spans="1:9" x14ac:dyDescent="0.25">
      <c r="A698" s="40" t="s">
        <v>67</v>
      </c>
      <c r="B698" s="28">
        <v>837</v>
      </c>
      <c r="C698" s="28" t="s">
        <v>35</v>
      </c>
      <c r="D698" s="28" t="s">
        <v>38</v>
      </c>
      <c r="E698" s="41">
        <v>46145</v>
      </c>
      <c r="F698" s="47">
        <v>0.94445601851851857</v>
      </c>
      <c r="G698" s="44">
        <v>6.3</v>
      </c>
      <c r="H698" s="43" t="s">
        <v>237</v>
      </c>
      <c r="I698" s="40" t="s">
        <v>1282</v>
      </c>
    </row>
    <row r="699" spans="1:9" x14ac:dyDescent="0.25">
      <c r="A699" s="40" t="s">
        <v>187</v>
      </c>
      <c r="B699" s="28">
        <v>838</v>
      </c>
      <c r="C699" s="28">
        <v>5641887</v>
      </c>
      <c r="D699" s="28"/>
      <c r="E699" s="41">
        <v>46140</v>
      </c>
      <c r="F699" s="47">
        <v>0.9841550925925926</v>
      </c>
      <c r="G699" s="44">
        <v>6.3</v>
      </c>
      <c r="H699" s="43" t="s">
        <v>235</v>
      </c>
      <c r="I699" s="40" t="s">
        <v>1281</v>
      </c>
    </row>
    <row r="700" spans="1:9" x14ac:dyDescent="0.25">
      <c r="A700" s="40" t="s">
        <v>187</v>
      </c>
      <c r="B700" s="28">
        <v>838</v>
      </c>
      <c r="C700" s="28">
        <v>5641887</v>
      </c>
      <c r="D700" s="28"/>
      <c r="E700" s="41">
        <v>46140</v>
      </c>
      <c r="F700" s="47">
        <v>0.99101851851851852</v>
      </c>
      <c r="G700" s="44">
        <v>6.3</v>
      </c>
      <c r="H700" s="43" t="s">
        <v>236</v>
      </c>
      <c r="I700" s="40" t="s">
        <v>1281</v>
      </c>
    </row>
    <row r="701" spans="1:9" x14ac:dyDescent="0.25">
      <c r="A701" s="40" t="s">
        <v>187</v>
      </c>
      <c r="B701" s="28">
        <v>838</v>
      </c>
      <c r="C701" s="28" t="s">
        <v>35</v>
      </c>
      <c r="D701" s="28" t="s">
        <v>38</v>
      </c>
      <c r="E701" s="41">
        <v>46141</v>
      </c>
      <c r="F701" s="47">
        <v>0.32145833333333335</v>
      </c>
      <c r="G701" s="44">
        <v>6.3</v>
      </c>
      <c r="H701" s="43" t="s">
        <v>242</v>
      </c>
      <c r="I701" s="40" t="s">
        <v>1281</v>
      </c>
    </row>
    <row r="702" spans="1:9" x14ac:dyDescent="0.25">
      <c r="A702" s="40" t="s">
        <v>187</v>
      </c>
      <c r="B702" s="28">
        <v>838</v>
      </c>
      <c r="C702" s="28" t="s">
        <v>35</v>
      </c>
      <c r="D702" s="28" t="s">
        <v>38</v>
      </c>
      <c r="E702" s="41">
        <v>46141</v>
      </c>
      <c r="F702" s="47">
        <v>0.32962962962962961</v>
      </c>
      <c r="G702" s="42">
        <v>6.3</v>
      </c>
      <c r="H702" s="40" t="s">
        <v>240</v>
      </c>
      <c r="I702" s="40" t="s">
        <v>1281</v>
      </c>
    </row>
    <row r="703" spans="1:9" x14ac:dyDescent="0.25">
      <c r="A703" s="40" t="s">
        <v>187</v>
      </c>
      <c r="B703" s="28">
        <v>838</v>
      </c>
      <c r="C703" s="28" t="s">
        <v>35</v>
      </c>
      <c r="D703" s="28" t="s">
        <v>38</v>
      </c>
      <c r="E703" s="45">
        <v>46141</v>
      </c>
      <c r="F703" s="48">
        <v>0.39178240740740738</v>
      </c>
      <c r="G703" s="44">
        <v>6.3</v>
      </c>
      <c r="H703" s="43" t="s">
        <v>236</v>
      </c>
      <c r="I703" s="40" t="s">
        <v>1281</v>
      </c>
    </row>
    <row r="704" spans="1:9" x14ac:dyDescent="0.25">
      <c r="A704" s="40" t="s">
        <v>187</v>
      </c>
      <c r="B704" s="28">
        <v>838</v>
      </c>
      <c r="C704" s="28" t="s">
        <v>35</v>
      </c>
      <c r="D704" s="28" t="s">
        <v>38</v>
      </c>
      <c r="E704" s="45">
        <v>46141</v>
      </c>
      <c r="F704" s="48">
        <v>0.45630787037037035</v>
      </c>
      <c r="G704" s="44">
        <v>6.3</v>
      </c>
      <c r="H704" s="43" t="s">
        <v>238</v>
      </c>
      <c r="I704" s="40" t="s">
        <v>1281</v>
      </c>
    </row>
    <row r="705" spans="1:9" x14ac:dyDescent="0.25">
      <c r="A705" s="40" t="s">
        <v>187</v>
      </c>
      <c r="B705" s="28">
        <v>838</v>
      </c>
      <c r="C705" s="28" t="s">
        <v>35</v>
      </c>
      <c r="D705" s="28" t="s">
        <v>38</v>
      </c>
      <c r="E705" s="41">
        <v>46141</v>
      </c>
      <c r="F705" s="47">
        <v>0.46915509259259258</v>
      </c>
      <c r="G705" s="42">
        <v>6.3</v>
      </c>
      <c r="H705" s="40" t="s">
        <v>234</v>
      </c>
      <c r="I705" s="40" t="s">
        <v>1281</v>
      </c>
    </row>
    <row r="706" spans="1:9" x14ac:dyDescent="0.25">
      <c r="A706" s="40" t="s">
        <v>187</v>
      </c>
      <c r="B706" s="28">
        <v>838</v>
      </c>
      <c r="C706" s="28" t="s">
        <v>35</v>
      </c>
      <c r="D706" s="28" t="s">
        <v>38</v>
      </c>
      <c r="E706" s="45">
        <v>46141</v>
      </c>
      <c r="F706" s="48">
        <v>0.54060185185185183</v>
      </c>
      <c r="G706" s="44">
        <v>6.3</v>
      </c>
      <c r="H706" s="43" t="s">
        <v>235</v>
      </c>
      <c r="I706" s="40" t="s">
        <v>1281</v>
      </c>
    </row>
    <row r="707" spans="1:9" x14ac:dyDescent="0.25">
      <c r="A707" s="40" t="s">
        <v>187</v>
      </c>
      <c r="B707" s="28">
        <v>838</v>
      </c>
      <c r="C707" s="28" t="s">
        <v>35</v>
      </c>
      <c r="D707" s="28" t="s">
        <v>38</v>
      </c>
      <c r="E707" s="41">
        <v>46141</v>
      </c>
      <c r="F707" s="47">
        <v>0.54975694444444445</v>
      </c>
      <c r="G707" s="44">
        <v>6.3</v>
      </c>
      <c r="H707" s="43" t="s">
        <v>236</v>
      </c>
      <c r="I707" s="40" t="s">
        <v>1281</v>
      </c>
    </row>
    <row r="708" spans="1:9" x14ac:dyDescent="0.25">
      <c r="A708" s="40" t="s">
        <v>187</v>
      </c>
      <c r="B708" s="28">
        <v>838</v>
      </c>
      <c r="C708" s="28">
        <v>5643584</v>
      </c>
      <c r="D708" s="28"/>
      <c r="E708" s="41">
        <v>46142</v>
      </c>
      <c r="F708" s="47">
        <v>0.14386574074074074</v>
      </c>
      <c r="G708" s="44">
        <v>6.3</v>
      </c>
      <c r="H708" s="43" t="s">
        <v>237</v>
      </c>
      <c r="I708" s="40" t="s">
        <v>1281</v>
      </c>
    </row>
    <row r="709" spans="1:9" x14ac:dyDescent="0.25">
      <c r="A709" s="40" t="s">
        <v>187</v>
      </c>
      <c r="B709" s="28">
        <v>838</v>
      </c>
      <c r="C709" s="28">
        <v>5643584</v>
      </c>
      <c r="D709" s="28"/>
      <c r="E709" s="41">
        <v>46142</v>
      </c>
      <c r="F709" s="47">
        <v>0.1492013888888889</v>
      </c>
      <c r="G709" s="44">
        <v>6.3</v>
      </c>
      <c r="H709" s="43" t="s">
        <v>234</v>
      </c>
      <c r="I709" s="40" t="s">
        <v>1281</v>
      </c>
    </row>
    <row r="710" spans="1:9" x14ac:dyDescent="0.25">
      <c r="A710" s="40" t="s">
        <v>187</v>
      </c>
      <c r="B710" s="28">
        <v>838</v>
      </c>
      <c r="C710" s="28" t="s">
        <v>35</v>
      </c>
      <c r="D710" s="28" t="s">
        <v>38</v>
      </c>
      <c r="E710" s="45">
        <v>46142</v>
      </c>
      <c r="F710" s="48">
        <v>0.38502314814814814</v>
      </c>
      <c r="G710" s="44">
        <v>6.3</v>
      </c>
      <c r="H710" s="43" t="s">
        <v>235</v>
      </c>
      <c r="I710" s="40" t="s">
        <v>1281</v>
      </c>
    </row>
    <row r="711" spans="1:9" x14ac:dyDescent="0.25">
      <c r="A711" s="40" t="s">
        <v>187</v>
      </c>
      <c r="B711" s="28">
        <v>838</v>
      </c>
      <c r="C711" s="28" t="s">
        <v>35</v>
      </c>
      <c r="D711" s="28" t="s">
        <v>38</v>
      </c>
      <c r="E711" s="41">
        <v>46142</v>
      </c>
      <c r="F711" s="47">
        <v>0.40107638888888891</v>
      </c>
      <c r="G711" s="44">
        <v>6.3</v>
      </c>
      <c r="H711" s="43" t="s">
        <v>236</v>
      </c>
      <c r="I711" s="40" t="s">
        <v>1281</v>
      </c>
    </row>
    <row r="712" spans="1:9" x14ac:dyDescent="0.25">
      <c r="A712" s="40" t="s">
        <v>187</v>
      </c>
      <c r="B712" s="28">
        <v>838</v>
      </c>
      <c r="C712" s="28" t="s">
        <v>35</v>
      </c>
      <c r="D712" s="28" t="s">
        <v>38</v>
      </c>
      <c r="E712" s="45">
        <v>46143</v>
      </c>
      <c r="F712" s="48">
        <v>0.52288194444444447</v>
      </c>
      <c r="G712" s="42">
        <v>6.3</v>
      </c>
      <c r="H712" s="40" t="s">
        <v>237</v>
      </c>
      <c r="I712" s="40" t="s">
        <v>1282</v>
      </c>
    </row>
    <row r="713" spans="1:9" x14ac:dyDescent="0.25">
      <c r="A713" s="40" t="s">
        <v>187</v>
      </c>
      <c r="B713" s="28">
        <v>838</v>
      </c>
      <c r="C713" s="28" t="s">
        <v>35</v>
      </c>
      <c r="D713" s="28" t="s">
        <v>38</v>
      </c>
      <c r="E713" s="45">
        <v>46143</v>
      </c>
      <c r="F713" s="48">
        <v>0.86920138888888887</v>
      </c>
      <c r="G713" s="42">
        <v>6.3</v>
      </c>
      <c r="H713" s="40" t="s">
        <v>237</v>
      </c>
      <c r="I713" s="40" t="s">
        <v>1282</v>
      </c>
    </row>
    <row r="714" spans="1:9" x14ac:dyDescent="0.25">
      <c r="A714" s="40" t="s">
        <v>187</v>
      </c>
      <c r="B714" s="28">
        <v>838</v>
      </c>
      <c r="C714" s="28">
        <v>5647236</v>
      </c>
      <c r="D714" s="28"/>
      <c r="E714" s="41">
        <v>46144</v>
      </c>
      <c r="F714" s="47">
        <v>0.29240740740740739</v>
      </c>
      <c r="G714" s="42">
        <v>6.3</v>
      </c>
      <c r="H714" s="40" t="s">
        <v>237</v>
      </c>
      <c r="I714" s="40" t="s">
        <v>1282</v>
      </c>
    </row>
    <row r="715" spans="1:9" x14ac:dyDescent="0.25">
      <c r="A715" s="40" t="s">
        <v>187</v>
      </c>
      <c r="B715" s="28">
        <v>838</v>
      </c>
      <c r="C715" s="28">
        <v>5647236</v>
      </c>
      <c r="D715" s="28"/>
      <c r="E715" s="41">
        <v>46144</v>
      </c>
      <c r="F715" s="47">
        <v>0.29774305555555558</v>
      </c>
      <c r="G715" s="42">
        <v>6.3</v>
      </c>
      <c r="H715" s="40" t="s">
        <v>234</v>
      </c>
      <c r="I715" s="40" t="s">
        <v>1282</v>
      </c>
    </row>
    <row r="716" spans="1:9" x14ac:dyDescent="0.25">
      <c r="A716" s="40" t="s">
        <v>187</v>
      </c>
      <c r="B716" s="28">
        <v>838</v>
      </c>
      <c r="C716" s="28" t="s">
        <v>35</v>
      </c>
      <c r="D716" s="28" t="s">
        <v>38</v>
      </c>
      <c r="E716" s="45">
        <v>46144</v>
      </c>
      <c r="F716" s="48">
        <v>0.34858796296296296</v>
      </c>
      <c r="G716" s="44">
        <v>6.3</v>
      </c>
      <c r="H716" s="43" t="s">
        <v>235</v>
      </c>
      <c r="I716" s="40" t="s">
        <v>1282</v>
      </c>
    </row>
    <row r="717" spans="1:9" x14ac:dyDescent="0.25">
      <c r="A717" s="40" t="s">
        <v>187</v>
      </c>
      <c r="B717" s="28">
        <v>838</v>
      </c>
      <c r="C717" s="28" t="s">
        <v>35</v>
      </c>
      <c r="D717" s="28" t="s">
        <v>38</v>
      </c>
      <c r="E717" s="41">
        <v>46144</v>
      </c>
      <c r="F717" s="47">
        <v>0.3556597222222222</v>
      </c>
      <c r="G717" s="44">
        <v>6.3</v>
      </c>
      <c r="H717" s="43" t="s">
        <v>236</v>
      </c>
      <c r="I717" s="40" t="s">
        <v>1282</v>
      </c>
    </row>
    <row r="718" spans="1:9" x14ac:dyDescent="0.25">
      <c r="A718" s="40" t="s">
        <v>187</v>
      </c>
      <c r="B718" s="28">
        <v>838</v>
      </c>
      <c r="C718" s="28" t="s">
        <v>502</v>
      </c>
      <c r="D718" s="28"/>
      <c r="E718" s="45">
        <v>46145</v>
      </c>
      <c r="F718" s="48">
        <v>0.34646990740740741</v>
      </c>
      <c r="G718" s="44">
        <v>6.3</v>
      </c>
      <c r="H718" s="43" t="s">
        <v>235</v>
      </c>
      <c r="I718" s="40" t="s">
        <v>1282</v>
      </c>
    </row>
    <row r="719" spans="1:9" x14ac:dyDescent="0.25">
      <c r="A719" s="40" t="s">
        <v>187</v>
      </c>
      <c r="B719" s="28">
        <v>838</v>
      </c>
      <c r="C719" s="28" t="s">
        <v>502</v>
      </c>
      <c r="D719" s="28"/>
      <c r="E719" s="41">
        <v>46145</v>
      </c>
      <c r="F719" s="47">
        <v>0.35432870370370373</v>
      </c>
      <c r="G719" s="44">
        <v>6.3</v>
      </c>
      <c r="H719" s="43" t="s">
        <v>236</v>
      </c>
      <c r="I719" s="40" t="s">
        <v>1282</v>
      </c>
    </row>
    <row r="720" spans="1:9" x14ac:dyDescent="0.25">
      <c r="A720" s="40" t="s">
        <v>187</v>
      </c>
      <c r="B720" s="28">
        <v>838</v>
      </c>
      <c r="C720" s="28">
        <v>5648594</v>
      </c>
      <c r="D720" s="28"/>
      <c r="E720" s="45">
        <v>46145</v>
      </c>
      <c r="F720" s="48">
        <v>0.54857638888888893</v>
      </c>
      <c r="G720" s="44">
        <v>6.3</v>
      </c>
      <c r="H720" s="43" t="s">
        <v>235</v>
      </c>
      <c r="I720" s="40" t="s">
        <v>1282</v>
      </c>
    </row>
    <row r="721" spans="1:9" x14ac:dyDescent="0.25">
      <c r="A721" s="40" t="s">
        <v>187</v>
      </c>
      <c r="B721" s="28">
        <v>838</v>
      </c>
      <c r="C721" s="28">
        <v>5648594</v>
      </c>
      <c r="D721" s="28"/>
      <c r="E721" s="45">
        <v>46145</v>
      </c>
      <c r="F721" s="48">
        <v>0.55659722222222219</v>
      </c>
      <c r="G721" s="44">
        <v>6.3</v>
      </c>
      <c r="H721" s="43" t="s">
        <v>236</v>
      </c>
      <c r="I721" s="40" t="s">
        <v>1282</v>
      </c>
    </row>
    <row r="722" spans="1:9" x14ac:dyDescent="0.25">
      <c r="A722" s="40" t="s">
        <v>68</v>
      </c>
      <c r="B722" s="28">
        <v>846</v>
      </c>
      <c r="C722" s="28">
        <v>5637653</v>
      </c>
      <c r="D722" s="28"/>
      <c r="E722" s="41">
        <v>46139</v>
      </c>
      <c r="F722" s="47">
        <v>3.3391203703703701E-2</v>
      </c>
      <c r="G722" s="44">
        <v>6.3</v>
      </c>
      <c r="H722" s="43" t="s">
        <v>235</v>
      </c>
      <c r="I722" s="40" t="s">
        <v>1281</v>
      </c>
    </row>
    <row r="723" spans="1:9" x14ac:dyDescent="0.25">
      <c r="A723" s="40" t="s">
        <v>68</v>
      </c>
      <c r="B723" s="28">
        <v>846</v>
      </c>
      <c r="C723" s="28">
        <v>5643535</v>
      </c>
      <c r="D723" s="28"/>
      <c r="E723" s="41">
        <v>46141</v>
      </c>
      <c r="F723" s="47">
        <v>0.84097222222222223</v>
      </c>
      <c r="G723" s="44">
        <v>6.3</v>
      </c>
      <c r="H723" s="43" t="s">
        <v>235</v>
      </c>
      <c r="I723" s="40" t="s">
        <v>1281</v>
      </c>
    </row>
    <row r="724" spans="1:9" x14ac:dyDescent="0.25">
      <c r="A724" s="40" t="s">
        <v>68</v>
      </c>
      <c r="B724" s="28">
        <v>846</v>
      </c>
      <c r="C724" s="28">
        <v>5643535</v>
      </c>
      <c r="D724" s="28"/>
      <c r="E724" s="41">
        <v>46141</v>
      </c>
      <c r="F724" s="47">
        <v>0.85767361111111107</v>
      </c>
      <c r="G724" s="44">
        <v>6.3</v>
      </c>
      <c r="H724" s="43" t="s">
        <v>236</v>
      </c>
      <c r="I724" s="40" t="s">
        <v>1281</v>
      </c>
    </row>
    <row r="725" spans="1:9" x14ac:dyDescent="0.25">
      <c r="A725" s="40" t="s">
        <v>68</v>
      </c>
      <c r="B725" s="28">
        <v>846</v>
      </c>
      <c r="C725" s="28" t="s">
        <v>503</v>
      </c>
      <c r="D725" s="28"/>
      <c r="E725" s="41">
        <v>46142</v>
      </c>
      <c r="F725" s="47">
        <v>5.4421296296296294E-2</v>
      </c>
      <c r="G725" s="44">
        <v>6.3</v>
      </c>
      <c r="H725" s="43" t="s">
        <v>235</v>
      </c>
      <c r="I725" s="40" t="s">
        <v>1281</v>
      </c>
    </row>
    <row r="726" spans="1:9" x14ac:dyDescent="0.25">
      <c r="A726" s="40" t="s">
        <v>68</v>
      </c>
      <c r="B726" s="28">
        <v>846</v>
      </c>
      <c r="C726" s="28" t="s">
        <v>503</v>
      </c>
      <c r="D726" s="28"/>
      <c r="E726" s="41">
        <v>46142</v>
      </c>
      <c r="F726" s="47">
        <v>6.9722222222222227E-2</v>
      </c>
      <c r="G726" s="44">
        <v>6.3</v>
      </c>
      <c r="H726" s="43" t="s">
        <v>236</v>
      </c>
      <c r="I726" s="40" t="s">
        <v>1281</v>
      </c>
    </row>
    <row r="727" spans="1:9" x14ac:dyDescent="0.25">
      <c r="A727" s="40" t="s">
        <v>68</v>
      </c>
      <c r="B727" s="28">
        <v>846</v>
      </c>
      <c r="C727" s="28">
        <v>5643647</v>
      </c>
      <c r="D727" s="28"/>
      <c r="E727" s="41">
        <v>46142</v>
      </c>
      <c r="F727" s="47">
        <v>9.9386574074074072E-2</v>
      </c>
      <c r="G727" s="44">
        <v>6.3</v>
      </c>
      <c r="H727" s="43" t="s">
        <v>237</v>
      </c>
      <c r="I727" s="40" t="s">
        <v>1281</v>
      </c>
    </row>
    <row r="728" spans="1:9" x14ac:dyDescent="0.25">
      <c r="A728" s="40" t="s">
        <v>68</v>
      </c>
      <c r="B728" s="28">
        <v>846</v>
      </c>
      <c r="C728" s="28">
        <v>5643647</v>
      </c>
      <c r="D728" s="28"/>
      <c r="E728" s="41">
        <v>46142</v>
      </c>
      <c r="F728" s="47">
        <v>0.10405092592592592</v>
      </c>
      <c r="G728" s="44">
        <v>6.3</v>
      </c>
      <c r="H728" s="43" t="s">
        <v>234</v>
      </c>
      <c r="I728" s="40" t="s">
        <v>1281</v>
      </c>
    </row>
    <row r="729" spans="1:9" x14ac:dyDescent="0.25">
      <c r="A729" s="40" t="s">
        <v>68</v>
      </c>
      <c r="B729" s="28">
        <v>846</v>
      </c>
      <c r="C729" s="28">
        <v>5644100</v>
      </c>
      <c r="D729" s="28"/>
      <c r="E729" s="45">
        <v>46142</v>
      </c>
      <c r="F729" s="48">
        <v>0.17814814814814814</v>
      </c>
      <c r="G729" s="44">
        <v>6.3</v>
      </c>
      <c r="H729" s="43" t="s">
        <v>235</v>
      </c>
      <c r="I729" s="40" t="s">
        <v>1281</v>
      </c>
    </row>
    <row r="730" spans="1:9" x14ac:dyDescent="0.25">
      <c r="A730" s="40" t="s">
        <v>68</v>
      </c>
      <c r="B730" s="28">
        <v>846</v>
      </c>
      <c r="C730" s="28">
        <v>5646033</v>
      </c>
      <c r="D730" s="28"/>
      <c r="E730" s="41">
        <v>46143</v>
      </c>
      <c r="F730" s="47">
        <v>0.29249999999999998</v>
      </c>
      <c r="G730" s="44">
        <v>6.3</v>
      </c>
      <c r="H730" s="43" t="s">
        <v>235</v>
      </c>
      <c r="I730" s="40" t="s">
        <v>1282</v>
      </c>
    </row>
    <row r="731" spans="1:9" x14ac:dyDescent="0.25">
      <c r="A731" s="40" t="s">
        <v>68</v>
      </c>
      <c r="B731" s="28">
        <v>846</v>
      </c>
      <c r="C731" s="28">
        <v>5646033</v>
      </c>
      <c r="D731" s="28"/>
      <c r="E731" s="41">
        <v>46143</v>
      </c>
      <c r="F731" s="47">
        <v>0.29879629629629628</v>
      </c>
      <c r="G731" s="44">
        <v>6.3</v>
      </c>
      <c r="H731" s="43" t="s">
        <v>236</v>
      </c>
      <c r="I731" s="40" t="s">
        <v>1282</v>
      </c>
    </row>
    <row r="732" spans="1:9" x14ac:dyDescent="0.25">
      <c r="A732" s="40" t="s">
        <v>68</v>
      </c>
      <c r="B732" s="28">
        <v>846</v>
      </c>
      <c r="C732" s="28">
        <v>5646088</v>
      </c>
      <c r="D732" s="28" t="s">
        <v>37</v>
      </c>
      <c r="E732" s="41">
        <v>46143</v>
      </c>
      <c r="F732" s="47">
        <v>0.36940972222222224</v>
      </c>
      <c r="G732" s="44">
        <v>6.3</v>
      </c>
      <c r="H732" s="43" t="s">
        <v>237</v>
      </c>
      <c r="I732" s="40" t="s">
        <v>1282</v>
      </c>
    </row>
    <row r="733" spans="1:9" x14ac:dyDescent="0.25">
      <c r="A733" s="40" t="s">
        <v>68</v>
      </c>
      <c r="B733" s="28">
        <v>846</v>
      </c>
      <c r="C733" s="28">
        <v>5646088</v>
      </c>
      <c r="D733" s="28" t="s">
        <v>37</v>
      </c>
      <c r="E733" s="41">
        <v>46143</v>
      </c>
      <c r="F733" s="47">
        <v>0.37456018518518519</v>
      </c>
      <c r="G733" s="44">
        <v>6.3</v>
      </c>
      <c r="H733" s="43" t="s">
        <v>234</v>
      </c>
      <c r="I733" s="40" t="s">
        <v>1282</v>
      </c>
    </row>
    <row r="734" spans="1:9" x14ac:dyDescent="0.25">
      <c r="A734" s="40" t="s">
        <v>68</v>
      </c>
      <c r="B734" s="28">
        <v>846</v>
      </c>
      <c r="C734" s="28" t="s">
        <v>504</v>
      </c>
      <c r="D734" s="28"/>
      <c r="E734" s="41">
        <v>46145</v>
      </c>
      <c r="F734" s="47">
        <v>0.75982638888888887</v>
      </c>
      <c r="G734" s="44">
        <v>6.3</v>
      </c>
      <c r="H734" s="43" t="s">
        <v>235</v>
      </c>
      <c r="I734" s="40" t="s">
        <v>1282</v>
      </c>
    </row>
    <row r="735" spans="1:9" x14ac:dyDescent="0.25">
      <c r="A735" s="40" t="s">
        <v>68</v>
      </c>
      <c r="B735" s="28">
        <v>846</v>
      </c>
      <c r="C735" s="28" t="s">
        <v>504</v>
      </c>
      <c r="D735" s="28"/>
      <c r="E735" s="41">
        <v>46145</v>
      </c>
      <c r="F735" s="47">
        <v>0.76773148148148151</v>
      </c>
      <c r="G735" s="44">
        <v>6.3</v>
      </c>
      <c r="H735" s="43" t="s">
        <v>236</v>
      </c>
      <c r="I735" s="40" t="s">
        <v>1282</v>
      </c>
    </row>
    <row r="736" spans="1:9" x14ac:dyDescent="0.25">
      <c r="A736" s="40" t="s">
        <v>147</v>
      </c>
      <c r="B736" s="28">
        <v>847</v>
      </c>
      <c r="C736" s="28">
        <v>5638024</v>
      </c>
      <c r="D736" s="28" t="s">
        <v>37</v>
      </c>
      <c r="E736" s="41">
        <v>46139</v>
      </c>
      <c r="F736" s="47">
        <v>0.41689814814814813</v>
      </c>
      <c r="G736" s="44">
        <v>6.3</v>
      </c>
      <c r="H736" s="43" t="s">
        <v>235</v>
      </c>
      <c r="I736" s="40" t="s">
        <v>1281</v>
      </c>
    </row>
    <row r="737" spans="1:9" x14ac:dyDescent="0.25">
      <c r="A737" s="40" t="s">
        <v>147</v>
      </c>
      <c r="B737" s="28">
        <v>847</v>
      </c>
      <c r="C737" s="28">
        <v>5638024</v>
      </c>
      <c r="D737" s="28" t="s">
        <v>37</v>
      </c>
      <c r="E737" s="41">
        <v>46139</v>
      </c>
      <c r="F737" s="47">
        <v>0.43053240740740739</v>
      </c>
      <c r="G737" s="44">
        <v>6.3</v>
      </c>
      <c r="H737" s="43" t="s">
        <v>236</v>
      </c>
      <c r="I737" s="40" t="s">
        <v>1281</v>
      </c>
    </row>
    <row r="738" spans="1:9" x14ac:dyDescent="0.25">
      <c r="A738" s="40" t="s">
        <v>147</v>
      </c>
      <c r="B738" s="28">
        <v>847</v>
      </c>
      <c r="C738" s="28" t="s">
        <v>35</v>
      </c>
      <c r="D738" s="28" t="s">
        <v>38</v>
      </c>
      <c r="E738" s="41">
        <v>46139</v>
      </c>
      <c r="F738" s="47">
        <v>0.44034722222222222</v>
      </c>
      <c r="G738" s="44">
        <v>6.3</v>
      </c>
      <c r="H738" s="43" t="s">
        <v>237</v>
      </c>
      <c r="I738" s="40" t="s">
        <v>1281</v>
      </c>
    </row>
    <row r="739" spans="1:9" x14ac:dyDescent="0.25">
      <c r="A739" s="40" t="s">
        <v>147</v>
      </c>
      <c r="B739" s="28">
        <v>847</v>
      </c>
      <c r="C739" s="28" t="s">
        <v>35</v>
      </c>
      <c r="D739" s="28" t="s">
        <v>38</v>
      </c>
      <c r="E739" s="41">
        <v>46139</v>
      </c>
      <c r="F739" s="47">
        <v>0.44688657407407406</v>
      </c>
      <c r="G739" s="44">
        <v>6.3</v>
      </c>
      <c r="H739" s="43" t="s">
        <v>234</v>
      </c>
      <c r="I739" s="40" t="s">
        <v>1281</v>
      </c>
    </row>
    <row r="740" spans="1:9" x14ac:dyDescent="0.25">
      <c r="A740" s="40" t="s">
        <v>147</v>
      </c>
      <c r="B740" s="28">
        <v>847</v>
      </c>
      <c r="C740" s="28" t="s">
        <v>35</v>
      </c>
      <c r="D740" s="28" t="s">
        <v>38</v>
      </c>
      <c r="E740" s="41">
        <v>46142</v>
      </c>
      <c r="F740" s="47">
        <v>0.60349537037037038</v>
      </c>
      <c r="G740" s="44">
        <v>6.3</v>
      </c>
      <c r="H740" s="43" t="s">
        <v>237</v>
      </c>
      <c r="I740" s="40" t="s">
        <v>1281</v>
      </c>
    </row>
    <row r="741" spans="1:9" x14ac:dyDescent="0.25">
      <c r="A741" s="40" t="s">
        <v>147</v>
      </c>
      <c r="B741" s="28">
        <v>847</v>
      </c>
      <c r="C741" s="28" t="s">
        <v>35</v>
      </c>
      <c r="D741" s="28" t="s">
        <v>38</v>
      </c>
      <c r="E741" s="41">
        <v>46142</v>
      </c>
      <c r="F741" s="47">
        <v>0.6181712962962963</v>
      </c>
      <c r="G741" s="44">
        <v>6.3</v>
      </c>
      <c r="H741" s="43" t="s">
        <v>234</v>
      </c>
      <c r="I741" s="40" t="s">
        <v>1281</v>
      </c>
    </row>
    <row r="742" spans="1:9" x14ac:dyDescent="0.25">
      <c r="A742" s="40" t="s">
        <v>147</v>
      </c>
      <c r="B742" s="28">
        <v>847</v>
      </c>
      <c r="C742" s="28">
        <v>5646139</v>
      </c>
      <c r="D742" s="28"/>
      <c r="E742" s="41">
        <v>46143</v>
      </c>
      <c r="F742" s="47">
        <v>0.39386574074074077</v>
      </c>
      <c r="G742" s="44">
        <v>6.3</v>
      </c>
      <c r="H742" s="43" t="s">
        <v>235</v>
      </c>
      <c r="I742" s="40" t="s">
        <v>1282</v>
      </c>
    </row>
    <row r="743" spans="1:9" x14ac:dyDescent="0.25">
      <c r="A743" s="40" t="s">
        <v>147</v>
      </c>
      <c r="B743" s="28">
        <v>847</v>
      </c>
      <c r="C743" s="28">
        <v>5646139</v>
      </c>
      <c r="D743" s="28"/>
      <c r="E743" s="41">
        <v>46143</v>
      </c>
      <c r="F743" s="47">
        <v>0.40092592592592591</v>
      </c>
      <c r="G743" s="44">
        <v>6.3</v>
      </c>
      <c r="H743" s="43" t="s">
        <v>236</v>
      </c>
      <c r="I743" s="40" t="s">
        <v>1282</v>
      </c>
    </row>
    <row r="744" spans="1:9" x14ac:dyDescent="0.25">
      <c r="A744" s="40" t="s">
        <v>147</v>
      </c>
      <c r="B744" s="28">
        <v>847</v>
      </c>
      <c r="C744" s="28" t="s">
        <v>35</v>
      </c>
      <c r="D744" s="28" t="s">
        <v>38</v>
      </c>
      <c r="E744" s="41">
        <v>46143</v>
      </c>
      <c r="F744" s="47">
        <v>0.41366898148148146</v>
      </c>
      <c r="G744" s="44">
        <v>6.3</v>
      </c>
      <c r="H744" s="43" t="s">
        <v>237</v>
      </c>
      <c r="I744" s="40" t="s">
        <v>1282</v>
      </c>
    </row>
    <row r="745" spans="1:9" x14ac:dyDescent="0.25">
      <c r="A745" s="40" t="s">
        <v>147</v>
      </c>
      <c r="B745" s="28">
        <v>847</v>
      </c>
      <c r="C745" s="28" t="s">
        <v>35</v>
      </c>
      <c r="D745" s="28" t="s">
        <v>38</v>
      </c>
      <c r="E745" s="41">
        <v>46143</v>
      </c>
      <c r="F745" s="47">
        <v>0.41899305555555555</v>
      </c>
      <c r="G745" s="44">
        <v>6.3</v>
      </c>
      <c r="H745" s="43" t="s">
        <v>234</v>
      </c>
      <c r="I745" s="40" t="s">
        <v>1282</v>
      </c>
    </row>
    <row r="746" spans="1:9" x14ac:dyDescent="0.25">
      <c r="A746" s="40" t="s">
        <v>284</v>
      </c>
      <c r="B746" s="28">
        <v>858</v>
      </c>
      <c r="C746" s="28" t="s">
        <v>505</v>
      </c>
      <c r="D746" s="28"/>
      <c r="E746" s="45">
        <v>46142</v>
      </c>
      <c r="F746" s="48">
        <v>0.61396990740740742</v>
      </c>
      <c r="G746" s="44">
        <v>6.3</v>
      </c>
      <c r="H746" s="43" t="s">
        <v>235</v>
      </c>
      <c r="I746" s="40" t="s">
        <v>1281</v>
      </c>
    </row>
    <row r="747" spans="1:9" x14ac:dyDescent="0.25">
      <c r="A747" s="40" t="s">
        <v>284</v>
      </c>
      <c r="B747" s="28">
        <v>858</v>
      </c>
      <c r="C747" s="28">
        <v>5646044</v>
      </c>
      <c r="D747" s="28"/>
      <c r="E747" s="41">
        <v>46143</v>
      </c>
      <c r="F747" s="47">
        <v>0.30070601851851853</v>
      </c>
      <c r="G747" s="44">
        <v>6.3</v>
      </c>
      <c r="H747" s="43" t="s">
        <v>235</v>
      </c>
      <c r="I747" s="40" t="s">
        <v>1282</v>
      </c>
    </row>
    <row r="748" spans="1:9" x14ac:dyDescent="0.25">
      <c r="A748" s="40" t="s">
        <v>284</v>
      </c>
      <c r="B748" s="28">
        <v>858</v>
      </c>
      <c r="C748" s="28">
        <v>5646044</v>
      </c>
      <c r="D748" s="28"/>
      <c r="E748" s="41">
        <v>46143</v>
      </c>
      <c r="F748" s="47">
        <v>0.3079513888888889</v>
      </c>
      <c r="G748" s="44">
        <v>6.3</v>
      </c>
      <c r="H748" s="43" t="s">
        <v>236</v>
      </c>
      <c r="I748" s="40" t="s">
        <v>1282</v>
      </c>
    </row>
    <row r="749" spans="1:9" x14ac:dyDescent="0.25">
      <c r="A749" s="40" t="s">
        <v>284</v>
      </c>
      <c r="B749" s="28">
        <v>858</v>
      </c>
      <c r="C749" s="28">
        <v>5647805</v>
      </c>
      <c r="D749" s="28"/>
      <c r="E749" s="41">
        <v>46144</v>
      </c>
      <c r="F749" s="47">
        <v>0.64500000000000002</v>
      </c>
      <c r="G749" s="44">
        <v>6.3</v>
      </c>
      <c r="H749" s="43" t="s">
        <v>235</v>
      </c>
      <c r="I749" s="40" t="s">
        <v>1282</v>
      </c>
    </row>
    <row r="750" spans="1:9" x14ac:dyDescent="0.25">
      <c r="A750" s="40" t="s">
        <v>284</v>
      </c>
      <c r="B750" s="28">
        <v>858</v>
      </c>
      <c r="C750" s="28">
        <v>5647805</v>
      </c>
      <c r="D750" s="28"/>
      <c r="E750" s="45">
        <v>46144</v>
      </c>
      <c r="F750" s="48">
        <v>0.65471064814814817</v>
      </c>
      <c r="G750" s="44">
        <v>6.3</v>
      </c>
      <c r="H750" s="43" t="s">
        <v>236</v>
      </c>
      <c r="I750" s="40" t="s">
        <v>1282</v>
      </c>
    </row>
    <row r="751" spans="1:9" x14ac:dyDescent="0.25">
      <c r="A751" s="40" t="s">
        <v>69</v>
      </c>
      <c r="B751" s="28">
        <v>865</v>
      </c>
      <c r="C751" s="28">
        <v>5641071</v>
      </c>
      <c r="D751" s="28" t="s">
        <v>36</v>
      </c>
      <c r="E751" s="41">
        <v>46140</v>
      </c>
      <c r="F751" s="47">
        <v>0.70479166666666671</v>
      </c>
      <c r="G751" s="44">
        <v>6.3</v>
      </c>
      <c r="H751" s="43" t="s">
        <v>235</v>
      </c>
      <c r="I751" s="40" t="s">
        <v>1281</v>
      </c>
    </row>
    <row r="752" spans="1:9" x14ac:dyDescent="0.25">
      <c r="A752" s="40" t="s">
        <v>69</v>
      </c>
      <c r="B752" s="28">
        <v>865</v>
      </c>
      <c r="C752" s="28">
        <v>5644445</v>
      </c>
      <c r="D752" s="28"/>
      <c r="E752" s="41">
        <v>46142</v>
      </c>
      <c r="F752" s="47">
        <v>0.48403935185185187</v>
      </c>
      <c r="G752" s="44">
        <v>6.3</v>
      </c>
      <c r="H752" s="43" t="s">
        <v>235</v>
      </c>
      <c r="I752" s="40" t="s">
        <v>1281</v>
      </c>
    </row>
    <row r="753" spans="1:9" x14ac:dyDescent="0.25">
      <c r="A753" s="40" t="s">
        <v>69</v>
      </c>
      <c r="B753" s="28">
        <v>865</v>
      </c>
      <c r="C753" s="28" t="s">
        <v>35</v>
      </c>
      <c r="D753" s="28" t="s">
        <v>38</v>
      </c>
      <c r="E753" s="41">
        <v>46143</v>
      </c>
      <c r="F753" s="47">
        <v>0.56396990740740738</v>
      </c>
      <c r="G753" s="44">
        <v>6.3</v>
      </c>
      <c r="H753" s="43" t="s">
        <v>237</v>
      </c>
      <c r="I753" s="40" t="s">
        <v>1282</v>
      </c>
    </row>
    <row r="754" spans="1:9" x14ac:dyDescent="0.25">
      <c r="A754" s="40" t="s">
        <v>69</v>
      </c>
      <c r="B754" s="28">
        <v>865</v>
      </c>
      <c r="C754" s="28" t="s">
        <v>35</v>
      </c>
      <c r="D754" s="28" t="s">
        <v>38</v>
      </c>
      <c r="E754" s="41">
        <v>46143</v>
      </c>
      <c r="F754" s="47">
        <v>0.56993055555555561</v>
      </c>
      <c r="G754" s="44">
        <v>6.3</v>
      </c>
      <c r="H754" s="43" t="s">
        <v>234</v>
      </c>
      <c r="I754" s="40" t="s">
        <v>1282</v>
      </c>
    </row>
    <row r="755" spans="1:9" x14ac:dyDescent="0.25">
      <c r="A755" s="40" t="s">
        <v>69</v>
      </c>
      <c r="B755" s="28">
        <v>865</v>
      </c>
      <c r="C755" s="28" t="s">
        <v>506</v>
      </c>
      <c r="D755" s="28"/>
      <c r="E755" s="41">
        <v>46144</v>
      </c>
      <c r="F755" s="47">
        <v>0.49496527777777777</v>
      </c>
      <c r="G755" s="44">
        <v>6.3</v>
      </c>
      <c r="H755" s="43" t="s">
        <v>235</v>
      </c>
      <c r="I755" s="40" t="s">
        <v>1282</v>
      </c>
    </row>
    <row r="756" spans="1:9" x14ac:dyDescent="0.25">
      <c r="A756" s="40" t="s">
        <v>69</v>
      </c>
      <c r="B756" s="28">
        <v>865</v>
      </c>
      <c r="C756" s="28" t="s">
        <v>506</v>
      </c>
      <c r="D756" s="28"/>
      <c r="E756" s="41">
        <v>46144</v>
      </c>
      <c r="F756" s="47">
        <v>0.50271990740740746</v>
      </c>
      <c r="G756" s="44">
        <v>6.3</v>
      </c>
      <c r="H756" s="43" t="s">
        <v>239</v>
      </c>
      <c r="I756" s="40" t="s">
        <v>1282</v>
      </c>
    </row>
    <row r="757" spans="1:9" x14ac:dyDescent="0.25">
      <c r="A757" s="40" t="s">
        <v>69</v>
      </c>
      <c r="B757" s="28">
        <v>865</v>
      </c>
      <c r="C757" s="28" t="s">
        <v>35</v>
      </c>
      <c r="D757" s="28" t="s">
        <v>38</v>
      </c>
      <c r="E757" s="41">
        <v>46145</v>
      </c>
      <c r="F757" s="47">
        <v>0.51563657407407404</v>
      </c>
      <c r="G757" s="44">
        <v>6.3</v>
      </c>
      <c r="H757" s="43" t="s">
        <v>236</v>
      </c>
      <c r="I757" s="40" t="s">
        <v>1282</v>
      </c>
    </row>
    <row r="758" spans="1:9" x14ac:dyDescent="0.25">
      <c r="A758" s="40" t="s">
        <v>69</v>
      </c>
      <c r="B758" s="28">
        <v>865</v>
      </c>
      <c r="C758" s="28" t="s">
        <v>35</v>
      </c>
      <c r="D758" s="28" t="s">
        <v>38</v>
      </c>
      <c r="E758" s="41">
        <v>46145</v>
      </c>
      <c r="F758" s="47">
        <v>0.57427083333333329</v>
      </c>
      <c r="G758" s="44">
        <v>6.3</v>
      </c>
      <c r="H758" s="43" t="s">
        <v>237</v>
      </c>
      <c r="I758" s="40" t="s">
        <v>1282</v>
      </c>
    </row>
    <row r="759" spans="1:9" x14ac:dyDescent="0.25">
      <c r="A759" s="40" t="s">
        <v>69</v>
      </c>
      <c r="B759" s="28">
        <v>865</v>
      </c>
      <c r="C759" s="28" t="s">
        <v>35</v>
      </c>
      <c r="D759" s="28" t="s">
        <v>38</v>
      </c>
      <c r="E759" s="45">
        <v>46145</v>
      </c>
      <c r="F759" s="48">
        <v>0.58092592592592596</v>
      </c>
      <c r="G759" s="44">
        <v>6.3</v>
      </c>
      <c r="H759" s="43" t="s">
        <v>234</v>
      </c>
      <c r="I759" s="40" t="s">
        <v>1282</v>
      </c>
    </row>
    <row r="760" spans="1:9" x14ac:dyDescent="0.25">
      <c r="A760" s="40" t="s">
        <v>142</v>
      </c>
      <c r="B760" s="28">
        <v>870</v>
      </c>
      <c r="C760" s="28">
        <v>5634275</v>
      </c>
      <c r="D760" s="28"/>
      <c r="E760" s="41">
        <v>46139</v>
      </c>
      <c r="F760" s="47">
        <v>0.14656250000000001</v>
      </c>
      <c r="G760" s="44">
        <v>6.3</v>
      </c>
      <c r="H760" s="43" t="s">
        <v>234</v>
      </c>
      <c r="I760" s="40" t="s">
        <v>1281</v>
      </c>
    </row>
    <row r="761" spans="1:9" x14ac:dyDescent="0.25">
      <c r="A761" s="40" t="s">
        <v>142</v>
      </c>
      <c r="B761" s="28">
        <v>870</v>
      </c>
      <c r="C761" s="28">
        <v>5636434</v>
      </c>
      <c r="D761" s="28"/>
      <c r="E761" s="41">
        <v>46139</v>
      </c>
      <c r="F761" s="47">
        <v>0.21390046296296297</v>
      </c>
      <c r="G761" s="44">
        <v>6.3</v>
      </c>
      <c r="H761" s="43" t="s">
        <v>237</v>
      </c>
      <c r="I761" s="40" t="s">
        <v>1281</v>
      </c>
    </row>
    <row r="762" spans="1:9" x14ac:dyDescent="0.25">
      <c r="A762" s="40" t="s">
        <v>142</v>
      </c>
      <c r="B762" s="28">
        <v>870</v>
      </c>
      <c r="C762" s="28">
        <v>5636434</v>
      </c>
      <c r="D762" s="28"/>
      <c r="E762" s="41">
        <v>46139</v>
      </c>
      <c r="F762" s="47">
        <v>0.21932870370370369</v>
      </c>
      <c r="G762" s="44">
        <v>6.3</v>
      </c>
      <c r="H762" s="43" t="s">
        <v>234</v>
      </c>
      <c r="I762" s="40" t="s">
        <v>1281</v>
      </c>
    </row>
    <row r="763" spans="1:9" x14ac:dyDescent="0.25">
      <c r="A763" s="40" t="s">
        <v>142</v>
      </c>
      <c r="B763" s="28">
        <v>870</v>
      </c>
      <c r="C763" s="28">
        <v>5637323</v>
      </c>
      <c r="D763" s="28"/>
      <c r="E763" s="41">
        <v>46139</v>
      </c>
      <c r="F763" s="47">
        <v>0.3513425925925926</v>
      </c>
      <c r="G763" s="44">
        <v>6.3</v>
      </c>
      <c r="H763" s="43" t="s">
        <v>234</v>
      </c>
      <c r="I763" s="40" t="s">
        <v>1281</v>
      </c>
    </row>
    <row r="764" spans="1:9" x14ac:dyDescent="0.25">
      <c r="A764" s="40" t="s">
        <v>142</v>
      </c>
      <c r="B764" s="28">
        <v>870</v>
      </c>
      <c r="C764" s="28" t="s">
        <v>507</v>
      </c>
      <c r="D764" s="28"/>
      <c r="E764" s="41">
        <v>46140</v>
      </c>
      <c r="F764" s="47">
        <v>0.83559027777777772</v>
      </c>
      <c r="G764" s="44">
        <v>6.3</v>
      </c>
      <c r="H764" s="43" t="s">
        <v>235</v>
      </c>
      <c r="I764" s="40" t="s">
        <v>1281</v>
      </c>
    </row>
    <row r="765" spans="1:9" x14ac:dyDescent="0.25">
      <c r="A765" s="40" t="s">
        <v>142</v>
      </c>
      <c r="B765" s="28">
        <v>870</v>
      </c>
      <c r="C765" s="28" t="s">
        <v>507</v>
      </c>
      <c r="D765" s="28"/>
      <c r="E765" s="41">
        <v>46140</v>
      </c>
      <c r="F765" s="47">
        <v>0.84762731481481479</v>
      </c>
      <c r="G765" s="44">
        <v>6.3</v>
      </c>
      <c r="H765" s="43" t="s">
        <v>236</v>
      </c>
      <c r="I765" s="40" t="s">
        <v>1281</v>
      </c>
    </row>
    <row r="766" spans="1:9" x14ac:dyDescent="0.25">
      <c r="A766" s="40" t="s">
        <v>142</v>
      </c>
      <c r="B766" s="28">
        <v>870</v>
      </c>
      <c r="C766" s="28" t="s">
        <v>508</v>
      </c>
      <c r="D766" s="28"/>
      <c r="E766" s="45">
        <v>46141</v>
      </c>
      <c r="F766" s="48">
        <v>0.32989583333333333</v>
      </c>
      <c r="G766" s="44">
        <v>6.3</v>
      </c>
      <c r="H766" s="43" t="s">
        <v>235</v>
      </c>
      <c r="I766" s="40" t="s">
        <v>1281</v>
      </c>
    </row>
    <row r="767" spans="1:9" x14ac:dyDescent="0.25">
      <c r="A767" s="40" t="s">
        <v>142</v>
      </c>
      <c r="B767" s="28">
        <v>870</v>
      </c>
      <c r="C767" s="28" t="s">
        <v>508</v>
      </c>
      <c r="D767" s="28"/>
      <c r="E767" s="41">
        <v>46141</v>
      </c>
      <c r="F767" s="47">
        <v>0.34269675925925924</v>
      </c>
      <c r="G767" s="42">
        <v>6.3</v>
      </c>
      <c r="H767" s="40" t="s">
        <v>236</v>
      </c>
      <c r="I767" s="40" t="s">
        <v>1281</v>
      </c>
    </row>
    <row r="768" spans="1:9" x14ac:dyDescent="0.25">
      <c r="A768" s="40" t="s">
        <v>142</v>
      </c>
      <c r="B768" s="28">
        <v>870</v>
      </c>
      <c r="C768" s="28">
        <v>5643600</v>
      </c>
      <c r="D768" s="28"/>
      <c r="E768" s="41">
        <v>46142</v>
      </c>
      <c r="F768" s="47">
        <v>0.19111111111111112</v>
      </c>
      <c r="G768" s="42">
        <v>6.3</v>
      </c>
      <c r="H768" s="40" t="s">
        <v>237</v>
      </c>
      <c r="I768" s="40" t="s">
        <v>1281</v>
      </c>
    </row>
    <row r="769" spans="1:9" x14ac:dyDescent="0.25">
      <c r="A769" s="40" t="s">
        <v>142</v>
      </c>
      <c r="B769" s="28">
        <v>870</v>
      </c>
      <c r="C769" s="28">
        <v>5643600</v>
      </c>
      <c r="D769" s="28"/>
      <c r="E769" s="45">
        <v>46142</v>
      </c>
      <c r="F769" s="48">
        <v>0.19998842592592592</v>
      </c>
      <c r="G769" s="42">
        <v>6.3</v>
      </c>
      <c r="H769" s="40" t="s">
        <v>234</v>
      </c>
      <c r="I769" s="40" t="s">
        <v>1281</v>
      </c>
    </row>
    <row r="770" spans="1:9" x14ac:dyDescent="0.25">
      <c r="A770" s="40" t="s">
        <v>142</v>
      </c>
      <c r="B770" s="28">
        <v>870</v>
      </c>
      <c r="C770" s="28" t="s">
        <v>35</v>
      </c>
      <c r="D770" s="28" t="s">
        <v>38</v>
      </c>
      <c r="E770" s="41">
        <v>46142</v>
      </c>
      <c r="F770" s="47">
        <v>0.22775462962962964</v>
      </c>
      <c r="G770" s="42">
        <v>6.3</v>
      </c>
      <c r="H770" s="40" t="s">
        <v>235</v>
      </c>
      <c r="I770" s="40" t="s">
        <v>1281</v>
      </c>
    </row>
    <row r="771" spans="1:9" x14ac:dyDescent="0.25">
      <c r="A771" s="40" t="s">
        <v>142</v>
      </c>
      <c r="B771" s="28">
        <v>870</v>
      </c>
      <c r="C771" s="28">
        <v>5645900</v>
      </c>
      <c r="D771" s="28" t="s">
        <v>37</v>
      </c>
      <c r="E771" s="41">
        <v>46143</v>
      </c>
      <c r="F771" s="47">
        <v>2.2210648148148149E-2</v>
      </c>
      <c r="G771" s="42">
        <v>6.3</v>
      </c>
      <c r="H771" s="40" t="s">
        <v>235</v>
      </c>
      <c r="I771" s="40" t="s">
        <v>1282</v>
      </c>
    </row>
    <row r="772" spans="1:9" x14ac:dyDescent="0.25">
      <c r="A772" s="40" t="s">
        <v>142</v>
      </c>
      <c r="B772" s="28">
        <v>870</v>
      </c>
      <c r="C772" s="28">
        <v>5645900</v>
      </c>
      <c r="D772" s="28" t="s">
        <v>37</v>
      </c>
      <c r="E772" s="41">
        <v>46143</v>
      </c>
      <c r="F772" s="47">
        <v>2.8009259259259258E-2</v>
      </c>
      <c r="G772" s="42">
        <v>6.3</v>
      </c>
      <c r="H772" s="40" t="s">
        <v>239</v>
      </c>
      <c r="I772" s="40" t="s">
        <v>1282</v>
      </c>
    </row>
    <row r="773" spans="1:9" x14ac:dyDescent="0.25">
      <c r="A773" s="40" t="s">
        <v>142</v>
      </c>
      <c r="B773" s="28">
        <v>870</v>
      </c>
      <c r="C773" s="28" t="s">
        <v>35</v>
      </c>
      <c r="D773" s="28" t="s">
        <v>38</v>
      </c>
      <c r="E773" s="41">
        <v>46143</v>
      </c>
      <c r="F773" s="47">
        <v>4.6180555555555558E-2</v>
      </c>
      <c r="G773" s="42">
        <v>6.3</v>
      </c>
      <c r="H773" s="40" t="s">
        <v>233</v>
      </c>
      <c r="I773" s="40" t="s">
        <v>1282</v>
      </c>
    </row>
    <row r="774" spans="1:9" x14ac:dyDescent="0.25">
      <c r="A774" s="40" t="s">
        <v>142</v>
      </c>
      <c r="B774" s="28">
        <v>870</v>
      </c>
      <c r="C774" s="28" t="s">
        <v>35</v>
      </c>
      <c r="D774" s="28" t="s">
        <v>38</v>
      </c>
      <c r="E774" s="45">
        <v>46143</v>
      </c>
      <c r="F774" s="48">
        <v>0.31699074074074074</v>
      </c>
      <c r="G774" s="44">
        <v>6.3</v>
      </c>
      <c r="H774" s="43" t="s">
        <v>241</v>
      </c>
      <c r="I774" s="40" t="s">
        <v>1282</v>
      </c>
    </row>
    <row r="775" spans="1:9" x14ac:dyDescent="0.25">
      <c r="A775" s="40" t="s">
        <v>142</v>
      </c>
      <c r="B775" s="28">
        <v>870</v>
      </c>
      <c r="C775" s="28" t="s">
        <v>35</v>
      </c>
      <c r="D775" s="28" t="s">
        <v>38</v>
      </c>
      <c r="E775" s="41">
        <v>46143</v>
      </c>
      <c r="F775" s="47">
        <v>0.31942129629629629</v>
      </c>
      <c r="G775" s="44">
        <v>6.3</v>
      </c>
      <c r="H775" s="43" t="s">
        <v>234</v>
      </c>
      <c r="I775" s="40" t="s">
        <v>1282</v>
      </c>
    </row>
    <row r="776" spans="1:9" x14ac:dyDescent="0.25">
      <c r="A776" s="40" t="s">
        <v>142</v>
      </c>
      <c r="B776" s="28">
        <v>870</v>
      </c>
      <c r="C776" s="28">
        <v>5646057</v>
      </c>
      <c r="D776" s="28"/>
      <c r="E776" s="41">
        <v>46143</v>
      </c>
      <c r="F776" s="47">
        <v>0.39700231481481479</v>
      </c>
      <c r="G776" s="44">
        <v>6.3</v>
      </c>
      <c r="H776" s="43" t="s">
        <v>235</v>
      </c>
      <c r="I776" s="40" t="s">
        <v>1282</v>
      </c>
    </row>
    <row r="777" spans="1:9" x14ac:dyDescent="0.25">
      <c r="A777" s="40" t="s">
        <v>142</v>
      </c>
      <c r="B777" s="28">
        <v>870</v>
      </c>
      <c r="C777" s="28">
        <v>5646057</v>
      </c>
      <c r="D777" s="28"/>
      <c r="E777" s="41">
        <v>46143</v>
      </c>
      <c r="F777" s="47">
        <v>0.40802083333333333</v>
      </c>
      <c r="G777" s="44">
        <v>6.3</v>
      </c>
      <c r="H777" s="43" t="s">
        <v>240</v>
      </c>
      <c r="I777" s="40" t="s">
        <v>1282</v>
      </c>
    </row>
    <row r="778" spans="1:9" x14ac:dyDescent="0.25">
      <c r="A778" s="40" t="s">
        <v>142</v>
      </c>
      <c r="B778" s="28">
        <v>870</v>
      </c>
      <c r="C778" s="28" t="s">
        <v>35</v>
      </c>
      <c r="D778" s="28" t="s">
        <v>38</v>
      </c>
      <c r="E778" s="41">
        <v>46145</v>
      </c>
      <c r="F778" s="47">
        <v>0.30899305555555556</v>
      </c>
      <c r="G778" s="44">
        <v>6.3</v>
      </c>
      <c r="H778" s="43" t="s">
        <v>238</v>
      </c>
      <c r="I778" s="40" t="s">
        <v>1282</v>
      </c>
    </row>
    <row r="779" spans="1:9" x14ac:dyDescent="0.25">
      <c r="A779" s="40" t="s">
        <v>144</v>
      </c>
      <c r="B779" s="28">
        <v>879</v>
      </c>
      <c r="C779" s="28">
        <v>5638069</v>
      </c>
      <c r="D779" s="28"/>
      <c r="E779" s="41">
        <v>46139</v>
      </c>
      <c r="F779" s="47">
        <v>0.49251157407407409</v>
      </c>
      <c r="G779" s="44">
        <v>6.3</v>
      </c>
      <c r="H779" s="43" t="s">
        <v>235</v>
      </c>
      <c r="I779" s="40" t="s">
        <v>1281</v>
      </c>
    </row>
    <row r="780" spans="1:9" x14ac:dyDescent="0.25">
      <c r="A780" s="40" t="s">
        <v>144</v>
      </c>
      <c r="B780" s="28">
        <v>879</v>
      </c>
      <c r="C780" s="28">
        <v>5638650</v>
      </c>
      <c r="D780" s="28" t="s">
        <v>37</v>
      </c>
      <c r="E780" s="41">
        <v>46139</v>
      </c>
      <c r="F780" s="47">
        <v>0.62945601851851851</v>
      </c>
      <c r="G780" s="44">
        <v>6.3</v>
      </c>
      <c r="H780" s="43" t="s">
        <v>235</v>
      </c>
      <c r="I780" s="40" t="s">
        <v>1281</v>
      </c>
    </row>
    <row r="781" spans="1:9" x14ac:dyDescent="0.25">
      <c r="A781" s="40" t="s">
        <v>144</v>
      </c>
      <c r="B781" s="28">
        <v>879</v>
      </c>
      <c r="C781" s="28">
        <v>5638650</v>
      </c>
      <c r="D781" s="28" t="s">
        <v>37</v>
      </c>
      <c r="E781" s="41">
        <v>46139</v>
      </c>
      <c r="F781" s="47">
        <v>0.64004629629629628</v>
      </c>
      <c r="G781" s="44">
        <v>6.3</v>
      </c>
      <c r="H781" s="43" t="s">
        <v>236</v>
      </c>
      <c r="I781" s="40" t="s">
        <v>1281</v>
      </c>
    </row>
    <row r="782" spans="1:9" x14ac:dyDescent="0.25">
      <c r="A782" s="40" t="s">
        <v>144</v>
      </c>
      <c r="B782" s="28">
        <v>879</v>
      </c>
      <c r="C782" s="28" t="s">
        <v>509</v>
      </c>
      <c r="D782" s="28"/>
      <c r="E782" s="41">
        <v>46140</v>
      </c>
      <c r="F782" s="47">
        <v>0.99318287037037034</v>
      </c>
      <c r="G782" s="44">
        <v>6.3</v>
      </c>
      <c r="H782" s="43" t="s">
        <v>235</v>
      </c>
      <c r="I782" s="40" t="s">
        <v>1281</v>
      </c>
    </row>
    <row r="783" spans="1:9" x14ac:dyDescent="0.25">
      <c r="A783" s="40" t="s">
        <v>144</v>
      </c>
      <c r="B783" s="28">
        <v>879</v>
      </c>
      <c r="C783" s="28" t="s">
        <v>509</v>
      </c>
      <c r="D783" s="28"/>
      <c r="E783" s="41">
        <v>46140</v>
      </c>
      <c r="F783" s="47">
        <v>0.99998842592592596</v>
      </c>
      <c r="G783" s="44">
        <v>6.3</v>
      </c>
      <c r="H783" s="43" t="s">
        <v>236</v>
      </c>
      <c r="I783" s="40" t="s">
        <v>1281</v>
      </c>
    </row>
    <row r="784" spans="1:9" x14ac:dyDescent="0.25">
      <c r="A784" s="40" t="s">
        <v>144</v>
      </c>
      <c r="B784" s="28">
        <v>879</v>
      </c>
      <c r="C784" s="28" t="s">
        <v>35</v>
      </c>
      <c r="D784" s="28" t="s">
        <v>38</v>
      </c>
      <c r="E784" s="45">
        <v>46141</v>
      </c>
      <c r="F784" s="48">
        <v>0.60498842592592594</v>
      </c>
      <c r="G784" s="44">
        <v>6.3</v>
      </c>
      <c r="H784" s="43" t="s">
        <v>235</v>
      </c>
      <c r="I784" s="40" t="s">
        <v>1281</v>
      </c>
    </row>
    <row r="785" spans="1:9" x14ac:dyDescent="0.25">
      <c r="A785" s="40" t="s">
        <v>144</v>
      </c>
      <c r="B785" s="28">
        <v>879</v>
      </c>
      <c r="C785" s="28" t="s">
        <v>35</v>
      </c>
      <c r="D785" s="28" t="s">
        <v>38</v>
      </c>
      <c r="E785" s="41">
        <v>46141</v>
      </c>
      <c r="F785" s="47">
        <v>0.61634259259259261</v>
      </c>
      <c r="G785" s="44">
        <v>6.3</v>
      </c>
      <c r="H785" s="43" t="s">
        <v>236</v>
      </c>
      <c r="I785" s="40" t="s">
        <v>1281</v>
      </c>
    </row>
    <row r="786" spans="1:9" x14ac:dyDescent="0.25">
      <c r="A786" s="40" t="s">
        <v>144</v>
      </c>
      <c r="B786" s="28">
        <v>879</v>
      </c>
      <c r="C786" s="28">
        <v>5643010</v>
      </c>
      <c r="D786" s="28"/>
      <c r="E786" s="41">
        <v>46141</v>
      </c>
      <c r="F786" s="47">
        <v>0.67706018518518518</v>
      </c>
      <c r="G786" s="44">
        <v>6.3</v>
      </c>
      <c r="H786" s="43" t="s">
        <v>233</v>
      </c>
      <c r="I786" s="40" t="s">
        <v>1281</v>
      </c>
    </row>
    <row r="787" spans="1:9" x14ac:dyDescent="0.25">
      <c r="A787" s="40" t="s">
        <v>144</v>
      </c>
      <c r="B787" s="28">
        <v>879</v>
      </c>
      <c r="C787" s="28">
        <v>5643010</v>
      </c>
      <c r="D787" s="28"/>
      <c r="E787" s="45">
        <v>46141</v>
      </c>
      <c r="F787" s="48">
        <v>0.68349537037037034</v>
      </c>
      <c r="G787" s="44">
        <v>6.3</v>
      </c>
      <c r="H787" s="43" t="s">
        <v>234</v>
      </c>
      <c r="I787" s="40" t="s">
        <v>1281</v>
      </c>
    </row>
    <row r="788" spans="1:9" x14ac:dyDescent="0.25">
      <c r="A788" s="40" t="s">
        <v>144</v>
      </c>
      <c r="B788" s="28">
        <v>879</v>
      </c>
      <c r="C788" s="28">
        <v>5644033</v>
      </c>
      <c r="D788" s="28" t="s">
        <v>37</v>
      </c>
      <c r="E788" s="41">
        <v>46142</v>
      </c>
      <c r="F788" s="47">
        <v>0.48609953703703701</v>
      </c>
      <c r="G788" s="44">
        <v>6.3</v>
      </c>
      <c r="H788" s="43" t="s">
        <v>235</v>
      </c>
      <c r="I788" s="40" t="s">
        <v>1281</v>
      </c>
    </row>
    <row r="789" spans="1:9" x14ac:dyDescent="0.25">
      <c r="A789" s="40" t="s">
        <v>144</v>
      </c>
      <c r="B789" s="28">
        <v>879</v>
      </c>
      <c r="C789" s="28">
        <v>5644033</v>
      </c>
      <c r="D789" s="28" t="s">
        <v>37</v>
      </c>
      <c r="E789" s="45">
        <v>46142</v>
      </c>
      <c r="F789" s="48">
        <v>0.49692129629629628</v>
      </c>
      <c r="G789" s="44">
        <v>6.3</v>
      </c>
      <c r="H789" s="43" t="s">
        <v>236</v>
      </c>
      <c r="I789" s="40" t="s">
        <v>1281</v>
      </c>
    </row>
    <row r="790" spans="1:9" x14ac:dyDescent="0.25">
      <c r="A790" s="40" t="s">
        <v>144</v>
      </c>
      <c r="B790" s="28">
        <v>879</v>
      </c>
      <c r="C790" s="28">
        <v>5645311</v>
      </c>
      <c r="D790" s="28"/>
      <c r="E790" s="41">
        <v>46142</v>
      </c>
      <c r="F790" s="47">
        <v>0.78314814814814815</v>
      </c>
      <c r="G790" s="44">
        <v>6.3</v>
      </c>
      <c r="H790" s="43" t="s">
        <v>235</v>
      </c>
      <c r="I790" s="40" t="s">
        <v>1281</v>
      </c>
    </row>
    <row r="791" spans="1:9" x14ac:dyDescent="0.25">
      <c r="A791" s="40" t="s">
        <v>144</v>
      </c>
      <c r="B791" s="28">
        <v>879</v>
      </c>
      <c r="C791" s="28" t="s">
        <v>35</v>
      </c>
      <c r="D791" s="28" t="s">
        <v>38</v>
      </c>
      <c r="E791" s="41">
        <v>46143</v>
      </c>
      <c r="F791" s="47">
        <v>0.63226851851851851</v>
      </c>
      <c r="G791" s="44">
        <v>6.3</v>
      </c>
      <c r="H791" s="43" t="s">
        <v>235</v>
      </c>
      <c r="I791" s="40" t="s">
        <v>1282</v>
      </c>
    </row>
    <row r="792" spans="1:9" x14ac:dyDescent="0.25">
      <c r="A792" s="40" t="s">
        <v>144</v>
      </c>
      <c r="B792" s="28">
        <v>879</v>
      </c>
      <c r="C792" s="28" t="s">
        <v>35</v>
      </c>
      <c r="D792" s="28" t="s">
        <v>38</v>
      </c>
      <c r="E792" s="41">
        <v>46143</v>
      </c>
      <c r="F792" s="47">
        <v>0.63960648148148147</v>
      </c>
      <c r="G792" s="44">
        <v>6.3</v>
      </c>
      <c r="H792" s="43" t="s">
        <v>239</v>
      </c>
      <c r="I792" s="40" t="s">
        <v>1282</v>
      </c>
    </row>
    <row r="793" spans="1:9" x14ac:dyDescent="0.25">
      <c r="A793" s="40" t="s">
        <v>287</v>
      </c>
      <c r="B793" s="28">
        <v>899</v>
      </c>
      <c r="C793" s="28" t="s">
        <v>510</v>
      </c>
      <c r="D793" s="28"/>
      <c r="E793" s="45">
        <v>46139</v>
      </c>
      <c r="F793" s="48">
        <v>0.2600810185185185</v>
      </c>
      <c r="G793" s="44">
        <v>6.3</v>
      </c>
      <c r="H793" s="43" t="s">
        <v>235</v>
      </c>
      <c r="I793" s="40" t="s">
        <v>1281</v>
      </c>
    </row>
    <row r="794" spans="1:9" x14ac:dyDescent="0.25">
      <c r="A794" s="40" t="s">
        <v>287</v>
      </c>
      <c r="B794" s="28">
        <v>899</v>
      </c>
      <c r="C794" s="28" t="s">
        <v>510</v>
      </c>
      <c r="D794" s="28"/>
      <c r="E794" s="41">
        <v>46139</v>
      </c>
      <c r="F794" s="47">
        <v>0.26932870370370371</v>
      </c>
      <c r="G794" s="44">
        <v>6.3</v>
      </c>
      <c r="H794" s="43" t="s">
        <v>239</v>
      </c>
      <c r="I794" s="40" t="s">
        <v>1281</v>
      </c>
    </row>
    <row r="795" spans="1:9" x14ac:dyDescent="0.25">
      <c r="A795" s="40" t="s">
        <v>287</v>
      </c>
      <c r="B795" s="28">
        <v>899</v>
      </c>
      <c r="C795" s="28" t="s">
        <v>511</v>
      </c>
      <c r="D795" s="28"/>
      <c r="E795" s="41">
        <v>46140</v>
      </c>
      <c r="F795" s="47">
        <v>0.97149305555555554</v>
      </c>
      <c r="G795" s="44">
        <v>6.3</v>
      </c>
      <c r="H795" s="43" t="s">
        <v>235</v>
      </c>
      <c r="I795" s="40" t="s">
        <v>1281</v>
      </c>
    </row>
    <row r="796" spans="1:9" x14ac:dyDescent="0.25">
      <c r="A796" s="40" t="s">
        <v>287</v>
      </c>
      <c r="B796" s="28">
        <v>899</v>
      </c>
      <c r="C796" s="28" t="s">
        <v>511</v>
      </c>
      <c r="D796" s="28"/>
      <c r="E796" s="41">
        <v>46140</v>
      </c>
      <c r="F796" s="47">
        <v>0.97868055555555555</v>
      </c>
      <c r="G796" s="44">
        <v>6.3</v>
      </c>
      <c r="H796" s="43" t="s">
        <v>236</v>
      </c>
      <c r="I796" s="40" t="s">
        <v>1281</v>
      </c>
    </row>
    <row r="797" spans="1:9" x14ac:dyDescent="0.25">
      <c r="A797" s="40" t="s">
        <v>287</v>
      </c>
      <c r="B797" s="28">
        <v>899</v>
      </c>
      <c r="C797" s="28">
        <v>5641093</v>
      </c>
      <c r="D797" s="28"/>
      <c r="E797" s="45">
        <v>46141</v>
      </c>
      <c r="F797" s="48">
        <v>0.41322916666666665</v>
      </c>
      <c r="G797" s="44">
        <v>6.3</v>
      </c>
      <c r="H797" s="43" t="s">
        <v>235</v>
      </c>
      <c r="I797" s="40" t="s">
        <v>1281</v>
      </c>
    </row>
    <row r="798" spans="1:9" x14ac:dyDescent="0.25">
      <c r="A798" s="40" t="s">
        <v>287</v>
      </c>
      <c r="B798" s="28">
        <v>899</v>
      </c>
      <c r="C798" s="28">
        <v>5641093</v>
      </c>
      <c r="D798" s="28"/>
      <c r="E798" s="41">
        <v>46141</v>
      </c>
      <c r="F798" s="47">
        <v>0.42657407407407405</v>
      </c>
      <c r="G798" s="44">
        <v>6.3</v>
      </c>
      <c r="H798" s="43" t="s">
        <v>236</v>
      </c>
      <c r="I798" s="40" t="s">
        <v>1281</v>
      </c>
    </row>
    <row r="799" spans="1:9" x14ac:dyDescent="0.25">
      <c r="A799" s="40" t="s">
        <v>287</v>
      </c>
      <c r="B799" s="28">
        <v>899</v>
      </c>
      <c r="C799" s="28" t="s">
        <v>512</v>
      </c>
      <c r="D799" s="28"/>
      <c r="E799" s="41">
        <v>46142</v>
      </c>
      <c r="F799" s="47">
        <v>0.71440972222222221</v>
      </c>
      <c r="G799" s="44">
        <v>6.3</v>
      </c>
      <c r="H799" s="43" t="s">
        <v>235</v>
      </c>
      <c r="I799" s="40" t="s">
        <v>1281</v>
      </c>
    </row>
    <row r="800" spans="1:9" x14ac:dyDescent="0.25">
      <c r="A800" s="40" t="s">
        <v>287</v>
      </c>
      <c r="B800" s="28">
        <v>899</v>
      </c>
      <c r="C800" s="28" t="s">
        <v>35</v>
      </c>
      <c r="D800" s="28" t="s">
        <v>38</v>
      </c>
      <c r="E800" s="41">
        <v>46142</v>
      </c>
      <c r="F800" s="47">
        <v>0.79120370370370374</v>
      </c>
      <c r="G800" s="44">
        <v>6.3</v>
      </c>
      <c r="H800" s="43" t="s">
        <v>234</v>
      </c>
      <c r="I800" s="40" t="s">
        <v>1281</v>
      </c>
    </row>
    <row r="801" spans="1:9" x14ac:dyDescent="0.25">
      <c r="A801" s="40" t="s">
        <v>287</v>
      </c>
      <c r="B801" s="28">
        <v>899</v>
      </c>
      <c r="C801" s="28">
        <v>5646125</v>
      </c>
      <c r="D801" s="28"/>
      <c r="E801" s="41">
        <v>46143</v>
      </c>
      <c r="F801" s="47">
        <v>0.37994212962962964</v>
      </c>
      <c r="G801" s="44">
        <v>6.3</v>
      </c>
      <c r="H801" s="43" t="s">
        <v>235</v>
      </c>
      <c r="I801" s="40" t="s">
        <v>1282</v>
      </c>
    </row>
    <row r="802" spans="1:9" x14ac:dyDescent="0.25">
      <c r="A802" s="40" t="s">
        <v>287</v>
      </c>
      <c r="B802" s="28">
        <v>899</v>
      </c>
      <c r="C802" s="28">
        <v>5646125</v>
      </c>
      <c r="D802" s="28"/>
      <c r="E802" s="41">
        <v>46143</v>
      </c>
      <c r="F802" s="47">
        <v>0.38780092592592591</v>
      </c>
      <c r="G802" s="44">
        <v>6.3</v>
      </c>
      <c r="H802" s="43" t="s">
        <v>236</v>
      </c>
      <c r="I802" s="40" t="s">
        <v>1282</v>
      </c>
    </row>
    <row r="803" spans="1:9" x14ac:dyDescent="0.25">
      <c r="A803" s="40" t="s">
        <v>287</v>
      </c>
      <c r="B803" s="28">
        <v>899</v>
      </c>
      <c r="C803" s="28" t="s">
        <v>513</v>
      </c>
      <c r="D803" s="28"/>
      <c r="E803" s="41">
        <v>46145</v>
      </c>
      <c r="F803" s="47">
        <v>0.83841435185185187</v>
      </c>
      <c r="G803" s="44">
        <v>6.3</v>
      </c>
      <c r="H803" s="43" t="s">
        <v>235</v>
      </c>
      <c r="I803" s="40" t="s">
        <v>1282</v>
      </c>
    </row>
    <row r="804" spans="1:9" x14ac:dyDescent="0.25">
      <c r="A804" s="40" t="s">
        <v>287</v>
      </c>
      <c r="B804" s="28">
        <v>899</v>
      </c>
      <c r="C804" s="28" t="s">
        <v>513</v>
      </c>
      <c r="D804" s="28"/>
      <c r="E804" s="41">
        <v>46145</v>
      </c>
      <c r="F804" s="47">
        <v>0.84583333333333333</v>
      </c>
      <c r="G804" s="44">
        <v>6.3</v>
      </c>
      <c r="H804" s="43" t="s">
        <v>236</v>
      </c>
      <c r="I804" s="40" t="s">
        <v>1282</v>
      </c>
    </row>
    <row r="805" spans="1:9" x14ac:dyDescent="0.25">
      <c r="A805" s="40" t="s">
        <v>180</v>
      </c>
      <c r="B805" s="28">
        <v>917</v>
      </c>
      <c r="C805" s="28">
        <v>5639393</v>
      </c>
      <c r="D805" s="28"/>
      <c r="E805" s="41">
        <v>46139</v>
      </c>
      <c r="F805" s="47">
        <v>0.87327546296296299</v>
      </c>
      <c r="G805" s="44">
        <v>6.3</v>
      </c>
      <c r="H805" s="43" t="s">
        <v>235</v>
      </c>
      <c r="I805" s="40" t="s">
        <v>1281</v>
      </c>
    </row>
    <row r="806" spans="1:9" x14ac:dyDescent="0.25">
      <c r="A806" s="40" t="s">
        <v>180</v>
      </c>
      <c r="B806" s="28">
        <v>917</v>
      </c>
      <c r="C806" s="28">
        <v>5639393</v>
      </c>
      <c r="D806" s="28"/>
      <c r="E806" s="45">
        <v>46139</v>
      </c>
      <c r="F806" s="48">
        <v>0.88121527777777775</v>
      </c>
      <c r="G806" s="44">
        <v>6.3</v>
      </c>
      <c r="H806" s="43" t="s">
        <v>236</v>
      </c>
      <c r="I806" s="40" t="s">
        <v>1281</v>
      </c>
    </row>
    <row r="807" spans="1:9" x14ac:dyDescent="0.25">
      <c r="A807" s="40" t="s">
        <v>70</v>
      </c>
      <c r="B807" s="28">
        <v>923</v>
      </c>
      <c r="C807" s="28">
        <v>5637488</v>
      </c>
      <c r="D807" s="28"/>
      <c r="E807" s="41">
        <v>46139</v>
      </c>
      <c r="F807" s="47">
        <v>6.1122685185185183E-2</v>
      </c>
      <c r="G807" s="44">
        <v>6.3</v>
      </c>
      <c r="H807" s="43" t="s">
        <v>235</v>
      </c>
      <c r="I807" s="40" t="s">
        <v>1281</v>
      </c>
    </row>
    <row r="808" spans="1:9" x14ac:dyDescent="0.25">
      <c r="A808" s="40" t="s">
        <v>70</v>
      </c>
      <c r="B808" s="28">
        <v>923</v>
      </c>
      <c r="C808" s="28">
        <v>5637488</v>
      </c>
      <c r="D808" s="28"/>
      <c r="E808" s="45">
        <v>46139</v>
      </c>
      <c r="F808" s="48">
        <v>6.7129629629629636E-2</v>
      </c>
      <c r="G808" s="44">
        <v>6.3</v>
      </c>
      <c r="H808" s="43" t="s">
        <v>236</v>
      </c>
      <c r="I808" s="40" t="s">
        <v>1281</v>
      </c>
    </row>
    <row r="809" spans="1:9" x14ac:dyDescent="0.25">
      <c r="A809" s="40" t="s">
        <v>70</v>
      </c>
      <c r="B809" s="28">
        <v>923</v>
      </c>
      <c r="C809" s="28" t="s">
        <v>35</v>
      </c>
      <c r="D809" s="28" t="s">
        <v>38</v>
      </c>
      <c r="E809" s="41">
        <v>46139</v>
      </c>
      <c r="F809" s="47">
        <v>0.1487037037037037</v>
      </c>
      <c r="G809" s="44">
        <v>6.3</v>
      </c>
      <c r="H809" s="43" t="s">
        <v>236</v>
      </c>
      <c r="I809" s="40" t="s">
        <v>1281</v>
      </c>
    </row>
    <row r="810" spans="1:9" x14ac:dyDescent="0.25">
      <c r="A810" s="40" t="s">
        <v>70</v>
      </c>
      <c r="B810" s="28">
        <v>923</v>
      </c>
      <c r="C810" s="28">
        <v>5633874</v>
      </c>
      <c r="D810" s="28"/>
      <c r="E810" s="41">
        <v>46139</v>
      </c>
      <c r="F810" s="47">
        <v>0.17793981481481483</v>
      </c>
      <c r="G810" s="44">
        <v>6.3</v>
      </c>
      <c r="H810" s="43" t="s">
        <v>233</v>
      </c>
      <c r="I810" s="40" t="s">
        <v>1281</v>
      </c>
    </row>
    <row r="811" spans="1:9" x14ac:dyDescent="0.25">
      <c r="A811" s="40" t="s">
        <v>70</v>
      </c>
      <c r="B811" s="28">
        <v>923</v>
      </c>
      <c r="C811" s="28">
        <v>5633874</v>
      </c>
      <c r="D811" s="28"/>
      <c r="E811" s="41">
        <v>46139</v>
      </c>
      <c r="F811" s="47">
        <v>0.18270833333333333</v>
      </c>
      <c r="G811" s="44">
        <v>6.3</v>
      </c>
      <c r="H811" s="43" t="s">
        <v>234</v>
      </c>
      <c r="I811" s="40" t="s">
        <v>1281</v>
      </c>
    </row>
    <row r="812" spans="1:9" x14ac:dyDescent="0.25">
      <c r="A812" s="40" t="s">
        <v>70</v>
      </c>
      <c r="B812" s="28">
        <v>923</v>
      </c>
      <c r="C812" s="28">
        <v>5639138</v>
      </c>
      <c r="D812" s="28"/>
      <c r="E812" s="41">
        <v>46140</v>
      </c>
      <c r="F812" s="47">
        <v>5.3391203703703705E-2</v>
      </c>
      <c r="G812" s="44">
        <v>6.3</v>
      </c>
      <c r="H812" s="43" t="s">
        <v>235</v>
      </c>
      <c r="I812" s="40" t="s">
        <v>1281</v>
      </c>
    </row>
    <row r="813" spans="1:9" x14ac:dyDescent="0.25">
      <c r="A813" s="40" t="s">
        <v>70</v>
      </c>
      <c r="B813" s="28">
        <v>923</v>
      </c>
      <c r="C813" s="28">
        <v>5639138</v>
      </c>
      <c r="D813" s="28"/>
      <c r="E813" s="45">
        <v>46140</v>
      </c>
      <c r="F813" s="48">
        <v>5.9884259259259262E-2</v>
      </c>
      <c r="G813" s="44">
        <v>6.3</v>
      </c>
      <c r="H813" s="43" t="s">
        <v>236</v>
      </c>
      <c r="I813" s="40" t="s">
        <v>1281</v>
      </c>
    </row>
    <row r="814" spans="1:9" x14ac:dyDescent="0.25">
      <c r="A814" s="40" t="s">
        <v>70</v>
      </c>
      <c r="B814" s="28">
        <v>923</v>
      </c>
      <c r="C814" s="28">
        <v>5639217</v>
      </c>
      <c r="D814" s="28"/>
      <c r="E814" s="41">
        <v>46140</v>
      </c>
      <c r="F814" s="47">
        <v>0.13342592592592592</v>
      </c>
      <c r="G814" s="44">
        <v>6.3</v>
      </c>
      <c r="H814" s="43" t="s">
        <v>238</v>
      </c>
      <c r="I814" s="40" t="s">
        <v>1281</v>
      </c>
    </row>
    <row r="815" spans="1:9" x14ac:dyDescent="0.25">
      <c r="A815" s="40" t="s">
        <v>70</v>
      </c>
      <c r="B815" s="28">
        <v>923</v>
      </c>
      <c r="C815" s="28">
        <v>5639217</v>
      </c>
      <c r="D815" s="28"/>
      <c r="E815" s="45">
        <v>46140</v>
      </c>
      <c r="F815" s="48">
        <v>0.13825231481481481</v>
      </c>
      <c r="G815" s="44">
        <v>6.3</v>
      </c>
      <c r="H815" s="43" t="s">
        <v>234</v>
      </c>
      <c r="I815" s="40" t="s">
        <v>1281</v>
      </c>
    </row>
    <row r="816" spans="1:9" x14ac:dyDescent="0.25">
      <c r="A816" s="40" t="s">
        <v>70</v>
      </c>
      <c r="B816" s="28">
        <v>923</v>
      </c>
      <c r="C816" s="28">
        <v>5641816</v>
      </c>
      <c r="D816" s="28" t="s">
        <v>37</v>
      </c>
      <c r="E816" s="45">
        <v>46141</v>
      </c>
      <c r="F816" s="48">
        <v>0.18415509259259261</v>
      </c>
      <c r="G816" s="42">
        <v>6.3</v>
      </c>
      <c r="H816" s="40" t="s">
        <v>234</v>
      </c>
      <c r="I816" s="40" t="s">
        <v>1281</v>
      </c>
    </row>
    <row r="817" spans="1:9" x14ac:dyDescent="0.25">
      <c r="A817" s="40" t="s">
        <v>70</v>
      </c>
      <c r="B817" s="28">
        <v>923</v>
      </c>
      <c r="C817" s="28">
        <v>5643209</v>
      </c>
      <c r="D817" s="28"/>
      <c r="E817" s="41">
        <v>46141</v>
      </c>
      <c r="F817" s="47">
        <v>0.73086805555555556</v>
      </c>
      <c r="G817" s="42">
        <v>6.3</v>
      </c>
      <c r="H817" s="40" t="s">
        <v>235</v>
      </c>
      <c r="I817" s="40" t="s">
        <v>1281</v>
      </c>
    </row>
    <row r="818" spans="1:9" x14ac:dyDescent="0.25">
      <c r="A818" s="40" t="s">
        <v>70</v>
      </c>
      <c r="B818" s="28">
        <v>923</v>
      </c>
      <c r="C818" s="28">
        <v>5643209</v>
      </c>
      <c r="D818" s="28"/>
      <c r="E818" s="41">
        <v>46141</v>
      </c>
      <c r="F818" s="47">
        <v>0.7453819444444445</v>
      </c>
      <c r="G818" s="42">
        <v>6.3</v>
      </c>
      <c r="H818" s="40" t="s">
        <v>236</v>
      </c>
      <c r="I818" s="40" t="s">
        <v>1281</v>
      </c>
    </row>
    <row r="819" spans="1:9" x14ac:dyDescent="0.25">
      <c r="A819" s="40" t="s">
        <v>70</v>
      </c>
      <c r="B819" s="28">
        <v>923</v>
      </c>
      <c r="C819" s="28" t="s">
        <v>35</v>
      </c>
      <c r="D819" s="28" t="s">
        <v>38</v>
      </c>
      <c r="E819" s="41">
        <v>46141</v>
      </c>
      <c r="F819" s="47">
        <v>0.83421296296296299</v>
      </c>
      <c r="G819" s="42">
        <v>6.3</v>
      </c>
      <c r="H819" s="40" t="s">
        <v>234</v>
      </c>
      <c r="I819" s="40" t="s">
        <v>1281</v>
      </c>
    </row>
    <row r="820" spans="1:9" x14ac:dyDescent="0.25">
      <c r="A820" s="40" t="s">
        <v>70</v>
      </c>
      <c r="B820" s="28">
        <v>923</v>
      </c>
      <c r="C820" s="28">
        <v>5643902</v>
      </c>
      <c r="D820" s="28"/>
      <c r="E820" s="41">
        <v>46142</v>
      </c>
      <c r="F820" s="47">
        <v>0.22464120370370369</v>
      </c>
      <c r="G820" s="44">
        <v>6.3</v>
      </c>
      <c r="H820" s="43" t="s">
        <v>237</v>
      </c>
      <c r="I820" s="40" t="s">
        <v>1281</v>
      </c>
    </row>
    <row r="821" spans="1:9" x14ac:dyDescent="0.25">
      <c r="A821" s="40" t="s">
        <v>70</v>
      </c>
      <c r="B821" s="28">
        <v>923</v>
      </c>
      <c r="C821" s="28">
        <v>5643902</v>
      </c>
      <c r="D821" s="28"/>
      <c r="E821" s="41">
        <v>46142</v>
      </c>
      <c r="F821" s="47">
        <v>0.22980324074074074</v>
      </c>
      <c r="G821" s="44">
        <v>6.3</v>
      </c>
      <c r="H821" s="43" t="s">
        <v>234</v>
      </c>
      <c r="I821" s="40" t="s">
        <v>1281</v>
      </c>
    </row>
    <row r="822" spans="1:9" x14ac:dyDescent="0.25">
      <c r="A822" s="40" t="s">
        <v>70</v>
      </c>
      <c r="B822" s="28">
        <v>923</v>
      </c>
      <c r="C822" s="28" t="s">
        <v>35</v>
      </c>
      <c r="D822" s="28" t="s">
        <v>38</v>
      </c>
      <c r="E822" s="41">
        <v>46142</v>
      </c>
      <c r="F822" s="47">
        <v>0.25675925925925924</v>
      </c>
      <c r="G822" s="44">
        <v>6.3</v>
      </c>
      <c r="H822" s="43" t="s">
        <v>235</v>
      </c>
      <c r="I822" s="40" t="s">
        <v>1281</v>
      </c>
    </row>
    <row r="823" spans="1:9" x14ac:dyDescent="0.25">
      <c r="A823" s="40" t="s">
        <v>70</v>
      </c>
      <c r="B823" s="28">
        <v>923</v>
      </c>
      <c r="C823" s="28" t="s">
        <v>35</v>
      </c>
      <c r="D823" s="28" t="s">
        <v>38</v>
      </c>
      <c r="E823" s="45">
        <v>46142</v>
      </c>
      <c r="F823" s="48">
        <v>0.26546296296296296</v>
      </c>
      <c r="G823" s="44">
        <v>6.3</v>
      </c>
      <c r="H823" s="43" t="s">
        <v>239</v>
      </c>
      <c r="I823" s="40" t="s">
        <v>1281</v>
      </c>
    </row>
    <row r="824" spans="1:9" x14ac:dyDescent="0.25">
      <c r="A824" s="40" t="s">
        <v>70</v>
      </c>
      <c r="B824" s="28">
        <v>923</v>
      </c>
      <c r="C824" s="28">
        <v>5643579</v>
      </c>
      <c r="D824" s="28"/>
      <c r="E824" s="41">
        <v>46142</v>
      </c>
      <c r="F824" s="47">
        <v>0.28609953703703705</v>
      </c>
      <c r="G824" s="44">
        <v>6.3</v>
      </c>
      <c r="H824" s="43" t="s">
        <v>238</v>
      </c>
      <c r="I824" s="40" t="s">
        <v>1281</v>
      </c>
    </row>
    <row r="825" spans="1:9" x14ac:dyDescent="0.25">
      <c r="A825" s="40" t="s">
        <v>70</v>
      </c>
      <c r="B825" s="28">
        <v>923</v>
      </c>
      <c r="C825" s="28">
        <v>5643579</v>
      </c>
      <c r="D825" s="28"/>
      <c r="E825" s="41">
        <v>46142</v>
      </c>
      <c r="F825" s="47">
        <v>0.2948263888888889</v>
      </c>
      <c r="G825" s="44">
        <v>6.3</v>
      </c>
      <c r="H825" s="43" t="s">
        <v>234</v>
      </c>
      <c r="I825" s="40" t="s">
        <v>1281</v>
      </c>
    </row>
    <row r="826" spans="1:9" x14ac:dyDescent="0.25">
      <c r="A826" s="40" t="s">
        <v>70</v>
      </c>
      <c r="B826" s="28">
        <v>923</v>
      </c>
      <c r="C826" s="28">
        <v>5645555</v>
      </c>
      <c r="D826" s="28" t="s">
        <v>37</v>
      </c>
      <c r="E826" s="41">
        <v>46142</v>
      </c>
      <c r="F826" s="47">
        <v>0.95444444444444443</v>
      </c>
      <c r="G826" s="44">
        <v>6.3</v>
      </c>
      <c r="H826" s="43" t="s">
        <v>237</v>
      </c>
      <c r="I826" s="40" t="s">
        <v>1282</v>
      </c>
    </row>
    <row r="827" spans="1:9" x14ac:dyDescent="0.25">
      <c r="A827" s="40" t="s">
        <v>70</v>
      </c>
      <c r="B827" s="28">
        <v>923</v>
      </c>
      <c r="C827" s="28">
        <v>5645555</v>
      </c>
      <c r="D827" s="28" t="s">
        <v>37</v>
      </c>
      <c r="E827" s="45">
        <v>46142</v>
      </c>
      <c r="F827" s="48">
        <v>0.96177083333333335</v>
      </c>
      <c r="G827" s="44">
        <v>6.3</v>
      </c>
      <c r="H827" s="43" t="s">
        <v>234</v>
      </c>
      <c r="I827" s="40" t="s">
        <v>1282</v>
      </c>
    </row>
    <row r="828" spans="1:9" x14ac:dyDescent="0.25">
      <c r="A828" s="40" t="s">
        <v>70</v>
      </c>
      <c r="B828" s="28">
        <v>923</v>
      </c>
      <c r="C828" s="28">
        <v>5646883</v>
      </c>
      <c r="D828" s="28"/>
      <c r="E828" s="41">
        <v>46143</v>
      </c>
      <c r="F828" s="47">
        <v>0.98780092592592594</v>
      </c>
      <c r="G828" s="44">
        <v>6.3</v>
      </c>
      <c r="H828" s="43" t="s">
        <v>235</v>
      </c>
      <c r="I828" s="40" t="s">
        <v>1282</v>
      </c>
    </row>
    <row r="829" spans="1:9" x14ac:dyDescent="0.25">
      <c r="A829" s="40" t="s">
        <v>70</v>
      </c>
      <c r="B829" s="28">
        <v>923</v>
      </c>
      <c r="C829" s="28">
        <v>5646883</v>
      </c>
      <c r="D829" s="28"/>
      <c r="E829" s="41">
        <v>46143</v>
      </c>
      <c r="F829" s="47">
        <v>0.99886574074074075</v>
      </c>
      <c r="G829" s="44">
        <v>6.3</v>
      </c>
      <c r="H829" s="43" t="s">
        <v>236</v>
      </c>
      <c r="I829" s="40" t="s">
        <v>1282</v>
      </c>
    </row>
    <row r="830" spans="1:9" x14ac:dyDescent="0.25">
      <c r="A830" s="40" t="s">
        <v>70</v>
      </c>
      <c r="B830" s="28">
        <v>923</v>
      </c>
      <c r="C830" s="28" t="s">
        <v>35</v>
      </c>
      <c r="D830" s="28" t="s">
        <v>38</v>
      </c>
      <c r="E830" s="41">
        <v>46144</v>
      </c>
      <c r="F830" s="47">
        <v>2.1423611111111112E-2</v>
      </c>
      <c r="G830" s="44">
        <v>6.3</v>
      </c>
      <c r="H830" s="43" t="s">
        <v>237</v>
      </c>
      <c r="I830" s="40" t="s">
        <v>1282</v>
      </c>
    </row>
    <row r="831" spans="1:9" x14ac:dyDescent="0.25">
      <c r="A831" s="40" t="s">
        <v>70</v>
      </c>
      <c r="B831" s="28">
        <v>923</v>
      </c>
      <c r="C831" s="28" t="s">
        <v>35</v>
      </c>
      <c r="D831" s="28" t="s">
        <v>38</v>
      </c>
      <c r="E831" s="41">
        <v>46144</v>
      </c>
      <c r="F831" s="47">
        <v>2.6412037037037036E-2</v>
      </c>
      <c r="G831" s="44">
        <v>6.3</v>
      </c>
      <c r="H831" s="43" t="s">
        <v>234</v>
      </c>
      <c r="I831" s="40" t="s">
        <v>1282</v>
      </c>
    </row>
    <row r="832" spans="1:9" x14ac:dyDescent="0.25">
      <c r="A832" s="40" t="s">
        <v>70</v>
      </c>
      <c r="B832" s="28">
        <v>923</v>
      </c>
      <c r="C832" s="28">
        <v>5646198</v>
      </c>
      <c r="D832" s="28"/>
      <c r="E832" s="41">
        <v>46144</v>
      </c>
      <c r="F832" s="47">
        <v>0.27658564814814812</v>
      </c>
      <c r="G832" s="44">
        <v>6.3</v>
      </c>
      <c r="H832" s="43" t="s">
        <v>233</v>
      </c>
      <c r="I832" s="40" t="s">
        <v>1282</v>
      </c>
    </row>
    <row r="833" spans="1:9" x14ac:dyDescent="0.25">
      <c r="A833" s="40" t="s">
        <v>70</v>
      </c>
      <c r="B833" s="28">
        <v>923</v>
      </c>
      <c r="C833" s="28">
        <v>5646198</v>
      </c>
      <c r="D833" s="28"/>
      <c r="E833" s="41">
        <v>46144</v>
      </c>
      <c r="F833" s="47">
        <v>0.28153935185185186</v>
      </c>
      <c r="G833" s="44">
        <v>6.3</v>
      </c>
      <c r="H833" s="43" t="s">
        <v>234</v>
      </c>
      <c r="I833" s="40" t="s">
        <v>1282</v>
      </c>
    </row>
    <row r="834" spans="1:9" x14ac:dyDescent="0.25">
      <c r="A834" s="40" t="s">
        <v>70</v>
      </c>
      <c r="B834" s="28">
        <v>923</v>
      </c>
      <c r="C834" s="28">
        <v>5646464</v>
      </c>
      <c r="D834" s="28"/>
      <c r="E834" s="41">
        <v>46144</v>
      </c>
      <c r="F834" s="47">
        <v>0.89027777777777772</v>
      </c>
      <c r="G834" s="44">
        <v>6.3</v>
      </c>
      <c r="H834" s="43" t="s">
        <v>237</v>
      </c>
      <c r="I834" s="40" t="s">
        <v>1282</v>
      </c>
    </row>
    <row r="835" spans="1:9" x14ac:dyDescent="0.25">
      <c r="A835" s="40" t="s">
        <v>70</v>
      </c>
      <c r="B835" s="28">
        <v>923</v>
      </c>
      <c r="C835" s="28">
        <v>5646464</v>
      </c>
      <c r="D835" s="28"/>
      <c r="E835" s="41">
        <v>46144</v>
      </c>
      <c r="F835" s="47">
        <v>0.89624999999999999</v>
      </c>
      <c r="G835" s="44">
        <v>6.3</v>
      </c>
      <c r="H835" s="43" t="s">
        <v>234</v>
      </c>
      <c r="I835" s="40" t="s">
        <v>1282</v>
      </c>
    </row>
    <row r="836" spans="1:9" x14ac:dyDescent="0.25">
      <c r="A836" s="40" t="s">
        <v>70</v>
      </c>
      <c r="B836" s="28">
        <v>923</v>
      </c>
      <c r="C836" s="28">
        <v>5648034</v>
      </c>
      <c r="D836" s="28"/>
      <c r="E836" s="41">
        <v>46145</v>
      </c>
      <c r="F836" s="47">
        <v>0.23531250000000001</v>
      </c>
      <c r="G836" s="42">
        <v>6.3</v>
      </c>
      <c r="H836" s="40" t="s">
        <v>237</v>
      </c>
      <c r="I836" s="40" t="s">
        <v>1282</v>
      </c>
    </row>
    <row r="837" spans="1:9" x14ac:dyDescent="0.25">
      <c r="A837" s="40" t="s">
        <v>70</v>
      </c>
      <c r="B837" s="28">
        <v>923</v>
      </c>
      <c r="C837" s="28">
        <v>5648034</v>
      </c>
      <c r="D837" s="28"/>
      <c r="E837" s="41">
        <v>46145</v>
      </c>
      <c r="F837" s="47">
        <v>0.24047453703703703</v>
      </c>
      <c r="G837" s="42">
        <v>6.3</v>
      </c>
      <c r="H837" s="40" t="s">
        <v>234</v>
      </c>
      <c r="I837" s="40" t="s">
        <v>1282</v>
      </c>
    </row>
    <row r="838" spans="1:9" x14ac:dyDescent="0.25">
      <c r="A838" s="40" t="s">
        <v>70</v>
      </c>
      <c r="B838" s="28">
        <v>923</v>
      </c>
      <c r="C838" s="28" t="s">
        <v>35</v>
      </c>
      <c r="D838" s="28" t="s">
        <v>38</v>
      </c>
      <c r="E838" s="41">
        <v>46145</v>
      </c>
      <c r="F838" s="47">
        <v>0.68490740740740741</v>
      </c>
      <c r="G838" s="42">
        <v>6.3</v>
      </c>
      <c r="H838" s="40" t="s">
        <v>235</v>
      </c>
      <c r="I838" s="40" t="s">
        <v>1282</v>
      </c>
    </row>
    <row r="839" spans="1:9" x14ac:dyDescent="0.25">
      <c r="A839" s="40" t="s">
        <v>70</v>
      </c>
      <c r="B839" s="28">
        <v>923</v>
      </c>
      <c r="C839" s="28" t="s">
        <v>35</v>
      </c>
      <c r="D839" s="28" t="s">
        <v>38</v>
      </c>
      <c r="E839" s="41">
        <v>46145</v>
      </c>
      <c r="F839" s="47">
        <v>0.69165509259259261</v>
      </c>
      <c r="G839" s="42">
        <v>6.3</v>
      </c>
      <c r="H839" s="40" t="s">
        <v>236</v>
      </c>
      <c r="I839" s="40" t="s">
        <v>1282</v>
      </c>
    </row>
    <row r="840" spans="1:9" x14ac:dyDescent="0.25">
      <c r="A840" s="40" t="s">
        <v>70</v>
      </c>
      <c r="B840" s="28">
        <v>923</v>
      </c>
      <c r="C840" s="28" t="s">
        <v>35</v>
      </c>
      <c r="D840" s="28" t="s">
        <v>38</v>
      </c>
      <c r="E840" s="41">
        <v>46145</v>
      </c>
      <c r="F840" s="47">
        <v>0.83020833333333333</v>
      </c>
      <c r="G840" s="42">
        <v>6.3</v>
      </c>
      <c r="H840" s="40" t="s">
        <v>237</v>
      </c>
      <c r="I840" s="40" t="s">
        <v>1282</v>
      </c>
    </row>
    <row r="841" spans="1:9" x14ac:dyDescent="0.25">
      <c r="A841" s="40" t="s">
        <v>307</v>
      </c>
      <c r="B841" s="28">
        <v>926</v>
      </c>
      <c r="C841" s="28">
        <v>5636871</v>
      </c>
      <c r="D841" s="28"/>
      <c r="E841" s="41">
        <v>46139</v>
      </c>
      <c r="F841" s="47">
        <v>0.15841435185185185</v>
      </c>
      <c r="G841" s="44">
        <v>6.3</v>
      </c>
      <c r="H841" s="43" t="s">
        <v>237</v>
      </c>
      <c r="I841" s="40" t="s">
        <v>1281</v>
      </c>
    </row>
    <row r="842" spans="1:9" x14ac:dyDescent="0.25">
      <c r="A842" s="40" t="s">
        <v>307</v>
      </c>
      <c r="B842" s="28">
        <v>926</v>
      </c>
      <c r="C842" s="28">
        <v>5636871</v>
      </c>
      <c r="D842" s="28"/>
      <c r="E842" s="41">
        <v>46139</v>
      </c>
      <c r="F842" s="47">
        <v>0.16380787037037037</v>
      </c>
      <c r="G842" s="44">
        <v>6.3</v>
      </c>
      <c r="H842" s="43" t="s">
        <v>234</v>
      </c>
      <c r="I842" s="40" t="s">
        <v>1281</v>
      </c>
    </row>
    <row r="843" spans="1:9" x14ac:dyDescent="0.25">
      <c r="A843" s="40" t="s">
        <v>307</v>
      </c>
      <c r="B843" s="28">
        <v>926</v>
      </c>
      <c r="C843" s="28">
        <v>5637687</v>
      </c>
      <c r="D843" s="28"/>
      <c r="E843" s="45">
        <v>46139</v>
      </c>
      <c r="F843" s="48">
        <v>0.29517361111111112</v>
      </c>
      <c r="G843" s="44">
        <v>6.3</v>
      </c>
      <c r="H843" s="43" t="s">
        <v>237</v>
      </c>
      <c r="I843" s="40" t="s">
        <v>1281</v>
      </c>
    </row>
    <row r="844" spans="1:9" x14ac:dyDescent="0.25">
      <c r="A844" s="40" t="s">
        <v>307</v>
      </c>
      <c r="B844" s="28">
        <v>926</v>
      </c>
      <c r="C844" s="28">
        <v>5637687</v>
      </c>
      <c r="D844" s="28"/>
      <c r="E844" s="41">
        <v>46139</v>
      </c>
      <c r="F844" s="47">
        <v>0.30146990740740742</v>
      </c>
      <c r="G844" s="44">
        <v>6.3</v>
      </c>
      <c r="H844" s="43" t="s">
        <v>234</v>
      </c>
      <c r="I844" s="40" t="s">
        <v>1281</v>
      </c>
    </row>
    <row r="845" spans="1:9" x14ac:dyDescent="0.25">
      <c r="A845" s="40" t="s">
        <v>307</v>
      </c>
      <c r="B845" s="28">
        <v>926</v>
      </c>
      <c r="C845" s="28">
        <v>5639214</v>
      </c>
      <c r="D845" s="28"/>
      <c r="E845" s="41">
        <v>46140</v>
      </c>
      <c r="F845" s="47">
        <v>0.18601851851851853</v>
      </c>
      <c r="G845" s="44">
        <v>6.3</v>
      </c>
      <c r="H845" s="43" t="s">
        <v>237</v>
      </c>
      <c r="I845" s="40" t="s">
        <v>1281</v>
      </c>
    </row>
    <row r="846" spans="1:9" x14ac:dyDescent="0.25">
      <c r="A846" s="40" t="s">
        <v>307</v>
      </c>
      <c r="B846" s="28">
        <v>926</v>
      </c>
      <c r="C846" s="28">
        <v>5639214</v>
      </c>
      <c r="D846" s="28"/>
      <c r="E846" s="41">
        <v>46140</v>
      </c>
      <c r="F846" s="47">
        <v>0.19127314814814814</v>
      </c>
      <c r="G846" s="44">
        <v>6.3</v>
      </c>
      <c r="H846" s="43" t="s">
        <v>234</v>
      </c>
      <c r="I846" s="40" t="s">
        <v>1281</v>
      </c>
    </row>
    <row r="847" spans="1:9" x14ac:dyDescent="0.25">
      <c r="A847" s="40" t="s">
        <v>307</v>
      </c>
      <c r="B847" s="28">
        <v>926</v>
      </c>
      <c r="C847" s="28">
        <v>5642177</v>
      </c>
      <c r="D847" s="28"/>
      <c r="E847" s="45">
        <v>46141</v>
      </c>
      <c r="F847" s="48">
        <v>0.34196759259259257</v>
      </c>
      <c r="G847" s="42">
        <v>6.3</v>
      </c>
      <c r="H847" s="40" t="s">
        <v>235</v>
      </c>
      <c r="I847" s="40" t="s">
        <v>1281</v>
      </c>
    </row>
    <row r="848" spans="1:9" x14ac:dyDescent="0.25">
      <c r="A848" s="40" t="s">
        <v>307</v>
      </c>
      <c r="B848" s="28">
        <v>926</v>
      </c>
      <c r="C848" s="28">
        <v>5642177</v>
      </c>
      <c r="D848" s="28"/>
      <c r="E848" s="41">
        <v>46141</v>
      </c>
      <c r="F848" s="47">
        <v>0.35493055555555558</v>
      </c>
      <c r="G848" s="42">
        <v>6.3</v>
      </c>
      <c r="H848" s="40" t="s">
        <v>236</v>
      </c>
      <c r="I848" s="40" t="s">
        <v>1281</v>
      </c>
    </row>
    <row r="849" spans="1:9" x14ac:dyDescent="0.25">
      <c r="A849" s="40" t="s">
        <v>307</v>
      </c>
      <c r="B849" s="28">
        <v>926</v>
      </c>
      <c r="C849" s="28" t="s">
        <v>35</v>
      </c>
      <c r="D849" s="28" t="s">
        <v>38</v>
      </c>
      <c r="E849" s="41">
        <v>46141</v>
      </c>
      <c r="F849" s="47">
        <v>0.62575231481481486</v>
      </c>
      <c r="G849" s="42">
        <v>6.3</v>
      </c>
      <c r="H849" s="40" t="s">
        <v>235</v>
      </c>
      <c r="I849" s="40" t="s">
        <v>1281</v>
      </c>
    </row>
    <row r="850" spans="1:9" x14ac:dyDescent="0.25">
      <c r="A850" s="40" t="s">
        <v>307</v>
      </c>
      <c r="B850" s="28">
        <v>926</v>
      </c>
      <c r="C850" s="28" t="s">
        <v>35</v>
      </c>
      <c r="D850" s="28" t="s">
        <v>38</v>
      </c>
      <c r="E850" s="41">
        <v>46141</v>
      </c>
      <c r="F850" s="47">
        <v>0.64236111111111116</v>
      </c>
      <c r="G850" s="44">
        <v>6.3</v>
      </c>
      <c r="H850" s="43" t="s">
        <v>234</v>
      </c>
      <c r="I850" s="40" t="s">
        <v>1281</v>
      </c>
    </row>
    <row r="851" spans="1:9" x14ac:dyDescent="0.25">
      <c r="A851" s="40" t="s">
        <v>307</v>
      </c>
      <c r="B851" s="28">
        <v>926</v>
      </c>
      <c r="C851" s="28" t="s">
        <v>514</v>
      </c>
      <c r="D851" s="28"/>
      <c r="E851" s="41">
        <v>46142</v>
      </c>
      <c r="F851" s="47">
        <v>0.49329861111111112</v>
      </c>
      <c r="G851" s="44">
        <v>6.3</v>
      </c>
      <c r="H851" s="43" t="s">
        <v>235</v>
      </c>
      <c r="I851" s="40" t="s">
        <v>1281</v>
      </c>
    </row>
    <row r="852" spans="1:9" x14ac:dyDescent="0.25">
      <c r="A852" s="40" t="s">
        <v>307</v>
      </c>
      <c r="B852" s="28">
        <v>926</v>
      </c>
      <c r="C852" s="28" t="s">
        <v>514</v>
      </c>
      <c r="D852" s="28"/>
      <c r="E852" s="41">
        <v>46142</v>
      </c>
      <c r="F852" s="47">
        <v>0.50891203703703702</v>
      </c>
      <c r="G852" s="44">
        <v>6.3</v>
      </c>
      <c r="H852" s="43" t="s">
        <v>239</v>
      </c>
      <c r="I852" s="40" t="s">
        <v>1281</v>
      </c>
    </row>
    <row r="853" spans="1:9" x14ac:dyDescent="0.25">
      <c r="A853" s="40" t="s">
        <v>307</v>
      </c>
      <c r="B853" s="28">
        <v>926</v>
      </c>
      <c r="C853" s="28" t="s">
        <v>35</v>
      </c>
      <c r="D853" s="28" t="s">
        <v>38</v>
      </c>
      <c r="E853" s="41">
        <v>46142</v>
      </c>
      <c r="F853" s="47">
        <v>0.528900462962963</v>
      </c>
      <c r="G853" s="44">
        <v>6.3</v>
      </c>
      <c r="H853" s="43" t="s">
        <v>238</v>
      </c>
      <c r="I853" s="40" t="s">
        <v>1281</v>
      </c>
    </row>
    <row r="854" spans="1:9" x14ac:dyDescent="0.25">
      <c r="A854" s="40" t="s">
        <v>307</v>
      </c>
      <c r="B854" s="28">
        <v>926</v>
      </c>
      <c r="C854" s="28" t="s">
        <v>35</v>
      </c>
      <c r="D854" s="28" t="s">
        <v>38</v>
      </c>
      <c r="E854" s="41">
        <v>46142</v>
      </c>
      <c r="F854" s="47">
        <v>0.53577546296296297</v>
      </c>
      <c r="G854" s="44">
        <v>6.3</v>
      </c>
      <c r="H854" s="43" t="s">
        <v>234</v>
      </c>
      <c r="I854" s="40" t="s">
        <v>1281</v>
      </c>
    </row>
    <row r="855" spans="1:9" x14ac:dyDescent="0.25">
      <c r="A855" s="40" t="s">
        <v>307</v>
      </c>
      <c r="B855" s="28">
        <v>926</v>
      </c>
      <c r="C855" s="28" t="s">
        <v>35</v>
      </c>
      <c r="D855" s="28" t="s">
        <v>38</v>
      </c>
      <c r="E855" s="41">
        <v>46142</v>
      </c>
      <c r="F855" s="47">
        <v>0.63762731481481483</v>
      </c>
      <c r="G855" s="44">
        <v>6.3</v>
      </c>
      <c r="H855" s="43" t="s">
        <v>235</v>
      </c>
      <c r="I855" s="40" t="s">
        <v>1281</v>
      </c>
    </row>
    <row r="856" spans="1:9" x14ac:dyDescent="0.25">
      <c r="A856" s="40" t="s">
        <v>307</v>
      </c>
      <c r="B856" s="28">
        <v>926</v>
      </c>
      <c r="C856" s="28" t="s">
        <v>35</v>
      </c>
      <c r="D856" s="28" t="s">
        <v>38</v>
      </c>
      <c r="E856" s="41">
        <v>46142</v>
      </c>
      <c r="F856" s="47">
        <v>0.64818287037037037</v>
      </c>
      <c r="G856" s="44">
        <v>6.3</v>
      </c>
      <c r="H856" s="43" t="s">
        <v>236</v>
      </c>
      <c r="I856" s="40" t="s">
        <v>1281</v>
      </c>
    </row>
    <row r="857" spans="1:9" x14ac:dyDescent="0.25">
      <c r="A857" s="40" t="s">
        <v>307</v>
      </c>
      <c r="B857" s="28">
        <v>926</v>
      </c>
      <c r="C857" s="28">
        <v>5645646</v>
      </c>
      <c r="D857" s="28"/>
      <c r="E857" s="41">
        <v>46143</v>
      </c>
      <c r="F857" s="47">
        <v>0.20093749999999999</v>
      </c>
      <c r="G857" s="44">
        <v>6.3</v>
      </c>
      <c r="H857" s="43" t="s">
        <v>237</v>
      </c>
      <c r="I857" s="40" t="s">
        <v>1282</v>
      </c>
    </row>
    <row r="858" spans="1:9" x14ac:dyDescent="0.25">
      <c r="A858" s="40" t="s">
        <v>307</v>
      </c>
      <c r="B858" s="28">
        <v>926</v>
      </c>
      <c r="C858" s="28">
        <v>5645646</v>
      </c>
      <c r="D858" s="28"/>
      <c r="E858" s="41">
        <v>46143</v>
      </c>
      <c r="F858" s="47">
        <v>0.20659722222222221</v>
      </c>
      <c r="G858" s="44">
        <v>6.3</v>
      </c>
      <c r="H858" s="43" t="s">
        <v>234</v>
      </c>
      <c r="I858" s="40" t="s">
        <v>1282</v>
      </c>
    </row>
    <row r="859" spans="1:9" x14ac:dyDescent="0.25">
      <c r="A859" s="40" t="s">
        <v>307</v>
      </c>
      <c r="B859" s="28">
        <v>926</v>
      </c>
      <c r="C859" s="28">
        <v>5641604</v>
      </c>
      <c r="D859" s="28"/>
      <c r="E859" s="41">
        <v>46144</v>
      </c>
      <c r="F859" s="47">
        <v>0.33466435185185184</v>
      </c>
      <c r="G859" s="44">
        <v>6.3</v>
      </c>
      <c r="H859" s="43" t="s">
        <v>237</v>
      </c>
      <c r="I859" s="40" t="s">
        <v>1282</v>
      </c>
    </row>
    <row r="860" spans="1:9" x14ac:dyDescent="0.25">
      <c r="A860" s="40" t="s">
        <v>307</v>
      </c>
      <c r="B860" s="28">
        <v>926</v>
      </c>
      <c r="C860" s="28">
        <v>5641604</v>
      </c>
      <c r="D860" s="28"/>
      <c r="E860" s="41">
        <v>46144</v>
      </c>
      <c r="F860" s="47">
        <v>0.34090277777777778</v>
      </c>
      <c r="G860" s="44">
        <v>6.3</v>
      </c>
      <c r="H860" s="43" t="s">
        <v>234</v>
      </c>
      <c r="I860" s="40" t="s">
        <v>1282</v>
      </c>
    </row>
    <row r="861" spans="1:9" x14ac:dyDescent="0.25">
      <c r="A861" s="40" t="s">
        <v>307</v>
      </c>
      <c r="B861" s="28">
        <v>926</v>
      </c>
      <c r="C861" s="28">
        <v>5648168</v>
      </c>
      <c r="D861" s="28"/>
      <c r="E861" s="41">
        <v>46145</v>
      </c>
      <c r="F861" s="47">
        <v>0.32593749999999999</v>
      </c>
      <c r="G861" s="44">
        <v>6.3</v>
      </c>
      <c r="H861" s="43" t="s">
        <v>237</v>
      </c>
      <c r="I861" s="40" t="s">
        <v>1282</v>
      </c>
    </row>
    <row r="862" spans="1:9" x14ac:dyDescent="0.25">
      <c r="A862" s="40" t="s">
        <v>307</v>
      </c>
      <c r="B862" s="28">
        <v>926</v>
      </c>
      <c r="C862" s="28">
        <v>5648168</v>
      </c>
      <c r="D862" s="28"/>
      <c r="E862" s="41">
        <v>46145</v>
      </c>
      <c r="F862" s="47">
        <v>0.33087962962962963</v>
      </c>
      <c r="G862" s="44">
        <v>6.3</v>
      </c>
      <c r="H862" s="43" t="s">
        <v>234</v>
      </c>
      <c r="I862" s="40" t="s">
        <v>1282</v>
      </c>
    </row>
    <row r="863" spans="1:9" x14ac:dyDescent="0.25">
      <c r="A863" s="40" t="s">
        <v>175</v>
      </c>
      <c r="B863" s="28">
        <v>927</v>
      </c>
      <c r="C863" s="28">
        <v>5641289</v>
      </c>
      <c r="D863" s="28"/>
      <c r="E863" s="41">
        <v>46140</v>
      </c>
      <c r="F863" s="47">
        <v>0.8522453703703704</v>
      </c>
      <c r="G863" s="44">
        <v>6.3</v>
      </c>
      <c r="H863" s="43" t="s">
        <v>235</v>
      </c>
      <c r="I863" s="40" t="s">
        <v>1281</v>
      </c>
    </row>
    <row r="864" spans="1:9" x14ac:dyDescent="0.25">
      <c r="A864" s="40" t="s">
        <v>175</v>
      </c>
      <c r="B864" s="28">
        <v>927</v>
      </c>
      <c r="C864" s="28">
        <v>5641289</v>
      </c>
      <c r="D864" s="28"/>
      <c r="E864" s="41">
        <v>46140</v>
      </c>
      <c r="F864" s="47">
        <v>0.85859953703703706</v>
      </c>
      <c r="G864" s="44">
        <v>6.3</v>
      </c>
      <c r="H864" s="43" t="s">
        <v>239</v>
      </c>
      <c r="I864" s="40" t="s">
        <v>1281</v>
      </c>
    </row>
    <row r="865" spans="1:9" x14ac:dyDescent="0.25">
      <c r="A865" s="40" t="s">
        <v>175</v>
      </c>
      <c r="B865" s="28">
        <v>927</v>
      </c>
      <c r="C865" s="28" t="s">
        <v>35</v>
      </c>
      <c r="D865" s="28" t="s">
        <v>38</v>
      </c>
      <c r="E865" s="41">
        <v>46140</v>
      </c>
      <c r="F865" s="47">
        <v>0.87075231481481485</v>
      </c>
      <c r="G865" s="44">
        <v>6.3</v>
      </c>
      <c r="H865" s="43" t="s">
        <v>233</v>
      </c>
      <c r="I865" s="40" t="s">
        <v>1281</v>
      </c>
    </row>
    <row r="866" spans="1:9" x14ac:dyDescent="0.25">
      <c r="A866" s="40" t="s">
        <v>175</v>
      </c>
      <c r="B866" s="28">
        <v>927</v>
      </c>
      <c r="C866" s="28" t="s">
        <v>35</v>
      </c>
      <c r="D866" s="28" t="s">
        <v>38</v>
      </c>
      <c r="E866" s="41">
        <v>46140</v>
      </c>
      <c r="F866" s="47">
        <v>0.88273148148148151</v>
      </c>
      <c r="G866" s="44">
        <v>6.3</v>
      </c>
      <c r="H866" s="43" t="s">
        <v>234</v>
      </c>
      <c r="I866" s="40" t="s">
        <v>1281</v>
      </c>
    </row>
    <row r="867" spans="1:9" x14ac:dyDescent="0.25">
      <c r="A867" s="40" t="s">
        <v>175</v>
      </c>
      <c r="B867" s="28">
        <v>927</v>
      </c>
      <c r="C867" s="28" t="s">
        <v>35</v>
      </c>
      <c r="D867" s="28" t="s">
        <v>38</v>
      </c>
      <c r="E867" s="45">
        <v>46141</v>
      </c>
      <c r="F867" s="48">
        <v>0.91348379629629628</v>
      </c>
      <c r="G867" s="44">
        <v>6.3</v>
      </c>
      <c r="H867" s="43" t="s">
        <v>234</v>
      </c>
      <c r="I867" s="40" t="s">
        <v>1281</v>
      </c>
    </row>
    <row r="868" spans="1:9" x14ac:dyDescent="0.25">
      <c r="A868" s="40" t="s">
        <v>175</v>
      </c>
      <c r="B868" s="28">
        <v>927</v>
      </c>
      <c r="C868" s="28">
        <v>5643875</v>
      </c>
      <c r="D868" s="28"/>
      <c r="E868" s="41">
        <v>46142</v>
      </c>
      <c r="F868" s="47">
        <v>0.12962962962962962</v>
      </c>
      <c r="G868" s="44">
        <v>6.3</v>
      </c>
      <c r="H868" s="43" t="s">
        <v>233</v>
      </c>
      <c r="I868" s="40" t="s">
        <v>1281</v>
      </c>
    </row>
    <row r="869" spans="1:9" x14ac:dyDescent="0.25">
      <c r="A869" s="40" t="s">
        <v>175</v>
      </c>
      <c r="B869" s="28">
        <v>927</v>
      </c>
      <c r="C869" s="28">
        <v>5643875</v>
      </c>
      <c r="D869" s="28"/>
      <c r="E869" s="41">
        <v>46142</v>
      </c>
      <c r="F869" s="47">
        <v>0.13450231481481481</v>
      </c>
      <c r="G869" s="42">
        <v>6.3</v>
      </c>
      <c r="H869" s="40" t="s">
        <v>234</v>
      </c>
      <c r="I869" s="40" t="s">
        <v>1281</v>
      </c>
    </row>
    <row r="870" spans="1:9" x14ac:dyDescent="0.25">
      <c r="A870" s="40" t="s">
        <v>175</v>
      </c>
      <c r="B870" s="28">
        <v>927</v>
      </c>
      <c r="C870" s="28" t="s">
        <v>35</v>
      </c>
      <c r="D870" s="28" t="s">
        <v>38</v>
      </c>
      <c r="E870" s="41">
        <v>46143</v>
      </c>
      <c r="F870" s="47">
        <v>4.0046296296296295E-2</v>
      </c>
      <c r="G870" s="42">
        <v>6.3</v>
      </c>
      <c r="H870" s="40" t="s">
        <v>237</v>
      </c>
      <c r="I870" s="40" t="s">
        <v>1282</v>
      </c>
    </row>
    <row r="871" spans="1:9" x14ac:dyDescent="0.25">
      <c r="A871" s="40" t="s">
        <v>175</v>
      </c>
      <c r="B871" s="28">
        <v>927</v>
      </c>
      <c r="C871" s="28" t="s">
        <v>35</v>
      </c>
      <c r="D871" s="28" t="s">
        <v>38</v>
      </c>
      <c r="E871" s="41">
        <v>46143</v>
      </c>
      <c r="F871" s="47">
        <v>4.5416666666666668E-2</v>
      </c>
      <c r="G871" s="42">
        <v>6.3</v>
      </c>
      <c r="H871" s="40" t="s">
        <v>234</v>
      </c>
      <c r="I871" s="40" t="s">
        <v>1282</v>
      </c>
    </row>
    <row r="872" spans="1:9" x14ac:dyDescent="0.25">
      <c r="A872" s="40" t="s">
        <v>175</v>
      </c>
      <c r="B872" s="28">
        <v>927</v>
      </c>
      <c r="C872" s="28">
        <v>5646058</v>
      </c>
      <c r="D872" s="28"/>
      <c r="E872" s="41">
        <v>46143</v>
      </c>
      <c r="F872" s="47">
        <v>0.39824074074074073</v>
      </c>
      <c r="G872" s="42">
        <v>6.3</v>
      </c>
      <c r="H872" s="40" t="s">
        <v>235</v>
      </c>
      <c r="I872" s="40" t="s">
        <v>1282</v>
      </c>
    </row>
    <row r="873" spans="1:9" x14ac:dyDescent="0.25">
      <c r="A873" s="40" t="s">
        <v>175</v>
      </c>
      <c r="B873" s="28">
        <v>927</v>
      </c>
      <c r="C873" s="28">
        <v>5646058</v>
      </c>
      <c r="D873" s="28"/>
      <c r="E873" s="41">
        <v>46143</v>
      </c>
      <c r="F873" s="47">
        <v>0.40519675925925924</v>
      </c>
      <c r="G873" s="44">
        <v>6.3</v>
      </c>
      <c r="H873" s="43" t="s">
        <v>239</v>
      </c>
      <c r="I873" s="40" t="s">
        <v>1282</v>
      </c>
    </row>
    <row r="874" spans="1:9" x14ac:dyDescent="0.25">
      <c r="A874" s="40" t="s">
        <v>175</v>
      </c>
      <c r="B874" s="28">
        <v>927</v>
      </c>
      <c r="C874" s="28" t="s">
        <v>35</v>
      </c>
      <c r="D874" s="28" t="s">
        <v>38</v>
      </c>
      <c r="E874" s="41">
        <v>46143</v>
      </c>
      <c r="F874" s="47">
        <v>0.41619212962962965</v>
      </c>
      <c r="G874" s="44">
        <v>6.3</v>
      </c>
      <c r="H874" s="43" t="s">
        <v>238</v>
      </c>
      <c r="I874" s="40" t="s">
        <v>1282</v>
      </c>
    </row>
    <row r="875" spans="1:9" x14ac:dyDescent="0.25">
      <c r="A875" s="40" t="s">
        <v>175</v>
      </c>
      <c r="B875" s="28">
        <v>927</v>
      </c>
      <c r="C875" s="28" t="s">
        <v>515</v>
      </c>
      <c r="D875" s="28"/>
      <c r="E875" s="41">
        <v>46145</v>
      </c>
      <c r="F875" s="47">
        <v>0.5602314814814815</v>
      </c>
      <c r="G875" s="44">
        <v>6.3</v>
      </c>
      <c r="H875" s="43" t="s">
        <v>235</v>
      </c>
      <c r="I875" s="40" t="s">
        <v>1282</v>
      </c>
    </row>
    <row r="876" spans="1:9" x14ac:dyDescent="0.25">
      <c r="A876" s="40" t="s">
        <v>175</v>
      </c>
      <c r="B876" s="28">
        <v>927</v>
      </c>
      <c r="C876" s="28" t="s">
        <v>515</v>
      </c>
      <c r="D876" s="28"/>
      <c r="E876" s="41">
        <v>46145</v>
      </c>
      <c r="F876" s="47">
        <v>0.56549768518518517</v>
      </c>
      <c r="G876" s="44">
        <v>6.3</v>
      </c>
      <c r="H876" s="43" t="s">
        <v>240</v>
      </c>
      <c r="I876" s="40" t="s">
        <v>1282</v>
      </c>
    </row>
    <row r="877" spans="1:9" x14ac:dyDescent="0.25">
      <c r="A877" s="40" t="s">
        <v>175</v>
      </c>
      <c r="B877" s="28">
        <v>927</v>
      </c>
      <c r="C877" s="28" t="s">
        <v>35</v>
      </c>
      <c r="D877" s="28" t="s">
        <v>38</v>
      </c>
      <c r="E877" s="41">
        <v>46145</v>
      </c>
      <c r="F877" s="47">
        <v>0.60978009259259258</v>
      </c>
      <c r="G877" s="44">
        <v>6.3</v>
      </c>
      <c r="H877" s="43" t="s">
        <v>241</v>
      </c>
      <c r="I877" s="40" t="s">
        <v>1282</v>
      </c>
    </row>
    <row r="878" spans="1:9" x14ac:dyDescent="0.25">
      <c r="A878" s="40" t="s">
        <v>175</v>
      </c>
      <c r="B878" s="28">
        <v>927</v>
      </c>
      <c r="C878" s="28" t="s">
        <v>35</v>
      </c>
      <c r="D878" s="28" t="s">
        <v>38</v>
      </c>
      <c r="E878" s="41">
        <v>46145</v>
      </c>
      <c r="F878" s="47">
        <v>0.61224537037037041</v>
      </c>
      <c r="G878" s="44">
        <v>6.3</v>
      </c>
      <c r="H878" s="43" t="s">
        <v>234</v>
      </c>
      <c r="I878" s="40" t="s">
        <v>1282</v>
      </c>
    </row>
    <row r="879" spans="1:9" x14ac:dyDescent="0.25">
      <c r="A879" s="40" t="s">
        <v>516</v>
      </c>
      <c r="B879" s="28">
        <v>950</v>
      </c>
      <c r="C879" s="28">
        <v>5640755</v>
      </c>
      <c r="D879" s="28"/>
      <c r="E879" s="41">
        <v>46140</v>
      </c>
      <c r="F879" s="47">
        <v>0.68329861111111112</v>
      </c>
      <c r="G879" s="44">
        <v>6.3</v>
      </c>
      <c r="H879" s="43" t="s">
        <v>235</v>
      </c>
      <c r="I879" s="40" t="s">
        <v>1281</v>
      </c>
    </row>
    <row r="880" spans="1:9" x14ac:dyDescent="0.25">
      <c r="A880" s="40" t="s">
        <v>516</v>
      </c>
      <c r="B880" s="28">
        <v>950</v>
      </c>
      <c r="C880" s="28">
        <v>5640755</v>
      </c>
      <c r="D880" s="28"/>
      <c r="E880" s="45">
        <v>46140</v>
      </c>
      <c r="F880" s="48">
        <v>0.69335648148148143</v>
      </c>
      <c r="G880" s="44">
        <v>6.3</v>
      </c>
      <c r="H880" s="43" t="s">
        <v>236</v>
      </c>
      <c r="I880" s="40" t="s">
        <v>1281</v>
      </c>
    </row>
    <row r="881" spans="1:9" x14ac:dyDescent="0.25">
      <c r="A881" s="40" t="s">
        <v>516</v>
      </c>
      <c r="B881" s="28">
        <v>950</v>
      </c>
      <c r="C881" s="28">
        <v>5640980</v>
      </c>
      <c r="D881" s="28"/>
      <c r="E881" s="41">
        <v>46140</v>
      </c>
      <c r="F881" s="47">
        <v>0.75813657407407409</v>
      </c>
      <c r="G881" s="44">
        <v>6.3</v>
      </c>
      <c r="H881" s="43" t="s">
        <v>237</v>
      </c>
      <c r="I881" s="40" t="s">
        <v>1281</v>
      </c>
    </row>
    <row r="882" spans="1:9" x14ac:dyDescent="0.25">
      <c r="A882" s="40" t="s">
        <v>516</v>
      </c>
      <c r="B882" s="28">
        <v>950</v>
      </c>
      <c r="C882" s="28">
        <v>5647098</v>
      </c>
      <c r="D882" s="28"/>
      <c r="E882" s="45">
        <v>46144</v>
      </c>
      <c r="F882" s="48">
        <v>0.30472222222222223</v>
      </c>
      <c r="G882" s="44">
        <v>6.3</v>
      </c>
      <c r="H882" s="43" t="s">
        <v>236</v>
      </c>
      <c r="I882" s="40" t="s">
        <v>1282</v>
      </c>
    </row>
    <row r="883" spans="1:9" x14ac:dyDescent="0.25">
      <c r="A883" s="40" t="s">
        <v>516</v>
      </c>
      <c r="B883" s="28">
        <v>950</v>
      </c>
      <c r="C883" s="28">
        <v>5646454</v>
      </c>
      <c r="D883" s="28"/>
      <c r="E883" s="41">
        <v>46144</v>
      </c>
      <c r="F883" s="47">
        <v>0.62967592592592592</v>
      </c>
      <c r="G883" s="44">
        <v>6.3</v>
      </c>
      <c r="H883" s="43" t="s">
        <v>237</v>
      </c>
      <c r="I883" s="40" t="s">
        <v>1282</v>
      </c>
    </row>
    <row r="884" spans="1:9" x14ac:dyDescent="0.25">
      <c r="A884" s="40" t="s">
        <v>516</v>
      </c>
      <c r="B884" s="28">
        <v>950</v>
      </c>
      <c r="C884" s="28">
        <v>5646454</v>
      </c>
      <c r="D884" s="28"/>
      <c r="E884" s="41">
        <v>46144</v>
      </c>
      <c r="F884" s="47">
        <v>0.63535879629629632</v>
      </c>
      <c r="G884" s="44">
        <v>6.3</v>
      </c>
      <c r="H884" s="43" t="s">
        <v>234</v>
      </c>
      <c r="I884" s="40" t="s">
        <v>1282</v>
      </c>
    </row>
    <row r="885" spans="1:9" x14ac:dyDescent="0.25">
      <c r="A885" s="40" t="s">
        <v>516</v>
      </c>
      <c r="B885" s="28">
        <v>950</v>
      </c>
      <c r="C885" s="28">
        <v>5648202</v>
      </c>
      <c r="D885" s="28"/>
      <c r="E885" s="41">
        <v>46145</v>
      </c>
      <c r="F885" s="47">
        <v>0.27947916666666667</v>
      </c>
      <c r="G885" s="44">
        <v>6.3</v>
      </c>
      <c r="H885" s="43" t="s">
        <v>236</v>
      </c>
      <c r="I885" s="40" t="s">
        <v>1282</v>
      </c>
    </row>
    <row r="886" spans="1:9" x14ac:dyDescent="0.25">
      <c r="A886" s="40" t="s">
        <v>516</v>
      </c>
      <c r="B886" s="28">
        <v>950</v>
      </c>
      <c r="C886" s="28">
        <v>5648222</v>
      </c>
      <c r="D886" s="28"/>
      <c r="E886" s="41">
        <v>46145</v>
      </c>
      <c r="F886" s="47">
        <v>0.37246527777777777</v>
      </c>
      <c r="G886" s="44">
        <v>6.3</v>
      </c>
      <c r="H886" s="43" t="s">
        <v>237</v>
      </c>
      <c r="I886" s="40" t="s">
        <v>1282</v>
      </c>
    </row>
    <row r="887" spans="1:9" x14ac:dyDescent="0.25">
      <c r="A887" s="40" t="s">
        <v>516</v>
      </c>
      <c r="B887" s="28">
        <v>950</v>
      </c>
      <c r="C887" s="28">
        <v>5648222</v>
      </c>
      <c r="D887" s="28"/>
      <c r="E887" s="41">
        <v>46145</v>
      </c>
      <c r="F887" s="47">
        <v>0.37733796296296296</v>
      </c>
      <c r="G887" s="42">
        <v>6.3</v>
      </c>
      <c r="H887" s="40" t="s">
        <v>234</v>
      </c>
      <c r="I887" s="40" t="s">
        <v>1282</v>
      </c>
    </row>
    <row r="888" spans="1:9" x14ac:dyDescent="0.25">
      <c r="A888" s="40" t="s">
        <v>516</v>
      </c>
      <c r="B888" s="28">
        <v>950</v>
      </c>
      <c r="C888" s="28" t="s">
        <v>35</v>
      </c>
      <c r="D888" s="28" t="s">
        <v>38</v>
      </c>
      <c r="E888" s="41">
        <v>46145</v>
      </c>
      <c r="F888" s="47">
        <v>0.70710648148148147</v>
      </c>
      <c r="G888" s="42">
        <v>6.3</v>
      </c>
      <c r="H888" s="40" t="s">
        <v>235</v>
      </c>
      <c r="I888" s="40" t="s">
        <v>1282</v>
      </c>
    </row>
    <row r="889" spans="1:9" x14ac:dyDescent="0.25">
      <c r="A889" s="40" t="s">
        <v>516</v>
      </c>
      <c r="B889" s="28">
        <v>950</v>
      </c>
      <c r="C889" s="28" t="s">
        <v>35</v>
      </c>
      <c r="D889" s="28" t="s">
        <v>38</v>
      </c>
      <c r="E889" s="41">
        <v>46145</v>
      </c>
      <c r="F889" s="47">
        <v>0.71303240740740736</v>
      </c>
      <c r="G889" s="42">
        <v>6.3</v>
      </c>
      <c r="H889" s="40" t="s">
        <v>240</v>
      </c>
      <c r="I889" s="40" t="s">
        <v>1282</v>
      </c>
    </row>
    <row r="890" spans="1:9" x14ac:dyDescent="0.25">
      <c r="A890" s="40" t="s">
        <v>516</v>
      </c>
      <c r="B890" s="28">
        <v>950</v>
      </c>
      <c r="C890" s="28" t="s">
        <v>35</v>
      </c>
      <c r="D890" s="28" t="s">
        <v>38</v>
      </c>
      <c r="E890" s="41">
        <v>46145</v>
      </c>
      <c r="F890" s="47">
        <v>0.90841435185185182</v>
      </c>
      <c r="G890" s="42">
        <v>6.3</v>
      </c>
      <c r="H890" s="40" t="s">
        <v>241</v>
      </c>
      <c r="I890" s="40" t="s">
        <v>1282</v>
      </c>
    </row>
    <row r="891" spans="1:9" x14ac:dyDescent="0.25">
      <c r="A891" s="40" t="s">
        <v>516</v>
      </c>
      <c r="B891" s="28">
        <v>950</v>
      </c>
      <c r="C891" s="28" t="s">
        <v>35</v>
      </c>
      <c r="D891" s="28" t="s">
        <v>38</v>
      </c>
      <c r="E891" s="41">
        <v>46145</v>
      </c>
      <c r="F891" s="47">
        <v>0.91148148148148145</v>
      </c>
      <c r="G891" s="42">
        <v>6.3</v>
      </c>
      <c r="H891" s="40" t="s">
        <v>234</v>
      </c>
      <c r="I891" s="40" t="s">
        <v>1282</v>
      </c>
    </row>
    <row r="892" spans="1:9" x14ac:dyDescent="0.25">
      <c r="A892" s="40" t="s">
        <v>517</v>
      </c>
      <c r="B892" s="28">
        <v>951</v>
      </c>
      <c r="C892" s="28">
        <v>5635093</v>
      </c>
      <c r="D892" s="28"/>
      <c r="E892" s="41">
        <v>46139</v>
      </c>
      <c r="F892" s="47">
        <v>0.14881944444444445</v>
      </c>
      <c r="G892" s="44">
        <v>6.3</v>
      </c>
      <c r="H892" s="43" t="s">
        <v>233</v>
      </c>
      <c r="I892" s="40" t="s">
        <v>1281</v>
      </c>
    </row>
    <row r="893" spans="1:9" x14ac:dyDescent="0.25">
      <c r="A893" s="40" t="s">
        <v>517</v>
      </c>
      <c r="B893" s="28">
        <v>951</v>
      </c>
      <c r="C893" s="28">
        <v>5635093</v>
      </c>
      <c r="D893" s="28"/>
      <c r="E893" s="41">
        <v>46139</v>
      </c>
      <c r="F893" s="47">
        <v>0.15317129629629631</v>
      </c>
      <c r="G893" s="44">
        <v>6.3</v>
      </c>
      <c r="H893" s="43" t="s">
        <v>234</v>
      </c>
      <c r="I893" s="40" t="s">
        <v>1281</v>
      </c>
    </row>
    <row r="894" spans="1:9" x14ac:dyDescent="0.25">
      <c r="A894" s="40" t="s">
        <v>517</v>
      </c>
      <c r="B894" s="28">
        <v>951</v>
      </c>
      <c r="C894" s="28">
        <v>5639278</v>
      </c>
      <c r="D894" s="28"/>
      <c r="E894" s="41">
        <v>46139</v>
      </c>
      <c r="F894" s="47">
        <v>0.86068287037037039</v>
      </c>
      <c r="G894" s="44">
        <v>6.3</v>
      </c>
      <c r="H894" s="43" t="s">
        <v>237</v>
      </c>
      <c r="I894" s="40" t="s">
        <v>1281</v>
      </c>
    </row>
    <row r="895" spans="1:9" x14ac:dyDescent="0.25">
      <c r="A895" s="40" t="s">
        <v>517</v>
      </c>
      <c r="B895" s="28">
        <v>951</v>
      </c>
      <c r="C895" s="28">
        <v>5639278</v>
      </c>
      <c r="D895" s="28"/>
      <c r="E895" s="41">
        <v>46139</v>
      </c>
      <c r="F895" s="47">
        <v>0.8845601851851852</v>
      </c>
      <c r="G895" s="44">
        <v>6.3</v>
      </c>
      <c r="H895" s="43" t="s">
        <v>234</v>
      </c>
      <c r="I895" s="40" t="s">
        <v>1281</v>
      </c>
    </row>
    <row r="896" spans="1:9" x14ac:dyDescent="0.25">
      <c r="A896" s="40" t="s">
        <v>266</v>
      </c>
      <c r="B896" s="28">
        <v>952</v>
      </c>
      <c r="C896" s="28">
        <v>5638211</v>
      </c>
      <c r="D896" s="28"/>
      <c r="E896" s="41">
        <v>46140</v>
      </c>
      <c r="F896" s="47">
        <v>0.2560648148148148</v>
      </c>
      <c r="G896" s="44">
        <v>6.3</v>
      </c>
      <c r="H896" s="43" t="s">
        <v>237</v>
      </c>
      <c r="I896" s="40" t="s">
        <v>1281</v>
      </c>
    </row>
    <row r="897" spans="1:9" x14ac:dyDescent="0.25">
      <c r="A897" s="40" t="s">
        <v>266</v>
      </c>
      <c r="B897" s="28">
        <v>952</v>
      </c>
      <c r="C897" s="28">
        <v>5638211</v>
      </c>
      <c r="D897" s="28"/>
      <c r="E897" s="45">
        <v>46140</v>
      </c>
      <c r="F897" s="48">
        <v>0.26177083333333334</v>
      </c>
      <c r="G897" s="44">
        <v>6.3</v>
      </c>
      <c r="H897" s="43" t="s">
        <v>234</v>
      </c>
      <c r="I897" s="40" t="s">
        <v>1281</v>
      </c>
    </row>
    <row r="898" spans="1:9" x14ac:dyDescent="0.25">
      <c r="A898" s="40" t="s">
        <v>266</v>
      </c>
      <c r="B898" s="28">
        <v>952</v>
      </c>
      <c r="C898" s="28">
        <v>5636790</v>
      </c>
      <c r="D898" s="28"/>
      <c r="E898" s="41">
        <v>46141</v>
      </c>
      <c r="F898" s="47">
        <v>0.40637731481481482</v>
      </c>
      <c r="G898" s="44">
        <v>6.3</v>
      </c>
      <c r="H898" s="43" t="s">
        <v>235</v>
      </c>
      <c r="I898" s="40" t="s">
        <v>1281</v>
      </c>
    </row>
    <row r="899" spans="1:9" x14ac:dyDescent="0.25">
      <c r="A899" s="40" t="s">
        <v>266</v>
      </c>
      <c r="B899" s="28">
        <v>952</v>
      </c>
      <c r="C899" s="28">
        <v>5636790</v>
      </c>
      <c r="D899" s="28"/>
      <c r="E899" s="41">
        <v>46141</v>
      </c>
      <c r="F899" s="47">
        <v>0.41994212962962962</v>
      </c>
      <c r="G899" s="44">
        <v>6.3</v>
      </c>
      <c r="H899" s="43" t="s">
        <v>236</v>
      </c>
      <c r="I899" s="40" t="s">
        <v>1281</v>
      </c>
    </row>
    <row r="900" spans="1:9" x14ac:dyDescent="0.25">
      <c r="A900" s="40" t="s">
        <v>266</v>
      </c>
      <c r="B900" s="28">
        <v>952</v>
      </c>
      <c r="C900" s="28">
        <v>5640817</v>
      </c>
      <c r="D900" s="28"/>
      <c r="E900" s="41">
        <v>46141</v>
      </c>
      <c r="F900" s="47">
        <v>0.47991898148148149</v>
      </c>
      <c r="G900" s="44">
        <v>6.3</v>
      </c>
      <c r="H900" s="43" t="s">
        <v>237</v>
      </c>
      <c r="I900" s="40" t="s">
        <v>1281</v>
      </c>
    </row>
    <row r="901" spans="1:9" x14ac:dyDescent="0.25">
      <c r="A901" s="40" t="s">
        <v>266</v>
      </c>
      <c r="B901" s="28">
        <v>952</v>
      </c>
      <c r="C901" s="28">
        <v>5640817</v>
      </c>
      <c r="D901" s="28"/>
      <c r="E901" s="41">
        <v>46141</v>
      </c>
      <c r="F901" s="47">
        <v>0.48765046296296294</v>
      </c>
      <c r="G901" s="44">
        <v>6.3</v>
      </c>
      <c r="H901" s="43" t="s">
        <v>234</v>
      </c>
      <c r="I901" s="40" t="s">
        <v>1281</v>
      </c>
    </row>
    <row r="902" spans="1:9" x14ac:dyDescent="0.25">
      <c r="A902" s="40" t="s">
        <v>266</v>
      </c>
      <c r="B902" s="28">
        <v>952</v>
      </c>
      <c r="C902" s="28">
        <v>5635870</v>
      </c>
      <c r="D902" s="28"/>
      <c r="E902" s="41">
        <v>46143</v>
      </c>
      <c r="F902" s="47">
        <v>0.28450231481481481</v>
      </c>
      <c r="G902" s="44">
        <v>6.3</v>
      </c>
      <c r="H902" s="43" t="s">
        <v>237</v>
      </c>
      <c r="I902" s="40" t="s">
        <v>1282</v>
      </c>
    </row>
    <row r="903" spans="1:9" x14ac:dyDescent="0.25">
      <c r="A903" s="40" t="s">
        <v>266</v>
      </c>
      <c r="B903" s="28">
        <v>952</v>
      </c>
      <c r="C903" s="28">
        <v>5635870</v>
      </c>
      <c r="D903" s="28"/>
      <c r="E903" s="41">
        <v>46143</v>
      </c>
      <c r="F903" s="47">
        <v>0.28991898148148149</v>
      </c>
      <c r="G903" s="44">
        <v>6.3</v>
      </c>
      <c r="H903" s="43" t="s">
        <v>234</v>
      </c>
      <c r="I903" s="40" t="s">
        <v>1282</v>
      </c>
    </row>
    <row r="904" spans="1:9" x14ac:dyDescent="0.25">
      <c r="A904" s="40" t="s">
        <v>266</v>
      </c>
      <c r="B904" s="28">
        <v>952</v>
      </c>
      <c r="C904" s="28">
        <v>5648107</v>
      </c>
      <c r="D904" s="28" t="s">
        <v>36</v>
      </c>
      <c r="E904" s="41">
        <v>46145</v>
      </c>
      <c r="F904" s="47">
        <v>0.29741898148148149</v>
      </c>
      <c r="G904" s="44">
        <v>6.3</v>
      </c>
      <c r="H904" s="43" t="s">
        <v>237</v>
      </c>
      <c r="I904" s="40" t="s">
        <v>1282</v>
      </c>
    </row>
    <row r="905" spans="1:9" x14ac:dyDescent="0.25">
      <c r="A905" s="40" t="s">
        <v>266</v>
      </c>
      <c r="B905" s="28">
        <v>952</v>
      </c>
      <c r="C905" s="28">
        <v>5648107</v>
      </c>
      <c r="D905" s="28" t="s">
        <v>36</v>
      </c>
      <c r="E905" s="41">
        <v>46145</v>
      </c>
      <c r="F905" s="47">
        <v>0.30270833333333336</v>
      </c>
      <c r="G905" s="44">
        <v>6.3</v>
      </c>
      <c r="H905" s="43" t="s">
        <v>234</v>
      </c>
      <c r="I905" s="40" t="s">
        <v>1282</v>
      </c>
    </row>
    <row r="906" spans="1:9" x14ac:dyDescent="0.25">
      <c r="A906" s="40" t="s">
        <v>518</v>
      </c>
      <c r="B906" s="28">
        <v>957</v>
      </c>
      <c r="C906" s="28">
        <v>5634047</v>
      </c>
      <c r="D906" s="28"/>
      <c r="E906" s="41">
        <v>46139</v>
      </c>
      <c r="F906" s="47">
        <v>0.46978009259259257</v>
      </c>
      <c r="G906" s="44">
        <v>6.3</v>
      </c>
      <c r="H906" s="43" t="s">
        <v>235</v>
      </c>
      <c r="I906" s="40" t="s">
        <v>1281</v>
      </c>
    </row>
    <row r="907" spans="1:9" x14ac:dyDescent="0.25">
      <c r="A907" s="40" t="s">
        <v>518</v>
      </c>
      <c r="B907" s="28">
        <v>957</v>
      </c>
      <c r="C907" s="28">
        <v>5634047</v>
      </c>
      <c r="D907" s="28"/>
      <c r="E907" s="41">
        <v>46139</v>
      </c>
      <c r="F907" s="47">
        <v>0.47960648148148149</v>
      </c>
      <c r="G907" s="44">
        <v>6.3</v>
      </c>
      <c r="H907" s="43" t="s">
        <v>236</v>
      </c>
      <c r="I907" s="40" t="s">
        <v>1281</v>
      </c>
    </row>
    <row r="908" spans="1:9" x14ac:dyDescent="0.25">
      <c r="A908" s="40" t="s">
        <v>518</v>
      </c>
      <c r="B908" s="28">
        <v>957</v>
      </c>
      <c r="C908" s="28">
        <v>5630183</v>
      </c>
      <c r="D908" s="28"/>
      <c r="E908" s="41">
        <v>46139</v>
      </c>
      <c r="F908" s="47">
        <v>0.5722800925925926</v>
      </c>
      <c r="G908" s="44">
        <v>6.3</v>
      </c>
      <c r="H908" s="43" t="s">
        <v>237</v>
      </c>
      <c r="I908" s="40" t="s">
        <v>1281</v>
      </c>
    </row>
    <row r="909" spans="1:9" x14ac:dyDescent="0.25">
      <c r="A909" s="40" t="s">
        <v>518</v>
      </c>
      <c r="B909" s="28">
        <v>957</v>
      </c>
      <c r="C909" s="28">
        <v>5630183</v>
      </c>
      <c r="D909" s="28"/>
      <c r="E909" s="41">
        <v>46139</v>
      </c>
      <c r="F909" s="47">
        <v>0.57853009259259258</v>
      </c>
      <c r="G909" s="44">
        <v>6.3</v>
      </c>
      <c r="H909" s="43" t="s">
        <v>234</v>
      </c>
      <c r="I909" s="40" t="s">
        <v>1281</v>
      </c>
    </row>
    <row r="910" spans="1:9" x14ac:dyDescent="0.25">
      <c r="A910" s="40" t="s">
        <v>518</v>
      </c>
      <c r="B910" s="28">
        <v>957</v>
      </c>
      <c r="C910" s="28">
        <v>5636718</v>
      </c>
      <c r="D910" s="28"/>
      <c r="E910" s="41">
        <v>46139</v>
      </c>
      <c r="F910" s="47">
        <v>0.63065972222222222</v>
      </c>
      <c r="G910" s="44">
        <v>6.3</v>
      </c>
      <c r="H910" s="43" t="s">
        <v>235</v>
      </c>
      <c r="I910" s="40" t="s">
        <v>1281</v>
      </c>
    </row>
    <row r="911" spans="1:9" x14ac:dyDescent="0.25">
      <c r="A911" s="40" t="s">
        <v>518</v>
      </c>
      <c r="B911" s="28">
        <v>957</v>
      </c>
      <c r="C911" s="28">
        <v>5636718</v>
      </c>
      <c r="D911" s="28"/>
      <c r="E911" s="41">
        <v>46139</v>
      </c>
      <c r="F911" s="47">
        <v>0.64071759259259264</v>
      </c>
      <c r="G911" s="44">
        <v>6.3</v>
      </c>
      <c r="H911" s="43" t="s">
        <v>236</v>
      </c>
      <c r="I911" s="40" t="s">
        <v>1281</v>
      </c>
    </row>
    <row r="912" spans="1:9" x14ac:dyDescent="0.25">
      <c r="A912" s="40" t="s">
        <v>518</v>
      </c>
      <c r="B912" s="28">
        <v>957</v>
      </c>
      <c r="C912" s="28">
        <v>5639742</v>
      </c>
      <c r="D912" s="28"/>
      <c r="E912" s="41">
        <v>46140</v>
      </c>
      <c r="F912" s="47">
        <v>0.22240740740740741</v>
      </c>
      <c r="G912" s="44">
        <v>6.3</v>
      </c>
      <c r="H912" s="43" t="s">
        <v>235</v>
      </c>
      <c r="I912" s="40" t="s">
        <v>1281</v>
      </c>
    </row>
    <row r="913" spans="1:9" x14ac:dyDescent="0.25">
      <c r="A913" s="40" t="s">
        <v>518</v>
      </c>
      <c r="B913" s="28">
        <v>957</v>
      </c>
      <c r="C913" s="28">
        <v>5639582</v>
      </c>
      <c r="D913" s="28" t="s">
        <v>37</v>
      </c>
      <c r="E913" s="45">
        <v>46140</v>
      </c>
      <c r="F913" s="48">
        <v>0.65879629629629632</v>
      </c>
      <c r="G913" s="44">
        <v>6.3</v>
      </c>
      <c r="H913" s="43" t="s">
        <v>233</v>
      </c>
      <c r="I913" s="40" t="s">
        <v>1281</v>
      </c>
    </row>
    <row r="914" spans="1:9" x14ac:dyDescent="0.25">
      <c r="A914" s="40" t="s">
        <v>518</v>
      </c>
      <c r="B914" s="28">
        <v>957</v>
      </c>
      <c r="C914" s="28">
        <v>5639582</v>
      </c>
      <c r="D914" s="28" t="s">
        <v>37</v>
      </c>
      <c r="E914" s="45">
        <v>46140</v>
      </c>
      <c r="F914" s="48">
        <v>0.66988425925925921</v>
      </c>
      <c r="G914" s="44">
        <v>6.3</v>
      </c>
      <c r="H914" s="43" t="s">
        <v>234</v>
      </c>
      <c r="I914" s="40" t="s">
        <v>1281</v>
      </c>
    </row>
    <row r="915" spans="1:9" x14ac:dyDescent="0.25">
      <c r="A915" s="40" t="s">
        <v>518</v>
      </c>
      <c r="B915" s="28">
        <v>957</v>
      </c>
      <c r="C915" s="28">
        <v>5642714</v>
      </c>
      <c r="D915" s="28"/>
      <c r="E915" s="41">
        <v>46142</v>
      </c>
      <c r="F915" s="47">
        <v>0.19802083333333334</v>
      </c>
      <c r="G915" s="44">
        <v>6.3</v>
      </c>
      <c r="H915" s="43" t="s">
        <v>237</v>
      </c>
      <c r="I915" s="40" t="s">
        <v>1281</v>
      </c>
    </row>
    <row r="916" spans="1:9" x14ac:dyDescent="0.25">
      <c r="A916" s="40" t="s">
        <v>518</v>
      </c>
      <c r="B916" s="28">
        <v>957</v>
      </c>
      <c r="C916" s="28">
        <v>5642714</v>
      </c>
      <c r="D916" s="28"/>
      <c r="E916" s="41">
        <v>46142</v>
      </c>
      <c r="F916" s="47">
        <v>0.20393518518518519</v>
      </c>
      <c r="G916" s="44">
        <v>6.3</v>
      </c>
      <c r="H916" s="43" t="s">
        <v>234</v>
      </c>
      <c r="I916" s="40" t="s">
        <v>1281</v>
      </c>
    </row>
    <row r="917" spans="1:9" x14ac:dyDescent="0.25">
      <c r="A917" s="40" t="s">
        <v>518</v>
      </c>
      <c r="B917" s="28">
        <v>957</v>
      </c>
      <c r="C917" s="28">
        <v>5642762</v>
      </c>
      <c r="D917" s="28"/>
      <c r="E917" s="41">
        <v>46142</v>
      </c>
      <c r="F917" s="47">
        <v>0.61708333333333332</v>
      </c>
      <c r="G917" s="44">
        <v>6.3</v>
      </c>
      <c r="H917" s="43" t="s">
        <v>237</v>
      </c>
      <c r="I917" s="40" t="s">
        <v>1281</v>
      </c>
    </row>
    <row r="918" spans="1:9" x14ac:dyDescent="0.25">
      <c r="A918" s="40" t="s">
        <v>518</v>
      </c>
      <c r="B918" s="28">
        <v>957</v>
      </c>
      <c r="C918" s="28">
        <v>5642762</v>
      </c>
      <c r="D918" s="28"/>
      <c r="E918" s="41">
        <v>46142</v>
      </c>
      <c r="F918" s="47">
        <v>0.63292824074074072</v>
      </c>
      <c r="G918" s="44">
        <v>6.3</v>
      </c>
      <c r="H918" s="43" t="s">
        <v>234</v>
      </c>
      <c r="I918" s="40" t="s">
        <v>1281</v>
      </c>
    </row>
    <row r="919" spans="1:9" x14ac:dyDescent="0.25">
      <c r="A919" s="40" t="s">
        <v>518</v>
      </c>
      <c r="B919" s="28">
        <v>957</v>
      </c>
      <c r="C919" s="28">
        <v>10575459</v>
      </c>
      <c r="D919" s="28"/>
      <c r="E919" s="41">
        <v>46142</v>
      </c>
      <c r="F919" s="47">
        <v>0.75378472222222226</v>
      </c>
      <c r="G919" s="44">
        <v>6.3</v>
      </c>
      <c r="H919" s="43" t="s">
        <v>235</v>
      </c>
      <c r="I919" s="40" t="s">
        <v>1281</v>
      </c>
    </row>
    <row r="920" spans="1:9" x14ac:dyDescent="0.25">
      <c r="A920" s="40" t="s">
        <v>518</v>
      </c>
      <c r="B920" s="28">
        <v>957</v>
      </c>
      <c r="C920" s="28" t="s">
        <v>35</v>
      </c>
      <c r="D920" s="28" t="s">
        <v>38</v>
      </c>
      <c r="E920" s="41">
        <v>46142</v>
      </c>
      <c r="F920" s="47">
        <v>0.76663194444444449</v>
      </c>
      <c r="G920" s="44">
        <v>6.3</v>
      </c>
      <c r="H920" s="43" t="s">
        <v>239</v>
      </c>
      <c r="I920" s="40" t="s">
        <v>1281</v>
      </c>
    </row>
    <row r="921" spans="1:9" x14ac:dyDescent="0.25">
      <c r="A921" s="40" t="s">
        <v>518</v>
      </c>
      <c r="B921" s="28">
        <v>957</v>
      </c>
      <c r="C921" s="28">
        <v>5646330</v>
      </c>
      <c r="D921" s="28"/>
      <c r="E921" s="41">
        <v>46143</v>
      </c>
      <c r="F921" s="47">
        <v>0.65929398148148144</v>
      </c>
      <c r="G921" s="44">
        <v>6.3</v>
      </c>
      <c r="H921" s="43" t="s">
        <v>235</v>
      </c>
      <c r="I921" s="40" t="s">
        <v>1282</v>
      </c>
    </row>
    <row r="922" spans="1:9" x14ac:dyDescent="0.25">
      <c r="A922" s="40" t="s">
        <v>518</v>
      </c>
      <c r="B922" s="28">
        <v>957</v>
      </c>
      <c r="C922" s="28">
        <v>5646330</v>
      </c>
      <c r="D922" s="28"/>
      <c r="E922" s="41">
        <v>46143</v>
      </c>
      <c r="F922" s="47">
        <v>0.66628472222222224</v>
      </c>
      <c r="G922" s="44">
        <v>6.3</v>
      </c>
      <c r="H922" s="43" t="s">
        <v>239</v>
      </c>
      <c r="I922" s="40" t="s">
        <v>1282</v>
      </c>
    </row>
    <row r="923" spans="1:9" x14ac:dyDescent="0.25">
      <c r="A923" s="40" t="s">
        <v>518</v>
      </c>
      <c r="B923" s="28">
        <v>957</v>
      </c>
      <c r="C923" s="28">
        <v>5643088</v>
      </c>
      <c r="D923" s="28"/>
      <c r="E923" s="41">
        <v>46143</v>
      </c>
      <c r="F923" s="47">
        <v>0.72436342592592595</v>
      </c>
      <c r="G923" s="44">
        <v>6.3</v>
      </c>
      <c r="H923" s="43" t="s">
        <v>237</v>
      </c>
      <c r="I923" s="40" t="s">
        <v>1282</v>
      </c>
    </row>
    <row r="924" spans="1:9" x14ac:dyDescent="0.25">
      <c r="A924" s="40" t="s">
        <v>518</v>
      </c>
      <c r="B924" s="28">
        <v>957</v>
      </c>
      <c r="C924" s="28">
        <v>5643088</v>
      </c>
      <c r="D924" s="28"/>
      <c r="E924" s="41">
        <v>46143</v>
      </c>
      <c r="F924" s="47">
        <v>0.72961805555555559</v>
      </c>
      <c r="G924" s="44">
        <v>6.3</v>
      </c>
      <c r="H924" s="43" t="s">
        <v>234</v>
      </c>
      <c r="I924" s="40" t="s">
        <v>1282</v>
      </c>
    </row>
    <row r="925" spans="1:9" x14ac:dyDescent="0.25">
      <c r="A925" s="40" t="s">
        <v>518</v>
      </c>
      <c r="B925" s="28">
        <v>957</v>
      </c>
      <c r="C925" s="28">
        <v>5644891</v>
      </c>
      <c r="D925" s="28"/>
      <c r="E925" s="41">
        <v>46143</v>
      </c>
      <c r="F925" s="47">
        <v>0.88907407407407413</v>
      </c>
      <c r="G925" s="44">
        <v>6.3</v>
      </c>
      <c r="H925" s="43" t="s">
        <v>235</v>
      </c>
      <c r="I925" s="40" t="s">
        <v>1282</v>
      </c>
    </row>
    <row r="926" spans="1:9" x14ac:dyDescent="0.25">
      <c r="A926" s="40" t="s">
        <v>518</v>
      </c>
      <c r="B926" s="28">
        <v>957</v>
      </c>
      <c r="C926" s="28">
        <v>5644891</v>
      </c>
      <c r="D926" s="28"/>
      <c r="E926" s="41">
        <v>46143</v>
      </c>
      <c r="F926" s="47">
        <v>0.89594907407407409</v>
      </c>
      <c r="G926" s="42">
        <v>6.3</v>
      </c>
      <c r="H926" s="40" t="s">
        <v>236</v>
      </c>
      <c r="I926" s="40" t="s">
        <v>1282</v>
      </c>
    </row>
    <row r="927" spans="1:9" x14ac:dyDescent="0.25">
      <c r="A927" s="40" t="s">
        <v>518</v>
      </c>
      <c r="B927" s="28">
        <v>957</v>
      </c>
      <c r="C927" s="28">
        <v>5647326</v>
      </c>
      <c r="D927" s="28" t="s">
        <v>37</v>
      </c>
      <c r="E927" s="41">
        <v>46145</v>
      </c>
      <c r="F927" s="47">
        <v>0.32959490740740743</v>
      </c>
      <c r="G927" s="42">
        <v>6.3</v>
      </c>
      <c r="H927" s="40" t="s">
        <v>237</v>
      </c>
      <c r="I927" s="40" t="s">
        <v>1282</v>
      </c>
    </row>
    <row r="928" spans="1:9" x14ac:dyDescent="0.25">
      <c r="A928" s="40" t="s">
        <v>518</v>
      </c>
      <c r="B928" s="28">
        <v>957</v>
      </c>
      <c r="C928" s="28">
        <v>5647326</v>
      </c>
      <c r="D928" s="28" t="s">
        <v>37</v>
      </c>
      <c r="E928" s="41">
        <v>46145</v>
      </c>
      <c r="F928" s="47">
        <v>0.3347222222222222</v>
      </c>
      <c r="G928" s="42">
        <v>6.3</v>
      </c>
      <c r="H928" s="40" t="s">
        <v>234</v>
      </c>
      <c r="I928" s="40" t="s">
        <v>1282</v>
      </c>
    </row>
    <row r="929" spans="1:9" x14ac:dyDescent="0.25">
      <c r="A929" s="40" t="s">
        <v>518</v>
      </c>
      <c r="B929" s="28">
        <v>957</v>
      </c>
      <c r="C929" s="28">
        <v>5648108</v>
      </c>
      <c r="D929" s="28"/>
      <c r="E929" s="41">
        <v>46145</v>
      </c>
      <c r="F929" s="47">
        <v>0.78017361111111116</v>
      </c>
      <c r="G929" s="44">
        <v>6.3</v>
      </c>
      <c r="H929" s="43" t="s">
        <v>235</v>
      </c>
      <c r="I929" s="40" t="s">
        <v>1282</v>
      </c>
    </row>
    <row r="930" spans="1:9" x14ac:dyDescent="0.25">
      <c r="A930" s="40" t="s">
        <v>518</v>
      </c>
      <c r="B930" s="28">
        <v>957</v>
      </c>
      <c r="C930" s="28">
        <v>5648108</v>
      </c>
      <c r="D930" s="28"/>
      <c r="E930" s="41">
        <v>46145</v>
      </c>
      <c r="F930" s="47">
        <v>0.78762731481481485</v>
      </c>
      <c r="G930" s="44">
        <v>6.3</v>
      </c>
      <c r="H930" s="43" t="s">
        <v>236</v>
      </c>
      <c r="I930" s="40" t="s">
        <v>1282</v>
      </c>
    </row>
    <row r="931" spans="1:9" x14ac:dyDescent="0.25">
      <c r="A931" s="40" t="s">
        <v>71</v>
      </c>
      <c r="B931" s="28">
        <v>985</v>
      </c>
      <c r="C931" s="28" t="s">
        <v>519</v>
      </c>
      <c r="D931" s="28"/>
      <c r="E931" s="41">
        <v>46139</v>
      </c>
      <c r="F931" s="47">
        <v>0.17457175925925925</v>
      </c>
      <c r="G931" s="44">
        <v>6.3</v>
      </c>
      <c r="H931" s="43" t="s">
        <v>235</v>
      </c>
      <c r="I931" s="40" t="s">
        <v>1281</v>
      </c>
    </row>
    <row r="932" spans="1:9" x14ac:dyDescent="0.25">
      <c r="A932" s="40" t="s">
        <v>71</v>
      </c>
      <c r="B932" s="28">
        <v>985</v>
      </c>
      <c r="C932" s="28" t="s">
        <v>519</v>
      </c>
      <c r="D932" s="28"/>
      <c r="E932" s="41">
        <v>46139</v>
      </c>
      <c r="F932" s="47">
        <v>0.18248842592592593</v>
      </c>
      <c r="G932" s="44">
        <v>6.3</v>
      </c>
      <c r="H932" s="43" t="s">
        <v>239</v>
      </c>
      <c r="I932" s="40" t="s">
        <v>1281</v>
      </c>
    </row>
    <row r="933" spans="1:9" x14ac:dyDescent="0.25">
      <c r="A933" s="40" t="s">
        <v>71</v>
      </c>
      <c r="B933" s="28">
        <v>985</v>
      </c>
      <c r="C933" s="28">
        <v>5637257</v>
      </c>
      <c r="D933" s="28"/>
      <c r="E933" s="41">
        <v>46139</v>
      </c>
      <c r="F933" s="47">
        <v>0.22383101851851853</v>
      </c>
      <c r="G933" s="44">
        <v>6.3</v>
      </c>
      <c r="H933" s="43" t="s">
        <v>237</v>
      </c>
      <c r="I933" s="40" t="s">
        <v>1281</v>
      </c>
    </row>
    <row r="934" spans="1:9" x14ac:dyDescent="0.25">
      <c r="A934" s="40" t="s">
        <v>71</v>
      </c>
      <c r="B934" s="28">
        <v>985</v>
      </c>
      <c r="C934" s="28">
        <v>5637257</v>
      </c>
      <c r="D934" s="28"/>
      <c r="E934" s="41">
        <v>46139</v>
      </c>
      <c r="F934" s="47">
        <v>0.22968749999999999</v>
      </c>
      <c r="G934" s="44">
        <v>6.3</v>
      </c>
      <c r="H934" s="43" t="s">
        <v>234</v>
      </c>
      <c r="I934" s="40" t="s">
        <v>1281</v>
      </c>
    </row>
    <row r="935" spans="1:9" x14ac:dyDescent="0.25">
      <c r="A935" s="40" t="s">
        <v>71</v>
      </c>
      <c r="B935" s="28">
        <v>985</v>
      </c>
      <c r="C935" s="28">
        <v>5641467</v>
      </c>
      <c r="D935" s="28"/>
      <c r="E935" s="41">
        <v>46140</v>
      </c>
      <c r="F935" s="47">
        <v>0.82532407407407404</v>
      </c>
      <c r="G935" s="44">
        <v>6.3</v>
      </c>
      <c r="H935" s="43" t="s">
        <v>235</v>
      </c>
      <c r="I935" s="40" t="s">
        <v>1281</v>
      </c>
    </row>
    <row r="936" spans="1:9" x14ac:dyDescent="0.25">
      <c r="A936" s="40" t="s">
        <v>71</v>
      </c>
      <c r="B936" s="28">
        <v>985</v>
      </c>
      <c r="C936" s="28">
        <v>5641467</v>
      </c>
      <c r="D936" s="28"/>
      <c r="E936" s="41">
        <v>46140</v>
      </c>
      <c r="F936" s="47">
        <v>0.83884259259259264</v>
      </c>
      <c r="G936" s="44">
        <v>6.3</v>
      </c>
      <c r="H936" s="43" t="s">
        <v>236</v>
      </c>
      <c r="I936" s="40" t="s">
        <v>1281</v>
      </c>
    </row>
    <row r="937" spans="1:9" x14ac:dyDescent="0.25">
      <c r="A937" s="40" t="s">
        <v>71</v>
      </c>
      <c r="B937" s="28">
        <v>985</v>
      </c>
      <c r="C937" s="28">
        <v>5643262</v>
      </c>
      <c r="D937" s="28"/>
      <c r="E937" s="45">
        <v>46141</v>
      </c>
      <c r="F937" s="48">
        <v>0.84775462962962966</v>
      </c>
      <c r="G937" s="44">
        <v>6.3</v>
      </c>
      <c r="H937" s="43" t="s">
        <v>235</v>
      </c>
      <c r="I937" s="40" t="s">
        <v>1281</v>
      </c>
    </row>
    <row r="938" spans="1:9" x14ac:dyDescent="0.25">
      <c r="A938" s="40" t="s">
        <v>71</v>
      </c>
      <c r="B938" s="28">
        <v>985</v>
      </c>
      <c r="C938" s="28">
        <v>5643262</v>
      </c>
      <c r="D938" s="28"/>
      <c r="E938" s="41">
        <v>46141</v>
      </c>
      <c r="F938" s="47">
        <v>0.86370370370370375</v>
      </c>
      <c r="G938" s="44">
        <v>6.3</v>
      </c>
      <c r="H938" s="43" t="s">
        <v>236</v>
      </c>
      <c r="I938" s="40" t="s">
        <v>1281</v>
      </c>
    </row>
    <row r="939" spans="1:9" x14ac:dyDescent="0.25">
      <c r="A939" s="40" t="s">
        <v>71</v>
      </c>
      <c r="B939" s="28">
        <v>985</v>
      </c>
      <c r="C939" s="28" t="s">
        <v>35</v>
      </c>
      <c r="D939" s="28" t="s">
        <v>38</v>
      </c>
      <c r="E939" s="45">
        <v>46141</v>
      </c>
      <c r="F939" s="48">
        <v>0.88979166666666665</v>
      </c>
      <c r="G939" s="44">
        <v>6.3</v>
      </c>
      <c r="H939" s="43" t="s">
        <v>237</v>
      </c>
      <c r="I939" s="40" t="s">
        <v>1281</v>
      </c>
    </row>
    <row r="940" spans="1:9" x14ac:dyDescent="0.25">
      <c r="A940" s="40" t="s">
        <v>71</v>
      </c>
      <c r="B940" s="28">
        <v>985</v>
      </c>
      <c r="C940" s="28" t="s">
        <v>35</v>
      </c>
      <c r="D940" s="28" t="s">
        <v>38</v>
      </c>
      <c r="E940" s="41">
        <v>46141</v>
      </c>
      <c r="F940" s="47">
        <v>0.89545138888888887</v>
      </c>
      <c r="G940" s="44">
        <v>6.3</v>
      </c>
      <c r="H940" s="43" t="s">
        <v>234</v>
      </c>
      <c r="I940" s="40" t="s">
        <v>1281</v>
      </c>
    </row>
    <row r="941" spans="1:9" x14ac:dyDescent="0.25">
      <c r="A941" s="40" t="s">
        <v>71</v>
      </c>
      <c r="B941" s="28">
        <v>985</v>
      </c>
      <c r="C941" s="28" t="s">
        <v>520</v>
      </c>
      <c r="D941" s="28"/>
      <c r="E941" s="41">
        <v>46141</v>
      </c>
      <c r="F941" s="47">
        <v>0.96745370370370365</v>
      </c>
      <c r="G941" s="44">
        <v>6.3</v>
      </c>
      <c r="H941" s="43" t="s">
        <v>235</v>
      </c>
      <c r="I941" s="40" t="s">
        <v>1281</v>
      </c>
    </row>
    <row r="942" spans="1:9" x14ac:dyDescent="0.25">
      <c r="A942" s="40" t="s">
        <v>71</v>
      </c>
      <c r="B942" s="28">
        <v>985</v>
      </c>
      <c r="C942" s="28" t="s">
        <v>520</v>
      </c>
      <c r="D942" s="28"/>
      <c r="E942" s="41">
        <v>46141</v>
      </c>
      <c r="F942" s="47">
        <v>0.9747569444444445</v>
      </c>
      <c r="G942" s="44">
        <v>6.3</v>
      </c>
      <c r="H942" s="43" t="s">
        <v>236</v>
      </c>
      <c r="I942" s="40" t="s">
        <v>1281</v>
      </c>
    </row>
    <row r="943" spans="1:9" x14ac:dyDescent="0.25">
      <c r="A943" s="40" t="s">
        <v>71</v>
      </c>
      <c r="B943" s="28">
        <v>985</v>
      </c>
      <c r="C943" s="28">
        <v>5645453</v>
      </c>
      <c r="D943" s="28" t="s">
        <v>37</v>
      </c>
      <c r="E943" s="41">
        <v>46143</v>
      </c>
      <c r="F943" s="47">
        <v>0.35297453703703702</v>
      </c>
      <c r="G943" s="44">
        <v>6.3</v>
      </c>
      <c r="H943" s="43" t="s">
        <v>237</v>
      </c>
      <c r="I943" s="40" t="s">
        <v>1282</v>
      </c>
    </row>
    <row r="944" spans="1:9" x14ac:dyDescent="0.25">
      <c r="A944" s="40" t="s">
        <v>71</v>
      </c>
      <c r="B944" s="28">
        <v>985</v>
      </c>
      <c r="C944" s="28">
        <v>5645453</v>
      </c>
      <c r="D944" s="28" t="s">
        <v>37</v>
      </c>
      <c r="E944" s="41">
        <v>46143</v>
      </c>
      <c r="F944" s="47">
        <v>0.35890046296296296</v>
      </c>
      <c r="G944" s="44">
        <v>6.3</v>
      </c>
      <c r="H944" s="43" t="s">
        <v>234</v>
      </c>
      <c r="I944" s="40" t="s">
        <v>1282</v>
      </c>
    </row>
    <row r="945" spans="1:9" x14ac:dyDescent="0.25">
      <c r="A945" s="40" t="s">
        <v>71</v>
      </c>
      <c r="B945" s="28">
        <v>985</v>
      </c>
      <c r="C945" s="28">
        <v>5646170</v>
      </c>
      <c r="D945" s="28"/>
      <c r="E945" s="41">
        <v>46143</v>
      </c>
      <c r="F945" s="47">
        <v>0.42825231481481479</v>
      </c>
      <c r="G945" s="44">
        <v>6.3</v>
      </c>
      <c r="H945" s="43" t="s">
        <v>235</v>
      </c>
      <c r="I945" s="40" t="s">
        <v>1282</v>
      </c>
    </row>
    <row r="946" spans="1:9" x14ac:dyDescent="0.25">
      <c r="A946" s="40" t="s">
        <v>71</v>
      </c>
      <c r="B946" s="28">
        <v>985</v>
      </c>
      <c r="C946" s="28">
        <v>5646170</v>
      </c>
      <c r="D946" s="28"/>
      <c r="E946" s="41">
        <v>46143</v>
      </c>
      <c r="F946" s="47">
        <v>0.4362847222222222</v>
      </c>
      <c r="G946" s="44">
        <v>6.3</v>
      </c>
      <c r="H946" s="43" t="s">
        <v>236</v>
      </c>
      <c r="I946" s="40" t="s">
        <v>1282</v>
      </c>
    </row>
    <row r="947" spans="1:9" x14ac:dyDescent="0.25">
      <c r="A947" s="40" t="s">
        <v>71</v>
      </c>
      <c r="B947" s="28">
        <v>985</v>
      </c>
      <c r="C947" s="28">
        <v>5647824</v>
      </c>
      <c r="D947" s="28"/>
      <c r="E947" s="41">
        <v>46144</v>
      </c>
      <c r="F947" s="47">
        <v>0.87438657407407405</v>
      </c>
      <c r="G947" s="44">
        <v>6.3</v>
      </c>
      <c r="H947" s="43" t="s">
        <v>235</v>
      </c>
      <c r="I947" s="40" t="s">
        <v>1282</v>
      </c>
    </row>
    <row r="948" spans="1:9" x14ac:dyDescent="0.25">
      <c r="A948" s="40" t="s">
        <v>71</v>
      </c>
      <c r="B948" s="28">
        <v>985</v>
      </c>
      <c r="C948" s="28">
        <v>5647824</v>
      </c>
      <c r="D948" s="28"/>
      <c r="E948" s="41">
        <v>46144</v>
      </c>
      <c r="F948" s="47">
        <v>0.8817476851851852</v>
      </c>
      <c r="G948" s="44">
        <v>6.3</v>
      </c>
      <c r="H948" s="43" t="s">
        <v>236</v>
      </c>
      <c r="I948" s="40" t="s">
        <v>1282</v>
      </c>
    </row>
    <row r="949" spans="1:9" x14ac:dyDescent="0.25">
      <c r="A949" s="40" t="s">
        <v>71</v>
      </c>
      <c r="B949" s="28">
        <v>985</v>
      </c>
      <c r="C949" s="28" t="s">
        <v>35</v>
      </c>
      <c r="D949" s="28" t="s">
        <v>38</v>
      </c>
      <c r="E949" s="41">
        <v>46144</v>
      </c>
      <c r="F949" s="47">
        <v>0.89427083333333335</v>
      </c>
      <c r="G949" s="44">
        <v>6.3</v>
      </c>
      <c r="H949" s="43" t="s">
        <v>233</v>
      </c>
      <c r="I949" s="40" t="s">
        <v>1282</v>
      </c>
    </row>
    <row r="950" spans="1:9" x14ac:dyDescent="0.25">
      <c r="A950" s="40" t="s">
        <v>71</v>
      </c>
      <c r="B950" s="28">
        <v>985</v>
      </c>
      <c r="C950" s="28">
        <v>5649259</v>
      </c>
      <c r="D950" s="28"/>
      <c r="E950" s="41">
        <v>46145</v>
      </c>
      <c r="F950" s="47">
        <v>0.85858796296296291</v>
      </c>
      <c r="G950" s="44">
        <v>6.3</v>
      </c>
      <c r="H950" s="43" t="s">
        <v>235</v>
      </c>
      <c r="I950" s="40" t="s">
        <v>1282</v>
      </c>
    </row>
    <row r="951" spans="1:9" x14ac:dyDescent="0.25">
      <c r="A951" s="40" t="s">
        <v>71</v>
      </c>
      <c r="B951" s="28">
        <v>985</v>
      </c>
      <c r="C951" s="28">
        <v>5649259</v>
      </c>
      <c r="D951" s="28"/>
      <c r="E951" s="45">
        <v>46145</v>
      </c>
      <c r="F951" s="48">
        <v>0.86637731481481484</v>
      </c>
      <c r="G951" s="44">
        <v>6.3</v>
      </c>
      <c r="H951" s="43" t="s">
        <v>236</v>
      </c>
      <c r="I951" s="40" t="s">
        <v>1282</v>
      </c>
    </row>
    <row r="952" spans="1:9" x14ac:dyDescent="0.25">
      <c r="A952" s="40" t="s">
        <v>72</v>
      </c>
      <c r="B952" s="28">
        <v>988</v>
      </c>
      <c r="C952" s="28">
        <v>5646048</v>
      </c>
      <c r="D952" s="28"/>
      <c r="E952" s="41">
        <v>46143</v>
      </c>
      <c r="F952" s="47">
        <v>0.28505787037037039</v>
      </c>
      <c r="G952" s="44">
        <v>6.3</v>
      </c>
      <c r="H952" s="43" t="s">
        <v>235</v>
      </c>
      <c r="I952" s="40" t="s">
        <v>1282</v>
      </c>
    </row>
    <row r="953" spans="1:9" x14ac:dyDescent="0.25">
      <c r="A953" s="40" t="s">
        <v>72</v>
      </c>
      <c r="B953" s="28">
        <v>988</v>
      </c>
      <c r="C953" s="28">
        <v>5646048</v>
      </c>
      <c r="D953" s="28"/>
      <c r="E953" s="41">
        <v>46143</v>
      </c>
      <c r="F953" s="47">
        <v>0.29212962962962963</v>
      </c>
      <c r="G953" s="44">
        <v>6.3</v>
      </c>
      <c r="H953" s="43" t="s">
        <v>236</v>
      </c>
      <c r="I953" s="40" t="s">
        <v>1282</v>
      </c>
    </row>
    <row r="954" spans="1:9" x14ac:dyDescent="0.25">
      <c r="A954" s="40" t="s">
        <v>72</v>
      </c>
      <c r="B954" s="28">
        <v>988</v>
      </c>
      <c r="C954" s="28">
        <v>5649548</v>
      </c>
      <c r="D954" s="28"/>
      <c r="E954" s="45">
        <v>46145</v>
      </c>
      <c r="F954" s="48">
        <v>0.95564814814814814</v>
      </c>
      <c r="G954" s="44">
        <v>6.3</v>
      </c>
      <c r="H954" s="43" t="s">
        <v>235</v>
      </c>
      <c r="I954" s="40" t="s">
        <v>1282</v>
      </c>
    </row>
    <row r="955" spans="1:9" x14ac:dyDescent="0.25">
      <c r="A955" s="40" t="s">
        <v>72</v>
      </c>
      <c r="B955" s="28">
        <v>988</v>
      </c>
      <c r="C955" s="28">
        <v>5649548</v>
      </c>
      <c r="D955" s="28"/>
      <c r="E955" s="41">
        <v>46145</v>
      </c>
      <c r="F955" s="47">
        <v>0.96296296296296291</v>
      </c>
      <c r="G955" s="44">
        <v>6.3</v>
      </c>
      <c r="H955" s="43" t="s">
        <v>236</v>
      </c>
      <c r="I955" s="40" t="s">
        <v>1282</v>
      </c>
    </row>
    <row r="956" spans="1:9" x14ac:dyDescent="0.25">
      <c r="A956" s="40" t="s">
        <v>319</v>
      </c>
      <c r="B956" s="28">
        <v>1146</v>
      </c>
      <c r="C956" s="28" t="s">
        <v>521</v>
      </c>
      <c r="D956" s="28"/>
      <c r="E956" s="41">
        <v>46139</v>
      </c>
      <c r="F956" s="47">
        <v>8.7465277777777781E-2</v>
      </c>
      <c r="G956" s="44">
        <v>6.3</v>
      </c>
      <c r="H956" s="43" t="s">
        <v>235</v>
      </c>
      <c r="I956" s="40" t="s">
        <v>1281</v>
      </c>
    </row>
    <row r="957" spans="1:9" x14ac:dyDescent="0.25">
      <c r="A957" s="40" t="s">
        <v>319</v>
      </c>
      <c r="B957" s="28">
        <v>1146</v>
      </c>
      <c r="C957" s="28" t="s">
        <v>521</v>
      </c>
      <c r="D957" s="28"/>
      <c r="E957" s="41">
        <v>46139</v>
      </c>
      <c r="F957" s="47">
        <v>9.4120370370370368E-2</v>
      </c>
      <c r="G957" s="44">
        <v>6.3</v>
      </c>
      <c r="H957" s="43" t="s">
        <v>236</v>
      </c>
      <c r="I957" s="40" t="s">
        <v>1281</v>
      </c>
    </row>
    <row r="958" spans="1:9" x14ac:dyDescent="0.25">
      <c r="A958" s="40" t="s">
        <v>319</v>
      </c>
      <c r="B958" s="28">
        <v>1146</v>
      </c>
      <c r="C958" s="28" t="s">
        <v>522</v>
      </c>
      <c r="D958" s="28"/>
      <c r="E958" s="41">
        <v>46142</v>
      </c>
      <c r="F958" s="47">
        <v>0.89018518518518519</v>
      </c>
      <c r="G958" s="44">
        <v>6.3</v>
      </c>
      <c r="H958" s="43" t="s">
        <v>235</v>
      </c>
      <c r="I958" s="40" t="s">
        <v>1281</v>
      </c>
    </row>
    <row r="959" spans="1:9" x14ac:dyDescent="0.25">
      <c r="A959" s="40" t="s">
        <v>319</v>
      </c>
      <c r="B959" s="28">
        <v>1146</v>
      </c>
      <c r="C959" s="28" t="s">
        <v>522</v>
      </c>
      <c r="D959" s="28"/>
      <c r="E959" s="41">
        <v>46142</v>
      </c>
      <c r="F959" s="47">
        <v>0.8971527777777778</v>
      </c>
      <c r="G959" s="44">
        <v>6.3</v>
      </c>
      <c r="H959" s="43" t="s">
        <v>236</v>
      </c>
      <c r="I959" s="40" t="s">
        <v>1281</v>
      </c>
    </row>
    <row r="960" spans="1:9" x14ac:dyDescent="0.25">
      <c r="A960" s="40" t="s">
        <v>319</v>
      </c>
      <c r="B960" s="28">
        <v>1146</v>
      </c>
      <c r="C960" s="28" t="s">
        <v>523</v>
      </c>
      <c r="D960" s="28"/>
      <c r="E960" s="41">
        <v>46143</v>
      </c>
      <c r="F960" s="47">
        <v>0.92891203703703706</v>
      </c>
      <c r="G960" s="44">
        <v>6.3</v>
      </c>
      <c r="H960" s="43" t="s">
        <v>236</v>
      </c>
      <c r="I960" s="40" t="s">
        <v>1282</v>
      </c>
    </row>
    <row r="961" spans="1:9" x14ac:dyDescent="0.25">
      <c r="A961" s="40" t="s">
        <v>319</v>
      </c>
      <c r="B961" s="28">
        <v>1146</v>
      </c>
      <c r="C961" s="28" t="s">
        <v>524</v>
      </c>
      <c r="D961" s="28"/>
      <c r="E961" s="41">
        <v>46144</v>
      </c>
      <c r="F961" s="47">
        <v>0.22585648148148149</v>
      </c>
      <c r="G961" s="44">
        <v>6.3</v>
      </c>
      <c r="H961" s="43" t="s">
        <v>235</v>
      </c>
      <c r="I961" s="40" t="s">
        <v>1282</v>
      </c>
    </row>
    <row r="962" spans="1:9" x14ac:dyDescent="0.25">
      <c r="A962" s="40" t="s">
        <v>319</v>
      </c>
      <c r="B962" s="28">
        <v>1146</v>
      </c>
      <c r="C962" s="28" t="s">
        <v>524</v>
      </c>
      <c r="D962" s="28"/>
      <c r="E962" s="41">
        <v>46144</v>
      </c>
      <c r="F962" s="47">
        <v>0.23306712962962964</v>
      </c>
      <c r="G962" s="44">
        <v>6.3</v>
      </c>
      <c r="H962" s="43" t="s">
        <v>236</v>
      </c>
      <c r="I962" s="40" t="s">
        <v>1282</v>
      </c>
    </row>
    <row r="963" spans="1:9" x14ac:dyDescent="0.25">
      <c r="A963" s="40" t="s">
        <v>319</v>
      </c>
      <c r="B963" s="28">
        <v>1146</v>
      </c>
      <c r="C963" s="28" t="s">
        <v>35</v>
      </c>
      <c r="D963" s="28" t="s">
        <v>38</v>
      </c>
      <c r="E963" s="41">
        <v>46145</v>
      </c>
      <c r="F963" s="47">
        <v>0.91194444444444445</v>
      </c>
      <c r="G963" s="44">
        <v>6.3</v>
      </c>
      <c r="H963" s="43" t="s">
        <v>235</v>
      </c>
      <c r="I963" s="40" t="s">
        <v>1282</v>
      </c>
    </row>
    <row r="964" spans="1:9" x14ac:dyDescent="0.25">
      <c r="A964" s="40" t="s">
        <v>319</v>
      </c>
      <c r="B964" s="28">
        <v>1146</v>
      </c>
      <c r="C964" s="28" t="s">
        <v>35</v>
      </c>
      <c r="D964" s="28" t="s">
        <v>38</v>
      </c>
      <c r="E964" s="41">
        <v>46145</v>
      </c>
      <c r="F964" s="47">
        <v>0.91862268518518519</v>
      </c>
      <c r="G964" s="44">
        <v>6.3</v>
      </c>
      <c r="H964" s="43" t="s">
        <v>236</v>
      </c>
      <c r="I964" s="40" t="s">
        <v>1282</v>
      </c>
    </row>
    <row r="965" spans="1:9" x14ac:dyDescent="0.25">
      <c r="A965" s="40" t="s">
        <v>525</v>
      </c>
      <c r="B965" s="28">
        <v>1209</v>
      </c>
      <c r="C965" s="28">
        <v>5646849</v>
      </c>
      <c r="D965" s="28"/>
      <c r="E965" s="41">
        <v>46143</v>
      </c>
      <c r="F965" s="47">
        <v>0.85015046296296293</v>
      </c>
      <c r="G965" s="44">
        <v>6.3</v>
      </c>
      <c r="H965" s="43" t="s">
        <v>237</v>
      </c>
      <c r="I965" s="40" t="s">
        <v>1282</v>
      </c>
    </row>
    <row r="966" spans="1:9" x14ac:dyDescent="0.25">
      <c r="A966" s="40" t="s">
        <v>525</v>
      </c>
      <c r="B966" s="28">
        <v>1209</v>
      </c>
      <c r="C966" s="28">
        <v>5646849</v>
      </c>
      <c r="D966" s="28"/>
      <c r="E966" s="41">
        <v>46143</v>
      </c>
      <c r="F966" s="47">
        <v>0.8558796296296296</v>
      </c>
      <c r="G966" s="44">
        <v>6.3</v>
      </c>
      <c r="H966" s="43" t="s">
        <v>234</v>
      </c>
      <c r="I966" s="40" t="s">
        <v>1282</v>
      </c>
    </row>
    <row r="967" spans="1:9" x14ac:dyDescent="0.25">
      <c r="A967" s="40" t="s">
        <v>162</v>
      </c>
      <c r="B967" s="28">
        <v>1224</v>
      </c>
      <c r="C967" s="28">
        <v>5637507</v>
      </c>
      <c r="D967" s="28"/>
      <c r="E967" s="41">
        <v>46139</v>
      </c>
      <c r="F967" s="47">
        <v>0.14199074074074075</v>
      </c>
      <c r="G967" s="44">
        <v>6.3</v>
      </c>
      <c r="H967" s="43" t="s">
        <v>234</v>
      </c>
      <c r="I967" s="40" t="s">
        <v>1281</v>
      </c>
    </row>
    <row r="968" spans="1:9" x14ac:dyDescent="0.25">
      <c r="A968" s="40" t="s">
        <v>162</v>
      </c>
      <c r="B968" s="28">
        <v>1224</v>
      </c>
      <c r="C968" s="28" t="s">
        <v>35</v>
      </c>
      <c r="D968" s="28" t="s">
        <v>38</v>
      </c>
      <c r="E968" s="41">
        <v>46139</v>
      </c>
      <c r="F968" s="47">
        <v>0.30478009259259259</v>
      </c>
      <c r="G968" s="44">
        <v>6.3</v>
      </c>
      <c r="H968" s="43" t="s">
        <v>235</v>
      </c>
      <c r="I968" s="40" t="s">
        <v>1281</v>
      </c>
    </row>
    <row r="969" spans="1:9" x14ac:dyDescent="0.25">
      <c r="A969" s="40" t="s">
        <v>162</v>
      </c>
      <c r="B969" s="28">
        <v>1224</v>
      </c>
      <c r="C969" s="28" t="s">
        <v>35</v>
      </c>
      <c r="D969" s="28" t="s">
        <v>38</v>
      </c>
      <c r="E969" s="41">
        <v>46139</v>
      </c>
      <c r="F969" s="47">
        <v>0.3220486111111111</v>
      </c>
      <c r="G969" s="44">
        <v>6.3</v>
      </c>
      <c r="H969" s="43" t="s">
        <v>236</v>
      </c>
      <c r="I969" s="40" t="s">
        <v>1281</v>
      </c>
    </row>
    <row r="970" spans="1:9" x14ac:dyDescent="0.25">
      <c r="A970" s="40" t="s">
        <v>162</v>
      </c>
      <c r="B970" s="28">
        <v>1224</v>
      </c>
      <c r="C970" s="28">
        <v>5637822</v>
      </c>
      <c r="D970" s="28"/>
      <c r="E970" s="41">
        <v>46139</v>
      </c>
      <c r="F970" s="47">
        <v>0.37502314814814813</v>
      </c>
      <c r="G970" s="42">
        <v>6.3</v>
      </c>
      <c r="H970" s="40" t="s">
        <v>237</v>
      </c>
      <c r="I970" s="40" t="s">
        <v>1281</v>
      </c>
    </row>
    <row r="971" spans="1:9" x14ac:dyDescent="0.25">
      <c r="A971" s="40" t="s">
        <v>162</v>
      </c>
      <c r="B971" s="28">
        <v>1224</v>
      </c>
      <c r="C971" s="28">
        <v>5637822</v>
      </c>
      <c r="D971" s="28" t="s">
        <v>36</v>
      </c>
      <c r="E971" s="45">
        <v>46139</v>
      </c>
      <c r="F971" s="48">
        <v>0.38429398148148147</v>
      </c>
      <c r="G971" s="42">
        <v>6.3</v>
      </c>
      <c r="H971" s="40" t="s">
        <v>234</v>
      </c>
      <c r="I971" s="40" t="s">
        <v>1281</v>
      </c>
    </row>
    <row r="972" spans="1:9" x14ac:dyDescent="0.25">
      <c r="A972" s="40" t="s">
        <v>162</v>
      </c>
      <c r="B972" s="28">
        <v>1224</v>
      </c>
      <c r="C972" s="28" t="s">
        <v>35</v>
      </c>
      <c r="D972" s="28" t="s">
        <v>38</v>
      </c>
      <c r="E972" s="41">
        <v>46139</v>
      </c>
      <c r="F972" s="47">
        <v>0.6381944444444444</v>
      </c>
      <c r="G972" s="42">
        <v>6.3</v>
      </c>
      <c r="H972" s="40" t="s">
        <v>237</v>
      </c>
      <c r="I972" s="40" t="s">
        <v>1281</v>
      </c>
    </row>
    <row r="973" spans="1:9" x14ac:dyDescent="0.25">
      <c r="A973" s="40" t="s">
        <v>162</v>
      </c>
      <c r="B973" s="28">
        <v>1224</v>
      </c>
      <c r="C973" s="28" t="s">
        <v>35</v>
      </c>
      <c r="D973" s="28" t="s">
        <v>38</v>
      </c>
      <c r="E973" s="41">
        <v>46141</v>
      </c>
      <c r="F973" s="47">
        <v>0.70953703703703708</v>
      </c>
      <c r="G973" s="42">
        <v>6.3</v>
      </c>
      <c r="H973" s="40" t="s">
        <v>237</v>
      </c>
      <c r="I973" s="40" t="s">
        <v>1281</v>
      </c>
    </row>
    <row r="974" spans="1:9" x14ac:dyDescent="0.25">
      <c r="A974" s="40" t="s">
        <v>162</v>
      </c>
      <c r="B974" s="28">
        <v>1224</v>
      </c>
      <c r="C974" s="28" t="s">
        <v>35</v>
      </c>
      <c r="D974" s="28" t="s">
        <v>38</v>
      </c>
      <c r="E974" s="45">
        <v>46141</v>
      </c>
      <c r="F974" s="48">
        <v>0.72038194444444448</v>
      </c>
      <c r="G974" s="44">
        <v>6.3</v>
      </c>
      <c r="H974" s="43" t="s">
        <v>234</v>
      </c>
      <c r="I974" s="40" t="s">
        <v>1281</v>
      </c>
    </row>
    <row r="975" spans="1:9" x14ac:dyDescent="0.25">
      <c r="A975" s="40" t="s">
        <v>162</v>
      </c>
      <c r="B975" s="28">
        <v>1224</v>
      </c>
      <c r="C975" s="28" t="s">
        <v>35</v>
      </c>
      <c r="D975" s="28" t="s">
        <v>38</v>
      </c>
      <c r="E975" s="41">
        <v>46141</v>
      </c>
      <c r="F975" s="47">
        <v>0.97018518518518515</v>
      </c>
      <c r="G975" s="44">
        <v>6.3</v>
      </c>
      <c r="H975" s="43" t="s">
        <v>237</v>
      </c>
      <c r="I975" s="40" t="s">
        <v>1281</v>
      </c>
    </row>
    <row r="976" spans="1:9" x14ac:dyDescent="0.25">
      <c r="A976" s="40" t="s">
        <v>162</v>
      </c>
      <c r="B976" s="28">
        <v>1224</v>
      </c>
      <c r="C976" s="28" t="s">
        <v>35</v>
      </c>
      <c r="D976" s="28" t="s">
        <v>38</v>
      </c>
      <c r="E976" s="41">
        <v>46144</v>
      </c>
      <c r="F976" s="47">
        <v>0.57333333333333336</v>
      </c>
      <c r="G976" s="44">
        <v>6.3</v>
      </c>
      <c r="H976" s="43" t="s">
        <v>234</v>
      </c>
      <c r="I976" s="40" t="s">
        <v>1282</v>
      </c>
    </row>
    <row r="977" spans="1:9" x14ac:dyDescent="0.25">
      <c r="A977" s="40" t="s">
        <v>162</v>
      </c>
      <c r="B977" s="28">
        <v>1224</v>
      </c>
      <c r="C977" s="28" t="s">
        <v>35</v>
      </c>
      <c r="D977" s="28" t="s">
        <v>38</v>
      </c>
      <c r="E977" s="41">
        <v>46144</v>
      </c>
      <c r="F977" s="47">
        <v>0.69104166666666667</v>
      </c>
      <c r="G977" s="44">
        <v>6.3</v>
      </c>
      <c r="H977" s="43" t="s">
        <v>235</v>
      </c>
      <c r="I977" s="40" t="s">
        <v>1282</v>
      </c>
    </row>
    <row r="978" spans="1:9" x14ac:dyDescent="0.25">
      <c r="A978" s="40" t="s">
        <v>297</v>
      </c>
      <c r="B978" s="28">
        <v>1226</v>
      </c>
      <c r="C978" s="28" t="s">
        <v>526</v>
      </c>
      <c r="D978" s="28"/>
      <c r="E978" s="45">
        <v>46142</v>
      </c>
      <c r="F978" s="48">
        <v>4.746527777777778E-2</v>
      </c>
      <c r="G978" s="44">
        <v>6.3</v>
      </c>
      <c r="H978" s="43" t="s">
        <v>235</v>
      </c>
      <c r="I978" s="40" t="s">
        <v>1281</v>
      </c>
    </row>
    <row r="979" spans="1:9" x14ac:dyDescent="0.25">
      <c r="A979" s="40" t="s">
        <v>297</v>
      </c>
      <c r="B979" s="28">
        <v>1226</v>
      </c>
      <c r="C979" s="28" t="s">
        <v>526</v>
      </c>
      <c r="D979" s="28"/>
      <c r="E979" s="41">
        <v>46142</v>
      </c>
      <c r="F979" s="47">
        <v>6.2002314814814816E-2</v>
      </c>
      <c r="G979" s="44">
        <v>6.3</v>
      </c>
      <c r="H979" s="43" t="s">
        <v>236</v>
      </c>
      <c r="I979" s="40" t="s">
        <v>1281</v>
      </c>
    </row>
    <row r="980" spans="1:9" x14ac:dyDescent="0.25">
      <c r="A980" s="40" t="s">
        <v>297</v>
      </c>
      <c r="B980" s="28">
        <v>1226</v>
      </c>
      <c r="C980" s="28" t="s">
        <v>35</v>
      </c>
      <c r="D980" s="28" t="s">
        <v>38</v>
      </c>
      <c r="E980" s="41">
        <v>46142</v>
      </c>
      <c r="F980" s="47">
        <v>9.4270833333333331E-2</v>
      </c>
      <c r="G980" s="44">
        <v>6.3</v>
      </c>
      <c r="H980" s="43" t="s">
        <v>233</v>
      </c>
      <c r="I980" s="40" t="s">
        <v>1281</v>
      </c>
    </row>
    <row r="981" spans="1:9" x14ac:dyDescent="0.25">
      <c r="A981" s="40" t="s">
        <v>297</v>
      </c>
      <c r="B981" s="28">
        <v>1226</v>
      </c>
      <c r="C981" s="28">
        <v>5645086</v>
      </c>
      <c r="D981" s="28"/>
      <c r="E981" s="41">
        <v>46142</v>
      </c>
      <c r="F981" s="47">
        <v>0.9016319444444445</v>
      </c>
      <c r="G981" s="44">
        <v>6.3</v>
      </c>
      <c r="H981" s="43" t="s">
        <v>235</v>
      </c>
      <c r="I981" s="40" t="s">
        <v>1281</v>
      </c>
    </row>
    <row r="982" spans="1:9" x14ac:dyDescent="0.25">
      <c r="A982" s="40" t="s">
        <v>297</v>
      </c>
      <c r="B982" s="28">
        <v>1226</v>
      </c>
      <c r="C982" s="28">
        <v>5645086</v>
      </c>
      <c r="D982" s="28"/>
      <c r="E982" s="41">
        <v>46142</v>
      </c>
      <c r="F982" s="47">
        <v>0.90971064814814817</v>
      </c>
      <c r="G982" s="44">
        <v>6.3</v>
      </c>
      <c r="H982" s="43" t="s">
        <v>236</v>
      </c>
      <c r="I982" s="40" t="s">
        <v>1281</v>
      </c>
    </row>
    <row r="983" spans="1:9" x14ac:dyDescent="0.25">
      <c r="A983" s="40" t="s">
        <v>297</v>
      </c>
      <c r="B983" s="28">
        <v>1226</v>
      </c>
      <c r="C983" s="28" t="s">
        <v>35</v>
      </c>
      <c r="D983" s="28" t="s">
        <v>38</v>
      </c>
      <c r="E983" s="41">
        <v>46145</v>
      </c>
      <c r="F983" s="47">
        <v>0.80901620370370375</v>
      </c>
      <c r="G983" s="44">
        <v>6.3</v>
      </c>
      <c r="H983" s="43" t="s">
        <v>234</v>
      </c>
      <c r="I983" s="40" t="s">
        <v>1282</v>
      </c>
    </row>
    <row r="984" spans="1:9" x14ac:dyDescent="0.25">
      <c r="A984" s="40" t="s">
        <v>73</v>
      </c>
      <c r="B984" s="28">
        <v>1401</v>
      </c>
      <c r="C984" s="28" t="s">
        <v>35</v>
      </c>
      <c r="D984" s="28" t="s">
        <v>38</v>
      </c>
      <c r="E984" s="41">
        <v>46143</v>
      </c>
      <c r="F984" s="47">
        <v>0.49939814814814815</v>
      </c>
      <c r="G984" s="44">
        <v>6.3</v>
      </c>
      <c r="H984" s="43" t="s">
        <v>235</v>
      </c>
      <c r="I984" s="40" t="s">
        <v>1282</v>
      </c>
    </row>
    <row r="985" spans="1:9" x14ac:dyDescent="0.25">
      <c r="A985" s="40" t="s">
        <v>73</v>
      </c>
      <c r="B985" s="28">
        <v>1401</v>
      </c>
      <c r="C985" s="28" t="s">
        <v>35</v>
      </c>
      <c r="D985" s="28" t="s">
        <v>38</v>
      </c>
      <c r="E985" s="41">
        <v>46143</v>
      </c>
      <c r="F985" s="47">
        <v>0.51648148148148143</v>
      </c>
      <c r="G985" s="44">
        <v>6.3</v>
      </c>
      <c r="H985" s="43" t="s">
        <v>240</v>
      </c>
      <c r="I985" s="40" t="s">
        <v>1282</v>
      </c>
    </row>
    <row r="986" spans="1:9" x14ac:dyDescent="0.25">
      <c r="A986" s="40" t="s">
        <v>73</v>
      </c>
      <c r="B986" s="28">
        <v>1401</v>
      </c>
      <c r="C986" s="28" t="s">
        <v>35</v>
      </c>
      <c r="D986" s="28" t="s">
        <v>38</v>
      </c>
      <c r="E986" s="41">
        <v>46143</v>
      </c>
      <c r="F986" s="47">
        <v>0.5854166666666667</v>
      </c>
      <c r="G986" s="44">
        <v>6.3</v>
      </c>
      <c r="H986" s="43" t="s">
        <v>241</v>
      </c>
      <c r="I986" s="40" t="s">
        <v>1282</v>
      </c>
    </row>
    <row r="987" spans="1:9" x14ac:dyDescent="0.25">
      <c r="A987" s="40" t="s">
        <v>73</v>
      </c>
      <c r="B987" s="28">
        <v>1401</v>
      </c>
      <c r="C987" s="28" t="s">
        <v>35</v>
      </c>
      <c r="D987" s="28" t="s">
        <v>38</v>
      </c>
      <c r="E987" s="45">
        <v>46144</v>
      </c>
      <c r="F987" s="48">
        <v>0.92053240740740738</v>
      </c>
      <c r="G987" s="44">
        <v>6.3</v>
      </c>
      <c r="H987" s="43" t="s">
        <v>237</v>
      </c>
      <c r="I987" s="40" t="s">
        <v>1282</v>
      </c>
    </row>
    <row r="988" spans="1:9" x14ac:dyDescent="0.25">
      <c r="A988" s="40" t="s">
        <v>73</v>
      </c>
      <c r="B988" s="28">
        <v>1401</v>
      </c>
      <c r="C988" s="28" t="s">
        <v>35</v>
      </c>
      <c r="D988" s="28" t="s">
        <v>38</v>
      </c>
      <c r="E988" s="41">
        <v>46144</v>
      </c>
      <c r="F988" s="47">
        <v>0.9255902777777778</v>
      </c>
      <c r="G988" s="44">
        <v>6.3</v>
      </c>
      <c r="H988" s="43" t="s">
        <v>234</v>
      </c>
      <c r="I988" s="40" t="s">
        <v>1282</v>
      </c>
    </row>
    <row r="989" spans="1:9" x14ac:dyDescent="0.25">
      <c r="A989" s="40" t="s">
        <v>73</v>
      </c>
      <c r="B989" s="28">
        <v>1401</v>
      </c>
      <c r="C989" s="28" t="s">
        <v>35</v>
      </c>
      <c r="D989" s="28" t="s">
        <v>38</v>
      </c>
      <c r="E989" s="41">
        <v>46145</v>
      </c>
      <c r="F989" s="47">
        <v>0.39119212962962963</v>
      </c>
      <c r="G989" s="44">
        <v>6.3</v>
      </c>
      <c r="H989" s="43" t="s">
        <v>240</v>
      </c>
      <c r="I989" s="40" t="s">
        <v>1282</v>
      </c>
    </row>
    <row r="990" spans="1:9" x14ac:dyDescent="0.25">
      <c r="A990" s="40" t="s">
        <v>73</v>
      </c>
      <c r="B990" s="28">
        <v>1401</v>
      </c>
      <c r="C990" s="28" t="s">
        <v>35</v>
      </c>
      <c r="D990" s="28" t="s">
        <v>38</v>
      </c>
      <c r="E990" s="41">
        <v>46145</v>
      </c>
      <c r="F990" s="47">
        <v>0.44299768518518517</v>
      </c>
      <c r="G990" s="44">
        <v>6.3</v>
      </c>
      <c r="H990" s="43" t="s">
        <v>241</v>
      </c>
      <c r="I990" s="40" t="s">
        <v>1282</v>
      </c>
    </row>
    <row r="991" spans="1:9" x14ac:dyDescent="0.25">
      <c r="A991" s="40" t="s">
        <v>73</v>
      </c>
      <c r="B991" s="28">
        <v>1401</v>
      </c>
      <c r="C991" s="28" t="s">
        <v>35</v>
      </c>
      <c r="D991" s="28" t="s">
        <v>38</v>
      </c>
      <c r="E991" s="41">
        <v>46145</v>
      </c>
      <c r="F991" s="47">
        <v>0.44592592592592595</v>
      </c>
      <c r="G991" s="44">
        <v>6.3</v>
      </c>
      <c r="H991" s="43" t="s">
        <v>234</v>
      </c>
      <c r="I991" s="40" t="s">
        <v>1282</v>
      </c>
    </row>
    <row r="992" spans="1:9" x14ac:dyDescent="0.25">
      <c r="A992" s="40" t="s">
        <v>213</v>
      </c>
      <c r="B992" s="28">
        <v>1410</v>
      </c>
      <c r="C992" s="28">
        <v>5639228</v>
      </c>
      <c r="D992" s="28"/>
      <c r="E992" s="41">
        <v>46139</v>
      </c>
      <c r="F992" s="47">
        <v>0.81630787037037034</v>
      </c>
      <c r="G992" s="42">
        <v>6.3</v>
      </c>
      <c r="H992" s="40" t="s">
        <v>235</v>
      </c>
      <c r="I992" s="40" t="s">
        <v>1281</v>
      </c>
    </row>
    <row r="993" spans="1:9" x14ac:dyDescent="0.25">
      <c r="A993" s="40" t="s">
        <v>213</v>
      </c>
      <c r="B993" s="28">
        <v>1410</v>
      </c>
      <c r="C993" s="28">
        <v>5639228</v>
      </c>
      <c r="D993" s="28"/>
      <c r="E993" s="41">
        <v>46139</v>
      </c>
      <c r="F993" s="47">
        <v>0.82518518518518513</v>
      </c>
      <c r="G993" s="42">
        <v>6.3</v>
      </c>
      <c r="H993" s="40" t="s">
        <v>236</v>
      </c>
      <c r="I993" s="40" t="s">
        <v>1281</v>
      </c>
    </row>
    <row r="994" spans="1:9" x14ac:dyDescent="0.25">
      <c r="A994" s="40" t="s">
        <v>213</v>
      </c>
      <c r="B994" s="28">
        <v>1410</v>
      </c>
      <c r="C994" s="28">
        <v>5644434</v>
      </c>
      <c r="D994" s="28"/>
      <c r="E994" s="45">
        <v>46142</v>
      </c>
      <c r="F994" s="48">
        <v>0.83201388888888894</v>
      </c>
      <c r="G994" s="42">
        <v>6.3</v>
      </c>
      <c r="H994" s="40" t="s">
        <v>235</v>
      </c>
      <c r="I994" s="40" t="s">
        <v>1281</v>
      </c>
    </row>
    <row r="995" spans="1:9" x14ac:dyDescent="0.25">
      <c r="A995" s="40" t="s">
        <v>213</v>
      </c>
      <c r="B995" s="28">
        <v>1410</v>
      </c>
      <c r="C995" s="28">
        <v>5644434</v>
      </c>
      <c r="D995" s="28"/>
      <c r="E995" s="41">
        <v>46142</v>
      </c>
      <c r="F995" s="47">
        <v>0.85381944444444446</v>
      </c>
      <c r="G995" s="42">
        <v>6.3</v>
      </c>
      <c r="H995" s="40" t="s">
        <v>240</v>
      </c>
      <c r="I995" s="40" t="s">
        <v>1281</v>
      </c>
    </row>
    <row r="996" spans="1:9" x14ac:dyDescent="0.25">
      <c r="A996" s="40" t="s">
        <v>213</v>
      </c>
      <c r="B996" s="28">
        <v>1410</v>
      </c>
      <c r="C996" s="28" t="s">
        <v>35</v>
      </c>
      <c r="D996" s="28" t="s">
        <v>38</v>
      </c>
      <c r="E996" s="41">
        <v>46142</v>
      </c>
      <c r="F996" s="47">
        <v>0.90778935185185183</v>
      </c>
      <c r="G996" s="44">
        <v>6.3</v>
      </c>
      <c r="H996" s="43" t="s">
        <v>241</v>
      </c>
      <c r="I996" s="40" t="s">
        <v>1281</v>
      </c>
    </row>
    <row r="997" spans="1:9" x14ac:dyDescent="0.25">
      <c r="A997" s="40" t="s">
        <v>213</v>
      </c>
      <c r="B997" s="28">
        <v>1410</v>
      </c>
      <c r="C997" s="28" t="s">
        <v>35</v>
      </c>
      <c r="D997" s="28" t="s">
        <v>38</v>
      </c>
      <c r="E997" s="41">
        <v>46142</v>
      </c>
      <c r="F997" s="47">
        <v>0.9229398148148148</v>
      </c>
      <c r="G997" s="44">
        <v>6.3</v>
      </c>
      <c r="H997" s="43" t="s">
        <v>234</v>
      </c>
      <c r="I997" s="40" t="s">
        <v>1281</v>
      </c>
    </row>
    <row r="998" spans="1:9" x14ac:dyDescent="0.25">
      <c r="A998" s="40" t="s">
        <v>213</v>
      </c>
      <c r="B998" s="28">
        <v>1410</v>
      </c>
      <c r="C998" s="28">
        <v>5647062</v>
      </c>
      <c r="D998" s="28"/>
      <c r="E998" s="41">
        <v>46143</v>
      </c>
      <c r="F998" s="47">
        <v>0.95324074074074072</v>
      </c>
      <c r="G998" s="44">
        <v>6.3</v>
      </c>
      <c r="H998" s="43" t="s">
        <v>235</v>
      </c>
      <c r="I998" s="40" t="s">
        <v>1282</v>
      </c>
    </row>
    <row r="999" spans="1:9" x14ac:dyDescent="0.25">
      <c r="A999" s="40" t="s">
        <v>213</v>
      </c>
      <c r="B999" s="28">
        <v>1410</v>
      </c>
      <c r="C999" s="28">
        <v>5647062</v>
      </c>
      <c r="D999" s="28"/>
      <c r="E999" s="41">
        <v>46143</v>
      </c>
      <c r="F999" s="47">
        <v>0.96075231481481482</v>
      </c>
      <c r="G999" s="44">
        <v>6.3</v>
      </c>
      <c r="H999" s="43" t="s">
        <v>239</v>
      </c>
      <c r="I999" s="40" t="s">
        <v>1282</v>
      </c>
    </row>
    <row r="1000" spans="1:9" x14ac:dyDescent="0.25">
      <c r="A1000" s="40" t="s">
        <v>213</v>
      </c>
      <c r="B1000" s="28">
        <v>1410</v>
      </c>
      <c r="C1000" s="28" t="s">
        <v>35</v>
      </c>
      <c r="D1000" s="28" t="s">
        <v>38</v>
      </c>
      <c r="E1000" s="41">
        <v>46143</v>
      </c>
      <c r="F1000" s="47">
        <v>0.97597222222222224</v>
      </c>
      <c r="G1000" s="44">
        <v>6.3</v>
      </c>
      <c r="H1000" s="43" t="s">
        <v>238</v>
      </c>
      <c r="I1000" s="40" t="s">
        <v>1282</v>
      </c>
    </row>
    <row r="1001" spans="1:9" x14ac:dyDescent="0.25">
      <c r="A1001" s="40" t="s">
        <v>213</v>
      </c>
      <c r="B1001" s="28">
        <v>1410</v>
      </c>
      <c r="C1001" s="28">
        <v>5648615</v>
      </c>
      <c r="D1001" s="28"/>
      <c r="E1001" s="41">
        <v>46145</v>
      </c>
      <c r="F1001" s="47">
        <v>0.56614583333333335</v>
      </c>
      <c r="G1001" s="44">
        <v>6.3</v>
      </c>
      <c r="H1001" s="43" t="s">
        <v>235</v>
      </c>
      <c r="I1001" s="40" t="s">
        <v>1282</v>
      </c>
    </row>
    <row r="1002" spans="1:9" x14ac:dyDescent="0.25">
      <c r="A1002" s="40" t="s">
        <v>213</v>
      </c>
      <c r="B1002" s="28">
        <v>1410</v>
      </c>
      <c r="C1002" s="28">
        <v>5648615</v>
      </c>
      <c r="D1002" s="28"/>
      <c r="E1002" s="41">
        <v>46145</v>
      </c>
      <c r="F1002" s="47">
        <v>0.5753935185185185</v>
      </c>
      <c r="G1002" s="42">
        <v>6.3</v>
      </c>
      <c r="H1002" s="40" t="s">
        <v>236</v>
      </c>
      <c r="I1002" s="40" t="s">
        <v>1282</v>
      </c>
    </row>
    <row r="1003" spans="1:9" x14ac:dyDescent="0.25">
      <c r="A1003" s="40" t="s">
        <v>74</v>
      </c>
      <c r="B1003" s="28">
        <v>1411</v>
      </c>
      <c r="C1003" s="28" t="s">
        <v>527</v>
      </c>
      <c r="D1003" s="28"/>
      <c r="E1003" s="45">
        <v>46139</v>
      </c>
      <c r="F1003" s="48">
        <v>5.4629629629629629E-3</v>
      </c>
      <c r="G1003" s="42">
        <v>6.3</v>
      </c>
      <c r="H1003" s="40" t="s">
        <v>239</v>
      </c>
      <c r="I1003" s="40" t="s">
        <v>1281</v>
      </c>
    </row>
    <row r="1004" spans="1:9" x14ac:dyDescent="0.25">
      <c r="A1004" s="40" t="s">
        <v>74</v>
      </c>
      <c r="B1004" s="28">
        <v>1411</v>
      </c>
      <c r="C1004" s="28" t="s">
        <v>528</v>
      </c>
      <c r="D1004" s="28"/>
      <c r="E1004" s="41">
        <v>46139</v>
      </c>
      <c r="F1004" s="47">
        <v>8.7175925925925921E-2</v>
      </c>
      <c r="G1004" s="42">
        <v>6.3</v>
      </c>
      <c r="H1004" s="40" t="s">
        <v>235</v>
      </c>
      <c r="I1004" s="40" t="s">
        <v>1281</v>
      </c>
    </row>
    <row r="1005" spans="1:9" x14ac:dyDescent="0.25">
      <c r="A1005" s="40" t="s">
        <v>74</v>
      </c>
      <c r="B1005" s="28">
        <v>1411</v>
      </c>
      <c r="C1005" s="28" t="s">
        <v>528</v>
      </c>
      <c r="D1005" s="28"/>
      <c r="E1005" s="41">
        <v>46139</v>
      </c>
      <c r="F1005" s="47">
        <v>9.3703703703703706E-2</v>
      </c>
      <c r="G1005" s="42">
        <v>6.3</v>
      </c>
      <c r="H1005" s="40" t="s">
        <v>236</v>
      </c>
      <c r="I1005" s="40" t="s">
        <v>1281</v>
      </c>
    </row>
    <row r="1006" spans="1:9" x14ac:dyDescent="0.25">
      <c r="A1006" s="40" t="s">
        <v>74</v>
      </c>
      <c r="B1006" s="28">
        <v>1411</v>
      </c>
      <c r="C1006" s="28">
        <v>5639551</v>
      </c>
      <c r="D1006" s="28"/>
      <c r="E1006" s="41">
        <v>46139</v>
      </c>
      <c r="F1006" s="47">
        <v>0.92262731481481486</v>
      </c>
      <c r="G1006" s="42">
        <v>6.3</v>
      </c>
      <c r="H1006" s="40" t="s">
        <v>235</v>
      </c>
      <c r="I1006" s="40" t="s">
        <v>1281</v>
      </c>
    </row>
    <row r="1007" spans="1:9" x14ac:dyDescent="0.25">
      <c r="A1007" s="40" t="s">
        <v>74</v>
      </c>
      <c r="B1007" s="28">
        <v>1411</v>
      </c>
      <c r="C1007" s="28">
        <v>5639551</v>
      </c>
      <c r="D1007" s="28"/>
      <c r="E1007" s="41">
        <v>46139</v>
      </c>
      <c r="F1007" s="47">
        <v>0.92974537037037042</v>
      </c>
      <c r="G1007" s="44">
        <v>6.3</v>
      </c>
      <c r="H1007" s="43" t="s">
        <v>236</v>
      </c>
      <c r="I1007" s="40" t="s">
        <v>1281</v>
      </c>
    </row>
    <row r="1008" spans="1:9" x14ac:dyDescent="0.25">
      <c r="A1008" s="40" t="s">
        <v>74</v>
      </c>
      <c r="B1008" s="28">
        <v>1411</v>
      </c>
      <c r="C1008" s="28" t="s">
        <v>529</v>
      </c>
      <c r="D1008" s="28"/>
      <c r="E1008" s="41">
        <v>46140</v>
      </c>
      <c r="F1008" s="47">
        <v>0.82687500000000003</v>
      </c>
      <c r="G1008" s="44">
        <v>6.3</v>
      </c>
      <c r="H1008" s="43" t="s">
        <v>235</v>
      </c>
      <c r="I1008" s="40" t="s">
        <v>1281</v>
      </c>
    </row>
    <row r="1009" spans="1:9" x14ac:dyDescent="0.25">
      <c r="A1009" s="40" t="s">
        <v>74</v>
      </c>
      <c r="B1009" s="28">
        <v>1411</v>
      </c>
      <c r="C1009" s="28" t="s">
        <v>529</v>
      </c>
      <c r="D1009" s="28"/>
      <c r="E1009" s="45">
        <v>46140</v>
      </c>
      <c r="F1009" s="48">
        <v>0.84032407407407406</v>
      </c>
      <c r="G1009" s="44">
        <v>6.3</v>
      </c>
      <c r="H1009" s="43" t="s">
        <v>236</v>
      </c>
      <c r="I1009" s="40" t="s">
        <v>1281</v>
      </c>
    </row>
    <row r="1010" spans="1:9" x14ac:dyDescent="0.25">
      <c r="A1010" s="40" t="s">
        <v>75</v>
      </c>
      <c r="B1010" s="28">
        <v>1416</v>
      </c>
      <c r="C1010" s="28">
        <v>5637189</v>
      </c>
      <c r="D1010" s="28"/>
      <c r="E1010" s="41">
        <v>46139</v>
      </c>
      <c r="F1010" s="47">
        <v>0.36472222222222223</v>
      </c>
      <c r="G1010" s="44">
        <v>6.3</v>
      </c>
      <c r="H1010" s="43" t="s">
        <v>235</v>
      </c>
      <c r="I1010" s="40" t="s">
        <v>1281</v>
      </c>
    </row>
    <row r="1011" spans="1:9" x14ac:dyDescent="0.25">
      <c r="A1011" s="40" t="s">
        <v>75</v>
      </c>
      <c r="B1011" s="28">
        <v>1416</v>
      </c>
      <c r="C1011" s="28">
        <v>5637189</v>
      </c>
      <c r="D1011" s="28"/>
      <c r="E1011" s="41">
        <v>46139</v>
      </c>
      <c r="F1011" s="47">
        <v>0.39363425925925927</v>
      </c>
      <c r="G1011" s="44">
        <v>6.3</v>
      </c>
      <c r="H1011" s="43" t="s">
        <v>236</v>
      </c>
      <c r="I1011" s="40" t="s">
        <v>1281</v>
      </c>
    </row>
    <row r="1012" spans="1:9" x14ac:dyDescent="0.25">
      <c r="A1012" s="40" t="s">
        <v>75</v>
      </c>
      <c r="B1012" s="28">
        <v>1416</v>
      </c>
      <c r="C1012" s="28">
        <v>5637241</v>
      </c>
      <c r="D1012" s="28"/>
      <c r="E1012" s="41">
        <v>46139</v>
      </c>
      <c r="F1012" s="47">
        <v>0.46293981481481483</v>
      </c>
      <c r="G1012" s="44">
        <v>6.3</v>
      </c>
      <c r="H1012" s="43" t="s">
        <v>237</v>
      </c>
      <c r="I1012" s="40" t="s">
        <v>1281</v>
      </c>
    </row>
    <row r="1013" spans="1:9" x14ac:dyDescent="0.25">
      <c r="A1013" s="40" t="s">
        <v>75</v>
      </c>
      <c r="B1013" s="28">
        <v>1416</v>
      </c>
      <c r="C1013" s="28">
        <v>5637241</v>
      </c>
      <c r="D1013" s="28"/>
      <c r="E1013" s="41">
        <v>46139</v>
      </c>
      <c r="F1013" s="47">
        <v>0.47118055555555555</v>
      </c>
      <c r="G1013" s="44">
        <v>6.3</v>
      </c>
      <c r="H1013" s="43" t="s">
        <v>234</v>
      </c>
      <c r="I1013" s="40" t="s">
        <v>1281</v>
      </c>
    </row>
    <row r="1014" spans="1:9" x14ac:dyDescent="0.25">
      <c r="A1014" s="40" t="s">
        <v>75</v>
      </c>
      <c r="B1014" s="28">
        <v>1416</v>
      </c>
      <c r="C1014" s="28" t="s">
        <v>530</v>
      </c>
      <c r="D1014" s="28"/>
      <c r="E1014" s="41">
        <v>46143</v>
      </c>
      <c r="F1014" s="47">
        <v>0.82164351851851847</v>
      </c>
      <c r="G1014" s="44">
        <v>6.3</v>
      </c>
      <c r="H1014" s="43" t="s">
        <v>235</v>
      </c>
      <c r="I1014" s="40" t="s">
        <v>1282</v>
      </c>
    </row>
    <row r="1015" spans="1:9" x14ac:dyDescent="0.25">
      <c r="A1015" s="40" t="s">
        <v>75</v>
      </c>
      <c r="B1015" s="28">
        <v>1416</v>
      </c>
      <c r="C1015" s="28" t="s">
        <v>530</v>
      </c>
      <c r="D1015" s="28"/>
      <c r="E1015" s="41">
        <v>46143</v>
      </c>
      <c r="F1015" s="47">
        <v>0.82932870370370371</v>
      </c>
      <c r="G1015" s="44">
        <v>6.3</v>
      </c>
      <c r="H1015" s="43" t="s">
        <v>236</v>
      </c>
      <c r="I1015" s="40" t="s">
        <v>1282</v>
      </c>
    </row>
    <row r="1016" spans="1:9" x14ac:dyDescent="0.25">
      <c r="A1016" s="40" t="s">
        <v>75</v>
      </c>
      <c r="B1016" s="28">
        <v>1416</v>
      </c>
      <c r="C1016" s="28">
        <v>5648847</v>
      </c>
      <c r="D1016" s="28"/>
      <c r="E1016" s="41">
        <v>46145</v>
      </c>
      <c r="F1016" s="47">
        <v>0.70783564814814814</v>
      </c>
      <c r="G1016" s="44">
        <v>6.3</v>
      </c>
      <c r="H1016" s="43" t="s">
        <v>237</v>
      </c>
      <c r="I1016" s="40" t="s">
        <v>1282</v>
      </c>
    </row>
    <row r="1017" spans="1:9" x14ac:dyDescent="0.25">
      <c r="A1017" s="40" t="s">
        <v>75</v>
      </c>
      <c r="B1017" s="28">
        <v>1416</v>
      </c>
      <c r="C1017" s="28">
        <v>5648847</v>
      </c>
      <c r="D1017" s="28"/>
      <c r="E1017" s="41">
        <v>46145</v>
      </c>
      <c r="F1017" s="47">
        <v>0.7131481481481482</v>
      </c>
      <c r="G1017" s="44">
        <v>6.3</v>
      </c>
      <c r="H1017" s="43" t="s">
        <v>234</v>
      </c>
      <c r="I1017" s="40" t="s">
        <v>1282</v>
      </c>
    </row>
    <row r="1018" spans="1:9" x14ac:dyDescent="0.25">
      <c r="A1018" s="40" t="s">
        <v>75</v>
      </c>
      <c r="B1018" s="28">
        <v>1416</v>
      </c>
      <c r="C1018" s="28" t="s">
        <v>531</v>
      </c>
      <c r="D1018" s="28"/>
      <c r="E1018" s="41">
        <v>46145</v>
      </c>
      <c r="F1018" s="47">
        <v>0.93956018518518514</v>
      </c>
      <c r="G1018" s="44">
        <v>6.3</v>
      </c>
      <c r="H1018" s="43" t="s">
        <v>235</v>
      </c>
      <c r="I1018" s="40" t="s">
        <v>1282</v>
      </c>
    </row>
    <row r="1019" spans="1:9" x14ac:dyDescent="0.25">
      <c r="A1019" s="40" t="s">
        <v>75</v>
      </c>
      <c r="B1019" s="28">
        <v>1416</v>
      </c>
      <c r="C1019" s="28" t="s">
        <v>531</v>
      </c>
      <c r="D1019" s="28"/>
      <c r="E1019" s="41">
        <v>46145</v>
      </c>
      <c r="F1019" s="47">
        <v>0.94703703703703701</v>
      </c>
      <c r="G1019" s="44">
        <v>6.3</v>
      </c>
      <c r="H1019" s="43" t="s">
        <v>236</v>
      </c>
      <c r="I1019" s="40" t="s">
        <v>1282</v>
      </c>
    </row>
    <row r="1020" spans="1:9" x14ac:dyDescent="0.25">
      <c r="A1020" s="40" t="s">
        <v>75</v>
      </c>
      <c r="B1020" s="28">
        <v>1416</v>
      </c>
      <c r="C1020" s="28" t="s">
        <v>35</v>
      </c>
      <c r="D1020" s="28" t="s">
        <v>38</v>
      </c>
      <c r="E1020" s="41">
        <v>46145</v>
      </c>
      <c r="F1020" s="47">
        <v>0.95530092592592597</v>
      </c>
      <c r="G1020" s="44">
        <v>6.3</v>
      </c>
      <c r="H1020" s="43" t="s">
        <v>237</v>
      </c>
      <c r="I1020" s="40" t="s">
        <v>1282</v>
      </c>
    </row>
    <row r="1021" spans="1:9" x14ac:dyDescent="0.25">
      <c r="A1021" s="40" t="s">
        <v>75</v>
      </c>
      <c r="B1021" s="28">
        <v>1416</v>
      </c>
      <c r="C1021" s="28" t="s">
        <v>35</v>
      </c>
      <c r="D1021" s="28" t="s">
        <v>38</v>
      </c>
      <c r="E1021" s="45">
        <v>46145</v>
      </c>
      <c r="F1021" s="48">
        <v>0.96082175925925928</v>
      </c>
      <c r="G1021" s="44">
        <v>6.3</v>
      </c>
      <c r="H1021" s="43" t="s">
        <v>234</v>
      </c>
      <c r="I1021" s="40" t="s">
        <v>1282</v>
      </c>
    </row>
    <row r="1022" spans="1:9" x14ac:dyDescent="0.25">
      <c r="A1022" s="40" t="s">
        <v>75</v>
      </c>
      <c r="B1022" s="28">
        <v>1416</v>
      </c>
      <c r="C1022" s="28">
        <v>5649631</v>
      </c>
      <c r="D1022" s="28"/>
      <c r="E1022" s="41">
        <v>46145</v>
      </c>
      <c r="F1022" s="47">
        <v>0.98951388888888892</v>
      </c>
      <c r="G1022" s="44">
        <v>6.3</v>
      </c>
      <c r="H1022" s="43" t="s">
        <v>235</v>
      </c>
      <c r="I1022" s="40" t="s">
        <v>1282</v>
      </c>
    </row>
    <row r="1023" spans="1:9" x14ac:dyDescent="0.25">
      <c r="A1023" s="40" t="s">
        <v>75</v>
      </c>
      <c r="B1023" s="28">
        <v>1416</v>
      </c>
      <c r="C1023" s="28">
        <v>5649631</v>
      </c>
      <c r="D1023" s="28"/>
      <c r="E1023" s="41">
        <v>46145</v>
      </c>
      <c r="F1023" s="47">
        <v>0.99686342592592592</v>
      </c>
      <c r="G1023" s="44">
        <v>6.3</v>
      </c>
      <c r="H1023" s="43" t="s">
        <v>236</v>
      </c>
      <c r="I1023" s="40" t="s">
        <v>1282</v>
      </c>
    </row>
    <row r="1024" spans="1:9" x14ac:dyDescent="0.25">
      <c r="A1024" s="40" t="s">
        <v>348</v>
      </c>
      <c r="B1024" s="28">
        <v>1420</v>
      </c>
      <c r="C1024" s="28">
        <v>5642397</v>
      </c>
      <c r="D1024" s="28"/>
      <c r="E1024" s="41">
        <v>46141</v>
      </c>
      <c r="F1024" s="47">
        <v>0.76061342592592596</v>
      </c>
      <c r="G1024" s="44">
        <v>6.3</v>
      </c>
      <c r="H1024" s="43" t="s">
        <v>234</v>
      </c>
      <c r="I1024" s="40" t="s">
        <v>1281</v>
      </c>
    </row>
    <row r="1025" spans="1:9" x14ac:dyDescent="0.25">
      <c r="A1025" s="40" t="s">
        <v>348</v>
      </c>
      <c r="B1025" s="28">
        <v>1420</v>
      </c>
      <c r="C1025" s="28">
        <v>5644727</v>
      </c>
      <c r="D1025" s="28"/>
      <c r="E1025" s="41">
        <v>46142</v>
      </c>
      <c r="F1025" s="47">
        <v>0.81881944444444443</v>
      </c>
      <c r="G1025" s="44">
        <v>6.3</v>
      </c>
      <c r="H1025" s="43" t="s">
        <v>235</v>
      </c>
      <c r="I1025" s="40" t="s">
        <v>1281</v>
      </c>
    </row>
    <row r="1026" spans="1:9" x14ac:dyDescent="0.25">
      <c r="A1026" s="40" t="s">
        <v>348</v>
      </c>
      <c r="B1026" s="28">
        <v>1420</v>
      </c>
      <c r="C1026" s="28">
        <v>5644727</v>
      </c>
      <c r="D1026" s="28"/>
      <c r="E1026" s="45">
        <v>46142</v>
      </c>
      <c r="F1026" s="48">
        <v>0.82886574074074071</v>
      </c>
      <c r="G1026" s="44">
        <v>6.3</v>
      </c>
      <c r="H1026" s="43" t="s">
        <v>236</v>
      </c>
      <c r="I1026" s="40" t="s">
        <v>1281</v>
      </c>
    </row>
    <row r="1027" spans="1:9" x14ac:dyDescent="0.25">
      <c r="A1027" s="40" t="s">
        <v>348</v>
      </c>
      <c r="B1027" s="28">
        <v>1420</v>
      </c>
      <c r="C1027" s="28">
        <v>5645578</v>
      </c>
      <c r="D1027" s="28"/>
      <c r="E1027" s="41">
        <v>46142</v>
      </c>
      <c r="F1027" s="47">
        <v>0.8893981481481481</v>
      </c>
      <c r="G1027" s="44">
        <v>6.3</v>
      </c>
      <c r="H1027" s="43" t="s">
        <v>234</v>
      </c>
      <c r="I1027" s="40" t="s">
        <v>1281</v>
      </c>
    </row>
    <row r="1028" spans="1:9" x14ac:dyDescent="0.25">
      <c r="A1028" s="40" t="s">
        <v>348</v>
      </c>
      <c r="B1028" s="28">
        <v>1420</v>
      </c>
      <c r="C1028" s="28" t="s">
        <v>532</v>
      </c>
      <c r="D1028" s="28"/>
      <c r="E1028" s="41">
        <v>46142</v>
      </c>
      <c r="F1028" s="47">
        <v>0.93843750000000004</v>
      </c>
      <c r="G1028" s="44">
        <v>6.3</v>
      </c>
      <c r="H1028" s="43" t="s">
        <v>235</v>
      </c>
      <c r="I1028" s="40" t="s">
        <v>1281</v>
      </c>
    </row>
    <row r="1029" spans="1:9" x14ac:dyDescent="0.25">
      <c r="A1029" s="40" t="s">
        <v>348</v>
      </c>
      <c r="B1029" s="28">
        <v>1420</v>
      </c>
      <c r="C1029" s="28" t="s">
        <v>532</v>
      </c>
      <c r="D1029" s="28"/>
      <c r="E1029" s="41">
        <v>46142</v>
      </c>
      <c r="F1029" s="47">
        <v>0.94702546296296297</v>
      </c>
      <c r="G1029" s="44">
        <v>6.3</v>
      </c>
      <c r="H1029" s="43" t="s">
        <v>236</v>
      </c>
      <c r="I1029" s="40" t="s">
        <v>1281</v>
      </c>
    </row>
    <row r="1030" spans="1:9" x14ac:dyDescent="0.25">
      <c r="A1030" s="40" t="s">
        <v>348</v>
      </c>
      <c r="B1030" s="28">
        <v>1420</v>
      </c>
      <c r="C1030" s="28">
        <v>5646749</v>
      </c>
      <c r="D1030" s="28"/>
      <c r="E1030" s="41">
        <v>46143</v>
      </c>
      <c r="F1030" s="47">
        <v>0.7520486111111111</v>
      </c>
      <c r="G1030" s="44">
        <v>6.3</v>
      </c>
      <c r="H1030" s="43" t="s">
        <v>235</v>
      </c>
      <c r="I1030" s="40" t="s">
        <v>1282</v>
      </c>
    </row>
    <row r="1031" spans="1:9" x14ac:dyDescent="0.25">
      <c r="A1031" s="40" t="s">
        <v>348</v>
      </c>
      <c r="B1031" s="28">
        <v>1420</v>
      </c>
      <c r="C1031" s="28">
        <v>5646749</v>
      </c>
      <c r="D1031" s="28"/>
      <c r="E1031" s="41">
        <v>46143</v>
      </c>
      <c r="F1031" s="47">
        <v>0.75922453703703707</v>
      </c>
      <c r="G1031" s="44">
        <v>6.3</v>
      </c>
      <c r="H1031" s="43" t="s">
        <v>236</v>
      </c>
      <c r="I1031" s="40" t="s">
        <v>1282</v>
      </c>
    </row>
    <row r="1032" spans="1:9" x14ac:dyDescent="0.25">
      <c r="A1032" s="40" t="s">
        <v>348</v>
      </c>
      <c r="B1032" s="28">
        <v>1420</v>
      </c>
      <c r="C1032" s="28">
        <v>5646962</v>
      </c>
      <c r="D1032" s="28"/>
      <c r="E1032" s="45">
        <v>46143</v>
      </c>
      <c r="F1032" s="48">
        <v>0.93736111111111109</v>
      </c>
      <c r="G1032" s="44">
        <v>6.3</v>
      </c>
      <c r="H1032" s="43" t="s">
        <v>235</v>
      </c>
      <c r="I1032" s="40" t="s">
        <v>1282</v>
      </c>
    </row>
    <row r="1033" spans="1:9" x14ac:dyDescent="0.25">
      <c r="A1033" s="40" t="s">
        <v>348</v>
      </c>
      <c r="B1033" s="28">
        <v>1420</v>
      </c>
      <c r="C1033" s="28">
        <v>5646962</v>
      </c>
      <c r="D1033" s="28"/>
      <c r="E1033" s="41">
        <v>46143</v>
      </c>
      <c r="F1033" s="47">
        <v>0.94503472222222218</v>
      </c>
      <c r="G1033" s="44">
        <v>6.3</v>
      </c>
      <c r="H1033" s="43" t="s">
        <v>236</v>
      </c>
      <c r="I1033" s="40" t="s">
        <v>1282</v>
      </c>
    </row>
    <row r="1034" spans="1:9" x14ac:dyDescent="0.25">
      <c r="A1034" s="40" t="s">
        <v>348</v>
      </c>
      <c r="B1034" s="28">
        <v>1420</v>
      </c>
      <c r="C1034" s="28" t="s">
        <v>533</v>
      </c>
      <c r="D1034" s="28"/>
      <c r="E1034" s="41">
        <v>46144</v>
      </c>
      <c r="F1034" s="47">
        <v>0.94995370370370369</v>
      </c>
      <c r="G1034" s="42">
        <v>6.3</v>
      </c>
      <c r="H1034" s="40" t="s">
        <v>235</v>
      </c>
      <c r="I1034" s="40" t="s">
        <v>1282</v>
      </c>
    </row>
    <row r="1035" spans="1:9" x14ac:dyDescent="0.25">
      <c r="A1035" s="40" t="s">
        <v>348</v>
      </c>
      <c r="B1035" s="28">
        <v>1420</v>
      </c>
      <c r="C1035" s="28" t="s">
        <v>533</v>
      </c>
      <c r="D1035" s="28"/>
      <c r="E1035" s="41">
        <v>46144</v>
      </c>
      <c r="F1035" s="47">
        <v>0.95766203703703701</v>
      </c>
      <c r="G1035" s="42">
        <v>6.3</v>
      </c>
      <c r="H1035" s="40" t="s">
        <v>236</v>
      </c>
      <c r="I1035" s="40" t="s">
        <v>1282</v>
      </c>
    </row>
    <row r="1036" spans="1:9" x14ac:dyDescent="0.25">
      <c r="A1036" s="40" t="s">
        <v>348</v>
      </c>
      <c r="B1036" s="28">
        <v>1420</v>
      </c>
      <c r="C1036" s="28" t="s">
        <v>35</v>
      </c>
      <c r="D1036" s="28" t="s">
        <v>38</v>
      </c>
      <c r="E1036" s="41">
        <v>46145</v>
      </c>
      <c r="F1036" s="47">
        <v>0.35489583333333335</v>
      </c>
      <c r="G1036" s="44">
        <v>6.3</v>
      </c>
      <c r="H1036" s="43" t="s">
        <v>237</v>
      </c>
      <c r="I1036" s="40" t="s">
        <v>1282</v>
      </c>
    </row>
    <row r="1037" spans="1:9" x14ac:dyDescent="0.25">
      <c r="A1037" s="40" t="s">
        <v>348</v>
      </c>
      <c r="B1037" s="28">
        <v>1420</v>
      </c>
      <c r="C1037" s="28" t="s">
        <v>35</v>
      </c>
      <c r="D1037" s="28" t="s">
        <v>38</v>
      </c>
      <c r="E1037" s="45">
        <v>46145</v>
      </c>
      <c r="F1037" s="48">
        <v>0.36016203703703703</v>
      </c>
      <c r="G1037" s="44">
        <v>6.3</v>
      </c>
      <c r="H1037" s="43" t="s">
        <v>234</v>
      </c>
      <c r="I1037" s="40" t="s">
        <v>1282</v>
      </c>
    </row>
    <row r="1038" spans="1:9" x14ac:dyDescent="0.25">
      <c r="A1038" s="40" t="s">
        <v>389</v>
      </c>
      <c r="B1038" s="28">
        <v>1422</v>
      </c>
      <c r="C1038" s="28" t="s">
        <v>534</v>
      </c>
      <c r="D1038" s="28"/>
      <c r="E1038" s="41">
        <v>46140</v>
      </c>
      <c r="F1038" s="47">
        <v>0.71636574074074078</v>
      </c>
      <c r="G1038" s="44">
        <v>6.3</v>
      </c>
      <c r="H1038" s="43" t="s">
        <v>235</v>
      </c>
      <c r="I1038" s="40" t="s">
        <v>1281</v>
      </c>
    </row>
    <row r="1039" spans="1:9" x14ac:dyDescent="0.25">
      <c r="A1039" s="40" t="s">
        <v>389</v>
      </c>
      <c r="B1039" s="28">
        <v>1422</v>
      </c>
      <c r="C1039" s="28" t="s">
        <v>534</v>
      </c>
      <c r="D1039" s="28"/>
      <c r="E1039" s="41">
        <v>46140</v>
      </c>
      <c r="F1039" s="47">
        <v>0.72787037037037039</v>
      </c>
      <c r="G1039" s="44">
        <v>6.3</v>
      </c>
      <c r="H1039" s="43" t="s">
        <v>236</v>
      </c>
      <c r="I1039" s="40" t="s">
        <v>1281</v>
      </c>
    </row>
    <row r="1040" spans="1:9" x14ac:dyDescent="0.25">
      <c r="A1040" s="40" t="s">
        <v>389</v>
      </c>
      <c r="B1040" s="28">
        <v>1422</v>
      </c>
      <c r="C1040" s="28">
        <v>5643290</v>
      </c>
      <c r="D1040" s="28"/>
      <c r="E1040" s="41">
        <v>46142</v>
      </c>
      <c r="F1040" s="47">
        <v>0.12609953703703702</v>
      </c>
      <c r="G1040" s="44">
        <v>6.3</v>
      </c>
      <c r="H1040" s="43" t="s">
        <v>233</v>
      </c>
      <c r="I1040" s="40" t="s">
        <v>1281</v>
      </c>
    </row>
    <row r="1041" spans="1:9" x14ac:dyDescent="0.25">
      <c r="A1041" s="40" t="s">
        <v>389</v>
      </c>
      <c r="B1041" s="28">
        <v>1422</v>
      </c>
      <c r="C1041" s="28">
        <v>5643290</v>
      </c>
      <c r="D1041" s="28"/>
      <c r="E1041" s="41">
        <v>46142</v>
      </c>
      <c r="F1041" s="47">
        <v>0.13078703703703703</v>
      </c>
      <c r="G1041" s="44">
        <v>6.3</v>
      </c>
      <c r="H1041" s="43" t="s">
        <v>234</v>
      </c>
      <c r="I1041" s="40" t="s">
        <v>1281</v>
      </c>
    </row>
    <row r="1042" spans="1:9" x14ac:dyDescent="0.25">
      <c r="A1042" s="40" t="s">
        <v>389</v>
      </c>
      <c r="B1042" s="28">
        <v>1422</v>
      </c>
      <c r="C1042" s="28" t="s">
        <v>535</v>
      </c>
      <c r="D1042" s="28"/>
      <c r="E1042" s="41">
        <v>46142</v>
      </c>
      <c r="F1042" s="47">
        <v>0.41197916666666667</v>
      </c>
      <c r="G1042" s="44">
        <v>6.3</v>
      </c>
      <c r="H1042" s="43" t="s">
        <v>235</v>
      </c>
      <c r="I1042" s="40" t="s">
        <v>1281</v>
      </c>
    </row>
    <row r="1043" spans="1:9" x14ac:dyDescent="0.25">
      <c r="A1043" s="40" t="s">
        <v>389</v>
      </c>
      <c r="B1043" s="28">
        <v>1422</v>
      </c>
      <c r="C1043" s="28">
        <v>5645618</v>
      </c>
      <c r="D1043" s="28"/>
      <c r="E1043" s="41">
        <v>46143</v>
      </c>
      <c r="F1043" s="47">
        <v>0.16912037037037037</v>
      </c>
      <c r="G1043" s="44">
        <v>6.3</v>
      </c>
      <c r="H1043" s="43" t="s">
        <v>237</v>
      </c>
      <c r="I1043" s="40" t="s">
        <v>1282</v>
      </c>
    </row>
    <row r="1044" spans="1:9" x14ac:dyDescent="0.25">
      <c r="A1044" s="40" t="s">
        <v>389</v>
      </c>
      <c r="B1044" s="28">
        <v>1422</v>
      </c>
      <c r="C1044" s="28">
        <v>5645618</v>
      </c>
      <c r="D1044" s="28"/>
      <c r="E1044" s="41">
        <v>46143</v>
      </c>
      <c r="F1044" s="47">
        <v>0.17346064814814816</v>
      </c>
      <c r="G1044" s="44">
        <v>6.3</v>
      </c>
      <c r="H1044" s="43" t="s">
        <v>234</v>
      </c>
      <c r="I1044" s="40" t="s">
        <v>1282</v>
      </c>
    </row>
    <row r="1045" spans="1:9" x14ac:dyDescent="0.25">
      <c r="A1045" s="40" t="s">
        <v>389</v>
      </c>
      <c r="B1045" s="28">
        <v>1422</v>
      </c>
      <c r="C1045" s="28" t="s">
        <v>35</v>
      </c>
      <c r="D1045" s="28" t="s">
        <v>38</v>
      </c>
      <c r="E1045" s="41">
        <v>46143</v>
      </c>
      <c r="F1045" s="47">
        <v>0.19827546296296297</v>
      </c>
      <c r="G1045" s="44">
        <v>6.3</v>
      </c>
      <c r="H1045" s="43" t="s">
        <v>235</v>
      </c>
      <c r="I1045" s="40" t="s">
        <v>1282</v>
      </c>
    </row>
    <row r="1046" spans="1:9" x14ac:dyDescent="0.25">
      <c r="A1046" s="40" t="s">
        <v>389</v>
      </c>
      <c r="B1046" s="28">
        <v>1422</v>
      </c>
      <c r="C1046" s="28" t="s">
        <v>35</v>
      </c>
      <c r="D1046" s="28" t="s">
        <v>38</v>
      </c>
      <c r="E1046" s="45">
        <v>46143</v>
      </c>
      <c r="F1046" s="48">
        <v>0.20495370370370369</v>
      </c>
      <c r="G1046" s="44">
        <v>6.3</v>
      </c>
      <c r="H1046" s="43" t="s">
        <v>236</v>
      </c>
      <c r="I1046" s="40" t="s">
        <v>1282</v>
      </c>
    </row>
    <row r="1047" spans="1:9" x14ac:dyDescent="0.25">
      <c r="A1047" s="40" t="s">
        <v>389</v>
      </c>
      <c r="B1047" s="28">
        <v>1422</v>
      </c>
      <c r="C1047" s="28">
        <v>5645608</v>
      </c>
      <c r="D1047" s="28"/>
      <c r="E1047" s="41">
        <v>46143</v>
      </c>
      <c r="F1047" s="47">
        <v>0.21932870370370369</v>
      </c>
      <c r="G1047" s="44">
        <v>6.3</v>
      </c>
      <c r="H1047" s="43" t="s">
        <v>237</v>
      </c>
      <c r="I1047" s="40" t="s">
        <v>1282</v>
      </c>
    </row>
    <row r="1048" spans="1:9" x14ac:dyDescent="0.25">
      <c r="A1048" s="40" t="s">
        <v>389</v>
      </c>
      <c r="B1048" s="28">
        <v>1422</v>
      </c>
      <c r="C1048" s="28">
        <v>5645608</v>
      </c>
      <c r="D1048" s="28"/>
      <c r="E1048" s="41">
        <v>46143</v>
      </c>
      <c r="F1048" s="47">
        <v>0.22449074074074074</v>
      </c>
      <c r="G1048" s="44">
        <v>6.3</v>
      </c>
      <c r="H1048" s="43" t="s">
        <v>234</v>
      </c>
      <c r="I1048" s="40" t="s">
        <v>1282</v>
      </c>
    </row>
    <row r="1049" spans="1:9" x14ac:dyDescent="0.25">
      <c r="A1049" s="40" t="s">
        <v>389</v>
      </c>
      <c r="B1049" s="28">
        <v>1422</v>
      </c>
      <c r="C1049" s="28" t="s">
        <v>536</v>
      </c>
      <c r="D1049" s="28"/>
      <c r="E1049" s="41">
        <v>46144</v>
      </c>
      <c r="F1049" s="47">
        <v>0.4137615740740741</v>
      </c>
      <c r="G1049" s="44">
        <v>6.3</v>
      </c>
      <c r="H1049" s="43" t="s">
        <v>235</v>
      </c>
      <c r="I1049" s="40" t="s">
        <v>1282</v>
      </c>
    </row>
    <row r="1050" spans="1:9" x14ac:dyDescent="0.25">
      <c r="A1050" s="40" t="s">
        <v>389</v>
      </c>
      <c r="B1050" s="28">
        <v>1422</v>
      </c>
      <c r="C1050" s="28" t="s">
        <v>536</v>
      </c>
      <c r="D1050" s="28"/>
      <c r="E1050" s="41">
        <v>46144</v>
      </c>
      <c r="F1050" s="47">
        <v>0.42327546296296298</v>
      </c>
      <c r="G1050" s="44">
        <v>6.3</v>
      </c>
      <c r="H1050" s="43" t="s">
        <v>236</v>
      </c>
      <c r="I1050" s="40" t="s">
        <v>1282</v>
      </c>
    </row>
    <row r="1051" spans="1:9" x14ac:dyDescent="0.25">
      <c r="A1051" s="40" t="s">
        <v>389</v>
      </c>
      <c r="B1051" s="28">
        <v>1422</v>
      </c>
      <c r="C1051" s="28">
        <v>5647845</v>
      </c>
      <c r="D1051" s="28"/>
      <c r="E1051" s="41">
        <v>46145</v>
      </c>
      <c r="F1051" s="47">
        <v>0.13385416666666666</v>
      </c>
      <c r="G1051" s="44">
        <v>6.3</v>
      </c>
      <c r="H1051" s="43" t="s">
        <v>237</v>
      </c>
      <c r="I1051" s="40" t="s">
        <v>1282</v>
      </c>
    </row>
    <row r="1052" spans="1:9" x14ac:dyDescent="0.25">
      <c r="A1052" s="40" t="s">
        <v>389</v>
      </c>
      <c r="B1052" s="28">
        <v>1422</v>
      </c>
      <c r="C1052" s="28">
        <v>5647845</v>
      </c>
      <c r="D1052" s="28"/>
      <c r="E1052" s="45">
        <v>46145</v>
      </c>
      <c r="F1052" s="48">
        <v>0.13836805555555556</v>
      </c>
      <c r="G1052" s="44">
        <v>6.3</v>
      </c>
      <c r="H1052" s="43" t="s">
        <v>234</v>
      </c>
      <c r="I1052" s="40" t="s">
        <v>1282</v>
      </c>
    </row>
    <row r="1053" spans="1:9" x14ac:dyDescent="0.25">
      <c r="A1053" s="40" t="s">
        <v>389</v>
      </c>
      <c r="B1053" s="28">
        <v>1422</v>
      </c>
      <c r="C1053" s="28">
        <v>5647295</v>
      </c>
      <c r="D1053" s="28"/>
      <c r="E1053" s="41">
        <v>46145</v>
      </c>
      <c r="F1053" s="47">
        <v>0.33497685185185183</v>
      </c>
      <c r="G1053" s="44">
        <v>6.3</v>
      </c>
      <c r="H1053" s="43" t="s">
        <v>235</v>
      </c>
      <c r="I1053" s="40" t="s">
        <v>1282</v>
      </c>
    </row>
    <row r="1054" spans="1:9" x14ac:dyDescent="0.25">
      <c r="A1054" s="40" t="s">
        <v>389</v>
      </c>
      <c r="B1054" s="28">
        <v>1422</v>
      </c>
      <c r="C1054" s="28">
        <v>5647295</v>
      </c>
      <c r="D1054" s="28"/>
      <c r="E1054" s="41">
        <v>46145</v>
      </c>
      <c r="F1054" s="47">
        <v>0.34145833333333331</v>
      </c>
      <c r="G1054" s="44">
        <v>6.3</v>
      </c>
      <c r="H1054" s="43" t="s">
        <v>236</v>
      </c>
      <c r="I1054" s="40" t="s">
        <v>1282</v>
      </c>
    </row>
    <row r="1055" spans="1:9" x14ac:dyDescent="0.25">
      <c r="A1055" s="40" t="s">
        <v>389</v>
      </c>
      <c r="B1055" s="28">
        <v>1422</v>
      </c>
      <c r="C1055" s="28" t="s">
        <v>537</v>
      </c>
      <c r="D1055" s="28"/>
      <c r="E1055" s="41">
        <v>46145</v>
      </c>
      <c r="F1055" s="47">
        <v>0.59001157407407412</v>
      </c>
      <c r="G1055" s="44">
        <v>6.3</v>
      </c>
      <c r="H1055" s="43" t="s">
        <v>235</v>
      </c>
      <c r="I1055" s="40" t="s">
        <v>1282</v>
      </c>
    </row>
    <row r="1056" spans="1:9" x14ac:dyDescent="0.25">
      <c r="A1056" s="40" t="s">
        <v>389</v>
      </c>
      <c r="B1056" s="28">
        <v>1422</v>
      </c>
      <c r="C1056" s="28" t="s">
        <v>537</v>
      </c>
      <c r="D1056" s="28"/>
      <c r="E1056" s="41">
        <v>46145</v>
      </c>
      <c r="F1056" s="47">
        <v>0.59599537037037043</v>
      </c>
      <c r="G1056" s="44">
        <v>6.3</v>
      </c>
      <c r="H1056" s="43" t="s">
        <v>239</v>
      </c>
      <c r="I1056" s="40" t="s">
        <v>1282</v>
      </c>
    </row>
    <row r="1057" spans="1:9" x14ac:dyDescent="0.25">
      <c r="A1057" s="40" t="s">
        <v>389</v>
      </c>
      <c r="B1057" s="28">
        <v>1422</v>
      </c>
      <c r="C1057" s="28">
        <v>5648845</v>
      </c>
      <c r="D1057" s="28" t="s">
        <v>37</v>
      </c>
      <c r="E1057" s="41">
        <v>46145</v>
      </c>
      <c r="F1057" s="47">
        <v>0.84502314814814816</v>
      </c>
      <c r="G1057" s="44">
        <v>6.3</v>
      </c>
      <c r="H1057" s="43" t="s">
        <v>233</v>
      </c>
      <c r="I1057" s="40" t="s">
        <v>1282</v>
      </c>
    </row>
    <row r="1058" spans="1:9" x14ac:dyDescent="0.25">
      <c r="A1058" s="40" t="s">
        <v>389</v>
      </c>
      <c r="B1058" s="28">
        <v>1422</v>
      </c>
      <c r="C1058" s="28">
        <v>5648845</v>
      </c>
      <c r="D1058" s="28" t="s">
        <v>37</v>
      </c>
      <c r="E1058" s="41">
        <v>46145</v>
      </c>
      <c r="F1058" s="47">
        <v>0.85028935185185184</v>
      </c>
      <c r="G1058" s="44">
        <v>6.3</v>
      </c>
      <c r="H1058" s="43" t="s">
        <v>234</v>
      </c>
      <c r="I1058" s="40" t="s">
        <v>1282</v>
      </c>
    </row>
    <row r="1059" spans="1:9" x14ac:dyDescent="0.25">
      <c r="A1059" s="40" t="s">
        <v>389</v>
      </c>
      <c r="B1059" s="28">
        <v>1422</v>
      </c>
      <c r="C1059" s="28" t="s">
        <v>538</v>
      </c>
      <c r="D1059" s="28"/>
      <c r="E1059" s="41">
        <v>46145</v>
      </c>
      <c r="F1059" s="47">
        <v>0.9039814814814815</v>
      </c>
      <c r="G1059" s="44">
        <v>6.3</v>
      </c>
      <c r="H1059" s="43" t="s">
        <v>235</v>
      </c>
      <c r="I1059" s="40" t="s">
        <v>1282</v>
      </c>
    </row>
    <row r="1060" spans="1:9" x14ac:dyDescent="0.25">
      <c r="A1060" s="40" t="s">
        <v>389</v>
      </c>
      <c r="B1060" s="28">
        <v>1422</v>
      </c>
      <c r="C1060" s="28" t="s">
        <v>538</v>
      </c>
      <c r="D1060" s="28"/>
      <c r="E1060" s="41">
        <v>46145</v>
      </c>
      <c r="F1060" s="47">
        <v>0.91104166666666664</v>
      </c>
      <c r="G1060" s="44">
        <v>6.3</v>
      </c>
      <c r="H1060" s="43" t="s">
        <v>236</v>
      </c>
      <c r="I1060" s="40" t="s">
        <v>1282</v>
      </c>
    </row>
    <row r="1061" spans="1:9" x14ac:dyDescent="0.25">
      <c r="A1061" s="40" t="s">
        <v>170</v>
      </c>
      <c r="B1061" s="28">
        <v>1424</v>
      </c>
      <c r="C1061" s="28">
        <v>5637331</v>
      </c>
      <c r="D1061" s="28" t="s">
        <v>36</v>
      </c>
      <c r="E1061" s="41">
        <v>46139</v>
      </c>
      <c r="F1061" s="47">
        <v>0.26364583333333336</v>
      </c>
      <c r="G1061" s="44">
        <v>6.3</v>
      </c>
      <c r="H1061" s="43" t="s">
        <v>234</v>
      </c>
      <c r="I1061" s="40" t="s">
        <v>1281</v>
      </c>
    </row>
    <row r="1062" spans="1:9" x14ac:dyDescent="0.25">
      <c r="A1062" s="40" t="s">
        <v>170</v>
      </c>
      <c r="B1062" s="28">
        <v>1424</v>
      </c>
      <c r="C1062" s="28" t="s">
        <v>35</v>
      </c>
      <c r="D1062" s="28" t="s">
        <v>38</v>
      </c>
      <c r="E1062" s="41">
        <v>46139</v>
      </c>
      <c r="F1062" s="47">
        <v>0.89120370370370372</v>
      </c>
      <c r="G1062" s="44">
        <v>6.3</v>
      </c>
      <c r="H1062" s="43" t="s">
        <v>235</v>
      </c>
      <c r="I1062" s="40" t="s">
        <v>1281</v>
      </c>
    </row>
    <row r="1063" spans="1:9" x14ac:dyDescent="0.25">
      <c r="A1063" s="40" t="s">
        <v>170</v>
      </c>
      <c r="B1063" s="28">
        <v>1424</v>
      </c>
      <c r="C1063" s="28">
        <v>5645793</v>
      </c>
      <c r="D1063" s="28"/>
      <c r="E1063" s="41">
        <v>46143</v>
      </c>
      <c r="F1063" s="47">
        <v>0.31917824074074075</v>
      </c>
      <c r="G1063" s="42">
        <v>6.3</v>
      </c>
      <c r="H1063" s="40" t="s">
        <v>236</v>
      </c>
      <c r="I1063" s="40" t="s">
        <v>1282</v>
      </c>
    </row>
    <row r="1064" spans="1:9" x14ac:dyDescent="0.25">
      <c r="A1064" s="40" t="s">
        <v>170</v>
      </c>
      <c r="B1064" s="28">
        <v>1424</v>
      </c>
      <c r="C1064" s="28">
        <v>5646078</v>
      </c>
      <c r="D1064" s="28"/>
      <c r="E1064" s="41">
        <v>46143</v>
      </c>
      <c r="F1064" s="47">
        <v>0.47321759259259261</v>
      </c>
      <c r="G1064" s="42">
        <v>6.3</v>
      </c>
      <c r="H1064" s="40" t="s">
        <v>234</v>
      </c>
      <c r="I1064" s="40" t="s">
        <v>1282</v>
      </c>
    </row>
    <row r="1065" spans="1:9" x14ac:dyDescent="0.25">
      <c r="A1065" s="40" t="s">
        <v>179</v>
      </c>
      <c r="B1065" s="28">
        <v>1425</v>
      </c>
      <c r="C1065" s="28" t="s">
        <v>539</v>
      </c>
      <c r="D1065" s="28"/>
      <c r="E1065" s="41">
        <v>46139</v>
      </c>
      <c r="F1065" s="47">
        <v>0.87979166666666664</v>
      </c>
      <c r="G1065" s="42">
        <v>6.3</v>
      </c>
      <c r="H1065" s="40" t="s">
        <v>235</v>
      </c>
      <c r="I1065" s="40" t="s">
        <v>1281</v>
      </c>
    </row>
    <row r="1066" spans="1:9" x14ac:dyDescent="0.25">
      <c r="A1066" s="40" t="s">
        <v>179</v>
      </c>
      <c r="B1066" s="28">
        <v>1425</v>
      </c>
      <c r="C1066" s="28" t="s">
        <v>539</v>
      </c>
      <c r="D1066" s="28"/>
      <c r="E1066" s="41">
        <v>46139</v>
      </c>
      <c r="F1066" s="47">
        <v>0.88774305555555555</v>
      </c>
      <c r="G1066" s="44">
        <v>6.3</v>
      </c>
      <c r="H1066" s="43" t="s">
        <v>236</v>
      </c>
      <c r="I1066" s="40" t="s">
        <v>1281</v>
      </c>
    </row>
    <row r="1067" spans="1:9" x14ac:dyDescent="0.25">
      <c r="A1067" s="40" t="s">
        <v>179</v>
      </c>
      <c r="B1067" s="28">
        <v>1425</v>
      </c>
      <c r="C1067" s="28" t="s">
        <v>540</v>
      </c>
      <c r="D1067" s="28"/>
      <c r="E1067" s="41">
        <v>46139</v>
      </c>
      <c r="F1067" s="47">
        <v>0.93329861111111112</v>
      </c>
      <c r="G1067" s="44">
        <v>6.3</v>
      </c>
      <c r="H1067" s="43" t="s">
        <v>237</v>
      </c>
      <c r="I1067" s="40" t="s">
        <v>1281</v>
      </c>
    </row>
    <row r="1068" spans="1:9" x14ac:dyDescent="0.25">
      <c r="A1068" s="40" t="s">
        <v>179</v>
      </c>
      <c r="B1068" s="28">
        <v>1425</v>
      </c>
      <c r="C1068" s="28" t="s">
        <v>540</v>
      </c>
      <c r="D1068" s="28"/>
      <c r="E1068" s="41">
        <v>46139</v>
      </c>
      <c r="F1068" s="47">
        <v>0.93876157407407412</v>
      </c>
      <c r="G1068" s="44">
        <v>6.3</v>
      </c>
      <c r="H1068" s="43" t="s">
        <v>234</v>
      </c>
      <c r="I1068" s="40" t="s">
        <v>1281</v>
      </c>
    </row>
    <row r="1069" spans="1:9" x14ac:dyDescent="0.25">
      <c r="A1069" s="40" t="s">
        <v>179</v>
      </c>
      <c r="B1069" s="28">
        <v>1425</v>
      </c>
      <c r="C1069" s="28" t="s">
        <v>541</v>
      </c>
      <c r="D1069" s="28"/>
      <c r="E1069" s="41">
        <v>46140</v>
      </c>
      <c r="F1069" s="47">
        <v>3.2847222222222222E-2</v>
      </c>
      <c r="G1069" s="44">
        <v>6.3</v>
      </c>
      <c r="H1069" s="43" t="s">
        <v>235</v>
      </c>
      <c r="I1069" s="40" t="s">
        <v>1281</v>
      </c>
    </row>
    <row r="1070" spans="1:9" x14ac:dyDescent="0.25">
      <c r="A1070" s="40" t="s">
        <v>179</v>
      </c>
      <c r="B1070" s="28">
        <v>1425</v>
      </c>
      <c r="C1070" s="28" t="s">
        <v>541</v>
      </c>
      <c r="D1070" s="28"/>
      <c r="E1070" s="41">
        <v>46140</v>
      </c>
      <c r="F1070" s="47">
        <v>4.1238425925925928E-2</v>
      </c>
      <c r="G1070" s="44">
        <v>6.3</v>
      </c>
      <c r="H1070" s="43" t="s">
        <v>236</v>
      </c>
      <c r="I1070" s="40" t="s">
        <v>1281</v>
      </c>
    </row>
    <row r="1071" spans="1:9" x14ac:dyDescent="0.25">
      <c r="A1071" s="40" t="s">
        <v>179</v>
      </c>
      <c r="B1071" s="28">
        <v>1425</v>
      </c>
      <c r="C1071" s="28" t="s">
        <v>542</v>
      </c>
      <c r="D1071" s="28"/>
      <c r="E1071" s="41">
        <v>46140</v>
      </c>
      <c r="F1071" s="47">
        <v>0.15126157407407406</v>
      </c>
      <c r="G1071" s="44">
        <v>6.3</v>
      </c>
      <c r="H1071" s="43" t="s">
        <v>237</v>
      </c>
      <c r="I1071" s="40" t="s">
        <v>1281</v>
      </c>
    </row>
    <row r="1072" spans="1:9" x14ac:dyDescent="0.25">
      <c r="A1072" s="40" t="s">
        <v>179</v>
      </c>
      <c r="B1072" s="28">
        <v>1425</v>
      </c>
      <c r="C1072" s="28" t="s">
        <v>542</v>
      </c>
      <c r="D1072" s="28"/>
      <c r="E1072" s="41">
        <v>46140</v>
      </c>
      <c r="F1072" s="47">
        <v>0.15663194444444445</v>
      </c>
      <c r="G1072" s="44">
        <v>6.3</v>
      </c>
      <c r="H1072" s="43" t="s">
        <v>234</v>
      </c>
      <c r="I1072" s="40" t="s">
        <v>1281</v>
      </c>
    </row>
    <row r="1073" spans="1:9" x14ac:dyDescent="0.25">
      <c r="A1073" s="40" t="s">
        <v>179</v>
      </c>
      <c r="B1073" s="28">
        <v>1425</v>
      </c>
      <c r="C1073" s="28" t="s">
        <v>543</v>
      </c>
      <c r="D1073" s="28"/>
      <c r="E1073" s="41">
        <v>46141</v>
      </c>
      <c r="F1073" s="47">
        <v>4.2037037037037039E-2</v>
      </c>
      <c r="G1073" s="44">
        <v>6.3</v>
      </c>
      <c r="H1073" s="43" t="s">
        <v>235</v>
      </c>
      <c r="I1073" s="40" t="s">
        <v>1281</v>
      </c>
    </row>
    <row r="1074" spans="1:9" x14ac:dyDescent="0.25">
      <c r="A1074" s="40" t="s">
        <v>179</v>
      </c>
      <c r="B1074" s="28">
        <v>1425</v>
      </c>
      <c r="C1074" s="28" t="s">
        <v>543</v>
      </c>
      <c r="D1074" s="28"/>
      <c r="E1074" s="41">
        <v>46141</v>
      </c>
      <c r="F1074" s="47">
        <v>4.9976851851851849E-2</v>
      </c>
      <c r="G1074" s="44">
        <v>6.3</v>
      </c>
      <c r="H1074" s="43" t="s">
        <v>236</v>
      </c>
      <c r="I1074" s="40" t="s">
        <v>1281</v>
      </c>
    </row>
    <row r="1075" spans="1:9" x14ac:dyDescent="0.25">
      <c r="A1075" s="40" t="s">
        <v>179</v>
      </c>
      <c r="B1075" s="28">
        <v>1425</v>
      </c>
      <c r="C1075" s="28" t="s">
        <v>544</v>
      </c>
      <c r="D1075" s="28"/>
      <c r="E1075" s="41">
        <v>46141</v>
      </c>
      <c r="F1075" s="47">
        <v>0.97150462962962958</v>
      </c>
      <c r="G1075" s="44">
        <v>6.3</v>
      </c>
      <c r="H1075" s="43" t="s">
        <v>235</v>
      </c>
      <c r="I1075" s="40" t="s">
        <v>1281</v>
      </c>
    </row>
    <row r="1076" spans="1:9" x14ac:dyDescent="0.25">
      <c r="A1076" s="40" t="s">
        <v>179</v>
      </c>
      <c r="B1076" s="28">
        <v>1425</v>
      </c>
      <c r="C1076" s="28" t="s">
        <v>544</v>
      </c>
      <c r="D1076" s="28"/>
      <c r="E1076" s="45">
        <v>46141</v>
      </c>
      <c r="F1076" s="48">
        <v>0.98004629629629625</v>
      </c>
      <c r="G1076" s="44">
        <v>6.3</v>
      </c>
      <c r="H1076" s="43" t="s">
        <v>236</v>
      </c>
      <c r="I1076" s="40" t="s">
        <v>1281</v>
      </c>
    </row>
    <row r="1077" spans="1:9" x14ac:dyDescent="0.25">
      <c r="A1077" s="40" t="s">
        <v>179</v>
      </c>
      <c r="B1077" s="28">
        <v>1425</v>
      </c>
      <c r="C1077" s="28" t="s">
        <v>545</v>
      </c>
      <c r="D1077" s="28"/>
      <c r="E1077" s="41">
        <v>46142</v>
      </c>
      <c r="F1077" s="47">
        <v>0.10486111111111111</v>
      </c>
      <c r="G1077" s="44">
        <v>6.3</v>
      </c>
      <c r="H1077" s="43" t="s">
        <v>235</v>
      </c>
      <c r="I1077" s="40" t="s">
        <v>1281</v>
      </c>
    </row>
    <row r="1078" spans="1:9" x14ac:dyDescent="0.25">
      <c r="A1078" s="40" t="s">
        <v>179</v>
      </c>
      <c r="B1078" s="28">
        <v>1425</v>
      </c>
      <c r="C1078" s="28" t="s">
        <v>545</v>
      </c>
      <c r="D1078" s="28"/>
      <c r="E1078" s="41">
        <v>46142</v>
      </c>
      <c r="F1078" s="47">
        <v>0.11322916666666667</v>
      </c>
      <c r="G1078" s="44">
        <v>6.3</v>
      </c>
      <c r="H1078" s="43" t="s">
        <v>236</v>
      </c>
      <c r="I1078" s="40" t="s">
        <v>1281</v>
      </c>
    </row>
    <row r="1079" spans="1:9" x14ac:dyDescent="0.25">
      <c r="A1079" s="40" t="s">
        <v>179</v>
      </c>
      <c r="B1079" s="28">
        <v>1425</v>
      </c>
      <c r="C1079" s="28" t="s">
        <v>546</v>
      </c>
      <c r="D1079" s="28"/>
      <c r="E1079" s="41">
        <v>46142</v>
      </c>
      <c r="F1079" s="47">
        <v>0.16342592592592592</v>
      </c>
      <c r="G1079" s="44">
        <v>6.3</v>
      </c>
      <c r="H1079" s="43" t="s">
        <v>237</v>
      </c>
      <c r="I1079" s="40" t="s">
        <v>1281</v>
      </c>
    </row>
    <row r="1080" spans="1:9" x14ac:dyDescent="0.25">
      <c r="A1080" s="40" t="s">
        <v>179</v>
      </c>
      <c r="B1080" s="28">
        <v>1425</v>
      </c>
      <c r="C1080" s="28" t="s">
        <v>546</v>
      </c>
      <c r="D1080" s="28"/>
      <c r="E1080" s="41">
        <v>46142</v>
      </c>
      <c r="F1080" s="47">
        <v>0.16888888888888889</v>
      </c>
      <c r="G1080" s="44">
        <v>6.3</v>
      </c>
      <c r="H1080" s="43" t="s">
        <v>234</v>
      </c>
      <c r="I1080" s="40" t="s">
        <v>1281</v>
      </c>
    </row>
    <row r="1081" spans="1:9" x14ac:dyDescent="0.25">
      <c r="A1081" s="40" t="s">
        <v>179</v>
      </c>
      <c r="B1081" s="28">
        <v>1425</v>
      </c>
      <c r="C1081" s="28" t="s">
        <v>547</v>
      </c>
      <c r="D1081" s="28"/>
      <c r="E1081" s="41">
        <v>46142</v>
      </c>
      <c r="F1081" s="47">
        <v>0.85444444444444445</v>
      </c>
      <c r="G1081" s="44">
        <v>6.3</v>
      </c>
      <c r="H1081" s="43" t="s">
        <v>235</v>
      </c>
      <c r="I1081" s="40" t="s">
        <v>1281</v>
      </c>
    </row>
    <row r="1082" spans="1:9" x14ac:dyDescent="0.25">
      <c r="A1082" s="40" t="s">
        <v>179</v>
      </c>
      <c r="B1082" s="28">
        <v>1425</v>
      </c>
      <c r="C1082" s="28" t="s">
        <v>547</v>
      </c>
      <c r="D1082" s="28"/>
      <c r="E1082" s="41">
        <v>46142</v>
      </c>
      <c r="F1082" s="47">
        <v>0.86259259259259258</v>
      </c>
      <c r="G1082" s="44">
        <v>6.3</v>
      </c>
      <c r="H1082" s="43" t="s">
        <v>236</v>
      </c>
      <c r="I1082" s="40" t="s">
        <v>1281</v>
      </c>
    </row>
    <row r="1083" spans="1:9" x14ac:dyDescent="0.25">
      <c r="A1083" s="40" t="s">
        <v>179</v>
      </c>
      <c r="B1083" s="28">
        <v>1425</v>
      </c>
      <c r="C1083" s="28" t="s">
        <v>548</v>
      </c>
      <c r="D1083" s="28"/>
      <c r="E1083" s="41">
        <v>46142</v>
      </c>
      <c r="F1083" s="47">
        <v>0.95952546296296293</v>
      </c>
      <c r="G1083" s="44">
        <v>6.3</v>
      </c>
      <c r="H1083" s="43" t="s">
        <v>237</v>
      </c>
      <c r="I1083" s="40" t="s">
        <v>1281</v>
      </c>
    </row>
    <row r="1084" spans="1:9" x14ac:dyDescent="0.25">
      <c r="A1084" s="40" t="s">
        <v>179</v>
      </c>
      <c r="B1084" s="28">
        <v>1425</v>
      </c>
      <c r="C1084" s="28" t="s">
        <v>548</v>
      </c>
      <c r="D1084" s="28"/>
      <c r="E1084" s="41">
        <v>46142</v>
      </c>
      <c r="F1084" s="47">
        <v>0.96707175925925926</v>
      </c>
      <c r="G1084" s="44">
        <v>6.3</v>
      </c>
      <c r="H1084" s="43" t="s">
        <v>234</v>
      </c>
      <c r="I1084" s="40" t="s">
        <v>1282</v>
      </c>
    </row>
    <row r="1085" spans="1:9" x14ac:dyDescent="0.25">
      <c r="A1085" s="40" t="s">
        <v>179</v>
      </c>
      <c r="B1085" s="28">
        <v>1425</v>
      </c>
      <c r="C1085" s="28" t="s">
        <v>549</v>
      </c>
      <c r="D1085" s="28"/>
      <c r="E1085" s="41">
        <v>46143</v>
      </c>
      <c r="F1085" s="47">
        <v>3.1944444444444442E-2</v>
      </c>
      <c r="G1085" s="44">
        <v>6.3</v>
      </c>
      <c r="H1085" s="43" t="s">
        <v>235</v>
      </c>
      <c r="I1085" s="40" t="s">
        <v>1282</v>
      </c>
    </row>
    <row r="1086" spans="1:9" x14ac:dyDescent="0.25">
      <c r="A1086" s="40" t="s">
        <v>179</v>
      </c>
      <c r="B1086" s="28">
        <v>1425</v>
      </c>
      <c r="C1086" s="28" t="s">
        <v>549</v>
      </c>
      <c r="D1086" s="28"/>
      <c r="E1086" s="41">
        <v>46143</v>
      </c>
      <c r="F1086" s="47">
        <v>4.0196759259259258E-2</v>
      </c>
      <c r="G1086" s="42">
        <v>6.3</v>
      </c>
      <c r="H1086" s="40" t="s">
        <v>236</v>
      </c>
      <c r="I1086" s="40" t="s">
        <v>1282</v>
      </c>
    </row>
    <row r="1087" spans="1:9" x14ac:dyDescent="0.25">
      <c r="A1087" s="40" t="s">
        <v>179</v>
      </c>
      <c r="B1087" s="28">
        <v>1425</v>
      </c>
      <c r="C1087" s="28" t="s">
        <v>550</v>
      </c>
      <c r="D1087" s="28"/>
      <c r="E1087" s="41">
        <v>46143</v>
      </c>
      <c r="F1087" s="47">
        <v>0.1434375</v>
      </c>
      <c r="G1087" s="42">
        <v>6.3</v>
      </c>
      <c r="H1087" s="40" t="s">
        <v>237</v>
      </c>
      <c r="I1087" s="40" t="s">
        <v>1282</v>
      </c>
    </row>
    <row r="1088" spans="1:9" x14ac:dyDescent="0.25">
      <c r="A1088" s="40" t="s">
        <v>179</v>
      </c>
      <c r="B1088" s="28">
        <v>1425</v>
      </c>
      <c r="C1088" s="28" t="s">
        <v>550</v>
      </c>
      <c r="D1088" s="28"/>
      <c r="E1088" s="41">
        <v>46143</v>
      </c>
      <c r="F1088" s="47">
        <v>0.14871527777777777</v>
      </c>
      <c r="G1088" s="42">
        <v>6.3</v>
      </c>
      <c r="H1088" s="40" t="s">
        <v>234</v>
      </c>
      <c r="I1088" s="40" t="s">
        <v>1282</v>
      </c>
    </row>
    <row r="1089" spans="1:9" x14ac:dyDescent="0.25">
      <c r="A1089" s="40" t="s">
        <v>76</v>
      </c>
      <c r="B1089" s="28">
        <v>1429</v>
      </c>
      <c r="C1089" s="28">
        <v>5637788</v>
      </c>
      <c r="D1089" s="28"/>
      <c r="E1089" s="45">
        <v>46139</v>
      </c>
      <c r="F1089" s="48">
        <v>0.21960648148148149</v>
      </c>
      <c r="G1089" s="42">
        <v>6.3</v>
      </c>
      <c r="H1089" s="40" t="s">
        <v>235</v>
      </c>
      <c r="I1089" s="40" t="s">
        <v>1281</v>
      </c>
    </row>
    <row r="1090" spans="1:9" x14ac:dyDescent="0.25">
      <c r="A1090" s="40" t="s">
        <v>76</v>
      </c>
      <c r="B1090" s="28">
        <v>1429</v>
      </c>
      <c r="C1090" s="28">
        <v>5637788</v>
      </c>
      <c r="D1090" s="28"/>
      <c r="E1090" s="41">
        <v>46139</v>
      </c>
      <c r="F1090" s="47">
        <v>0.22673611111111111</v>
      </c>
      <c r="G1090" s="42">
        <v>6.3</v>
      </c>
      <c r="H1090" s="40" t="s">
        <v>239</v>
      </c>
      <c r="I1090" s="40" t="s">
        <v>1281</v>
      </c>
    </row>
    <row r="1091" spans="1:9" x14ac:dyDescent="0.25">
      <c r="A1091" s="40" t="s">
        <v>76</v>
      </c>
      <c r="B1091" s="28">
        <v>1429</v>
      </c>
      <c r="C1091" s="28" t="s">
        <v>551</v>
      </c>
      <c r="D1091" s="28"/>
      <c r="E1091" s="45">
        <v>46139</v>
      </c>
      <c r="F1091" s="48">
        <v>0.95491898148148147</v>
      </c>
      <c r="G1091" s="44">
        <v>6.3</v>
      </c>
      <c r="H1091" s="43" t="s">
        <v>235</v>
      </c>
      <c r="I1091" s="40" t="s">
        <v>1281</v>
      </c>
    </row>
    <row r="1092" spans="1:9" x14ac:dyDescent="0.25">
      <c r="A1092" s="40" t="s">
        <v>76</v>
      </c>
      <c r="B1092" s="28">
        <v>1429</v>
      </c>
      <c r="C1092" s="28" t="s">
        <v>551</v>
      </c>
      <c r="D1092" s="28"/>
      <c r="E1092" s="41">
        <v>46139</v>
      </c>
      <c r="F1092" s="47">
        <v>0.96167824074074071</v>
      </c>
      <c r="G1092" s="44">
        <v>6.3</v>
      </c>
      <c r="H1092" s="43" t="s">
        <v>236</v>
      </c>
      <c r="I1092" s="40" t="s">
        <v>1281</v>
      </c>
    </row>
    <row r="1093" spans="1:9" x14ac:dyDescent="0.25">
      <c r="A1093" s="40" t="s">
        <v>76</v>
      </c>
      <c r="B1093" s="28">
        <v>1429</v>
      </c>
      <c r="C1093" s="28" t="s">
        <v>35</v>
      </c>
      <c r="D1093" s="28" t="s">
        <v>38</v>
      </c>
      <c r="E1093" s="45">
        <v>46139</v>
      </c>
      <c r="F1093" s="48">
        <v>0.96851851851851856</v>
      </c>
      <c r="G1093" s="44">
        <v>6.3</v>
      </c>
      <c r="H1093" s="43" t="s">
        <v>237</v>
      </c>
      <c r="I1093" s="40" t="s">
        <v>1281</v>
      </c>
    </row>
    <row r="1094" spans="1:9" x14ac:dyDescent="0.25">
      <c r="A1094" s="40" t="s">
        <v>76</v>
      </c>
      <c r="B1094" s="28">
        <v>1429</v>
      </c>
      <c r="C1094" s="28">
        <v>5645881</v>
      </c>
      <c r="D1094" s="28"/>
      <c r="E1094" s="41">
        <v>46143</v>
      </c>
      <c r="F1094" s="47">
        <v>8.4837962962962966E-3</v>
      </c>
      <c r="G1094" s="44">
        <v>6.3</v>
      </c>
      <c r="H1094" s="43" t="s">
        <v>235</v>
      </c>
      <c r="I1094" s="40" t="s">
        <v>1282</v>
      </c>
    </row>
    <row r="1095" spans="1:9" x14ac:dyDescent="0.25">
      <c r="A1095" s="40" t="s">
        <v>76</v>
      </c>
      <c r="B1095" s="28">
        <v>1429</v>
      </c>
      <c r="C1095" s="28">
        <v>5645881</v>
      </c>
      <c r="D1095" s="28"/>
      <c r="E1095" s="41">
        <v>46143</v>
      </c>
      <c r="F1095" s="47">
        <v>2.1724537037037039E-2</v>
      </c>
      <c r="G1095" s="44">
        <v>6.3</v>
      </c>
      <c r="H1095" s="43" t="s">
        <v>236</v>
      </c>
      <c r="I1095" s="40" t="s">
        <v>1282</v>
      </c>
    </row>
    <row r="1096" spans="1:9" x14ac:dyDescent="0.25">
      <c r="A1096" s="40" t="s">
        <v>552</v>
      </c>
      <c r="B1096" s="28">
        <v>1441</v>
      </c>
      <c r="C1096" s="28" t="s">
        <v>35</v>
      </c>
      <c r="D1096" s="28" t="s">
        <v>38</v>
      </c>
      <c r="E1096" s="41">
        <v>46141</v>
      </c>
      <c r="F1096" s="47">
        <v>0.42716435185185186</v>
      </c>
      <c r="G1096" s="44">
        <v>6.3</v>
      </c>
      <c r="H1096" s="43" t="s">
        <v>237</v>
      </c>
      <c r="I1096" s="40" t="s">
        <v>1281</v>
      </c>
    </row>
    <row r="1097" spans="1:9" x14ac:dyDescent="0.25">
      <c r="A1097" s="40" t="s">
        <v>552</v>
      </c>
      <c r="B1097" s="28">
        <v>1441</v>
      </c>
      <c r="C1097" s="28">
        <v>5644051</v>
      </c>
      <c r="D1097" s="28"/>
      <c r="E1097" s="41">
        <v>46142</v>
      </c>
      <c r="F1097" s="47">
        <v>7.362268518518518E-2</v>
      </c>
      <c r="G1097" s="44">
        <v>6.3</v>
      </c>
      <c r="H1097" s="43" t="s">
        <v>235</v>
      </c>
      <c r="I1097" s="40" t="s">
        <v>1281</v>
      </c>
    </row>
    <row r="1098" spans="1:9" x14ac:dyDescent="0.25">
      <c r="A1098" s="40" t="s">
        <v>552</v>
      </c>
      <c r="B1098" s="28">
        <v>1441</v>
      </c>
      <c r="C1098" s="28">
        <v>5644051</v>
      </c>
      <c r="D1098" s="28"/>
      <c r="E1098" s="41">
        <v>46142</v>
      </c>
      <c r="F1098" s="47">
        <v>8.3645833333333336E-2</v>
      </c>
      <c r="G1098" s="44">
        <v>6.3</v>
      </c>
      <c r="H1098" s="43" t="s">
        <v>236</v>
      </c>
      <c r="I1098" s="40" t="s">
        <v>1281</v>
      </c>
    </row>
    <row r="1099" spans="1:9" x14ac:dyDescent="0.25">
      <c r="A1099" s="40" t="s">
        <v>552</v>
      </c>
      <c r="B1099" s="28">
        <v>1441</v>
      </c>
      <c r="C1099" s="28" t="s">
        <v>553</v>
      </c>
      <c r="D1099" s="28"/>
      <c r="E1099" s="41">
        <v>46142</v>
      </c>
      <c r="F1099" s="47">
        <v>0.93501157407407409</v>
      </c>
      <c r="G1099" s="44">
        <v>6.3</v>
      </c>
      <c r="H1099" s="43" t="s">
        <v>235</v>
      </c>
      <c r="I1099" s="40" t="s">
        <v>1282</v>
      </c>
    </row>
    <row r="1100" spans="1:9" x14ac:dyDescent="0.25">
      <c r="A1100" s="40" t="s">
        <v>552</v>
      </c>
      <c r="B1100" s="28">
        <v>1441</v>
      </c>
      <c r="C1100" s="28" t="s">
        <v>553</v>
      </c>
      <c r="D1100" s="28"/>
      <c r="E1100" s="41">
        <v>46142</v>
      </c>
      <c r="F1100" s="47">
        <v>0.94233796296296302</v>
      </c>
      <c r="G1100" s="44">
        <v>6.3</v>
      </c>
      <c r="H1100" s="43" t="s">
        <v>236</v>
      </c>
      <c r="I1100" s="40" t="s">
        <v>1281</v>
      </c>
    </row>
    <row r="1101" spans="1:9" x14ac:dyDescent="0.25">
      <c r="A1101" s="40" t="s">
        <v>552</v>
      </c>
      <c r="B1101" s="28">
        <v>1441</v>
      </c>
      <c r="C1101" s="28" t="s">
        <v>35</v>
      </c>
      <c r="D1101" s="28" t="s">
        <v>38</v>
      </c>
      <c r="E1101" s="41">
        <v>46142</v>
      </c>
      <c r="F1101" s="47">
        <v>0.97738425925925931</v>
      </c>
      <c r="G1101" s="44">
        <v>6.3</v>
      </c>
      <c r="H1101" s="43" t="s">
        <v>237</v>
      </c>
      <c r="I1101" s="40" t="s">
        <v>1281</v>
      </c>
    </row>
    <row r="1102" spans="1:9" x14ac:dyDescent="0.25">
      <c r="A1102" s="40" t="s">
        <v>552</v>
      </c>
      <c r="B1102" s="28">
        <v>1441</v>
      </c>
      <c r="C1102" s="28" t="s">
        <v>35</v>
      </c>
      <c r="D1102" s="28" t="s">
        <v>38</v>
      </c>
      <c r="E1102" s="41">
        <v>46142</v>
      </c>
      <c r="F1102" s="47">
        <v>0.98456018518518518</v>
      </c>
      <c r="G1102" s="44">
        <v>6.3</v>
      </c>
      <c r="H1102" s="43" t="s">
        <v>234</v>
      </c>
      <c r="I1102" s="40" t="s">
        <v>1282</v>
      </c>
    </row>
    <row r="1103" spans="1:9" x14ac:dyDescent="0.25">
      <c r="A1103" s="40" t="s">
        <v>552</v>
      </c>
      <c r="B1103" s="28">
        <v>1441</v>
      </c>
      <c r="C1103" s="28" t="s">
        <v>35</v>
      </c>
      <c r="D1103" s="28" t="s">
        <v>38</v>
      </c>
      <c r="E1103" s="41">
        <v>46144</v>
      </c>
      <c r="F1103" s="47">
        <v>8.5023148148148153E-2</v>
      </c>
      <c r="G1103" s="44">
        <v>6.3</v>
      </c>
      <c r="H1103" s="43" t="s">
        <v>235</v>
      </c>
      <c r="I1103" s="40" t="s">
        <v>1282</v>
      </c>
    </row>
    <row r="1104" spans="1:9" x14ac:dyDescent="0.25">
      <c r="A1104" s="40" t="s">
        <v>552</v>
      </c>
      <c r="B1104" s="28">
        <v>1441</v>
      </c>
      <c r="C1104" s="28" t="s">
        <v>35</v>
      </c>
      <c r="D1104" s="28" t="s">
        <v>38</v>
      </c>
      <c r="E1104" s="45">
        <v>46144</v>
      </c>
      <c r="F1104" s="48">
        <v>0.10402777777777777</v>
      </c>
      <c r="G1104" s="44">
        <v>6.3</v>
      </c>
      <c r="H1104" s="43" t="s">
        <v>234</v>
      </c>
      <c r="I1104" s="40" t="s">
        <v>1282</v>
      </c>
    </row>
    <row r="1105" spans="1:9" x14ac:dyDescent="0.25">
      <c r="A1105" s="40" t="s">
        <v>552</v>
      </c>
      <c r="B1105" s="28">
        <v>1441</v>
      </c>
      <c r="C1105" s="28" t="s">
        <v>35</v>
      </c>
      <c r="D1105" s="28" t="s">
        <v>38</v>
      </c>
      <c r="E1105" s="41">
        <v>46144</v>
      </c>
      <c r="F1105" s="47">
        <v>0.57447916666666665</v>
      </c>
      <c r="G1105" s="44">
        <v>6.3</v>
      </c>
      <c r="H1105" s="43" t="s">
        <v>235</v>
      </c>
      <c r="I1105" s="40" t="s">
        <v>1282</v>
      </c>
    </row>
    <row r="1106" spans="1:9" x14ac:dyDescent="0.25">
      <c r="A1106" s="40" t="s">
        <v>552</v>
      </c>
      <c r="B1106" s="28">
        <v>1441</v>
      </c>
      <c r="C1106" s="28" t="s">
        <v>35</v>
      </c>
      <c r="D1106" s="28" t="s">
        <v>38</v>
      </c>
      <c r="E1106" s="45">
        <v>46144</v>
      </c>
      <c r="F1106" s="48">
        <v>0.58197916666666671</v>
      </c>
      <c r="G1106" s="44">
        <v>6.3</v>
      </c>
      <c r="H1106" s="43" t="s">
        <v>236</v>
      </c>
      <c r="I1106" s="40" t="s">
        <v>1282</v>
      </c>
    </row>
    <row r="1107" spans="1:9" x14ac:dyDescent="0.25">
      <c r="A1107" s="40" t="s">
        <v>552</v>
      </c>
      <c r="B1107" s="28">
        <v>1441</v>
      </c>
      <c r="C1107" s="28" t="s">
        <v>35</v>
      </c>
      <c r="D1107" s="28" t="s">
        <v>38</v>
      </c>
      <c r="E1107" s="41">
        <v>46144</v>
      </c>
      <c r="F1107" s="47">
        <v>0.58988425925925925</v>
      </c>
      <c r="G1107" s="42">
        <v>6.3</v>
      </c>
      <c r="H1107" s="40" t="s">
        <v>237</v>
      </c>
      <c r="I1107" s="40" t="s">
        <v>1282</v>
      </c>
    </row>
    <row r="1108" spans="1:9" x14ac:dyDescent="0.25">
      <c r="A1108" s="40" t="s">
        <v>552</v>
      </c>
      <c r="B1108" s="28">
        <v>1441</v>
      </c>
      <c r="C1108" s="28" t="s">
        <v>35</v>
      </c>
      <c r="D1108" s="28" t="s">
        <v>38</v>
      </c>
      <c r="E1108" s="41">
        <v>46144</v>
      </c>
      <c r="F1108" s="47">
        <v>0.59680555555555559</v>
      </c>
      <c r="G1108" s="42">
        <v>6.3</v>
      </c>
      <c r="H1108" s="40" t="s">
        <v>234</v>
      </c>
      <c r="I1108" s="40" t="s">
        <v>1282</v>
      </c>
    </row>
    <row r="1109" spans="1:9" x14ac:dyDescent="0.25">
      <c r="A1109" s="40" t="s">
        <v>552</v>
      </c>
      <c r="B1109" s="28">
        <v>1441</v>
      </c>
      <c r="C1109" s="28" t="s">
        <v>554</v>
      </c>
      <c r="D1109" s="28"/>
      <c r="E1109" s="45">
        <v>46144</v>
      </c>
      <c r="F1109" s="48">
        <v>0.9800578703703704</v>
      </c>
      <c r="G1109" s="42">
        <v>6.3</v>
      </c>
      <c r="H1109" s="40" t="s">
        <v>235</v>
      </c>
      <c r="I1109" s="40" t="s">
        <v>1282</v>
      </c>
    </row>
    <row r="1110" spans="1:9" x14ac:dyDescent="0.25">
      <c r="A1110" s="40" t="s">
        <v>552</v>
      </c>
      <c r="B1110" s="28">
        <v>1441</v>
      </c>
      <c r="C1110" s="28">
        <v>5642960</v>
      </c>
      <c r="D1110" s="28"/>
      <c r="E1110" s="41">
        <v>46145</v>
      </c>
      <c r="F1110" s="47">
        <v>0.96302083333333333</v>
      </c>
      <c r="G1110" s="42">
        <v>6.3</v>
      </c>
      <c r="H1110" s="40" t="s">
        <v>235</v>
      </c>
      <c r="I1110" s="40" t="s">
        <v>1282</v>
      </c>
    </row>
    <row r="1111" spans="1:9" x14ac:dyDescent="0.25">
      <c r="A1111" s="40" t="s">
        <v>552</v>
      </c>
      <c r="B1111" s="28">
        <v>1441</v>
      </c>
      <c r="C1111" s="28">
        <v>5642960</v>
      </c>
      <c r="D1111" s="28"/>
      <c r="E1111" s="41">
        <v>46145</v>
      </c>
      <c r="F1111" s="47">
        <v>0.97041666666666671</v>
      </c>
      <c r="G1111" s="42">
        <v>6.3</v>
      </c>
      <c r="H1111" s="40" t="s">
        <v>236</v>
      </c>
      <c r="I1111" s="40" t="s">
        <v>1282</v>
      </c>
    </row>
    <row r="1112" spans="1:9" x14ac:dyDescent="0.25">
      <c r="A1112" s="40" t="s">
        <v>552</v>
      </c>
      <c r="B1112" s="28">
        <v>1441</v>
      </c>
      <c r="C1112" s="28" t="s">
        <v>35</v>
      </c>
      <c r="D1112" s="28" t="s">
        <v>38</v>
      </c>
      <c r="E1112" s="41">
        <v>46145</v>
      </c>
      <c r="F1112" s="47">
        <v>0.98041666666666671</v>
      </c>
      <c r="G1112" s="42">
        <v>6.3</v>
      </c>
      <c r="H1112" s="40" t="s">
        <v>237</v>
      </c>
      <c r="I1112" s="40" t="s">
        <v>1282</v>
      </c>
    </row>
    <row r="1113" spans="1:9" x14ac:dyDescent="0.25">
      <c r="A1113" s="40" t="s">
        <v>552</v>
      </c>
      <c r="B1113" s="28">
        <v>1441</v>
      </c>
      <c r="C1113" s="28" t="s">
        <v>35</v>
      </c>
      <c r="D1113" s="28" t="s">
        <v>38</v>
      </c>
      <c r="E1113" s="41">
        <v>46145</v>
      </c>
      <c r="F1113" s="47">
        <v>0.98585648148148153</v>
      </c>
      <c r="G1113" s="44">
        <v>6.3</v>
      </c>
      <c r="H1113" s="43" t="s">
        <v>234</v>
      </c>
      <c r="I1113" s="40" t="s">
        <v>1282</v>
      </c>
    </row>
    <row r="1114" spans="1:9" x14ac:dyDescent="0.25">
      <c r="A1114" s="40" t="s">
        <v>77</v>
      </c>
      <c r="B1114" s="28">
        <v>1443</v>
      </c>
      <c r="C1114" s="28">
        <v>5621964</v>
      </c>
      <c r="D1114" s="28"/>
      <c r="E1114" s="41">
        <v>46139</v>
      </c>
      <c r="F1114" s="47">
        <v>0.25771990740740741</v>
      </c>
      <c r="G1114" s="44">
        <v>6.3</v>
      </c>
      <c r="H1114" s="43" t="s">
        <v>233</v>
      </c>
      <c r="I1114" s="40" t="s">
        <v>1281</v>
      </c>
    </row>
    <row r="1115" spans="1:9" x14ac:dyDescent="0.25">
      <c r="A1115" s="40" t="s">
        <v>77</v>
      </c>
      <c r="B1115" s="28">
        <v>1443</v>
      </c>
      <c r="C1115" s="28">
        <v>5621964</v>
      </c>
      <c r="D1115" s="28"/>
      <c r="E1115" s="41">
        <v>46139</v>
      </c>
      <c r="F1115" s="47">
        <v>0.26310185185185186</v>
      </c>
      <c r="G1115" s="44">
        <v>6.3</v>
      </c>
      <c r="H1115" s="43" t="s">
        <v>234</v>
      </c>
      <c r="I1115" s="40" t="s">
        <v>1281</v>
      </c>
    </row>
    <row r="1116" spans="1:9" x14ac:dyDescent="0.25">
      <c r="A1116" s="40" t="s">
        <v>77</v>
      </c>
      <c r="B1116" s="28">
        <v>1443</v>
      </c>
      <c r="C1116" s="28" t="s">
        <v>35</v>
      </c>
      <c r="D1116" s="28" t="s">
        <v>38</v>
      </c>
      <c r="E1116" s="41">
        <v>46141</v>
      </c>
      <c r="F1116" s="47">
        <v>0.69582175925925926</v>
      </c>
      <c r="G1116" s="44">
        <v>6.3</v>
      </c>
      <c r="H1116" s="43" t="s">
        <v>238</v>
      </c>
      <c r="I1116" s="40" t="s">
        <v>1281</v>
      </c>
    </row>
    <row r="1117" spans="1:9" x14ac:dyDescent="0.25">
      <c r="A1117" s="40" t="s">
        <v>77</v>
      </c>
      <c r="B1117" s="28">
        <v>1443</v>
      </c>
      <c r="C1117" s="28" t="s">
        <v>35</v>
      </c>
      <c r="D1117" s="28" t="s">
        <v>38</v>
      </c>
      <c r="E1117" s="41">
        <v>46141</v>
      </c>
      <c r="F1117" s="47">
        <v>0.70450231481481485</v>
      </c>
      <c r="G1117" s="44">
        <v>6.3</v>
      </c>
      <c r="H1117" s="43" t="s">
        <v>234</v>
      </c>
      <c r="I1117" s="40" t="s">
        <v>1281</v>
      </c>
    </row>
    <row r="1118" spans="1:9" x14ac:dyDescent="0.25">
      <c r="A1118" s="40" t="s">
        <v>77</v>
      </c>
      <c r="B1118" s="28">
        <v>1443</v>
      </c>
      <c r="C1118" s="28" t="s">
        <v>35</v>
      </c>
      <c r="D1118" s="28" t="s">
        <v>38</v>
      </c>
      <c r="E1118" s="41">
        <v>46143</v>
      </c>
      <c r="F1118" s="47">
        <v>0.6663310185185185</v>
      </c>
      <c r="G1118" s="44">
        <v>6.3</v>
      </c>
      <c r="H1118" s="43" t="s">
        <v>237</v>
      </c>
      <c r="I1118" s="40" t="s">
        <v>1282</v>
      </c>
    </row>
    <row r="1119" spans="1:9" x14ac:dyDescent="0.25">
      <c r="A1119" s="40" t="s">
        <v>77</v>
      </c>
      <c r="B1119" s="28">
        <v>1443</v>
      </c>
      <c r="C1119" s="28" t="s">
        <v>35</v>
      </c>
      <c r="D1119" s="28" t="s">
        <v>38</v>
      </c>
      <c r="E1119" s="41">
        <v>46143</v>
      </c>
      <c r="F1119" s="47">
        <v>0.67159722222222218</v>
      </c>
      <c r="G1119" s="44">
        <v>6.3</v>
      </c>
      <c r="H1119" s="43" t="s">
        <v>234</v>
      </c>
      <c r="I1119" s="40" t="s">
        <v>1282</v>
      </c>
    </row>
    <row r="1120" spans="1:9" x14ac:dyDescent="0.25">
      <c r="A1120" s="40" t="s">
        <v>226</v>
      </c>
      <c r="B1120" s="28">
        <v>1445</v>
      </c>
      <c r="C1120" s="28" t="s">
        <v>35</v>
      </c>
      <c r="D1120" s="28" t="s">
        <v>38</v>
      </c>
      <c r="E1120" s="41">
        <v>46140</v>
      </c>
      <c r="F1120" s="47">
        <v>0.68131944444444448</v>
      </c>
      <c r="G1120" s="44">
        <v>6.3</v>
      </c>
      <c r="H1120" s="43" t="s">
        <v>235</v>
      </c>
      <c r="I1120" s="40" t="s">
        <v>1281</v>
      </c>
    </row>
    <row r="1121" spans="1:9" x14ac:dyDescent="0.25">
      <c r="A1121" s="40" t="s">
        <v>226</v>
      </c>
      <c r="B1121" s="28">
        <v>1445</v>
      </c>
      <c r="C1121" s="28" t="s">
        <v>35</v>
      </c>
      <c r="D1121" s="28" t="s">
        <v>38</v>
      </c>
      <c r="E1121" s="41">
        <v>46141</v>
      </c>
      <c r="F1121" s="47">
        <v>0.45840277777777777</v>
      </c>
      <c r="G1121" s="44">
        <v>6.3</v>
      </c>
      <c r="H1121" s="43" t="s">
        <v>234</v>
      </c>
      <c r="I1121" s="40" t="s">
        <v>1281</v>
      </c>
    </row>
    <row r="1122" spans="1:9" x14ac:dyDescent="0.25">
      <c r="A1122" s="40" t="s">
        <v>226</v>
      </c>
      <c r="B1122" s="28">
        <v>1445</v>
      </c>
      <c r="C1122" s="28" t="s">
        <v>555</v>
      </c>
      <c r="D1122" s="28"/>
      <c r="E1122" s="45">
        <v>46142</v>
      </c>
      <c r="F1122" s="48">
        <v>7.4513888888888893E-2</v>
      </c>
      <c r="G1122" s="44">
        <v>6.3</v>
      </c>
      <c r="H1122" s="43" t="s">
        <v>235</v>
      </c>
      <c r="I1122" s="40" t="s">
        <v>1281</v>
      </c>
    </row>
    <row r="1123" spans="1:9" x14ac:dyDescent="0.25">
      <c r="A1123" s="40" t="s">
        <v>226</v>
      </c>
      <c r="B1123" s="28">
        <v>1445</v>
      </c>
      <c r="C1123" s="28" t="s">
        <v>555</v>
      </c>
      <c r="D1123" s="28"/>
      <c r="E1123" s="41">
        <v>46142</v>
      </c>
      <c r="F1123" s="47">
        <v>8.3437499999999998E-2</v>
      </c>
      <c r="G1123" s="44">
        <v>6.3</v>
      </c>
      <c r="H1123" s="43" t="s">
        <v>236</v>
      </c>
      <c r="I1123" s="40" t="s">
        <v>1281</v>
      </c>
    </row>
    <row r="1124" spans="1:9" x14ac:dyDescent="0.25">
      <c r="A1124" s="40" t="s">
        <v>226</v>
      </c>
      <c r="B1124" s="28">
        <v>1445</v>
      </c>
      <c r="C1124" s="28">
        <v>5638772</v>
      </c>
      <c r="D1124" s="28" t="s">
        <v>37</v>
      </c>
      <c r="E1124" s="45">
        <v>46142</v>
      </c>
      <c r="F1124" s="48">
        <v>0.22116898148148148</v>
      </c>
      <c r="G1124" s="44">
        <v>6.3</v>
      </c>
      <c r="H1124" s="43" t="s">
        <v>233</v>
      </c>
      <c r="I1124" s="40" t="s">
        <v>1281</v>
      </c>
    </row>
    <row r="1125" spans="1:9" x14ac:dyDescent="0.25">
      <c r="A1125" s="40" t="s">
        <v>226</v>
      </c>
      <c r="B1125" s="28">
        <v>1445</v>
      </c>
      <c r="C1125" s="28">
        <v>5638772</v>
      </c>
      <c r="D1125" s="28" t="s">
        <v>37</v>
      </c>
      <c r="E1125" s="41">
        <v>46142</v>
      </c>
      <c r="F1125" s="47">
        <v>0.22652777777777777</v>
      </c>
      <c r="G1125" s="44">
        <v>6.3</v>
      </c>
      <c r="H1125" s="43" t="s">
        <v>234</v>
      </c>
      <c r="I1125" s="40" t="s">
        <v>1281</v>
      </c>
    </row>
    <row r="1126" spans="1:9" x14ac:dyDescent="0.25">
      <c r="A1126" s="40" t="s">
        <v>226</v>
      </c>
      <c r="B1126" s="28">
        <v>1445</v>
      </c>
      <c r="C1126" s="28" t="s">
        <v>35</v>
      </c>
      <c r="D1126" s="28" t="s">
        <v>38</v>
      </c>
      <c r="E1126" s="41">
        <v>46143</v>
      </c>
      <c r="F1126" s="47">
        <v>0.11805555555555555</v>
      </c>
      <c r="G1126" s="44">
        <v>6.3</v>
      </c>
      <c r="H1126" s="43" t="s">
        <v>234</v>
      </c>
      <c r="I1126" s="40" t="s">
        <v>1282</v>
      </c>
    </row>
    <row r="1127" spans="1:9" x14ac:dyDescent="0.25">
      <c r="A1127" s="40" t="s">
        <v>226</v>
      </c>
      <c r="B1127" s="28">
        <v>1445</v>
      </c>
      <c r="C1127" s="28">
        <v>5646641</v>
      </c>
      <c r="D1127" s="28"/>
      <c r="E1127" s="41">
        <v>46143</v>
      </c>
      <c r="F1127" s="47">
        <v>0.69844907407407408</v>
      </c>
      <c r="G1127" s="44">
        <v>6.3</v>
      </c>
      <c r="H1127" s="43" t="s">
        <v>235</v>
      </c>
      <c r="I1127" s="40" t="s">
        <v>1282</v>
      </c>
    </row>
    <row r="1128" spans="1:9" x14ac:dyDescent="0.25">
      <c r="A1128" s="40" t="s">
        <v>226</v>
      </c>
      <c r="B1128" s="28">
        <v>1445</v>
      </c>
      <c r="C1128" s="28">
        <v>5646641</v>
      </c>
      <c r="D1128" s="28"/>
      <c r="E1128" s="41">
        <v>46143</v>
      </c>
      <c r="F1128" s="47">
        <v>0.70488425925925924</v>
      </c>
      <c r="G1128" s="44">
        <v>6.3</v>
      </c>
      <c r="H1128" s="43" t="s">
        <v>236</v>
      </c>
      <c r="I1128" s="40" t="s">
        <v>1282</v>
      </c>
    </row>
    <row r="1129" spans="1:9" x14ac:dyDescent="0.25">
      <c r="A1129" s="40" t="s">
        <v>226</v>
      </c>
      <c r="B1129" s="28">
        <v>1445</v>
      </c>
      <c r="C1129" s="28">
        <v>5646441</v>
      </c>
      <c r="D1129" s="28" t="s">
        <v>37</v>
      </c>
      <c r="E1129" s="41">
        <v>46143</v>
      </c>
      <c r="F1129" s="47">
        <v>0.81263888888888891</v>
      </c>
      <c r="G1129" s="44">
        <v>6.3</v>
      </c>
      <c r="H1129" s="43" t="s">
        <v>237</v>
      </c>
      <c r="I1129" s="40" t="s">
        <v>1282</v>
      </c>
    </row>
    <row r="1130" spans="1:9" x14ac:dyDescent="0.25">
      <c r="A1130" s="40" t="s">
        <v>226</v>
      </c>
      <c r="B1130" s="28">
        <v>1445</v>
      </c>
      <c r="C1130" s="28">
        <v>5646441</v>
      </c>
      <c r="D1130" s="28" t="s">
        <v>37</v>
      </c>
      <c r="E1130" s="41">
        <v>46143</v>
      </c>
      <c r="F1130" s="47">
        <v>0.817962962962963</v>
      </c>
      <c r="G1130" s="44">
        <v>6.3</v>
      </c>
      <c r="H1130" s="43" t="s">
        <v>234</v>
      </c>
      <c r="I1130" s="40" t="s">
        <v>1282</v>
      </c>
    </row>
    <row r="1131" spans="1:9" x14ac:dyDescent="0.25">
      <c r="A1131" s="40" t="s">
        <v>226</v>
      </c>
      <c r="B1131" s="28">
        <v>1445</v>
      </c>
      <c r="C1131" s="28" t="s">
        <v>35</v>
      </c>
      <c r="D1131" s="28" t="s">
        <v>38</v>
      </c>
      <c r="E1131" s="41">
        <v>46144</v>
      </c>
      <c r="F1131" s="47">
        <v>0.41364583333333332</v>
      </c>
      <c r="G1131" s="44">
        <v>6.3</v>
      </c>
      <c r="H1131" s="43" t="s">
        <v>234</v>
      </c>
      <c r="I1131" s="40" t="s">
        <v>1282</v>
      </c>
    </row>
    <row r="1132" spans="1:9" x14ac:dyDescent="0.25">
      <c r="A1132" s="40" t="s">
        <v>226</v>
      </c>
      <c r="B1132" s="28">
        <v>1445</v>
      </c>
      <c r="C1132" s="28">
        <v>5646460</v>
      </c>
      <c r="D1132" s="28"/>
      <c r="E1132" s="41">
        <v>46144</v>
      </c>
      <c r="F1132" s="47">
        <v>0.76402777777777775</v>
      </c>
      <c r="G1132" s="44">
        <v>6.3</v>
      </c>
      <c r="H1132" s="43" t="s">
        <v>235</v>
      </c>
      <c r="I1132" s="40" t="s">
        <v>1282</v>
      </c>
    </row>
    <row r="1133" spans="1:9" x14ac:dyDescent="0.25">
      <c r="A1133" s="40" t="s">
        <v>226</v>
      </c>
      <c r="B1133" s="28">
        <v>1445</v>
      </c>
      <c r="C1133" s="28">
        <v>5646460</v>
      </c>
      <c r="D1133" s="28"/>
      <c r="E1133" s="45">
        <v>46144</v>
      </c>
      <c r="F1133" s="48">
        <v>0.77160879629629631</v>
      </c>
      <c r="G1133" s="44">
        <v>6.3</v>
      </c>
      <c r="H1133" s="43" t="s">
        <v>236</v>
      </c>
      <c r="I1133" s="40" t="s">
        <v>1282</v>
      </c>
    </row>
    <row r="1134" spans="1:9" x14ac:dyDescent="0.25">
      <c r="A1134" s="40" t="s">
        <v>226</v>
      </c>
      <c r="B1134" s="28">
        <v>1445</v>
      </c>
      <c r="C1134" s="28" t="s">
        <v>35</v>
      </c>
      <c r="D1134" s="28" t="s">
        <v>38</v>
      </c>
      <c r="E1134" s="45">
        <v>46144</v>
      </c>
      <c r="F1134" s="48">
        <v>0.79467592592592595</v>
      </c>
      <c r="G1134" s="44">
        <v>6.3</v>
      </c>
      <c r="H1134" s="43" t="s">
        <v>237</v>
      </c>
      <c r="I1134" s="40" t="s">
        <v>1282</v>
      </c>
    </row>
    <row r="1135" spans="1:9" x14ac:dyDescent="0.25">
      <c r="A1135" s="40" t="s">
        <v>226</v>
      </c>
      <c r="B1135" s="28">
        <v>1445</v>
      </c>
      <c r="C1135" s="28">
        <v>5648329</v>
      </c>
      <c r="D1135" s="28"/>
      <c r="E1135" s="45">
        <v>46145</v>
      </c>
      <c r="F1135" s="48">
        <v>0.18471064814814814</v>
      </c>
      <c r="G1135" s="44">
        <v>6.3</v>
      </c>
      <c r="H1135" s="43" t="s">
        <v>234</v>
      </c>
      <c r="I1135" s="40" t="s">
        <v>1282</v>
      </c>
    </row>
    <row r="1136" spans="1:9" x14ac:dyDescent="0.25">
      <c r="A1136" s="40" t="s">
        <v>226</v>
      </c>
      <c r="B1136" s="28">
        <v>1445</v>
      </c>
      <c r="C1136" s="28">
        <v>5648782</v>
      </c>
      <c r="D1136" s="28"/>
      <c r="E1136" s="41">
        <v>46145</v>
      </c>
      <c r="F1136" s="47">
        <v>0.64011574074074074</v>
      </c>
      <c r="G1136" s="44">
        <v>6.3</v>
      </c>
      <c r="H1136" s="43" t="s">
        <v>235</v>
      </c>
      <c r="I1136" s="40" t="s">
        <v>1282</v>
      </c>
    </row>
    <row r="1137" spans="1:9" x14ac:dyDescent="0.25">
      <c r="A1137" s="40" t="s">
        <v>78</v>
      </c>
      <c r="B1137" s="28">
        <v>1447</v>
      </c>
      <c r="C1137" s="28">
        <v>5648383</v>
      </c>
      <c r="D1137" s="28"/>
      <c r="E1137" s="41">
        <v>46145</v>
      </c>
      <c r="F1137" s="47">
        <v>0.94116898148148154</v>
      </c>
      <c r="G1137" s="44">
        <v>6.3</v>
      </c>
      <c r="H1137" s="43" t="s">
        <v>235</v>
      </c>
      <c r="I1137" s="40" t="s">
        <v>1282</v>
      </c>
    </row>
    <row r="1138" spans="1:9" x14ac:dyDescent="0.25">
      <c r="A1138" s="40" t="s">
        <v>78</v>
      </c>
      <c r="B1138" s="28">
        <v>1447</v>
      </c>
      <c r="C1138" s="28">
        <v>5648383</v>
      </c>
      <c r="D1138" s="28"/>
      <c r="E1138" s="41">
        <v>46145</v>
      </c>
      <c r="F1138" s="47">
        <v>0.95011574074074079</v>
      </c>
      <c r="G1138" s="42">
        <v>6.3</v>
      </c>
      <c r="H1138" s="40" t="s">
        <v>236</v>
      </c>
      <c r="I1138" s="40" t="s">
        <v>1282</v>
      </c>
    </row>
    <row r="1139" spans="1:9" x14ac:dyDescent="0.25">
      <c r="A1139" s="40" t="s">
        <v>390</v>
      </c>
      <c r="B1139" s="28">
        <v>1453</v>
      </c>
      <c r="C1139" s="28">
        <v>5634557</v>
      </c>
      <c r="D1139" s="28"/>
      <c r="E1139" s="41">
        <v>46139</v>
      </c>
      <c r="F1139" s="47">
        <v>0.11414351851851852</v>
      </c>
      <c r="G1139" s="42">
        <v>6.3</v>
      </c>
      <c r="H1139" s="40" t="s">
        <v>237</v>
      </c>
      <c r="I1139" s="40" t="s">
        <v>1281</v>
      </c>
    </row>
    <row r="1140" spans="1:9" x14ac:dyDescent="0.25">
      <c r="A1140" s="40" t="s">
        <v>390</v>
      </c>
      <c r="B1140" s="28">
        <v>1453</v>
      </c>
      <c r="C1140" s="28">
        <v>5634557</v>
      </c>
      <c r="D1140" s="28"/>
      <c r="E1140" s="41">
        <v>46139</v>
      </c>
      <c r="F1140" s="47">
        <v>0.1184837962962963</v>
      </c>
      <c r="G1140" s="42">
        <v>6.3</v>
      </c>
      <c r="H1140" s="40" t="s">
        <v>234</v>
      </c>
      <c r="I1140" s="40" t="s">
        <v>1281</v>
      </c>
    </row>
    <row r="1141" spans="1:9" x14ac:dyDescent="0.25">
      <c r="A1141" s="40" t="s">
        <v>390</v>
      </c>
      <c r="B1141" s="28">
        <v>1453</v>
      </c>
      <c r="C1141" s="28">
        <v>5639822</v>
      </c>
      <c r="D1141" s="28"/>
      <c r="E1141" s="41">
        <v>46140</v>
      </c>
      <c r="F1141" s="47">
        <v>0.13962962962962963</v>
      </c>
      <c r="G1141" s="42">
        <v>6.3</v>
      </c>
      <c r="H1141" s="40" t="s">
        <v>237</v>
      </c>
      <c r="I1141" s="40" t="s">
        <v>1281</v>
      </c>
    </row>
    <row r="1142" spans="1:9" x14ac:dyDescent="0.25">
      <c r="A1142" s="40" t="s">
        <v>390</v>
      </c>
      <c r="B1142" s="28">
        <v>1453</v>
      </c>
      <c r="C1142" s="28">
        <v>5639822</v>
      </c>
      <c r="D1142" s="28"/>
      <c r="E1142" s="41">
        <v>46140</v>
      </c>
      <c r="F1142" s="47">
        <v>0.14458333333333334</v>
      </c>
      <c r="G1142" s="44">
        <v>6.3</v>
      </c>
      <c r="H1142" s="43" t="s">
        <v>234</v>
      </c>
      <c r="I1142" s="40" t="s">
        <v>1281</v>
      </c>
    </row>
    <row r="1143" spans="1:9" x14ac:dyDescent="0.25">
      <c r="A1143" s="40" t="s">
        <v>390</v>
      </c>
      <c r="B1143" s="28">
        <v>1453</v>
      </c>
      <c r="C1143" s="28" t="s">
        <v>35</v>
      </c>
      <c r="D1143" s="28" t="s">
        <v>38</v>
      </c>
      <c r="E1143" s="41">
        <v>46142</v>
      </c>
      <c r="F1143" s="47">
        <v>1.9791666666666666E-2</v>
      </c>
      <c r="G1143" s="44">
        <v>6.3</v>
      </c>
      <c r="H1143" s="43" t="s">
        <v>235</v>
      </c>
      <c r="I1143" s="40" t="s">
        <v>1281</v>
      </c>
    </row>
    <row r="1144" spans="1:9" x14ac:dyDescent="0.25">
      <c r="A1144" s="40" t="s">
        <v>390</v>
      </c>
      <c r="B1144" s="28">
        <v>1453</v>
      </c>
      <c r="C1144" s="28" t="s">
        <v>35</v>
      </c>
      <c r="D1144" s="28" t="s">
        <v>38</v>
      </c>
      <c r="E1144" s="41">
        <v>46142</v>
      </c>
      <c r="F1144" s="47">
        <v>2.9583333333333333E-2</v>
      </c>
      <c r="G1144" s="44">
        <v>6.3</v>
      </c>
      <c r="H1144" s="43" t="s">
        <v>236</v>
      </c>
      <c r="I1144" s="40" t="s">
        <v>1281</v>
      </c>
    </row>
    <row r="1145" spans="1:9" x14ac:dyDescent="0.25">
      <c r="A1145" s="40" t="s">
        <v>390</v>
      </c>
      <c r="B1145" s="28">
        <v>1453</v>
      </c>
      <c r="C1145" s="28">
        <v>5643772</v>
      </c>
      <c r="D1145" s="28"/>
      <c r="E1145" s="45">
        <v>46142</v>
      </c>
      <c r="F1145" s="48">
        <v>0.13681712962962964</v>
      </c>
      <c r="G1145" s="44">
        <v>6.3</v>
      </c>
      <c r="H1145" s="43" t="s">
        <v>241</v>
      </c>
      <c r="I1145" s="40" t="s">
        <v>1281</v>
      </c>
    </row>
    <row r="1146" spans="1:9" x14ac:dyDescent="0.25">
      <c r="A1146" s="40" t="s">
        <v>390</v>
      </c>
      <c r="B1146" s="28">
        <v>1453</v>
      </c>
      <c r="C1146" s="28">
        <v>5643772</v>
      </c>
      <c r="D1146" s="28"/>
      <c r="E1146" s="41">
        <v>46142</v>
      </c>
      <c r="F1146" s="47">
        <v>0.13949074074074075</v>
      </c>
      <c r="G1146" s="44">
        <v>6.3</v>
      </c>
      <c r="H1146" s="43" t="s">
        <v>234</v>
      </c>
      <c r="I1146" s="40" t="s">
        <v>1281</v>
      </c>
    </row>
    <row r="1147" spans="1:9" x14ac:dyDescent="0.25">
      <c r="A1147" s="40" t="s">
        <v>390</v>
      </c>
      <c r="B1147" s="28">
        <v>1453</v>
      </c>
      <c r="C1147" s="28">
        <v>5643592</v>
      </c>
      <c r="D1147" s="28"/>
      <c r="E1147" s="45">
        <v>46142</v>
      </c>
      <c r="F1147" s="48">
        <v>0.22545138888888888</v>
      </c>
      <c r="G1147" s="44">
        <v>6.3</v>
      </c>
      <c r="H1147" s="43" t="s">
        <v>237</v>
      </c>
      <c r="I1147" s="40" t="s">
        <v>1281</v>
      </c>
    </row>
    <row r="1148" spans="1:9" x14ac:dyDescent="0.25">
      <c r="A1148" s="40" t="s">
        <v>390</v>
      </c>
      <c r="B1148" s="28">
        <v>1453</v>
      </c>
      <c r="C1148" s="28">
        <v>5643592</v>
      </c>
      <c r="D1148" s="28"/>
      <c r="E1148" s="41">
        <v>46142</v>
      </c>
      <c r="F1148" s="47">
        <v>0.23067129629629629</v>
      </c>
      <c r="G1148" s="44">
        <v>6.3</v>
      </c>
      <c r="H1148" s="43" t="s">
        <v>234</v>
      </c>
      <c r="I1148" s="40" t="s">
        <v>1281</v>
      </c>
    </row>
    <row r="1149" spans="1:9" x14ac:dyDescent="0.25">
      <c r="A1149" s="40" t="s">
        <v>390</v>
      </c>
      <c r="B1149" s="28">
        <v>1453</v>
      </c>
      <c r="C1149" s="28" t="s">
        <v>556</v>
      </c>
      <c r="D1149" s="28"/>
      <c r="E1149" s="41">
        <v>46142</v>
      </c>
      <c r="F1149" s="47">
        <v>0.37240740740740741</v>
      </c>
      <c r="G1149" s="44">
        <v>6.3</v>
      </c>
      <c r="H1149" s="43" t="s">
        <v>235</v>
      </c>
      <c r="I1149" s="40" t="s">
        <v>1281</v>
      </c>
    </row>
    <row r="1150" spans="1:9" x14ac:dyDescent="0.25">
      <c r="A1150" s="40" t="s">
        <v>390</v>
      </c>
      <c r="B1150" s="28">
        <v>1453</v>
      </c>
      <c r="C1150" s="28">
        <v>5645494</v>
      </c>
      <c r="D1150" s="28"/>
      <c r="E1150" s="41">
        <v>46142</v>
      </c>
      <c r="F1150" s="47">
        <v>0.97452546296296294</v>
      </c>
      <c r="G1150" s="44">
        <v>6.3</v>
      </c>
      <c r="H1150" s="43" t="s">
        <v>237</v>
      </c>
      <c r="I1150" s="40" t="s">
        <v>1281</v>
      </c>
    </row>
    <row r="1151" spans="1:9" x14ac:dyDescent="0.25">
      <c r="A1151" s="40" t="s">
        <v>390</v>
      </c>
      <c r="B1151" s="28">
        <v>1453</v>
      </c>
      <c r="C1151" s="28">
        <v>5646034</v>
      </c>
      <c r="D1151" s="28"/>
      <c r="E1151" s="45">
        <v>46143</v>
      </c>
      <c r="F1151" s="48">
        <v>0.29618055555555556</v>
      </c>
      <c r="G1151" s="44">
        <v>6.3</v>
      </c>
      <c r="H1151" s="43" t="s">
        <v>235</v>
      </c>
      <c r="I1151" s="40" t="s">
        <v>1282</v>
      </c>
    </row>
    <row r="1152" spans="1:9" x14ac:dyDescent="0.25">
      <c r="A1152" s="40" t="s">
        <v>390</v>
      </c>
      <c r="B1152" s="28">
        <v>1453</v>
      </c>
      <c r="C1152" s="28">
        <v>5646034</v>
      </c>
      <c r="D1152" s="28"/>
      <c r="E1152" s="41">
        <v>46143</v>
      </c>
      <c r="F1152" s="47">
        <v>0.30604166666666666</v>
      </c>
      <c r="G1152" s="44">
        <v>6.3</v>
      </c>
      <c r="H1152" s="43" t="s">
        <v>240</v>
      </c>
      <c r="I1152" s="40" t="s">
        <v>1282</v>
      </c>
    </row>
    <row r="1153" spans="1:9" x14ac:dyDescent="0.25">
      <c r="A1153" s="40" t="s">
        <v>390</v>
      </c>
      <c r="B1153" s="28">
        <v>1453</v>
      </c>
      <c r="C1153" s="28" t="s">
        <v>557</v>
      </c>
      <c r="D1153" s="28"/>
      <c r="E1153" s="41">
        <v>46144</v>
      </c>
      <c r="F1153" s="47">
        <v>0.10831018518518519</v>
      </c>
      <c r="G1153" s="44">
        <v>6.3</v>
      </c>
      <c r="H1153" s="43" t="s">
        <v>235</v>
      </c>
      <c r="I1153" s="40" t="s">
        <v>1282</v>
      </c>
    </row>
    <row r="1154" spans="1:9" x14ac:dyDescent="0.25">
      <c r="A1154" s="40" t="s">
        <v>390</v>
      </c>
      <c r="B1154" s="28">
        <v>1453</v>
      </c>
      <c r="C1154" s="28" t="s">
        <v>557</v>
      </c>
      <c r="D1154" s="28"/>
      <c r="E1154" s="45">
        <v>46144</v>
      </c>
      <c r="F1154" s="48">
        <v>0.11478009259259259</v>
      </c>
      <c r="G1154" s="44">
        <v>6.3</v>
      </c>
      <c r="H1154" s="43" t="s">
        <v>236</v>
      </c>
      <c r="I1154" s="40" t="s">
        <v>1282</v>
      </c>
    </row>
    <row r="1155" spans="1:9" x14ac:dyDescent="0.25">
      <c r="A1155" s="40" t="s">
        <v>390</v>
      </c>
      <c r="B1155" s="28">
        <v>1453</v>
      </c>
      <c r="C1155" s="28">
        <v>5647194</v>
      </c>
      <c r="D1155" s="28"/>
      <c r="E1155" s="41">
        <v>46144</v>
      </c>
      <c r="F1155" s="47">
        <v>0.21895833333333334</v>
      </c>
      <c r="G1155" s="44">
        <v>6.3</v>
      </c>
      <c r="H1155" s="43" t="s">
        <v>238</v>
      </c>
      <c r="I1155" s="40" t="s">
        <v>1282</v>
      </c>
    </row>
    <row r="1156" spans="1:9" x14ac:dyDescent="0.25">
      <c r="A1156" s="40" t="s">
        <v>390</v>
      </c>
      <c r="B1156" s="28">
        <v>1453</v>
      </c>
      <c r="C1156" s="28">
        <v>5647194</v>
      </c>
      <c r="D1156" s="28"/>
      <c r="E1156" s="41">
        <v>46144</v>
      </c>
      <c r="F1156" s="47">
        <v>0.22304398148148147</v>
      </c>
      <c r="G1156" s="44">
        <v>6.3</v>
      </c>
      <c r="H1156" s="43" t="s">
        <v>234</v>
      </c>
      <c r="I1156" s="40" t="s">
        <v>1282</v>
      </c>
    </row>
    <row r="1157" spans="1:9" x14ac:dyDescent="0.25">
      <c r="A1157" s="40" t="s">
        <v>390</v>
      </c>
      <c r="B1157" s="28">
        <v>1453</v>
      </c>
      <c r="C1157" s="28">
        <v>5649103</v>
      </c>
      <c r="D1157" s="28"/>
      <c r="E1157" s="41">
        <v>46145</v>
      </c>
      <c r="F1157" s="47">
        <v>0.82717592592592593</v>
      </c>
      <c r="G1157" s="44">
        <v>6.3</v>
      </c>
      <c r="H1157" s="43" t="s">
        <v>237</v>
      </c>
      <c r="I1157" s="40" t="s">
        <v>1282</v>
      </c>
    </row>
    <row r="1158" spans="1:9" x14ac:dyDescent="0.25">
      <c r="A1158" s="40" t="s">
        <v>390</v>
      </c>
      <c r="B1158" s="28">
        <v>1453</v>
      </c>
      <c r="C1158" s="28">
        <v>5649103</v>
      </c>
      <c r="D1158" s="28"/>
      <c r="E1158" s="41">
        <v>46145</v>
      </c>
      <c r="F1158" s="47">
        <v>0.83275462962962965</v>
      </c>
      <c r="G1158" s="44">
        <v>6.3</v>
      </c>
      <c r="H1158" s="43" t="s">
        <v>234</v>
      </c>
      <c r="I1158" s="40" t="s">
        <v>1282</v>
      </c>
    </row>
    <row r="1159" spans="1:9" x14ac:dyDescent="0.25">
      <c r="A1159" s="40" t="s">
        <v>390</v>
      </c>
      <c r="B1159" s="28">
        <v>1453</v>
      </c>
      <c r="C1159" s="28" t="s">
        <v>558</v>
      </c>
      <c r="D1159" s="28"/>
      <c r="E1159" s="41">
        <v>46145</v>
      </c>
      <c r="F1159" s="47">
        <v>0.99927083333333333</v>
      </c>
      <c r="G1159" s="44">
        <v>6.3</v>
      </c>
      <c r="H1159" s="43" t="s">
        <v>235</v>
      </c>
      <c r="I1159" s="40" t="s">
        <v>1282</v>
      </c>
    </row>
    <row r="1160" spans="1:9" x14ac:dyDescent="0.25">
      <c r="A1160" s="40" t="s">
        <v>135</v>
      </c>
      <c r="B1160" s="28">
        <v>1458</v>
      </c>
      <c r="C1160" s="28">
        <v>5639249</v>
      </c>
      <c r="D1160" s="28"/>
      <c r="E1160" s="41">
        <v>46139</v>
      </c>
      <c r="F1160" s="47">
        <v>0.90142361111111113</v>
      </c>
      <c r="G1160" s="44">
        <v>6.3</v>
      </c>
      <c r="H1160" s="43" t="s">
        <v>235</v>
      </c>
      <c r="I1160" s="40" t="s">
        <v>1281</v>
      </c>
    </row>
    <row r="1161" spans="1:9" x14ac:dyDescent="0.25">
      <c r="A1161" s="40" t="s">
        <v>135</v>
      </c>
      <c r="B1161" s="28">
        <v>1458</v>
      </c>
      <c r="C1161" s="28">
        <v>5639249</v>
      </c>
      <c r="D1161" s="28"/>
      <c r="E1161" s="41">
        <v>46139</v>
      </c>
      <c r="F1161" s="47">
        <v>0.90755787037037039</v>
      </c>
      <c r="G1161" s="44">
        <v>6.3</v>
      </c>
      <c r="H1161" s="43" t="s">
        <v>236</v>
      </c>
      <c r="I1161" s="40" t="s">
        <v>1281</v>
      </c>
    </row>
    <row r="1162" spans="1:9" x14ac:dyDescent="0.25">
      <c r="A1162" s="40" t="s">
        <v>135</v>
      </c>
      <c r="B1162" s="28">
        <v>1458</v>
      </c>
      <c r="C1162" s="28" t="s">
        <v>35</v>
      </c>
      <c r="D1162" s="28" t="s">
        <v>38</v>
      </c>
      <c r="E1162" s="45">
        <v>46139</v>
      </c>
      <c r="F1162" s="48">
        <v>0.93008101851851854</v>
      </c>
      <c r="G1162" s="44">
        <v>6.3</v>
      </c>
      <c r="H1162" s="43" t="s">
        <v>237</v>
      </c>
      <c r="I1162" s="40" t="s">
        <v>1281</v>
      </c>
    </row>
    <row r="1163" spans="1:9" x14ac:dyDescent="0.25">
      <c r="A1163" s="40" t="s">
        <v>135</v>
      </c>
      <c r="B1163" s="28">
        <v>1458</v>
      </c>
      <c r="C1163" s="28">
        <v>5647903</v>
      </c>
      <c r="D1163" s="28"/>
      <c r="E1163" s="41">
        <v>46144</v>
      </c>
      <c r="F1163" s="47">
        <v>0.72936342592592596</v>
      </c>
      <c r="G1163" s="44">
        <v>6.3</v>
      </c>
      <c r="H1163" s="43" t="s">
        <v>235</v>
      </c>
      <c r="I1163" s="40" t="s">
        <v>1282</v>
      </c>
    </row>
    <row r="1164" spans="1:9" x14ac:dyDescent="0.25">
      <c r="A1164" s="40" t="s">
        <v>135</v>
      </c>
      <c r="B1164" s="28">
        <v>1458</v>
      </c>
      <c r="C1164" s="28" t="s">
        <v>559</v>
      </c>
      <c r="D1164" s="28"/>
      <c r="E1164" s="41">
        <v>46145</v>
      </c>
      <c r="F1164" s="47">
        <v>0.66423611111111114</v>
      </c>
      <c r="G1164" s="44">
        <v>6.3</v>
      </c>
      <c r="H1164" s="43" t="s">
        <v>235</v>
      </c>
      <c r="I1164" s="40" t="s">
        <v>1282</v>
      </c>
    </row>
    <row r="1165" spans="1:9" x14ac:dyDescent="0.25">
      <c r="A1165" s="40" t="s">
        <v>135</v>
      </c>
      <c r="B1165" s="28">
        <v>1458</v>
      </c>
      <c r="C1165" s="28" t="s">
        <v>559</v>
      </c>
      <c r="D1165" s="28"/>
      <c r="E1165" s="45">
        <v>46145</v>
      </c>
      <c r="F1165" s="48">
        <v>0.67273148148148143</v>
      </c>
      <c r="G1165" s="44">
        <v>6.3</v>
      </c>
      <c r="H1165" s="43" t="s">
        <v>236</v>
      </c>
      <c r="I1165" s="40" t="s">
        <v>1282</v>
      </c>
    </row>
    <row r="1166" spans="1:9" x14ac:dyDescent="0.25">
      <c r="A1166" s="40" t="s">
        <v>346</v>
      </c>
      <c r="B1166" s="28">
        <v>1466</v>
      </c>
      <c r="C1166" s="28" t="s">
        <v>560</v>
      </c>
      <c r="D1166" s="28"/>
      <c r="E1166" s="41">
        <v>46144</v>
      </c>
      <c r="F1166" s="47">
        <v>0.97108796296296296</v>
      </c>
      <c r="G1166" s="44">
        <v>6.3</v>
      </c>
      <c r="H1166" s="43" t="s">
        <v>235</v>
      </c>
      <c r="I1166" s="40" t="s">
        <v>1282</v>
      </c>
    </row>
    <row r="1167" spans="1:9" x14ac:dyDescent="0.25">
      <c r="A1167" s="40" t="s">
        <v>346</v>
      </c>
      <c r="B1167" s="28">
        <v>1466</v>
      </c>
      <c r="C1167" s="28" t="s">
        <v>560</v>
      </c>
      <c r="D1167" s="28"/>
      <c r="E1167" s="41">
        <v>46144</v>
      </c>
      <c r="F1167" s="47">
        <v>0.97850694444444442</v>
      </c>
      <c r="G1167" s="44">
        <v>6.3</v>
      </c>
      <c r="H1167" s="43" t="s">
        <v>236</v>
      </c>
      <c r="I1167" s="40" t="s">
        <v>1282</v>
      </c>
    </row>
    <row r="1168" spans="1:9" x14ac:dyDescent="0.25">
      <c r="A1168" s="40" t="s">
        <v>79</v>
      </c>
      <c r="B1168" s="28">
        <v>1468</v>
      </c>
      <c r="C1168" s="28">
        <v>5641535</v>
      </c>
      <c r="D1168" s="28"/>
      <c r="E1168" s="41">
        <v>46140</v>
      </c>
      <c r="F1168" s="47">
        <v>0.84223379629629624</v>
      </c>
      <c r="G1168" s="44">
        <v>6.3</v>
      </c>
      <c r="H1168" s="43" t="s">
        <v>235</v>
      </c>
      <c r="I1168" s="40" t="s">
        <v>1281</v>
      </c>
    </row>
    <row r="1169" spans="1:9" x14ac:dyDescent="0.25">
      <c r="A1169" s="40" t="s">
        <v>79</v>
      </c>
      <c r="B1169" s="28">
        <v>1468</v>
      </c>
      <c r="C1169" s="28">
        <v>5641535</v>
      </c>
      <c r="D1169" s="28"/>
      <c r="E1169" s="41">
        <v>46140</v>
      </c>
      <c r="F1169" s="47">
        <v>0.85442129629629626</v>
      </c>
      <c r="G1169" s="44">
        <v>6.3</v>
      </c>
      <c r="H1169" s="43" t="s">
        <v>236</v>
      </c>
      <c r="I1169" s="40" t="s">
        <v>1281</v>
      </c>
    </row>
    <row r="1170" spans="1:9" x14ac:dyDescent="0.25">
      <c r="A1170" s="40" t="s">
        <v>79</v>
      </c>
      <c r="B1170" s="28">
        <v>1468</v>
      </c>
      <c r="C1170" s="28">
        <v>5648928</v>
      </c>
      <c r="D1170" s="28"/>
      <c r="E1170" s="41">
        <v>46145</v>
      </c>
      <c r="F1170" s="47">
        <v>0.70990740740740743</v>
      </c>
      <c r="G1170" s="44">
        <v>6.3</v>
      </c>
      <c r="H1170" s="43" t="s">
        <v>235</v>
      </c>
      <c r="I1170" s="40" t="s">
        <v>1282</v>
      </c>
    </row>
    <row r="1171" spans="1:9" x14ac:dyDescent="0.25">
      <c r="A1171" s="40" t="s">
        <v>79</v>
      </c>
      <c r="B1171" s="28">
        <v>1468</v>
      </c>
      <c r="C1171" s="28">
        <v>5648928</v>
      </c>
      <c r="D1171" s="28"/>
      <c r="E1171" s="41">
        <v>46145</v>
      </c>
      <c r="F1171" s="47">
        <v>0.71668981481481486</v>
      </c>
      <c r="G1171" s="44">
        <v>6.3</v>
      </c>
      <c r="H1171" s="43" t="s">
        <v>236</v>
      </c>
      <c r="I1171" s="40" t="s">
        <v>1282</v>
      </c>
    </row>
    <row r="1172" spans="1:9" x14ac:dyDescent="0.25">
      <c r="A1172" s="40" t="s">
        <v>80</v>
      </c>
      <c r="B1172" s="28">
        <v>1470</v>
      </c>
      <c r="C1172" s="28" t="s">
        <v>561</v>
      </c>
      <c r="D1172" s="28"/>
      <c r="E1172" s="41">
        <v>46142</v>
      </c>
      <c r="F1172" s="47">
        <v>0.25756944444444446</v>
      </c>
      <c r="G1172" s="44">
        <v>6.3</v>
      </c>
      <c r="H1172" s="43" t="s">
        <v>235</v>
      </c>
      <c r="I1172" s="40" t="s">
        <v>1281</v>
      </c>
    </row>
    <row r="1173" spans="1:9" x14ac:dyDescent="0.25">
      <c r="A1173" s="40" t="s">
        <v>80</v>
      </c>
      <c r="B1173" s="28">
        <v>1470</v>
      </c>
      <c r="C1173" s="28" t="s">
        <v>561</v>
      </c>
      <c r="D1173" s="28"/>
      <c r="E1173" s="41">
        <v>46142</v>
      </c>
      <c r="F1173" s="47">
        <v>0.27496527777777779</v>
      </c>
      <c r="G1173" s="44">
        <v>6.3</v>
      </c>
      <c r="H1173" s="43" t="s">
        <v>236</v>
      </c>
      <c r="I1173" s="40" t="s">
        <v>1281</v>
      </c>
    </row>
    <row r="1174" spans="1:9" x14ac:dyDescent="0.25">
      <c r="A1174" s="40" t="s">
        <v>80</v>
      </c>
      <c r="B1174" s="28">
        <v>1470</v>
      </c>
      <c r="C1174" s="28" t="s">
        <v>562</v>
      </c>
      <c r="D1174" s="28"/>
      <c r="E1174" s="41">
        <v>46142</v>
      </c>
      <c r="F1174" s="47">
        <v>0.56350694444444449</v>
      </c>
      <c r="G1174" s="44">
        <v>6.3</v>
      </c>
      <c r="H1174" s="43" t="s">
        <v>235</v>
      </c>
      <c r="I1174" s="40" t="s">
        <v>1281</v>
      </c>
    </row>
    <row r="1175" spans="1:9" x14ac:dyDescent="0.25">
      <c r="A1175" s="40" t="s">
        <v>80</v>
      </c>
      <c r="B1175" s="28">
        <v>1470</v>
      </c>
      <c r="C1175" s="28" t="s">
        <v>563</v>
      </c>
      <c r="D1175" s="28"/>
      <c r="E1175" s="41">
        <v>46144</v>
      </c>
      <c r="F1175" s="47">
        <v>0.4034490740740741</v>
      </c>
      <c r="G1175" s="44">
        <v>6.3</v>
      </c>
      <c r="H1175" s="43" t="s">
        <v>235</v>
      </c>
      <c r="I1175" s="40" t="s">
        <v>1282</v>
      </c>
    </row>
    <row r="1176" spans="1:9" x14ac:dyDescent="0.25">
      <c r="A1176" s="40" t="s">
        <v>80</v>
      </c>
      <c r="B1176" s="28">
        <v>1470</v>
      </c>
      <c r="C1176" s="28" t="s">
        <v>563</v>
      </c>
      <c r="D1176" s="28"/>
      <c r="E1176" s="41">
        <v>46144</v>
      </c>
      <c r="F1176" s="47">
        <v>0.41165509259259259</v>
      </c>
      <c r="G1176" s="44">
        <v>6.3</v>
      </c>
      <c r="H1176" s="43" t="s">
        <v>236</v>
      </c>
      <c r="I1176" s="40" t="s">
        <v>1282</v>
      </c>
    </row>
    <row r="1177" spans="1:9" x14ac:dyDescent="0.25">
      <c r="A1177" s="40" t="s">
        <v>80</v>
      </c>
      <c r="B1177" s="28">
        <v>1470</v>
      </c>
      <c r="C1177" s="28" t="s">
        <v>564</v>
      </c>
      <c r="D1177" s="28"/>
      <c r="E1177" s="41">
        <v>46144</v>
      </c>
      <c r="F1177" s="47">
        <v>0.56648148148148147</v>
      </c>
      <c r="G1177" s="44">
        <v>6.3</v>
      </c>
      <c r="H1177" s="43" t="s">
        <v>235</v>
      </c>
      <c r="I1177" s="40" t="s">
        <v>1282</v>
      </c>
    </row>
    <row r="1178" spans="1:9" x14ac:dyDescent="0.25">
      <c r="A1178" s="40" t="s">
        <v>286</v>
      </c>
      <c r="B1178" s="28">
        <v>1472</v>
      </c>
      <c r="C1178" s="28">
        <v>5643286</v>
      </c>
      <c r="D1178" s="28"/>
      <c r="E1178" s="41">
        <v>46141</v>
      </c>
      <c r="F1178" s="47">
        <v>0.78607638888888887</v>
      </c>
      <c r="G1178" s="44">
        <v>6.3</v>
      </c>
      <c r="H1178" s="43" t="s">
        <v>234</v>
      </c>
      <c r="I1178" s="40" t="s">
        <v>1281</v>
      </c>
    </row>
    <row r="1179" spans="1:9" x14ac:dyDescent="0.25">
      <c r="A1179" s="40" t="s">
        <v>286</v>
      </c>
      <c r="B1179" s="28">
        <v>1472</v>
      </c>
      <c r="C1179" s="28">
        <v>5643612</v>
      </c>
      <c r="D1179" s="28" t="s">
        <v>36</v>
      </c>
      <c r="E1179" s="41">
        <v>46141</v>
      </c>
      <c r="F1179" s="47">
        <v>0.85347222222222219</v>
      </c>
      <c r="G1179" s="44">
        <v>6.3</v>
      </c>
      <c r="H1179" s="43" t="s">
        <v>235</v>
      </c>
      <c r="I1179" s="40" t="s">
        <v>1281</v>
      </c>
    </row>
    <row r="1180" spans="1:9" x14ac:dyDescent="0.25">
      <c r="A1180" s="40" t="s">
        <v>286</v>
      </c>
      <c r="B1180" s="28">
        <v>1472</v>
      </c>
      <c r="C1180" s="28" t="s">
        <v>35</v>
      </c>
      <c r="D1180" s="28" t="s">
        <v>38</v>
      </c>
      <c r="E1180" s="45">
        <v>46141</v>
      </c>
      <c r="F1180" s="48">
        <v>0.8790972222222222</v>
      </c>
      <c r="G1180" s="44">
        <v>6.3</v>
      </c>
      <c r="H1180" s="43" t="s">
        <v>234</v>
      </c>
      <c r="I1180" s="40" t="s">
        <v>1281</v>
      </c>
    </row>
    <row r="1181" spans="1:9" x14ac:dyDescent="0.25">
      <c r="A1181" s="40" t="s">
        <v>286</v>
      </c>
      <c r="B1181" s="28">
        <v>1472</v>
      </c>
      <c r="C1181" s="28" t="s">
        <v>565</v>
      </c>
      <c r="D1181" s="28"/>
      <c r="E1181" s="45">
        <v>46142</v>
      </c>
      <c r="F1181" s="48">
        <v>0.88730324074074074</v>
      </c>
      <c r="G1181" s="44">
        <v>6.3</v>
      </c>
      <c r="H1181" s="43" t="s">
        <v>235</v>
      </c>
      <c r="I1181" s="40" t="s">
        <v>1281</v>
      </c>
    </row>
    <row r="1182" spans="1:9" x14ac:dyDescent="0.25">
      <c r="A1182" s="40" t="s">
        <v>286</v>
      </c>
      <c r="B1182" s="28">
        <v>1472</v>
      </c>
      <c r="C1182" s="28" t="s">
        <v>565</v>
      </c>
      <c r="D1182" s="28"/>
      <c r="E1182" s="41">
        <v>46142</v>
      </c>
      <c r="F1182" s="47">
        <v>0.8941782407407407</v>
      </c>
      <c r="G1182" s="44">
        <v>6.3</v>
      </c>
      <c r="H1182" s="43" t="s">
        <v>239</v>
      </c>
      <c r="I1182" s="40" t="s">
        <v>1281</v>
      </c>
    </row>
    <row r="1183" spans="1:9" x14ac:dyDescent="0.25">
      <c r="A1183" s="40" t="s">
        <v>286</v>
      </c>
      <c r="B1183" s="28">
        <v>1472</v>
      </c>
      <c r="C1183" s="28">
        <v>5645778</v>
      </c>
      <c r="D1183" s="28"/>
      <c r="E1183" s="41">
        <v>46142</v>
      </c>
      <c r="F1183" s="47">
        <v>0.9564583333333333</v>
      </c>
      <c r="G1183" s="44">
        <v>6.3</v>
      </c>
      <c r="H1183" s="43" t="s">
        <v>237</v>
      </c>
      <c r="I1183" s="40" t="s">
        <v>1281</v>
      </c>
    </row>
    <row r="1184" spans="1:9" x14ac:dyDescent="0.25">
      <c r="A1184" s="40" t="s">
        <v>286</v>
      </c>
      <c r="B1184" s="28">
        <v>1472</v>
      </c>
      <c r="C1184" s="28">
        <v>5645778</v>
      </c>
      <c r="D1184" s="28"/>
      <c r="E1184" s="45">
        <v>46142</v>
      </c>
      <c r="F1184" s="48">
        <v>0.96229166666666666</v>
      </c>
      <c r="G1184" s="44">
        <v>6.3</v>
      </c>
      <c r="H1184" s="43" t="s">
        <v>234</v>
      </c>
      <c r="I1184" s="40" t="s">
        <v>1282</v>
      </c>
    </row>
    <row r="1185" spans="1:9" x14ac:dyDescent="0.25">
      <c r="A1185" s="40" t="s">
        <v>566</v>
      </c>
      <c r="B1185" s="28">
        <v>1480</v>
      </c>
      <c r="C1185" s="28">
        <v>5637686</v>
      </c>
      <c r="D1185" s="28"/>
      <c r="E1185" s="45">
        <v>46139</v>
      </c>
      <c r="F1185" s="48">
        <v>0.29950231481481482</v>
      </c>
      <c r="G1185" s="44">
        <v>6.3</v>
      </c>
      <c r="H1185" s="43" t="s">
        <v>234</v>
      </c>
      <c r="I1185" s="40" t="s">
        <v>1281</v>
      </c>
    </row>
    <row r="1186" spans="1:9" x14ac:dyDescent="0.25">
      <c r="A1186" s="40" t="s">
        <v>566</v>
      </c>
      <c r="B1186" s="28">
        <v>1480</v>
      </c>
      <c r="C1186" s="28">
        <v>5641504</v>
      </c>
      <c r="D1186" s="28"/>
      <c r="E1186" s="45">
        <v>46140</v>
      </c>
      <c r="F1186" s="48">
        <v>0.82525462962962959</v>
      </c>
      <c r="G1186" s="44">
        <v>6.3</v>
      </c>
      <c r="H1186" s="43" t="s">
        <v>235</v>
      </c>
      <c r="I1186" s="40" t="s">
        <v>1281</v>
      </c>
    </row>
    <row r="1187" spans="1:9" x14ac:dyDescent="0.25">
      <c r="A1187" s="40" t="s">
        <v>566</v>
      </c>
      <c r="B1187" s="28">
        <v>1480</v>
      </c>
      <c r="C1187" s="28" t="s">
        <v>35</v>
      </c>
      <c r="D1187" s="28" t="s">
        <v>38</v>
      </c>
      <c r="E1187" s="41">
        <v>46140</v>
      </c>
      <c r="F1187" s="47">
        <v>0.85865740740740737</v>
      </c>
      <c r="G1187" s="44">
        <v>6.3</v>
      </c>
      <c r="H1187" s="43" t="s">
        <v>237</v>
      </c>
      <c r="I1187" s="40" t="s">
        <v>1281</v>
      </c>
    </row>
    <row r="1188" spans="1:9" x14ac:dyDescent="0.25">
      <c r="A1188" s="40" t="s">
        <v>566</v>
      </c>
      <c r="B1188" s="28">
        <v>1480</v>
      </c>
      <c r="C1188" s="28" t="s">
        <v>35</v>
      </c>
      <c r="D1188" s="28" t="s">
        <v>38</v>
      </c>
      <c r="E1188" s="41">
        <v>46140</v>
      </c>
      <c r="F1188" s="47">
        <v>0.87376157407407407</v>
      </c>
      <c r="G1188" s="44">
        <v>6.3</v>
      </c>
      <c r="H1188" s="43" t="s">
        <v>234</v>
      </c>
      <c r="I1188" s="40" t="s">
        <v>1281</v>
      </c>
    </row>
    <row r="1189" spans="1:9" x14ac:dyDescent="0.25">
      <c r="A1189" s="40" t="s">
        <v>566</v>
      </c>
      <c r="B1189" s="28">
        <v>1480</v>
      </c>
      <c r="C1189" s="28">
        <v>5640422</v>
      </c>
      <c r="D1189" s="28"/>
      <c r="E1189" s="41">
        <v>46141</v>
      </c>
      <c r="F1189" s="47">
        <v>0.99361111111111111</v>
      </c>
      <c r="G1189" s="44">
        <v>6.3</v>
      </c>
      <c r="H1189" s="43" t="s">
        <v>235</v>
      </c>
      <c r="I1189" s="40" t="s">
        <v>1281</v>
      </c>
    </row>
    <row r="1190" spans="1:9" x14ac:dyDescent="0.25">
      <c r="A1190" s="40" t="s">
        <v>566</v>
      </c>
      <c r="B1190" s="28">
        <v>1480</v>
      </c>
      <c r="C1190" s="28">
        <v>5643755</v>
      </c>
      <c r="D1190" s="28"/>
      <c r="E1190" s="41">
        <v>46142</v>
      </c>
      <c r="F1190" s="47">
        <v>0.32633101851851853</v>
      </c>
      <c r="G1190" s="44">
        <v>6.3</v>
      </c>
      <c r="H1190" s="43" t="s">
        <v>238</v>
      </c>
      <c r="I1190" s="40" t="s">
        <v>1281</v>
      </c>
    </row>
    <row r="1191" spans="1:9" x14ac:dyDescent="0.25">
      <c r="A1191" s="40" t="s">
        <v>566</v>
      </c>
      <c r="B1191" s="28">
        <v>1480</v>
      </c>
      <c r="C1191" s="28">
        <v>5643755</v>
      </c>
      <c r="D1191" s="28"/>
      <c r="E1191" s="41">
        <v>46142</v>
      </c>
      <c r="F1191" s="47">
        <v>0.33526620370370369</v>
      </c>
      <c r="G1191" s="44">
        <v>6.3</v>
      </c>
      <c r="H1191" s="43" t="s">
        <v>234</v>
      </c>
      <c r="I1191" s="40" t="s">
        <v>1281</v>
      </c>
    </row>
    <row r="1192" spans="1:9" x14ac:dyDescent="0.25">
      <c r="A1192" s="40" t="s">
        <v>566</v>
      </c>
      <c r="B1192" s="28">
        <v>1480</v>
      </c>
      <c r="C1192" s="28">
        <v>5647112</v>
      </c>
      <c r="D1192" s="28"/>
      <c r="E1192" s="41">
        <v>46144</v>
      </c>
      <c r="F1192" s="47">
        <v>6.7476851851851856E-3</v>
      </c>
      <c r="G1192" s="44">
        <v>6.3</v>
      </c>
      <c r="H1192" s="43" t="s">
        <v>235</v>
      </c>
      <c r="I1192" s="40" t="s">
        <v>1282</v>
      </c>
    </row>
    <row r="1193" spans="1:9" x14ac:dyDescent="0.25">
      <c r="A1193" s="40" t="s">
        <v>566</v>
      </c>
      <c r="B1193" s="28">
        <v>1480</v>
      </c>
      <c r="C1193" s="28" t="s">
        <v>35</v>
      </c>
      <c r="D1193" s="28" t="s">
        <v>38</v>
      </c>
      <c r="E1193" s="41">
        <v>46144</v>
      </c>
      <c r="F1193" s="47">
        <v>0.37980324074074073</v>
      </c>
      <c r="G1193" s="44">
        <v>6.3</v>
      </c>
      <c r="H1193" s="43" t="s">
        <v>237</v>
      </c>
      <c r="I1193" s="40" t="s">
        <v>1282</v>
      </c>
    </row>
    <row r="1194" spans="1:9" x14ac:dyDescent="0.25">
      <c r="A1194" s="40" t="s">
        <v>566</v>
      </c>
      <c r="B1194" s="28">
        <v>1480</v>
      </c>
      <c r="C1194" s="28">
        <v>5647341</v>
      </c>
      <c r="D1194" s="28"/>
      <c r="E1194" s="41">
        <v>46144</v>
      </c>
      <c r="F1194" s="47">
        <v>0.87824074074074077</v>
      </c>
      <c r="G1194" s="44">
        <v>6.3</v>
      </c>
      <c r="H1194" s="43" t="s">
        <v>235</v>
      </c>
      <c r="I1194" s="40" t="s">
        <v>1282</v>
      </c>
    </row>
    <row r="1195" spans="1:9" x14ac:dyDescent="0.25">
      <c r="A1195" s="40" t="s">
        <v>81</v>
      </c>
      <c r="B1195" s="28">
        <v>1485</v>
      </c>
      <c r="C1195" s="28" t="s">
        <v>567</v>
      </c>
      <c r="D1195" s="28"/>
      <c r="E1195" s="41">
        <v>46140</v>
      </c>
      <c r="F1195" s="47">
        <v>0.9869444444444444</v>
      </c>
      <c r="G1195" s="44">
        <v>6.3</v>
      </c>
      <c r="H1195" s="43" t="s">
        <v>235</v>
      </c>
      <c r="I1195" s="40" t="s">
        <v>1281</v>
      </c>
    </row>
    <row r="1196" spans="1:9" x14ac:dyDescent="0.25">
      <c r="A1196" s="40" t="s">
        <v>81</v>
      </c>
      <c r="B1196" s="28">
        <v>1485</v>
      </c>
      <c r="C1196" s="28" t="s">
        <v>567</v>
      </c>
      <c r="D1196" s="28"/>
      <c r="E1196" s="41">
        <v>46140</v>
      </c>
      <c r="F1196" s="47">
        <v>0.99335648148148148</v>
      </c>
      <c r="G1196" s="44">
        <v>6.3</v>
      </c>
      <c r="H1196" s="43" t="s">
        <v>236</v>
      </c>
      <c r="I1196" s="40" t="s">
        <v>1281</v>
      </c>
    </row>
    <row r="1197" spans="1:9" x14ac:dyDescent="0.25">
      <c r="A1197" s="40" t="s">
        <v>81</v>
      </c>
      <c r="B1197" s="28">
        <v>1485</v>
      </c>
      <c r="C1197" s="28">
        <v>5643892</v>
      </c>
      <c r="D1197" s="28"/>
      <c r="E1197" s="41">
        <v>46142</v>
      </c>
      <c r="F1197" s="47">
        <v>0.16075231481481481</v>
      </c>
      <c r="G1197" s="44">
        <v>6.3</v>
      </c>
      <c r="H1197" s="43" t="s">
        <v>237</v>
      </c>
      <c r="I1197" s="40" t="s">
        <v>1281</v>
      </c>
    </row>
    <row r="1198" spans="1:9" x14ac:dyDescent="0.25">
      <c r="A1198" s="40" t="s">
        <v>81</v>
      </c>
      <c r="B1198" s="28">
        <v>1485</v>
      </c>
      <c r="C1198" s="28">
        <v>5643892</v>
      </c>
      <c r="D1198" s="28" t="s">
        <v>36</v>
      </c>
      <c r="E1198" s="41">
        <v>46142</v>
      </c>
      <c r="F1198" s="47">
        <v>0.16585648148148149</v>
      </c>
      <c r="G1198" s="44">
        <v>6.3</v>
      </c>
      <c r="H1198" s="43" t="s">
        <v>234</v>
      </c>
      <c r="I1198" s="40" t="s">
        <v>1281</v>
      </c>
    </row>
    <row r="1199" spans="1:9" x14ac:dyDescent="0.25">
      <c r="A1199" s="40" t="s">
        <v>81</v>
      </c>
      <c r="B1199" s="28">
        <v>1485</v>
      </c>
      <c r="C1199" s="28">
        <v>5645935</v>
      </c>
      <c r="D1199" s="28" t="s">
        <v>37</v>
      </c>
      <c r="E1199" s="41">
        <v>46143</v>
      </c>
      <c r="F1199" s="47">
        <v>0.17878472222222222</v>
      </c>
      <c r="G1199" s="44">
        <v>6.3</v>
      </c>
      <c r="H1199" s="43" t="s">
        <v>237</v>
      </c>
      <c r="I1199" s="40" t="s">
        <v>1282</v>
      </c>
    </row>
    <row r="1200" spans="1:9" x14ac:dyDescent="0.25">
      <c r="A1200" s="40" t="s">
        <v>81</v>
      </c>
      <c r="B1200" s="28">
        <v>1485</v>
      </c>
      <c r="C1200" s="28">
        <v>5645935</v>
      </c>
      <c r="D1200" s="28" t="s">
        <v>37</v>
      </c>
      <c r="E1200" s="45">
        <v>46143</v>
      </c>
      <c r="F1200" s="48">
        <v>0.18527777777777779</v>
      </c>
      <c r="G1200" s="44">
        <v>6.3</v>
      </c>
      <c r="H1200" s="43" t="s">
        <v>234</v>
      </c>
      <c r="I1200" s="40" t="s">
        <v>1282</v>
      </c>
    </row>
    <row r="1201" spans="1:9" x14ac:dyDescent="0.25">
      <c r="A1201" s="40" t="s">
        <v>81</v>
      </c>
      <c r="B1201" s="28">
        <v>1485</v>
      </c>
      <c r="C1201" s="28">
        <v>5646822</v>
      </c>
      <c r="D1201" s="28"/>
      <c r="E1201" s="41">
        <v>46143</v>
      </c>
      <c r="F1201" s="47">
        <v>0.84894675925925922</v>
      </c>
      <c r="G1201" s="44">
        <v>6.3</v>
      </c>
      <c r="H1201" s="43" t="s">
        <v>235</v>
      </c>
      <c r="I1201" s="40" t="s">
        <v>1282</v>
      </c>
    </row>
    <row r="1202" spans="1:9" x14ac:dyDescent="0.25">
      <c r="A1202" s="40" t="s">
        <v>81</v>
      </c>
      <c r="B1202" s="28">
        <v>1485</v>
      </c>
      <c r="C1202" s="28">
        <v>5646822</v>
      </c>
      <c r="D1202" s="28"/>
      <c r="E1202" s="41">
        <v>46143</v>
      </c>
      <c r="F1202" s="47">
        <v>0.85597222222222225</v>
      </c>
      <c r="G1202" s="44">
        <v>6.3</v>
      </c>
      <c r="H1202" s="43" t="s">
        <v>239</v>
      </c>
      <c r="I1202" s="40" t="s">
        <v>1282</v>
      </c>
    </row>
    <row r="1203" spans="1:9" x14ac:dyDescent="0.25">
      <c r="A1203" s="40" t="s">
        <v>81</v>
      </c>
      <c r="B1203" s="28">
        <v>1485</v>
      </c>
      <c r="C1203" s="28">
        <v>5648318</v>
      </c>
      <c r="D1203" s="28"/>
      <c r="E1203" s="41">
        <v>46145</v>
      </c>
      <c r="F1203" s="47">
        <v>7.0868055555555559E-2</v>
      </c>
      <c r="G1203" s="44">
        <v>6.3</v>
      </c>
      <c r="H1203" s="43" t="s">
        <v>235</v>
      </c>
      <c r="I1203" s="40" t="s">
        <v>1282</v>
      </c>
    </row>
    <row r="1204" spans="1:9" x14ac:dyDescent="0.25">
      <c r="A1204" s="40" t="s">
        <v>81</v>
      </c>
      <c r="B1204" s="28">
        <v>1485</v>
      </c>
      <c r="C1204" s="28">
        <v>5648318</v>
      </c>
      <c r="D1204" s="28"/>
      <c r="E1204" s="41">
        <v>46145</v>
      </c>
      <c r="F1204" s="47">
        <v>7.7754629629629632E-2</v>
      </c>
      <c r="G1204" s="44">
        <v>6.3</v>
      </c>
      <c r="H1204" s="43" t="s">
        <v>236</v>
      </c>
      <c r="I1204" s="40" t="s">
        <v>1282</v>
      </c>
    </row>
    <row r="1205" spans="1:9" x14ac:dyDescent="0.25">
      <c r="A1205" s="40" t="s">
        <v>197</v>
      </c>
      <c r="B1205" s="28">
        <v>1524</v>
      </c>
      <c r="C1205" s="28" t="s">
        <v>35</v>
      </c>
      <c r="D1205" s="28" t="s">
        <v>38</v>
      </c>
      <c r="E1205" s="41">
        <v>46139</v>
      </c>
      <c r="F1205" s="47">
        <v>0.1935763888888889</v>
      </c>
      <c r="G1205" s="44">
        <v>6.3</v>
      </c>
      <c r="H1205" s="43" t="s">
        <v>237</v>
      </c>
      <c r="I1205" s="40" t="s">
        <v>1281</v>
      </c>
    </row>
    <row r="1206" spans="1:9" x14ac:dyDescent="0.25">
      <c r="A1206" s="40" t="s">
        <v>197</v>
      </c>
      <c r="B1206" s="28">
        <v>1524</v>
      </c>
      <c r="C1206" s="28" t="s">
        <v>35</v>
      </c>
      <c r="D1206" s="28" t="s">
        <v>38</v>
      </c>
      <c r="E1206" s="41">
        <v>46139</v>
      </c>
      <c r="F1206" s="47">
        <v>0.19954861111111111</v>
      </c>
      <c r="G1206" s="44">
        <v>6.3</v>
      </c>
      <c r="H1206" s="43" t="s">
        <v>234</v>
      </c>
      <c r="I1206" s="40" t="s">
        <v>1281</v>
      </c>
    </row>
    <row r="1207" spans="1:9" x14ac:dyDescent="0.25">
      <c r="A1207" s="40" t="s">
        <v>197</v>
      </c>
      <c r="B1207" s="28">
        <v>1524</v>
      </c>
      <c r="C1207" s="28">
        <v>5638535</v>
      </c>
      <c r="D1207" s="28"/>
      <c r="E1207" s="41">
        <v>46139</v>
      </c>
      <c r="F1207" s="47">
        <v>0.58208333333333329</v>
      </c>
      <c r="G1207" s="44">
        <v>6.3</v>
      </c>
      <c r="H1207" s="43" t="s">
        <v>235</v>
      </c>
      <c r="I1207" s="40" t="s">
        <v>1281</v>
      </c>
    </row>
    <row r="1208" spans="1:9" x14ac:dyDescent="0.25">
      <c r="A1208" s="40" t="s">
        <v>197</v>
      </c>
      <c r="B1208" s="28">
        <v>1524</v>
      </c>
      <c r="C1208" s="28">
        <v>5638535</v>
      </c>
      <c r="D1208" s="28"/>
      <c r="E1208" s="45">
        <v>46139</v>
      </c>
      <c r="F1208" s="48">
        <v>0.5900347222222222</v>
      </c>
      <c r="G1208" s="44">
        <v>6.3</v>
      </c>
      <c r="H1208" s="43" t="s">
        <v>236</v>
      </c>
      <c r="I1208" s="40" t="s">
        <v>1281</v>
      </c>
    </row>
    <row r="1209" spans="1:9" x14ac:dyDescent="0.25">
      <c r="A1209" s="40" t="s">
        <v>197</v>
      </c>
      <c r="B1209" s="28">
        <v>1524</v>
      </c>
      <c r="C1209" s="28">
        <v>5639304</v>
      </c>
      <c r="D1209" s="28"/>
      <c r="E1209" s="41">
        <v>46140</v>
      </c>
      <c r="F1209" s="47">
        <v>0.54135416666666669</v>
      </c>
      <c r="G1209" s="44">
        <v>6.3</v>
      </c>
      <c r="H1209" s="43" t="s">
        <v>237</v>
      </c>
      <c r="I1209" s="40" t="s">
        <v>1281</v>
      </c>
    </row>
    <row r="1210" spans="1:9" x14ac:dyDescent="0.25">
      <c r="A1210" s="40" t="s">
        <v>197</v>
      </c>
      <c r="B1210" s="28">
        <v>1524</v>
      </c>
      <c r="C1210" s="28">
        <v>5639304</v>
      </c>
      <c r="D1210" s="28"/>
      <c r="E1210" s="41">
        <v>46140</v>
      </c>
      <c r="F1210" s="47">
        <v>0.54752314814814818</v>
      </c>
      <c r="G1210" s="44">
        <v>6.3</v>
      </c>
      <c r="H1210" s="43" t="s">
        <v>234</v>
      </c>
      <c r="I1210" s="40" t="s">
        <v>1281</v>
      </c>
    </row>
    <row r="1211" spans="1:9" x14ac:dyDescent="0.25">
      <c r="A1211" s="40" t="s">
        <v>197</v>
      </c>
      <c r="B1211" s="28">
        <v>1524</v>
      </c>
      <c r="C1211" s="28">
        <v>5642249</v>
      </c>
      <c r="D1211" s="28"/>
      <c r="E1211" s="41">
        <v>46141</v>
      </c>
      <c r="F1211" s="47">
        <v>0.40782407407407406</v>
      </c>
      <c r="G1211" s="44">
        <v>6.3</v>
      </c>
      <c r="H1211" s="43" t="s">
        <v>234</v>
      </c>
      <c r="I1211" s="40" t="s">
        <v>1281</v>
      </c>
    </row>
    <row r="1212" spans="1:9" x14ac:dyDescent="0.25">
      <c r="A1212" s="40" t="s">
        <v>197</v>
      </c>
      <c r="B1212" s="28">
        <v>1524</v>
      </c>
      <c r="C1212" s="28" t="s">
        <v>35</v>
      </c>
      <c r="D1212" s="28" t="s">
        <v>38</v>
      </c>
      <c r="E1212" s="41">
        <v>46141</v>
      </c>
      <c r="F1212" s="47">
        <v>0.78959490740740745</v>
      </c>
      <c r="G1212" s="44">
        <v>6.3</v>
      </c>
      <c r="H1212" s="43" t="s">
        <v>234</v>
      </c>
      <c r="I1212" s="40" t="s">
        <v>1281</v>
      </c>
    </row>
    <row r="1213" spans="1:9" x14ac:dyDescent="0.25">
      <c r="A1213" s="40" t="s">
        <v>197</v>
      </c>
      <c r="B1213" s="28">
        <v>1524</v>
      </c>
      <c r="C1213" s="28">
        <v>5643783</v>
      </c>
      <c r="D1213" s="28"/>
      <c r="E1213" s="41">
        <v>46141</v>
      </c>
      <c r="F1213" s="47">
        <v>0.9289236111111111</v>
      </c>
      <c r="G1213" s="44">
        <v>6.3</v>
      </c>
      <c r="H1213" s="43" t="s">
        <v>235</v>
      </c>
      <c r="I1213" s="40" t="s">
        <v>1281</v>
      </c>
    </row>
    <row r="1214" spans="1:9" x14ac:dyDescent="0.25">
      <c r="A1214" s="40" t="s">
        <v>197</v>
      </c>
      <c r="B1214" s="28">
        <v>1524</v>
      </c>
      <c r="C1214" s="28">
        <v>5643783</v>
      </c>
      <c r="D1214" s="28"/>
      <c r="E1214" s="41">
        <v>46141</v>
      </c>
      <c r="F1214" s="47">
        <v>0.93805555555555553</v>
      </c>
      <c r="G1214" s="42">
        <v>6.3</v>
      </c>
      <c r="H1214" s="40" t="s">
        <v>236</v>
      </c>
      <c r="I1214" s="40" t="s">
        <v>1281</v>
      </c>
    </row>
    <row r="1215" spans="1:9" x14ac:dyDescent="0.25">
      <c r="A1215" s="40" t="s">
        <v>197</v>
      </c>
      <c r="B1215" s="28">
        <v>1524</v>
      </c>
      <c r="C1215" s="28" t="s">
        <v>35</v>
      </c>
      <c r="D1215" s="28" t="s">
        <v>38</v>
      </c>
      <c r="E1215" s="45">
        <v>46142</v>
      </c>
      <c r="F1215" s="48">
        <v>0.34910879629629632</v>
      </c>
      <c r="G1215" s="42">
        <v>6.3</v>
      </c>
      <c r="H1215" s="40" t="s">
        <v>233</v>
      </c>
      <c r="I1215" s="40" t="s">
        <v>1281</v>
      </c>
    </row>
    <row r="1216" spans="1:9" x14ac:dyDescent="0.25">
      <c r="A1216" s="40" t="s">
        <v>197</v>
      </c>
      <c r="B1216" s="28">
        <v>1524</v>
      </c>
      <c r="C1216" s="28">
        <v>5644494</v>
      </c>
      <c r="D1216" s="28"/>
      <c r="E1216" s="41">
        <v>46142</v>
      </c>
      <c r="F1216" s="47">
        <v>0.72259259259259256</v>
      </c>
      <c r="G1216" s="44">
        <v>6.3</v>
      </c>
      <c r="H1216" s="43" t="s">
        <v>237</v>
      </c>
      <c r="I1216" s="40" t="s">
        <v>1281</v>
      </c>
    </row>
    <row r="1217" spans="1:9" x14ac:dyDescent="0.25">
      <c r="A1217" s="40" t="s">
        <v>197</v>
      </c>
      <c r="B1217" s="28">
        <v>1524</v>
      </c>
      <c r="C1217" s="28">
        <v>5644494</v>
      </c>
      <c r="D1217" s="28"/>
      <c r="E1217" s="41">
        <v>46142</v>
      </c>
      <c r="F1217" s="47">
        <v>0.744537037037037</v>
      </c>
      <c r="G1217" s="44">
        <v>6.3</v>
      </c>
      <c r="H1217" s="43" t="s">
        <v>234</v>
      </c>
      <c r="I1217" s="40" t="s">
        <v>1281</v>
      </c>
    </row>
    <row r="1218" spans="1:9" x14ac:dyDescent="0.25">
      <c r="A1218" s="40" t="s">
        <v>197</v>
      </c>
      <c r="B1218" s="28">
        <v>1524</v>
      </c>
      <c r="C1218" s="28" t="s">
        <v>35</v>
      </c>
      <c r="D1218" s="28" t="s">
        <v>38</v>
      </c>
      <c r="E1218" s="41">
        <v>46143</v>
      </c>
      <c r="F1218" s="47">
        <v>0.79401620370370374</v>
      </c>
      <c r="G1218" s="44">
        <v>6.3</v>
      </c>
      <c r="H1218" s="43" t="s">
        <v>237</v>
      </c>
      <c r="I1218" s="40" t="s">
        <v>1282</v>
      </c>
    </row>
    <row r="1219" spans="1:9" x14ac:dyDescent="0.25">
      <c r="A1219" s="40" t="s">
        <v>197</v>
      </c>
      <c r="B1219" s="28">
        <v>1524</v>
      </c>
      <c r="C1219" s="28" t="s">
        <v>35</v>
      </c>
      <c r="D1219" s="28" t="s">
        <v>38</v>
      </c>
      <c r="E1219" s="41">
        <v>46143</v>
      </c>
      <c r="F1219" s="47">
        <v>0.79997685185185186</v>
      </c>
      <c r="G1219" s="44">
        <v>6.3</v>
      </c>
      <c r="H1219" s="43" t="s">
        <v>234</v>
      </c>
      <c r="I1219" s="40" t="s">
        <v>1282</v>
      </c>
    </row>
    <row r="1220" spans="1:9" x14ac:dyDescent="0.25">
      <c r="A1220" s="40" t="s">
        <v>197</v>
      </c>
      <c r="B1220" s="28">
        <v>1524</v>
      </c>
      <c r="C1220" s="28">
        <v>5648036</v>
      </c>
      <c r="D1220" s="28"/>
      <c r="E1220" s="41">
        <v>46144</v>
      </c>
      <c r="F1220" s="47">
        <v>0.81093749999999998</v>
      </c>
      <c r="G1220" s="44">
        <v>6.3</v>
      </c>
      <c r="H1220" s="43" t="s">
        <v>235</v>
      </c>
      <c r="I1220" s="40" t="s">
        <v>1282</v>
      </c>
    </row>
    <row r="1221" spans="1:9" x14ac:dyDescent="0.25">
      <c r="A1221" s="40" t="s">
        <v>197</v>
      </c>
      <c r="B1221" s="28">
        <v>1524</v>
      </c>
      <c r="C1221" s="28">
        <v>5648036</v>
      </c>
      <c r="D1221" s="28"/>
      <c r="E1221" s="45">
        <v>46144</v>
      </c>
      <c r="F1221" s="48">
        <v>0.81878472222222221</v>
      </c>
      <c r="G1221" s="44">
        <v>6.3</v>
      </c>
      <c r="H1221" s="43" t="s">
        <v>236</v>
      </c>
      <c r="I1221" s="40" t="s">
        <v>1282</v>
      </c>
    </row>
    <row r="1222" spans="1:9" x14ac:dyDescent="0.25">
      <c r="A1222" s="40" t="s">
        <v>197</v>
      </c>
      <c r="B1222" s="28">
        <v>1524</v>
      </c>
      <c r="C1222" s="28" t="s">
        <v>35</v>
      </c>
      <c r="D1222" s="28" t="s">
        <v>38</v>
      </c>
      <c r="E1222" s="41">
        <v>46144</v>
      </c>
      <c r="F1222" s="47">
        <v>0.8279050925925926</v>
      </c>
      <c r="G1222" s="44">
        <v>6.3</v>
      </c>
      <c r="H1222" s="43" t="s">
        <v>237</v>
      </c>
      <c r="I1222" s="40" t="s">
        <v>1282</v>
      </c>
    </row>
    <row r="1223" spans="1:9" x14ac:dyDescent="0.25">
      <c r="A1223" s="40" t="s">
        <v>197</v>
      </c>
      <c r="B1223" s="28">
        <v>1524</v>
      </c>
      <c r="C1223" s="28" t="s">
        <v>35</v>
      </c>
      <c r="D1223" s="28" t="s">
        <v>38</v>
      </c>
      <c r="E1223" s="41">
        <v>46144</v>
      </c>
      <c r="F1223" s="47">
        <v>0.83711805555555552</v>
      </c>
      <c r="G1223" s="44">
        <v>6.3</v>
      </c>
      <c r="H1223" s="43" t="s">
        <v>234</v>
      </c>
      <c r="I1223" s="40" t="s">
        <v>1282</v>
      </c>
    </row>
    <row r="1224" spans="1:9" x14ac:dyDescent="0.25">
      <c r="A1224" s="40" t="s">
        <v>197</v>
      </c>
      <c r="B1224" s="28">
        <v>1524</v>
      </c>
      <c r="C1224" s="28" t="s">
        <v>35</v>
      </c>
      <c r="D1224" s="28" t="s">
        <v>38</v>
      </c>
      <c r="E1224" s="41">
        <v>46145</v>
      </c>
      <c r="F1224" s="47">
        <v>0.29790509259259257</v>
      </c>
      <c r="G1224" s="44">
        <v>6.3</v>
      </c>
      <c r="H1224" s="43" t="s">
        <v>237</v>
      </c>
      <c r="I1224" s="40" t="s">
        <v>1282</v>
      </c>
    </row>
    <row r="1225" spans="1:9" x14ac:dyDescent="0.25">
      <c r="A1225" s="40" t="s">
        <v>197</v>
      </c>
      <c r="B1225" s="28">
        <v>1524</v>
      </c>
      <c r="C1225" s="28" t="s">
        <v>568</v>
      </c>
      <c r="D1225" s="28"/>
      <c r="E1225" s="41">
        <v>46145</v>
      </c>
      <c r="F1225" s="47">
        <v>0.48086805555555556</v>
      </c>
      <c r="G1225" s="44">
        <v>6.3</v>
      </c>
      <c r="H1225" s="43" t="s">
        <v>235</v>
      </c>
      <c r="I1225" s="40" t="s">
        <v>1282</v>
      </c>
    </row>
    <row r="1226" spans="1:9" x14ac:dyDescent="0.25">
      <c r="A1226" s="40" t="s">
        <v>197</v>
      </c>
      <c r="B1226" s="28">
        <v>1524</v>
      </c>
      <c r="C1226" s="28" t="s">
        <v>568</v>
      </c>
      <c r="D1226" s="28"/>
      <c r="E1226" s="41">
        <v>46145</v>
      </c>
      <c r="F1226" s="47">
        <v>0.48943287037037037</v>
      </c>
      <c r="G1226" s="44">
        <v>6.3</v>
      </c>
      <c r="H1226" s="43" t="s">
        <v>236</v>
      </c>
      <c r="I1226" s="40" t="s">
        <v>1282</v>
      </c>
    </row>
    <row r="1227" spans="1:9" x14ac:dyDescent="0.25">
      <c r="A1227" s="40" t="s">
        <v>197</v>
      </c>
      <c r="B1227" s="28">
        <v>1524</v>
      </c>
      <c r="C1227" s="28">
        <v>5648520</v>
      </c>
      <c r="D1227" s="28"/>
      <c r="E1227" s="41">
        <v>46145</v>
      </c>
      <c r="F1227" s="47">
        <v>0.59085648148148151</v>
      </c>
      <c r="G1227" s="44">
        <v>6.3</v>
      </c>
      <c r="H1227" s="43" t="s">
        <v>237</v>
      </c>
      <c r="I1227" s="40" t="s">
        <v>1282</v>
      </c>
    </row>
    <row r="1228" spans="1:9" x14ac:dyDescent="0.25">
      <c r="A1228" s="40" t="s">
        <v>197</v>
      </c>
      <c r="B1228" s="28">
        <v>1524</v>
      </c>
      <c r="C1228" s="28">
        <v>5648520</v>
      </c>
      <c r="D1228" s="28"/>
      <c r="E1228" s="45">
        <v>46145</v>
      </c>
      <c r="F1228" s="48">
        <v>0.59755787037037034</v>
      </c>
      <c r="G1228" s="44">
        <v>6.3</v>
      </c>
      <c r="H1228" s="43" t="s">
        <v>234</v>
      </c>
      <c r="I1228" s="40" t="s">
        <v>1282</v>
      </c>
    </row>
    <row r="1229" spans="1:9" x14ac:dyDescent="0.25">
      <c r="A1229" s="40" t="s">
        <v>197</v>
      </c>
      <c r="B1229" s="28">
        <v>1524</v>
      </c>
      <c r="C1229" s="28">
        <v>5648849</v>
      </c>
      <c r="D1229" s="28"/>
      <c r="E1229" s="41">
        <v>46145</v>
      </c>
      <c r="F1229" s="47">
        <v>0.64951388888888884</v>
      </c>
      <c r="G1229" s="44">
        <v>6.3</v>
      </c>
      <c r="H1229" s="43" t="s">
        <v>235</v>
      </c>
      <c r="I1229" s="40" t="s">
        <v>1282</v>
      </c>
    </row>
    <row r="1230" spans="1:9" x14ac:dyDescent="0.25">
      <c r="A1230" s="40" t="s">
        <v>197</v>
      </c>
      <c r="B1230" s="28">
        <v>1524</v>
      </c>
      <c r="C1230" s="28">
        <v>5648849</v>
      </c>
      <c r="D1230" s="28"/>
      <c r="E1230" s="41">
        <v>46145</v>
      </c>
      <c r="F1230" s="47">
        <v>0.6570138888888889</v>
      </c>
      <c r="G1230" s="44">
        <v>6.3</v>
      </c>
      <c r="H1230" s="43" t="s">
        <v>236</v>
      </c>
      <c r="I1230" s="40" t="s">
        <v>1282</v>
      </c>
    </row>
    <row r="1231" spans="1:9" x14ac:dyDescent="0.25">
      <c r="A1231" s="40" t="s">
        <v>197</v>
      </c>
      <c r="B1231" s="28">
        <v>1524</v>
      </c>
      <c r="C1231" s="28" t="s">
        <v>569</v>
      </c>
      <c r="D1231" s="28"/>
      <c r="E1231" s="41">
        <v>46145</v>
      </c>
      <c r="F1231" s="47">
        <v>0.73947916666666669</v>
      </c>
      <c r="G1231" s="44">
        <v>6.3</v>
      </c>
      <c r="H1231" s="43" t="s">
        <v>235</v>
      </c>
      <c r="I1231" s="40" t="s">
        <v>1282</v>
      </c>
    </row>
    <row r="1232" spans="1:9" x14ac:dyDescent="0.25">
      <c r="A1232" s="40" t="s">
        <v>197</v>
      </c>
      <c r="B1232" s="28">
        <v>1524</v>
      </c>
      <c r="C1232" s="28" t="s">
        <v>569</v>
      </c>
      <c r="D1232" s="28"/>
      <c r="E1232" s="41">
        <v>46145</v>
      </c>
      <c r="F1232" s="47">
        <v>0.74665509259259255</v>
      </c>
      <c r="G1232" s="44">
        <v>6.3</v>
      </c>
      <c r="H1232" s="43" t="s">
        <v>236</v>
      </c>
      <c r="I1232" s="40" t="s">
        <v>1282</v>
      </c>
    </row>
    <row r="1233" spans="1:9" x14ac:dyDescent="0.25">
      <c r="A1233" s="40" t="s">
        <v>197</v>
      </c>
      <c r="B1233" s="28">
        <v>1524</v>
      </c>
      <c r="C1233" s="28">
        <v>5648045</v>
      </c>
      <c r="D1233" s="28"/>
      <c r="E1233" s="41">
        <v>46145</v>
      </c>
      <c r="F1233" s="47">
        <v>0.87837962962962968</v>
      </c>
      <c r="G1233" s="44">
        <v>6.3</v>
      </c>
      <c r="H1233" s="43" t="s">
        <v>235</v>
      </c>
      <c r="I1233" s="40" t="s">
        <v>1282</v>
      </c>
    </row>
    <row r="1234" spans="1:9" x14ac:dyDescent="0.25">
      <c r="A1234" s="40" t="s">
        <v>197</v>
      </c>
      <c r="B1234" s="28">
        <v>1524</v>
      </c>
      <c r="C1234" s="28">
        <v>5648045</v>
      </c>
      <c r="D1234" s="28"/>
      <c r="E1234" s="41">
        <v>46145</v>
      </c>
      <c r="F1234" s="47">
        <v>0.88612268518518522</v>
      </c>
      <c r="G1234" s="44">
        <v>6.3</v>
      </c>
      <c r="H1234" s="43" t="s">
        <v>236</v>
      </c>
      <c r="I1234" s="40" t="s">
        <v>1282</v>
      </c>
    </row>
    <row r="1235" spans="1:9" x14ac:dyDescent="0.25">
      <c r="A1235" s="40" t="s">
        <v>91</v>
      </c>
      <c r="B1235" s="28">
        <v>1532</v>
      </c>
      <c r="C1235" s="28" t="s">
        <v>35</v>
      </c>
      <c r="D1235" s="28" t="s">
        <v>38</v>
      </c>
      <c r="E1235" s="41">
        <v>46139</v>
      </c>
      <c r="F1235" s="47">
        <v>0.98866898148148152</v>
      </c>
      <c r="G1235" s="44">
        <v>6.3</v>
      </c>
      <c r="H1235" s="43" t="s">
        <v>235</v>
      </c>
      <c r="I1235" s="40" t="s">
        <v>1281</v>
      </c>
    </row>
    <row r="1236" spans="1:9" x14ac:dyDescent="0.25">
      <c r="A1236" s="40" t="s">
        <v>91</v>
      </c>
      <c r="B1236" s="28">
        <v>1532</v>
      </c>
      <c r="C1236" s="28" t="s">
        <v>35</v>
      </c>
      <c r="D1236" s="28" t="s">
        <v>38</v>
      </c>
      <c r="E1236" s="41">
        <v>46139</v>
      </c>
      <c r="F1236" s="47">
        <v>0.99579861111111112</v>
      </c>
      <c r="G1236" s="44">
        <v>6.3</v>
      </c>
      <c r="H1236" s="43" t="s">
        <v>236</v>
      </c>
      <c r="I1236" s="40" t="s">
        <v>1281</v>
      </c>
    </row>
    <row r="1237" spans="1:9" x14ac:dyDescent="0.25">
      <c r="A1237" s="40" t="s">
        <v>91</v>
      </c>
      <c r="B1237" s="28">
        <v>1532</v>
      </c>
      <c r="C1237" s="28" t="s">
        <v>35</v>
      </c>
      <c r="D1237" s="28" t="s">
        <v>38</v>
      </c>
      <c r="E1237" s="41">
        <v>46141</v>
      </c>
      <c r="F1237" s="47">
        <v>0.66744212962962968</v>
      </c>
      <c r="G1237" s="44">
        <v>6.3</v>
      </c>
      <c r="H1237" s="43" t="s">
        <v>233</v>
      </c>
      <c r="I1237" s="40" t="s">
        <v>1281</v>
      </c>
    </row>
    <row r="1238" spans="1:9" x14ac:dyDescent="0.25">
      <c r="A1238" s="40" t="s">
        <v>91</v>
      </c>
      <c r="B1238" s="28">
        <v>1532</v>
      </c>
      <c r="C1238" s="28" t="s">
        <v>35</v>
      </c>
      <c r="D1238" s="28" t="s">
        <v>38</v>
      </c>
      <c r="E1238" s="41">
        <v>46141</v>
      </c>
      <c r="F1238" s="47">
        <v>0.67328703703703707</v>
      </c>
      <c r="G1238" s="44">
        <v>6.3</v>
      </c>
      <c r="H1238" s="43" t="s">
        <v>234</v>
      </c>
      <c r="I1238" s="40" t="s">
        <v>1281</v>
      </c>
    </row>
    <row r="1239" spans="1:9" x14ac:dyDescent="0.25">
      <c r="A1239" s="40" t="s">
        <v>91</v>
      </c>
      <c r="B1239" s="28">
        <v>1532</v>
      </c>
      <c r="C1239" s="28" t="s">
        <v>35</v>
      </c>
      <c r="D1239" s="28" t="s">
        <v>38</v>
      </c>
      <c r="E1239" s="41">
        <v>46144</v>
      </c>
      <c r="F1239" s="47">
        <v>0.61564814814814817</v>
      </c>
      <c r="G1239" s="44">
        <v>6.3</v>
      </c>
      <c r="H1239" s="43" t="s">
        <v>233</v>
      </c>
      <c r="I1239" s="40" t="s">
        <v>1282</v>
      </c>
    </row>
    <row r="1240" spans="1:9" x14ac:dyDescent="0.25">
      <c r="A1240" s="40" t="s">
        <v>91</v>
      </c>
      <c r="B1240" s="28">
        <v>1532</v>
      </c>
      <c r="C1240" s="28" t="s">
        <v>35</v>
      </c>
      <c r="D1240" s="28" t="s">
        <v>38</v>
      </c>
      <c r="E1240" s="41">
        <v>46144</v>
      </c>
      <c r="F1240" s="47">
        <v>0.62188657407407411</v>
      </c>
      <c r="G1240" s="44">
        <v>6.3</v>
      </c>
      <c r="H1240" s="43" t="s">
        <v>234</v>
      </c>
      <c r="I1240" s="40" t="s">
        <v>1282</v>
      </c>
    </row>
    <row r="1241" spans="1:9" x14ac:dyDescent="0.25">
      <c r="A1241" s="40" t="s">
        <v>219</v>
      </c>
      <c r="B1241" s="28">
        <v>1537</v>
      </c>
      <c r="C1241" s="28" t="s">
        <v>570</v>
      </c>
      <c r="D1241" s="28"/>
      <c r="E1241" s="41">
        <v>46139</v>
      </c>
      <c r="F1241" s="47">
        <v>0.24118055555555556</v>
      </c>
      <c r="G1241" s="44">
        <v>6.3</v>
      </c>
      <c r="H1241" s="43" t="s">
        <v>235</v>
      </c>
      <c r="I1241" s="40" t="s">
        <v>1281</v>
      </c>
    </row>
    <row r="1242" spans="1:9" x14ac:dyDescent="0.25">
      <c r="A1242" s="40" t="s">
        <v>219</v>
      </c>
      <c r="B1242" s="28">
        <v>1537</v>
      </c>
      <c r="C1242" s="28" t="s">
        <v>570</v>
      </c>
      <c r="D1242" s="28"/>
      <c r="E1242" s="41">
        <v>46139</v>
      </c>
      <c r="F1242" s="47">
        <v>0.25199074074074074</v>
      </c>
      <c r="G1242" s="44">
        <v>6.3</v>
      </c>
      <c r="H1242" s="43" t="s">
        <v>236</v>
      </c>
      <c r="I1242" s="40" t="s">
        <v>1281</v>
      </c>
    </row>
    <row r="1243" spans="1:9" x14ac:dyDescent="0.25">
      <c r="A1243" s="40" t="s">
        <v>219</v>
      </c>
      <c r="B1243" s="28">
        <v>1537</v>
      </c>
      <c r="C1243" s="28" t="s">
        <v>571</v>
      </c>
      <c r="D1243" s="28"/>
      <c r="E1243" s="41">
        <v>46139</v>
      </c>
      <c r="F1243" s="47">
        <v>0.37459490740740742</v>
      </c>
      <c r="G1243" s="44">
        <v>6.3</v>
      </c>
      <c r="H1243" s="43" t="s">
        <v>234</v>
      </c>
      <c r="I1243" s="40" t="s">
        <v>1281</v>
      </c>
    </row>
    <row r="1244" spans="1:9" x14ac:dyDescent="0.25">
      <c r="A1244" s="40" t="s">
        <v>219</v>
      </c>
      <c r="B1244" s="28">
        <v>1537</v>
      </c>
      <c r="C1244" s="28">
        <v>5639343</v>
      </c>
      <c r="D1244" s="28"/>
      <c r="E1244" s="41">
        <v>46139</v>
      </c>
      <c r="F1244" s="47">
        <v>0.86457175925925922</v>
      </c>
      <c r="G1244" s="44">
        <v>6.3</v>
      </c>
      <c r="H1244" s="43" t="s">
        <v>237</v>
      </c>
      <c r="I1244" s="40" t="s">
        <v>1281</v>
      </c>
    </row>
    <row r="1245" spans="1:9" x14ac:dyDescent="0.25">
      <c r="A1245" s="40" t="s">
        <v>219</v>
      </c>
      <c r="B1245" s="28">
        <v>1537</v>
      </c>
      <c r="C1245" s="28">
        <v>5639343</v>
      </c>
      <c r="D1245" s="28"/>
      <c r="E1245" s="41">
        <v>46139</v>
      </c>
      <c r="F1245" s="47">
        <v>0.88754629629629633</v>
      </c>
      <c r="G1245" s="44">
        <v>6.3</v>
      </c>
      <c r="H1245" s="43" t="s">
        <v>234</v>
      </c>
      <c r="I1245" s="40" t="s">
        <v>1281</v>
      </c>
    </row>
    <row r="1246" spans="1:9" x14ac:dyDescent="0.25">
      <c r="A1246" s="40" t="s">
        <v>219</v>
      </c>
      <c r="B1246" s="28">
        <v>1537</v>
      </c>
      <c r="C1246" s="28" t="s">
        <v>35</v>
      </c>
      <c r="D1246" s="28" t="s">
        <v>38</v>
      </c>
      <c r="E1246" s="41">
        <v>46140</v>
      </c>
      <c r="F1246" s="47">
        <v>0.43748842592592591</v>
      </c>
      <c r="G1246" s="44">
        <v>6.3</v>
      </c>
      <c r="H1246" s="43" t="s">
        <v>237</v>
      </c>
      <c r="I1246" s="40" t="s">
        <v>1281</v>
      </c>
    </row>
    <row r="1247" spans="1:9" x14ac:dyDescent="0.25">
      <c r="A1247" s="40" t="s">
        <v>219</v>
      </c>
      <c r="B1247" s="28">
        <v>1537</v>
      </c>
      <c r="C1247" s="28" t="s">
        <v>35</v>
      </c>
      <c r="D1247" s="28" t="s">
        <v>38</v>
      </c>
      <c r="E1247" s="41">
        <v>46140</v>
      </c>
      <c r="F1247" s="47">
        <v>0.44825231481481481</v>
      </c>
      <c r="G1247" s="44">
        <v>6.3</v>
      </c>
      <c r="H1247" s="43" t="s">
        <v>234</v>
      </c>
      <c r="I1247" s="40" t="s">
        <v>1281</v>
      </c>
    </row>
    <row r="1248" spans="1:9" x14ac:dyDescent="0.25">
      <c r="A1248" s="40" t="s">
        <v>219</v>
      </c>
      <c r="B1248" s="28">
        <v>1537</v>
      </c>
      <c r="C1248" s="28">
        <v>5638367</v>
      </c>
      <c r="D1248" s="28"/>
      <c r="E1248" s="41">
        <v>46140</v>
      </c>
      <c r="F1248" s="47">
        <v>0.59747685185185184</v>
      </c>
      <c r="G1248" s="44">
        <v>6.3</v>
      </c>
      <c r="H1248" s="43" t="s">
        <v>235</v>
      </c>
      <c r="I1248" s="40" t="s">
        <v>1281</v>
      </c>
    </row>
    <row r="1249" spans="1:9" x14ac:dyDescent="0.25">
      <c r="A1249" s="40" t="s">
        <v>219</v>
      </c>
      <c r="B1249" s="28">
        <v>1537</v>
      </c>
      <c r="C1249" s="28">
        <v>5638367</v>
      </c>
      <c r="D1249" s="28"/>
      <c r="E1249" s="41">
        <v>46140</v>
      </c>
      <c r="F1249" s="47">
        <v>0.6086111111111111</v>
      </c>
      <c r="G1249" s="44">
        <v>6.3</v>
      </c>
      <c r="H1249" s="43" t="s">
        <v>236</v>
      </c>
      <c r="I1249" s="40" t="s">
        <v>1281</v>
      </c>
    </row>
    <row r="1250" spans="1:9" x14ac:dyDescent="0.25">
      <c r="A1250" s="40" t="s">
        <v>219</v>
      </c>
      <c r="B1250" s="28">
        <v>1537</v>
      </c>
      <c r="C1250" s="28">
        <v>5641812</v>
      </c>
      <c r="D1250" s="28"/>
      <c r="E1250" s="41">
        <v>46141</v>
      </c>
      <c r="F1250" s="47">
        <v>0.32374999999999998</v>
      </c>
      <c r="G1250" s="44">
        <v>6.3</v>
      </c>
      <c r="H1250" s="43" t="s">
        <v>235</v>
      </c>
      <c r="I1250" s="40" t="s">
        <v>1281</v>
      </c>
    </row>
    <row r="1251" spans="1:9" x14ac:dyDescent="0.25">
      <c r="A1251" s="40" t="s">
        <v>219</v>
      </c>
      <c r="B1251" s="28">
        <v>1537</v>
      </c>
      <c r="C1251" s="28">
        <v>5641812</v>
      </c>
      <c r="D1251" s="28"/>
      <c r="E1251" s="41">
        <v>46141</v>
      </c>
      <c r="F1251" s="47">
        <v>0.34462962962962962</v>
      </c>
      <c r="G1251" s="44">
        <v>6.3</v>
      </c>
      <c r="H1251" s="43" t="s">
        <v>239</v>
      </c>
      <c r="I1251" s="40" t="s">
        <v>1281</v>
      </c>
    </row>
    <row r="1252" spans="1:9" x14ac:dyDescent="0.25">
      <c r="A1252" s="40" t="s">
        <v>219</v>
      </c>
      <c r="B1252" s="28">
        <v>1537</v>
      </c>
      <c r="C1252" s="28" t="s">
        <v>572</v>
      </c>
      <c r="D1252" s="28"/>
      <c r="E1252" s="45">
        <v>46141</v>
      </c>
      <c r="F1252" s="48">
        <v>0.38045138888888891</v>
      </c>
      <c r="G1252" s="44">
        <v>6.3</v>
      </c>
      <c r="H1252" s="43" t="s">
        <v>234</v>
      </c>
      <c r="I1252" s="40" t="s">
        <v>1281</v>
      </c>
    </row>
    <row r="1253" spans="1:9" x14ac:dyDescent="0.25">
      <c r="A1253" s="40" t="s">
        <v>219</v>
      </c>
      <c r="B1253" s="28">
        <v>1537</v>
      </c>
      <c r="C1253" s="28">
        <v>5642314</v>
      </c>
      <c r="D1253" s="28"/>
      <c r="E1253" s="41">
        <v>46141</v>
      </c>
      <c r="F1253" s="47">
        <v>0.42188657407407409</v>
      </c>
      <c r="G1253" s="44">
        <v>6.3</v>
      </c>
      <c r="H1253" s="43" t="s">
        <v>235</v>
      </c>
      <c r="I1253" s="40" t="s">
        <v>1281</v>
      </c>
    </row>
    <row r="1254" spans="1:9" x14ac:dyDescent="0.25">
      <c r="A1254" s="40" t="s">
        <v>219</v>
      </c>
      <c r="B1254" s="28">
        <v>1537</v>
      </c>
      <c r="C1254" s="28" t="s">
        <v>573</v>
      </c>
      <c r="D1254" s="28"/>
      <c r="E1254" s="41">
        <v>46141</v>
      </c>
      <c r="F1254" s="47">
        <v>0.63783564814814819</v>
      </c>
      <c r="G1254" s="44">
        <v>6.3</v>
      </c>
      <c r="H1254" s="43" t="s">
        <v>235</v>
      </c>
      <c r="I1254" s="40" t="s">
        <v>1281</v>
      </c>
    </row>
    <row r="1255" spans="1:9" x14ac:dyDescent="0.25">
      <c r="A1255" s="40" t="s">
        <v>219</v>
      </c>
      <c r="B1255" s="28">
        <v>1537</v>
      </c>
      <c r="C1255" s="28" t="s">
        <v>573</v>
      </c>
      <c r="D1255" s="28"/>
      <c r="E1255" s="45">
        <v>46141</v>
      </c>
      <c r="F1255" s="48">
        <v>0.6486574074074074</v>
      </c>
      <c r="G1255" s="44">
        <v>6.3</v>
      </c>
      <c r="H1255" s="43" t="s">
        <v>239</v>
      </c>
      <c r="I1255" s="40" t="s">
        <v>1281</v>
      </c>
    </row>
    <row r="1256" spans="1:9" x14ac:dyDescent="0.25">
      <c r="A1256" s="40" t="s">
        <v>219</v>
      </c>
      <c r="B1256" s="28">
        <v>1537</v>
      </c>
      <c r="C1256" s="28" t="s">
        <v>574</v>
      </c>
      <c r="D1256" s="28"/>
      <c r="E1256" s="41">
        <v>46141</v>
      </c>
      <c r="F1256" s="47">
        <v>0.73936342592592597</v>
      </c>
      <c r="G1256" s="44">
        <v>6.3</v>
      </c>
      <c r="H1256" s="43" t="s">
        <v>237</v>
      </c>
      <c r="I1256" s="40" t="s">
        <v>1281</v>
      </c>
    </row>
    <row r="1257" spans="1:9" x14ac:dyDescent="0.25">
      <c r="A1257" s="40" t="s">
        <v>219</v>
      </c>
      <c r="B1257" s="28">
        <v>1537</v>
      </c>
      <c r="C1257" s="28" t="s">
        <v>574</v>
      </c>
      <c r="D1257" s="28"/>
      <c r="E1257" s="41">
        <v>46141</v>
      </c>
      <c r="F1257" s="47">
        <v>0.75465277777777773</v>
      </c>
      <c r="G1257" s="44">
        <v>6.3</v>
      </c>
      <c r="H1257" s="43" t="s">
        <v>234</v>
      </c>
      <c r="I1257" s="40" t="s">
        <v>1281</v>
      </c>
    </row>
    <row r="1258" spans="1:9" x14ac:dyDescent="0.25">
      <c r="A1258" s="40" t="s">
        <v>219</v>
      </c>
      <c r="B1258" s="28">
        <v>1537</v>
      </c>
      <c r="C1258" s="28" t="s">
        <v>575</v>
      </c>
      <c r="D1258" s="28"/>
      <c r="E1258" s="41">
        <v>46142</v>
      </c>
      <c r="F1258" s="47">
        <v>0.16437499999999999</v>
      </c>
      <c r="G1258" s="44">
        <v>6.3</v>
      </c>
      <c r="H1258" s="43" t="s">
        <v>235</v>
      </c>
      <c r="I1258" s="40" t="s">
        <v>1281</v>
      </c>
    </row>
    <row r="1259" spans="1:9" x14ac:dyDescent="0.25">
      <c r="A1259" s="40" t="s">
        <v>219</v>
      </c>
      <c r="B1259" s="28">
        <v>1537</v>
      </c>
      <c r="C1259" s="28" t="s">
        <v>575</v>
      </c>
      <c r="D1259" s="28"/>
      <c r="E1259" s="41">
        <v>46142</v>
      </c>
      <c r="F1259" s="47">
        <v>0.17118055555555556</v>
      </c>
      <c r="G1259" s="42">
        <v>6.3</v>
      </c>
      <c r="H1259" s="40" t="s">
        <v>239</v>
      </c>
      <c r="I1259" s="40" t="s">
        <v>1281</v>
      </c>
    </row>
    <row r="1260" spans="1:9" x14ac:dyDescent="0.25">
      <c r="A1260" s="40" t="s">
        <v>219</v>
      </c>
      <c r="B1260" s="28">
        <v>1537</v>
      </c>
      <c r="C1260" s="28" t="s">
        <v>576</v>
      </c>
      <c r="D1260" s="28"/>
      <c r="E1260" s="41">
        <v>46142</v>
      </c>
      <c r="F1260" s="47">
        <v>0.22800925925925927</v>
      </c>
      <c r="G1260" s="42">
        <v>6.3</v>
      </c>
      <c r="H1260" s="40" t="s">
        <v>233</v>
      </c>
      <c r="I1260" s="40" t="s">
        <v>1281</v>
      </c>
    </row>
    <row r="1261" spans="1:9" x14ac:dyDescent="0.25">
      <c r="A1261" s="40" t="s">
        <v>219</v>
      </c>
      <c r="B1261" s="28">
        <v>1537</v>
      </c>
      <c r="C1261" s="28" t="s">
        <v>576</v>
      </c>
      <c r="D1261" s="28"/>
      <c r="E1261" s="41">
        <v>46142</v>
      </c>
      <c r="F1261" s="47">
        <v>0.23322916666666665</v>
      </c>
      <c r="G1261" s="42">
        <v>6.3</v>
      </c>
      <c r="H1261" s="40" t="s">
        <v>234</v>
      </c>
      <c r="I1261" s="40" t="s">
        <v>1281</v>
      </c>
    </row>
    <row r="1262" spans="1:9" x14ac:dyDescent="0.25">
      <c r="A1262" s="40" t="s">
        <v>219</v>
      </c>
      <c r="B1262" s="28">
        <v>1537</v>
      </c>
      <c r="C1262" s="28" t="s">
        <v>577</v>
      </c>
      <c r="D1262" s="28"/>
      <c r="E1262" s="41">
        <v>46142</v>
      </c>
      <c r="F1262" s="47">
        <v>0.2751851851851852</v>
      </c>
      <c r="G1262" s="44">
        <v>6.3</v>
      </c>
      <c r="H1262" s="43" t="s">
        <v>235</v>
      </c>
      <c r="I1262" s="40" t="s">
        <v>1281</v>
      </c>
    </row>
    <row r="1263" spans="1:9" x14ac:dyDescent="0.25">
      <c r="A1263" s="40" t="s">
        <v>219</v>
      </c>
      <c r="B1263" s="28">
        <v>1537</v>
      </c>
      <c r="C1263" s="28" t="s">
        <v>578</v>
      </c>
      <c r="D1263" s="28"/>
      <c r="E1263" s="41">
        <v>46142</v>
      </c>
      <c r="F1263" s="47">
        <v>0.46555555555555556</v>
      </c>
      <c r="G1263" s="44">
        <v>6.3</v>
      </c>
      <c r="H1263" s="43" t="s">
        <v>237</v>
      </c>
      <c r="I1263" s="40" t="s">
        <v>1281</v>
      </c>
    </row>
    <row r="1264" spans="1:9" x14ac:dyDescent="0.25">
      <c r="A1264" s="40" t="s">
        <v>219</v>
      </c>
      <c r="B1264" s="28">
        <v>1537</v>
      </c>
      <c r="C1264" s="28" t="s">
        <v>578</v>
      </c>
      <c r="D1264" s="28"/>
      <c r="E1264" s="41">
        <v>46142</v>
      </c>
      <c r="F1264" s="47">
        <v>0.47607638888888887</v>
      </c>
      <c r="G1264" s="44">
        <v>6.3</v>
      </c>
      <c r="H1264" s="43" t="s">
        <v>234</v>
      </c>
      <c r="I1264" s="40" t="s">
        <v>1281</v>
      </c>
    </row>
    <row r="1265" spans="1:9" x14ac:dyDescent="0.25">
      <c r="A1265" s="40" t="s">
        <v>219</v>
      </c>
      <c r="B1265" s="28">
        <v>1537</v>
      </c>
      <c r="C1265" s="28" t="s">
        <v>579</v>
      </c>
      <c r="D1265" s="28"/>
      <c r="E1265" s="41">
        <v>46143</v>
      </c>
      <c r="F1265" s="47">
        <v>0.35952546296296295</v>
      </c>
      <c r="G1265" s="44">
        <v>6.3</v>
      </c>
      <c r="H1265" s="43" t="s">
        <v>235</v>
      </c>
      <c r="I1265" s="40" t="s">
        <v>1282</v>
      </c>
    </row>
    <row r="1266" spans="1:9" x14ac:dyDescent="0.25">
      <c r="A1266" s="40" t="s">
        <v>219</v>
      </c>
      <c r="B1266" s="28">
        <v>1537</v>
      </c>
      <c r="C1266" s="28" t="s">
        <v>579</v>
      </c>
      <c r="D1266" s="28"/>
      <c r="E1266" s="41">
        <v>46143</v>
      </c>
      <c r="F1266" s="47">
        <v>0.36680555555555555</v>
      </c>
      <c r="G1266" s="44">
        <v>6.3</v>
      </c>
      <c r="H1266" s="43" t="s">
        <v>236</v>
      </c>
      <c r="I1266" s="40" t="s">
        <v>1282</v>
      </c>
    </row>
    <row r="1267" spans="1:9" x14ac:dyDescent="0.25">
      <c r="A1267" s="40" t="s">
        <v>219</v>
      </c>
      <c r="B1267" s="28">
        <v>1537</v>
      </c>
      <c r="C1267" s="28" t="s">
        <v>580</v>
      </c>
      <c r="D1267" s="28"/>
      <c r="E1267" s="41">
        <v>46143</v>
      </c>
      <c r="F1267" s="47">
        <v>0.4739814814814815</v>
      </c>
      <c r="G1267" s="44">
        <v>6.3</v>
      </c>
      <c r="H1267" s="43" t="s">
        <v>237</v>
      </c>
      <c r="I1267" s="40" t="s">
        <v>1282</v>
      </c>
    </row>
    <row r="1268" spans="1:9" x14ac:dyDescent="0.25">
      <c r="A1268" s="40" t="s">
        <v>219</v>
      </c>
      <c r="B1268" s="28">
        <v>1537</v>
      </c>
      <c r="C1268" s="28" t="s">
        <v>580</v>
      </c>
      <c r="D1268" s="28"/>
      <c r="E1268" s="41">
        <v>46143</v>
      </c>
      <c r="F1268" s="47">
        <v>0.47942129629629632</v>
      </c>
      <c r="G1268" s="44">
        <v>6.3</v>
      </c>
      <c r="H1268" s="43" t="s">
        <v>234</v>
      </c>
      <c r="I1268" s="40" t="s">
        <v>1282</v>
      </c>
    </row>
    <row r="1269" spans="1:9" x14ac:dyDescent="0.25">
      <c r="A1269" s="40" t="s">
        <v>219</v>
      </c>
      <c r="B1269" s="28">
        <v>1537</v>
      </c>
      <c r="C1269" s="28" t="s">
        <v>581</v>
      </c>
      <c r="D1269" s="28"/>
      <c r="E1269" s="41">
        <v>46143</v>
      </c>
      <c r="F1269" s="47">
        <v>0.64471064814814816</v>
      </c>
      <c r="G1269" s="44">
        <v>6.3</v>
      </c>
      <c r="H1269" s="43" t="s">
        <v>235</v>
      </c>
      <c r="I1269" s="40" t="s">
        <v>1282</v>
      </c>
    </row>
    <row r="1270" spans="1:9" x14ac:dyDescent="0.25">
      <c r="A1270" s="40" t="s">
        <v>219</v>
      </c>
      <c r="B1270" s="28">
        <v>1537</v>
      </c>
      <c r="C1270" s="28" t="s">
        <v>581</v>
      </c>
      <c r="D1270" s="28"/>
      <c r="E1270" s="45">
        <v>46143</v>
      </c>
      <c r="F1270" s="48">
        <v>0.65119212962962958</v>
      </c>
      <c r="G1270" s="42">
        <v>6.3</v>
      </c>
      <c r="H1270" s="40" t="s">
        <v>239</v>
      </c>
      <c r="I1270" s="40" t="s">
        <v>1282</v>
      </c>
    </row>
    <row r="1271" spans="1:9" x14ac:dyDescent="0.25">
      <c r="A1271" s="40" t="s">
        <v>219</v>
      </c>
      <c r="B1271" s="28">
        <v>1537</v>
      </c>
      <c r="C1271" s="28" t="s">
        <v>582</v>
      </c>
      <c r="D1271" s="28"/>
      <c r="E1271" s="41">
        <v>46143</v>
      </c>
      <c r="F1271" s="47">
        <v>0.72748842592592589</v>
      </c>
      <c r="G1271" s="42">
        <v>6.3</v>
      </c>
      <c r="H1271" s="40" t="s">
        <v>237</v>
      </c>
      <c r="I1271" s="40" t="s">
        <v>1282</v>
      </c>
    </row>
    <row r="1272" spans="1:9" x14ac:dyDescent="0.25">
      <c r="A1272" s="40" t="s">
        <v>219</v>
      </c>
      <c r="B1272" s="28">
        <v>1537</v>
      </c>
      <c r="C1272" s="28" t="s">
        <v>582</v>
      </c>
      <c r="D1272" s="28"/>
      <c r="E1272" s="41">
        <v>46143</v>
      </c>
      <c r="F1272" s="47">
        <v>0.73271990740740744</v>
      </c>
      <c r="G1272" s="44">
        <v>6.3</v>
      </c>
      <c r="H1272" s="43" t="s">
        <v>234</v>
      </c>
      <c r="I1272" s="40" t="s">
        <v>1282</v>
      </c>
    </row>
    <row r="1273" spans="1:9" x14ac:dyDescent="0.25">
      <c r="A1273" s="40" t="s">
        <v>219</v>
      </c>
      <c r="B1273" s="28">
        <v>1537</v>
      </c>
      <c r="C1273" s="28">
        <v>5647299</v>
      </c>
      <c r="D1273" s="28"/>
      <c r="E1273" s="41">
        <v>46144</v>
      </c>
      <c r="F1273" s="47">
        <v>0.88981481481481484</v>
      </c>
      <c r="G1273" s="44">
        <v>6.3</v>
      </c>
      <c r="H1273" s="43" t="s">
        <v>237</v>
      </c>
      <c r="I1273" s="40" t="s">
        <v>1282</v>
      </c>
    </row>
    <row r="1274" spans="1:9" x14ac:dyDescent="0.25">
      <c r="A1274" s="40" t="s">
        <v>219</v>
      </c>
      <c r="B1274" s="28">
        <v>1537</v>
      </c>
      <c r="C1274" s="28">
        <v>5647299</v>
      </c>
      <c r="D1274" s="28"/>
      <c r="E1274" s="45">
        <v>46144</v>
      </c>
      <c r="F1274" s="48">
        <v>0.89554398148148151</v>
      </c>
      <c r="G1274" s="44">
        <v>6.3</v>
      </c>
      <c r="H1274" s="43" t="s">
        <v>234</v>
      </c>
      <c r="I1274" s="40" t="s">
        <v>1282</v>
      </c>
    </row>
    <row r="1275" spans="1:9" x14ac:dyDescent="0.25">
      <c r="A1275" s="40" t="s">
        <v>219</v>
      </c>
      <c r="B1275" s="28">
        <v>1537</v>
      </c>
      <c r="C1275" s="28" t="s">
        <v>583</v>
      </c>
      <c r="D1275" s="28"/>
      <c r="E1275" s="41">
        <v>46145</v>
      </c>
      <c r="F1275" s="47">
        <v>0.74450231481481477</v>
      </c>
      <c r="G1275" s="44">
        <v>6.3</v>
      </c>
      <c r="H1275" s="43" t="s">
        <v>235</v>
      </c>
      <c r="I1275" s="40" t="s">
        <v>1282</v>
      </c>
    </row>
    <row r="1276" spans="1:9" x14ac:dyDescent="0.25">
      <c r="A1276" s="40" t="s">
        <v>219</v>
      </c>
      <c r="B1276" s="28">
        <v>1537</v>
      </c>
      <c r="C1276" s="28" t="s">
        <v>583</v>
      </c>
      <c r="D1276" s="28"/>
      <c r="E1276" s="41">
        <v>46145</v>
      </c>
      <c r="F1276" s="47">
        <v>0.75165509259259256</v>
      </c>
      <c r="G1276" s="44">
        <v>6.3</v>
      </c>
      <c r="H1276" s="43" t="s">
        <v>239</v>
      </c>
      <c r="I1276" s="40" t="s">
        <v>1282</v>
      </c>
    </row>
    <row r="1277" spans="1:9" x14ac:dyDescent="0.25">
      <c r="A1277" s="40" t="s">
        <v>219</v>
      </c>
      <c r="B1277" s="28">
        <v>1537</v>
      </c>
      <c r="C1277" s="28" t="s">
        <v>584</v>
      </c>
      <c r="D1277" s="28"/>
      <c r="E1277" s="41">
        <v>46145</v>
      </c>
      <c r="F1277" s="47">
        <v>0.80821759259259263</v>
      </c>
      <c r="G1277" s="44">
        <v>6.3</v>
      </c>
      <c r="H1277" s="43" t="s">
        <v>237</v>
      </c>
      <c r="I1277" s="40" t="s">
        <v>1282</v>
      </c>
    </row>
    <row r="1278" spans="1:9" x14ac:dyDescent="0.25">
      <c r="A1278" s="40" t="s">
        <v>219</v>
      </c>
      <c r="B1278" s="28">
        <v>1537</v>
      </c>
      <c r="C1278" s="28" t="s">
        <v>584</v>
      </c>
      <c r="D1278" s="28"/>
      <c r="E1278" s="41">
        <v>46145</v>
      </c>
      <c r="F1278" s="47">
        <v>0.81391203703703707</v>
      </c>
      <c r="G1278" s="44">
        <v>6.3</v>
      </c>
      <c r="H1278" s="43" t="s">
        <v>234</v>
      </c>
      <c r="I1278" s="40" t="s">
        <v>1282</v>
      </c>
    </row>
    <row r="1279" spans="1:9" x14ac:dyDescent="0.25">
      <c r="A1279" s="40" t="s">
        <v>231</v>
      </c>
      <c r="B1279" s="28">
        <v>1541</v>
      </c>
      <c r="C1279" s="28">
        <v>5635266</v>
      </c>
      <c r="D1279" s="28"/>
      <c r="E1279" s="41">
        <v>46139</v>
      </c>
      <c r="F1279" s="47">
        <v>0.16</v>
      </c>
      <c r="G1279" s="44">
        <v>6.3</v>
      </c>
      <c r="H1279" s="43" t="s">
        <v>233</v>
      </c>
      <c r="I1279" s="40" t="s">
        <v>1281</v>
      </c>
    </row>
    <row r="1280" spans="1:9" x14ac:dyDescent="0.25">
      <c r="A1280" s="40" t="s">
        <v>231</v>
      </c>
      <c r="B1280" s="28">
        <v>1541</v>
      </c>
      <c r="C1280" s="28">
        <v>5635266</v>
      </c>
      <c r="D1280" s="28"/>
      <c r="E1280" s="41">
        <v>46139</v>
      </c>
      <c r="F1280" s="47">
        <v>0.16487268518518519</v>
      </c>
      <c r="G1280" s="44">
        <v>6.3</v>
      </c>
      <c r="H1280" s="43" t="s">
        <v>234</v>
      </c>
      <c r="I1280" s="40" t="s">
        <v>1281</v>
      </c>
    </row>
    <row r="1281" spans="1:9" x14ac:dyDescent="0.25">
      <c r="A1281" s="40" t="s">
        <v>231</v>
      </c>
      <c r="B1281" s="28">
        <v>1541</v>
      </c>
      <c r="C1281" s="28">
        <v>5643896</v>
      </c>
      <c r="D1281" s="28"/>
      <c r="E1281" s="41">
        <v>46141</v>
      </c>
      <c r="F1281" s="47">
        <v>0.97791666666666666</v>
      </c>
      <c r="G1281" s="44">
        <v>6.3</v>
      </c>
      <c r="H1281" s="43" t="s">
        <v>235</v>
      </c>
      <c r="I1281" s="40" t="s">
        <v>1281</v>
      </c>
    </row>
    <row r="1282" spans="1:9" x14ac:dyDescent="0.25">
      <c r="A1282" s="40" t="s">
        <v>231</v>
      </c>
      <c r="B1282" s="28">
        <v>1541</v>
      </c>
      <c r="C1282" s="28">
        <v>5643896</v>
      </c>
      <c r="D1282" s="28"/>
      <c r="E1282" s="45">
        <v>46141</v>
      </c>
      <c r="F1282" s="48">
        <v>0.98521990740740739</v>
      </c>
      <c r="G1282" s="44">
        <v>6.3</v>
      </c>
      <c r="H1282" s="43" t="s">
        <v>236</v>
      </c>
      <c r="I1282" s="40" t="s">
        <v>1281</v>
      </c>
    </row>
    <row r="1283" spans="1:9" x14ac:dyDescent="0.25">
      <c r="A1283" s="40" t="s">
        <v>231</v>
      </c>
      <c r="B1283" s="28">
        <v>1541</v>
      </c>
      <c r="C1283" s="28" t="s">
        <v>585</v>
      </c>
      <c r="D1283" s="28"/>
      <c r="E1283" s="41">
        <v>46144</v>
      </c>
      <c r="F1283" s="47">
        <v>0.88790509259259254</v>
      </c>
      <c r="G1283" s="44">
        <v>6.3</v>
      </c>
      <c r="H1283" s="43" t="s">
        <v>235</v>
      </c>
      <c r="I1283" s="40" t="s">
        <v>1282</v>
      </c>
    </row>
    <row r="1284" spans="1:9" x14ac:dyDescent="0.25">
      <c r="A1284" s="40" t="s">
        <v>231</v>
      </c>
      <c r="B1284" s="28">
        <v>1541</v>
      </c>
      <c r="C1284" s="28" t="s">
        <v>585</v>
      </c>
      <c r="D1284" s="28"/>
      <c r="E1284" s="45">
        <v>46144</v>
      </c>
      <c r="F1284" s="48">
        <v>0.89515046296296297</v>
      </c>
      <c r="G1284" s="44">
        <v>6.3</v>
      </c>
      <c r="H1284" s="43" t="s">
        <v>236</v>
      </c>
      <c r="I1284" s="40" t="s">
        <v>1282</v>
      </c>
    </row>
    <row r="1285" spans="1:9" x14ac:dyDescent="0.25">
      <c r="A1285" s="40" t="s">
        <v>586</v>
      </c>
      <c r="B1285" s="28">
        <v>1543</v>
      </c>
      <c r="C1285" s="28">
        <v>5644688</v>
      </c>
      <c r="D1285" s="28"/>
      <c r="E1285" s="41">
        <v>46142</v>
      </c>
      <c r="F1285" s="47">
        <v>0.60028935185185184</v>
      </c>
      <c r="G1285" s="44">
        <v>6.3</v>
      </c>
      <c r="H1285" s="43" t="s">
        <v>235</v>
      </c>
      <c r="I1285" s="40" t="s">
        <v>1281</v>
      </c>
    </row>
    <row r="1286" spans="1:9" x14ac:dyDescent="0.25">
      <c r="A1286" s="40" t="s">
        <v>586</v>
      </c>
      <c r="B1286" s="28">
        <v>1543</v>
      </c>
      <c r="C1286" s="28">
        <v>5644688</v>
      </c>
      <c r="D1286" s="28"/>
      <c r="E1286" s="45">
        <v>46142</v>
      </c>
      <c r="F1286" s="48">
        <v>0.61105324074074074</v>
      </c>
      <c r="G1286" s="44">
        <v>6.3</v>
      </c>
      <c r="H1286" s="43" t="s">
        <v>236</v>
      </c>
      <c r="I1286" s="40" t="s">
        <v>1281</v>
      </c>
    </row>
    <row r="1287" spans="1:9" x14ac:dyDescent="0.25">
      <c r="A1287" s="40" t="s">
        <v>294</v>
      </c>
      <c r="B1287" s="28">
        <v>1549</v>
      </c>
      <c r="C1287" s="28">
        <v>5640207</v>
      </c>
      <c r="D1287" s="28"/>
      <c r="E1287" s="41">
        <v>46140</v>
      </c>
      <c r="F1287" s="47">
        <v>0.40909722222222222</v>
      </c>
      <c r="G1287" s="44">
        <v>6.3</v>
      </c>
      <c r="H1287" s="43" t="s">
        <v>235</v>
      </c>
      <c r="I1287" s="40" t="s">
        <v>1281</v>
      </c>
    </row>
    <row r="1288" spans="1:9" x14ac:dyDescent="0.25">
      <c r="A1288" s="40" t="s">
        <v>315</v>
      </c>
      <c r="B1288" s="28">
        <v>1550</v>
      </c>
      <c r="C1288" s="28">
        <v>5637087</v>
      </c>
      <c r="D1288" s="28"/>
      <c r="E1288" s="45">
        <v>46139</v>
      </c>
      <c r="F1288" s="48">
        <v>0.16810185185185186</v>
      </c>
      <c r="G1288" s="42">
        <v>6.3</v>
      </c>
      <c r="H1288" s="40" t="s">
        <v>237</v>
      </c>
      <c r="I1288" s="40" t="s">
        <v>1281</v>
      </c>
    </row>
    <row r="1289" spans="1:9" x14ac:dyDescent="0.25">
      <c r="A1289" s="40" t="s">
        <v>315</v>
      </c>
      <c r="B1289" s="28">
        <v>1550</v>
      </c>
      <c r="C1289" s="28">
        <v>5637087</v>
      </c>
      <c r="D1289" s="28"/>
      <c r="E1289" s="41">
        <v>46139</v>
      </c>
      <c r="F1289" s="47">
        <v>0.17305555555555555</v>
      </c>
      <c r="G1289" s="42">
        <v>6.3</v>
      </c>
      <c r="H1289" s="40" t="s">
        <v>234</v>
      </c>
      <c r="I1289" s="40" t="s">
        <v>1281</v>
      </c>
    </row>
    <row r="1290" spans="1:9" x14ac:dyDescent="0.25">
      <c r="A1290" s="40" t="s">
        <v>315</v>
      </c>
      <c r="B1290" s="28">
        <v>1550</v>
      </c>
      <c r="C1290" s="28" t="s">
        <v>587</v>
      </c>
      <c r="D1290" s="28"/>
      <c r="E1290" s="41">
        <v>46139</v>
      </c>
      <c r="F1290" s="47">
        <v>0.46336805555555555</v>
      </c>
      <c r="G1290" s="42">
        <v>6.3</v>
      </c>
      <c r="H1290" s="40" t="s">
        <v>237</v>
      </c>
      <c r="I1290" s="40" t="s">
        <v>1281</v>
      </c>
    </row>
    <row r="1291" spans="1:9" x14ac:dyDescent="0.25">
      <c r="A1291" s="40" t="s">
        <v>315</v>
      </c>
      <c r="B1291" s="28">
        <v>1550</v>
      </c>
      <c r="C1291" s="28" t="s">
        <v>587</v>
      </c>
      <c r="D1291" s="28"/>
      <c r="E1291" s="41">
        <v>46139</v>
      </c>
      <c r="F1291" s="47">
        <v>0.47195601851851854</v>
      </c>
      <c r="G1291" s="42">
        <v>6.3</v>
      </c>
      <c r="H1291" s="40" t="s">
        <v>234</v>
      </c>
      <c r="I1291" s="40" t="s">
        <v>1281</v>
      </c>
    </row>
    <row r="1292" spans="1:9" x14ac:dyDescent="0.25">
      <c r="A1292" s="40" t="s">
        <v>315</v>
      </c>
      <c r="B1292" s="28">
        <v>1550</v>
      </c>
      <c r="C1292" s="28">
        <v>5639242</v>
      </c>
      <c r="D1292" s="28"/>
      <c r="E1292" s="41">
        <v>46139</v>
      </c>
      <c r="F1292" s="47">
        <v>0.81453703703703706</v>
      </c>
      <c r="G1292" s="42">
        <v>6.3</v>
      </c>
      <c r="H1292" s="40" t="s">
        <v>235</v>
      </c>
      <c r="I1292" s="40" t="s">
        <v>1281</v>
      </c>
    </row>
    <row r="1293" spans="1:9" x14ac:dyDescent="0.25">
      <c r="A1293" s="40" t="s">
        <v>315</v>
      </c>
      <c r="B1293" s="28">
        <v>1550</v>
      </c>
      <c r="C1293" s="28">
        <v>5639242</v>
      </c>
      <c r="D1293" s="28"/>
      <c r="E1293" s="41">
        <v>46139</v>
      </c>
      <c r="F1293" s="47">
        <v>0.82221064814814815</v>
      </c>
      <c r="G1293" s="42">
        <v>6.3</v>
      </c>
      <c r="H1293" s="40" t="s">
        <v>236</v>
      </c>
      <c r="I1293" s="40" t="s">
        <v>1281</v>
      </c>
    </row>
    <row r="1294" spans="1:9" x14ac:dyDescent="0.25">
      <c r="A1294" s="40" t="s">
        <v>315</v>
      </c>
      <c r="B1294" s="28">
        <v>1550</v>
      </c>
      <c r="C1294" s="28">
        <v>5642125</v>
      </c>
      <c r="D1294" s="28"/>
      <c r="E1294" s="45">
        <v>46141</v>
      </c>
      <c r="F1294" s="48">
        <v>0.28395833333333331</v>
      </c>
      <c r="G1294" s="42">
        <v>6.3</v>
      </c>
      <c r="H1294" s="40" t="s">
        <v>235</v>
      </c>
      <c r="I1294" s="40" t="s">
        <v>1281</v>
      </c>
    </row>
    <row r="1295" spans="1:9" x14ac:dyDescent="0.25">
      <c r="A1295" s="40" t="s">
        <v>315</v>
      </c>
      <c r="B1295" s="28">
        <v>1550</v>
      </c>
      <c r="C1295" s="28">
        <v>5642125</v>
      </c>
      <c r="D1295" s="28"/>
      <c r="E1295" s="41">
        <v>46141</v>
      </c>
      <c r="F1295" s="47">
        <v>0.29400462962962964</v>
      </c>
      <c r="G1295" s="44">
        <v>6.3</v>
      </c>
      <c r="H1295" s="43" t="s">
        <v>236</v>
      </c>
      <c r="I1295" s="40" t="s">
        <v>1281</v>
      </c>
    </row>
    <row r="1296" spans="1:9" x14ac:dyDescent="0.25">
      <c r="A1296" s="40" t="s">
        <v>315</v>
      </c>
      <c r="B1296" s="28">
        <v>1550</v>
      </c>
      <c r="C1296" s="28" t="s">
        <v>35</v>
      </c>
      <c r="D1296" s="28" t="s">
        <v>38</v>
      </c>
      <c r="E1296" s="45">
        <v>46141</v>
      </c>
      <c r="F1296" s="48">
        <v>0.32453703703703701</v>
      </c>
      <c r="G1296" s="44">
        <v>6.3</v>
      </c>
      <c r="H1296" s="43" t="s">
        <v>234</v>
      </c>
      <c r="I1296" s="40" t="s">
        <v>1281</v>
      </c>
    </row>
    <row r="1297" spans="1:9" x14ac:dyDescent="0.25">
      <c r="A1297" s="40" t="s">
        <v>315</v>
      </c>
      <c r="B1297" s="28">
        <v>1550</v>
      </c>
      <c r="C1297" s="28" t="s">
        <v>35</v>
      </c>
      <c r="D1297" s="28" t="s">
        <v>38</v>
      </c>
      <c r="E1297" s="41">
        <v>46141</v>
      </c>
      <c r="F1297" s="47">
        <v>0.5581018518518519</v>
      </c>
      <c r="G1297" s="44">
        <v>6.3</v>
      </c>
      <c r="H1297" s="43" t="s">
        <v>237</v>
      </c>
      <c r="I1297" s="40" t="s">
        <v>1281</v>
      </c>
    </row>
    <row r="1298" spans="1:9" x14ac:dyDescent="0.25">
      <c r="A1298" s="40" t="s">
        <v>315</v>
      </c>
      <c r="B1298" s="28">
        <v>1550</v>
      </c>
      <c r="C1298" s="28" t="s">
        <v>35</v>
      </c>
      <c r="D1298" s="28" t="s">
        <v>38</v>
      </c>
      <c r="E1298" s="41">
        <v>46141</v>
      </c>
      <c r="F1298" s="47">
        <v>0.5767592592592593</v>
      </c>
      <c r="G1298" s="44">
        <v>6.3</v>
      </c>
      <c r="H1298" s="43" t="s">
        <v>234</v>
      </c>
      <c r="I1298" s="40" t="s">
        <v>1281</v>
      </c>
    </row>
    <row r="1299" spans="1:9" x14ac:dyDescent="0.25">
      <c r="A1299" s="40" t="s">
        <v>315</v>
      </c>
      <c r="B1299" s="28">
        <v>1550</v>
      </c>
      <c r="C1299" s="28">
        <v>5647325</v>
      </c>
      <c r="D1299" s="28" t="s">
        <v>37</v>
      </c>
      <c r="E1299" s="41">
        <v>46144</v>
      </c>
      <c r="F1299" s="47">
        <v>0.4947685185185185</v>
      </c>
      <c r="G1299" s="44">
        <v>6.3</v>
      </c>
      <c r="H1299" s="43" t="s">
        <v>236</v>
      </c>
      <c r="I1299" s="40" t="s">
        <v>1282</v>
      </c>
    </row>
    <row r="1300" spans="1:9" x14ac:dyDescent="0.25">
      <c r="A1300" s="40" t="s">
        <v>315</v>
      </c>
      <c r="B1300" s="28">
        <v>1550</v>
      </c>
      <c r="C1300" s="28" t="s">
        <v>35</v>
      </c>
      <c r="D1300" s="28" t="s">
        <v>38</v>
      </c>
      <c r="E1300" s="41">
        <v>46144</v>
      </c>
      <c r="F1300" s="47">
        <v>0.5401273148148148</v>
      </c>
      <c r="G1300" s="44">
        <v>6.3</v>
      </c>
      <c r="H1300" s="43" t="s">
        <v>234</v>
      </c>
      <c r="I1300" s="40" t="s">
        <v>1282</v>
      </c>
    </row>
    <row r="1301" spans="1:9" x14ac:dyDescent="0.25">
      <c r="A1301" s="40" t="s">
        <v>315</v>
      </c>
      <c r="B1301" s="28">
        <v>1550</v>
      </c>
      <c r="C1301" s="28">
        <v>5649021</v>
      </c>
      <c r="D1301" s="28"/>
      <c r="E1301" s="41">
        <v>46145</v>
      </c>
      <c r="F1301" s="47">
        <v>0.75696759259259261</v>
      </c>
      <c r="G1301" s="44">
        <v>6.3</v>
      </c>
      <c r="H1301" s="43" t="s">
        <v>235</v>
      </c>
      <c r="I1301" s="40" t="s">
        <v>1282</v>
      </c>
    </row>
    <row r="1302" spans="1:9" x14ac:dyDescent="0.25">
      <c r="A1302" s="40" t="s">
        <v>315</v>
      </c>
      <c r="B1302" s="28">
        <v>1550</v>
      </c>
      <c r="C1302" s="28">
        <v>5649021</v>
      </c>
      <c r="D1302" s="28"/>
      <c r="E1302" s="41">
        <v>46145</v>
      </c>
      <c r="F1302" s="47">
        <v>0.76429398148148153</v>
      </c>
      <c r="G1302" s="44">
        <v>6.3</v>
      </c>
      <c r="H1302" s="43" t="s">
        <v>236</v>
      </c>
      <c r="I1302" s="40" t="s">
        <v>1282</v>
      </c>
    </row>
    <row r="1303" spans="1:9" x14ac:dyDescent="0.25">
      <c r="A1303" s="40" t="s">
        <v>82</v>
      </c>
      <c r="B1303" s="28">
        <v>1553</v>
      </c>
      <c r="C1303" s="28">
        <v>5633884</v>
      </c>
      <c r="D1303" s="28"/>
      <c r="E1303" s="41">
        <v>46139</v>
      </c>
      <c r="F1303" s="47">
        <v>0.17515046296296297</v>
      </c>
      <c r="G1303" s="44">
        <v>6.3</v>
      </c>
      <c r="H1303" s="43" t="s">
        <v>237</v>
      </c>
      <c r="I1303" s="40" t="s">
        <v>1281</v>
      </c>
    </row>
    <row r="1304" spans="1:9" x14ac:dyDescent="0.25">
      <c r="A1304" s="40" t="s">
        <v>82</v>
      </c>
      <c r="B1304" s="28">
        <v>1553</v>
      </c>
      <c r="C1304" s="28">
        <v>5633884</v>
      </c>
      <c r="D1304" s="28"/>
      <c r="E1304" s="45">
        <v>46139</v>
      </c>
      <c r="F1304" s="48">
        <v>0.18049768518518519</v>
      </c>
      <c r="G1304" s="44">
        <v>6.3</v>
      </c>
      <c r="H1304" s="43" t="s">
        <v>234</v>
      </c>
      <c r="I1304" s="40" t="s">
        <v>1281</v>
      </c>
    </row>
    <row r="1305" spans="1:9" x14ac:dyDescent="0.25">
      <c r="A1305" s="40" t="s">
        <v>82</v>
      </c>
      <c r="B1305" s="28">
        <v>1553</v>
      </c>
      <c r="C1305" s="28">
        <v>5637324</v>
      </c>
      <c r="D1305" s="28"/>
      <c r="E1305" s="41">
        <v>46139</v>
      </c>
      <c r="F1305" s="47">
        <v>0.32709490740740743</v>
      </c>
      <c r="G1305" s="44">
        <v>6.3</v>
      </c>
      <c r="H1305" s="43" t="s">
        <v>237</v>
      </c>
      <c r="I1305" s="40" t="s">
        <v>1281</v>
      </c>
    </row>
    <row r="1306" spans="1:9" x14ac:dyDescent="0.25">
      <c r="A1306" s="40" t="s">
        <v>82</v>
      </c>
      <c r="B1306" s="28">
        <v>1553</v>
      </c>
      <c r="C1306" s="28">
        <v>5637324</v>
      </c>
      <c r="D1306" s="28"/>
      <c r="E1306" s="41">
        <v>46139</v>
      </c>
      <c r="F1306" s="47">
        <v>0.3420138888888889</v>
      </c>
      <c r="G1306" s="44">
        <v>6.3</v>
      </c>
      <c r="H1306" s="43" t="s">
        <v>234</v>
      </c>
      <c r="I1306" s="40" t="s">
        <v>1281</v>
      </c>
    </row>
    <row r="1307" spans="1:9" x14ac:dyDescent="0.25">
      <c r="A1307" s="40" t="s">
        <v>82</v>
      </c>
      <c r="B1307" s="28">
        <v>1553</v>
      </c>
      <c r="C1307" s="28" t="s">
        <v>588</v>
      </c>
      <c r="D1307" s="28"/>
      <c r="E1307" s="41">
        <v>46141</v>
      </c>
      <c r="F1307" s="47">
        <v>0.31644675925925925</v>
      </c>
      <c r="G1307" s="44">
        <v>6.3</v>
      </c>
      <c r="H1307" s="43" t="s">
        <v>235</v>
      </c>
      <c r="I1307" s="40" t="s">
        <v>1281</v>
      </c>
    </row>
    <row r="1308" spans="1:9" x14ac:dyDescent="0.25">
      <c r="A1308" s="40" t="s">
        <v>82</v>
      </c>
      <c r="B1308" s="28">
        <v>1553</v>
      </c>
      <c r="C1308" s="28" t="s">
        <v>588</v>
      </c>
      <c r="D1308" s="28"/>
      <c r="E1308" s="41">
        <v>46141</v>
      </c>
      <c r="F1308" s="47">
        <v>0.32917824074074076</v>
      </c>
      <c r="G1308" s="44">
        <v>6.3</v>
      </c>
      <c r="H1308" s="43" t="s">
        <v>236</v>
      </c>
      <c r="I1308" s="40" t="s">
        <v>1281</v>
      </c>
    </row>
    <row r="1309" spans="1:9" x14ac:dyDescent="0.25">
      <c r="A1309" s="40" t="s">
        <v>82</v>
      </c>
      <c r="B1309" s="28">
        <v>1553</v>
      </c>
      <c r="C1309" s="28" t="s">
        <v>35</v>
      </c>
      <c r="D1309" s="28" t="s">
        <v>38</v>
      </c>
      <c r="E1309" s="41">
        <v>46141</v>
      </c>
      <c r="F1309" s="47">
        <v>0.81229166666666663</v>
      </c>
      <c r="G1309" s="44">
        <v>6.3</v>
      </c>
      <c r="H1309" s="43" t="s">
        <v>235</v>
      </c>
      <c r="I1309" s="40" t="s">
        <v>1281</v>
      </c>
    </row>
    <row r="1310" spans="1:9" x14ac:dyDescent="0.25">
      <c r="A1310" s="40" t="s">
        <v>82</v>
      </c>
      <c r="B1310" s="28">
        <v>1553</v>
      </c>
      <c r="C1310" s="28" t="s">
        <v>35</v>
      </c>
      <c r="D1310" s="28" t="s">
        <v>38</v>
      </c>
      <c r="E1310" s="45">
        <v>46141</v>
      </c>
      <c r="F1310" s="48">
        <v>0.83070601851851855</v>
      </c>
      <c r="G1310" s="44">
        <v>6.3</v>
      </c>
      <c r="H1310" s="43" t="s">
        <v>236</v>
      </c>
      <c r="I1310" s="40" t="s">
        <v>1281</v>
      </c>
    </row>
    <row r="1311" spans="1:9" x14ac:dyDescent="0.25">
      <c r="A1311" s="40" t="s">
        <v>82</v>
      </c>
      <c r="B1311" s="28">
        <v>1553</v>
      </c>
      <c r="C1311" s="28" t="s">
        <v>35</v>
      </c>
      <c r="D1311" s="28" t="s">
        <v>38</v>
      </c>
      <c r="E1311" s="41">
        <v>46142</v>
      </c>
      <c r="F1311" s="47">
        <v>0.1852199074074074</v>
      </c>
      <c r="G1311" s="44">
        <v>6.3</v>
      </c>
      <c r="H1311" s="43" t="s">
        <v>235</v>
      </c>
      <c r="I1311" s="40" t="s">
        <v>1281</v>
      </c>
    </row>
    <row r="1312" spans="1:9" x14ac:dyDescent="0.25">
      <c r="A1312" s="40" t="s">
        <v>82</v>
      </c>
      <c r="B1312" s="28">
        <v>1553</v>
      </c>
      <c r="C1312" s="28">
        <v>5644063</v>
      </c>
      <c r="D1312" s="28"/>
      <c r="E1312" s="41">
        <v>46142</v>
      </c>
      <c r="F1312" s="47">
        <v>0.27287037037037037</v>
      </c>
      <c r="G1312" s="44">
        <v>6.3</v>
      </c>
      <c r="H1312" s="43" t="s">
        <v>234</v>
      </c>
      <c r="I1312" s="40" t="s">
        <v>1281</v>
      </c>
    </row>
    <row r="1313" spans="1:9" x14ac:dyDescent="0.25">
      <c r="A1313" s="40" t="s">
        <v>82</v>
      </c>
      <c r="B1313" s="28">
        <v>1553</v>
      </c>
      <c r="C1313" s="28">
        <v>5644855</v>
      </c>
      <c r="D1313" s="28"/>
      <c r="E1313" s="41">
        <v>46143</v>
      </c>
      <c r="F1313" s="47">
        <v>0.1903125</v>
      </c>
      <c r="G1313" s="44">
        <v>6.3</v>
      </c>
      <c r="H1313" s="43" t="s">
        <v>234</v>
      </c>
      <c r="I1313" s="40" t="s">
        <v>1282</v>
      </c>
    </row>
    <row r="1314" spans="1:9" x14ac:dyDescent="0.25">
      <c r="A1314" s="40" t="s">
        <v>82</v>
      </c>
      <c r="B1314" s="28">
        <v>1553</v>
      </c>
      <c r="C1314" s="28">
        <v>5646031</v>
      </c>
      <c r="D1314" s="28"/>
      <c r="E1314" s="41">
        <v>46143</v>
      </c>
      <c r="F1314" s="47">
        <v>0.29288194444444443</v>
      </c>
      <c r="G1314" s="42">
        <v>6.3</v>
      </c>
      <c r="H1314" s="40" t="s">
        <v>235</v>
      </c>
      <c r="I1314" s="40" t="s">
        <v>1282</v>
      </c>
    </row>
    <row r="1315" spans="1:9" x14ac:dyDescent="0.25">
      <c r="A1315" s="40" t="s">
        <v>82</v>
      </c>
      <c r="B1315" s="28">
        <v>1553</v>
      </c>
      <c r="C1315" s="28">
        <v>5646031</v>
      </c>
      <c r="D1315" s="28"/>
      <c r="E1315" s="41">
        <v>46143</v>
      </c>
      <c r="F1315" s="47">
        <v>0.30004629629629631</v>
      </c>
      <c r="G1315" s="42">
        <v>6.3</v>
      </c>
      <c r="H1315" s="40" t="s">
        <v>236</v>
      </c>
      <c r="I1315" s="40" t="s">
        <v>1282</v>
      </c>
    </row>
    <row r="1316" spans="1:9" x14ac:dyDescent="0.25">
      <c r="A1316" s="40" t="s">
        <v>343</v>
      </c>
      <c r="B1316" s="28">
        <v>1576</v>
      </c>
      <c r="C1316" s="28">
        <v>5635278</v>
      </c>
      <c r="D1316" s="28"/>
      <c r="E1316" s="41">
        <v>46140</v>
      </c>
      <c r="F1316" s="47">
        <v>0.50591435185185185</v>
      </c>
      <c r="G1316" s="42">
        <v>6.3</v>
      </c>
      <c r="H1316" s="40" t="s">
        <v>233</v>
      </c>
      <c r="I1316" s="40" t="s">
        <v>1281</v>
      </c>
    </row>
    <row r="1317" spans="1:9" x14ac:dyDescent="0.25">
      <c r="A1317" s="40" t="s">
        <v>343</v>
      </c>
      <c r="B1317" s="28">
        <v>1576</v>
      </c>
      <c r="C1317" s="28">
        <v>5635278</v>
      </c>
      <c r="D1317" s="28"/>
      <c r="E1317" s="41">
        <v>46140</v>
      </c>
      <c r="F1317" s="47">
        <v>0.51238425925925923</v>
      </c>
      <c r="G1317" s="42">
        <v>6.3</v>
      </c>
      <c r="H1317" s="40" t="s">
        <v>234</v>
      </c>
      <c r="I1317" s="40" t="s">
        <v>1281</v>
      </c>
    </row>
    <row r="1318" spans="1:9" x14ac:dyDescent="0.25">
      <c r="A1318" s="40" t="s">
        <v>343</v>
      </c>
      <c r="B1318" s="28">
        <v>1576</v>
      </c>
      <c r="C1318" s="28" t="s">
        <v>589</v>
      </c>
      <c r="D1318" s="28"/>
      <c r="E1318" s="41">
        <v>46140</v>
      </c>
      <c r="F1318" s="47">
        <v>0.84554398148148147</v>
      </c>
      <c r="G1318" s="44">
        <v>6.3</v>
      </c>
      <c r="H1318" s="43" t="s">
        <v>237</v>
      </c>
      <c r="I1318" s="40" t="s">
        <v>1281</v>
      </c>
    </row>
    <row r="1319" spans="1:9" x14ac:dyDescent="0.25">
      <c r="A1319" s="40" t="s">
        <v>343</v>
      </c>
      <c r="B1319" s="28">
        <v>1576</v>
      </c>
      <c r="C1319" s="28" t="s">
        <v>589</v>
      </c>
      <c r="D1319" s="28"/>
      <c r="E1319" s="41">
        <v>46140</v>
      </c>
      <c r="F1319" s="47">
        <v>0.86836805555555552</v>
      </c>
      <c r="G1319" s="44">
        <v>6.3</v>
      </c>
      <c r="H1319" s="43" t="s">
        <v>234</v>
      </c>
      <c r="I1319" s="40" t="s">
        <v>1281</v>
      </c>
    </row>
    <row r="1320" spans="1:9" x14ac:dyDescent="0.25">
      <c r="A1320" s="40" t="s">
        <v>343</v>
      </c>
      <c r="B1320" s="28">
        <v>1576</v>
      </c>
      <c r="C1320" s="28" t="s">
        <v>590</v>
      </c>
      <c r="D1320" s="28"/>
      <c r="E1320" s="41">
        <v>46143</v>
      </c>
      <c r="F1320" s="47">
        <v>0.68277777777777782</v>
      </c>
      <c r="G1320" s="44">
        <v>6.3</v>
      </c>
      <c r="H1320" s="43" t="s">
        <v>237</v>
      </c>
      <c r="I1320" s="40" t="s">
        <v>1282</v>
      </c>
    </row>
    <row r="1321" spans="1:9" x14ac:dyDescent="0.25">
      <c r="A1321" s="40" t="s">
        <v>343</v>
      </c>
      <c r="B1321" s="28">
        <v>1576</v>
      </c>
      <c r="C1321" s="28" t="s">
        <v>590</v>
      </c>
      <c r="D1321" s="28"/>
      <c r="E1321" s="41">
        <v>46143</v>
      </c>
      <c r="F1321" s="47">
        <v>0.68846064814814811</v>
      </c>
      <c r="G1321" s="44">
        <v>6.3</v>
      </c>
      <c r="H1321" s="43" t="s">
        <v>234</v>
      </c>
      <c r="I1321" s="40" t="s">
        <v>1282</v>
      </c>
    </row>
    <row r="1322" spans="1:9" x14ac:dyDescent="0.25">
      <c r="A1322" s="40" t="s">
        <v>343</v>
      </c>
      <c r="B1322" s="28">
        <v>1576</v>
      </c>
      <c r="C1322" s="28" t="s">
        <v>591</v>
      </c>
      <c r="D1322" s="28"/>
      <c r="E1322" s="41">
        <v>46144</v>
      </c>
      <c r="F1322" s="47">
        <v>0.55959490740740736</v>
      </c>
      <c r="G1322" s="44">
        <v>6.3</v>
      </c>
      <c r="H1322" s="43" t="s">
        <v>235</v>
      </c>
      <c r="I1322" s="40" t="s">
        <v>1282</v>
      </c>
    </row>
    <row r="1323" spans="1:9" x14ac:dyDescent="0.25">
      <c r="A1323" s="40" t="s">
        <v>343</v>
      </c>
      <c r="B1323" s="28">
        <v>1576</v>
      </c>
      <c r="C1323" s="28" t="s">
        <v>592</v>
      </c>
      <c r="D1323" s="28"/>
      <c r="E1323" s="41">
        <v>46144</v>
      </c>
      <c r="F1323" s="47">
        <v>0.71373842592592596</v>
      </c>
      <c r="G1323" s="44">
        <v>6.3</v>
      </c>
      <c r="H1323" s="43" t="s">
        <v>237</v>
      </c>
      <c r="I1323" s="40" t="s">
        <v>1282</v>
      </c>
    </row>
    <row r="1324" spans="1:9" x14ac:dyDescent="0.25">
      <c r="A1324" s="40" t="s">
        <v>343</v>
      </c>
      <c r="B1324" s="28">
        <v>1576</v>
      </c>
      <c r="C1324" s="28" t="s">
        <v>592</v>
      </c>
      <c r="D1324" s="28"/>
      <c r="E1324" s="45">
        <v>46144</v>
      </c>
      <c r="F1324" s="48">
        <v>0.71959490740740739</v>
      </c>
      <c r="G1324" s="44">
        <v>6.3</v>
      </c>
      <c r="H1324" s="43" t="s">
        <v>234</v>
      </c>
      <c r="I1324" s="40" t="s">
        <v>1282</v>
      </c>
    </row>
    <row r="1325" spans="1:9" x14ac:dyDescent="0.25">
      <c r="A1325" s="40" t="s">
        <v>84</v>
      </c>
      <c r="B1325" s="28">
        <v>1584</v>
      </c>
      <c r="C1325" s="28" t="s">
        <v>35</v>
      </c>
      <c r="D1325" s="28" t="s">
        <v>38</v>
      </c>
      <c r="E1325" s="41">
        <v>46139</v>
      </c>
      <c r="F1325" s="47">
        <v>0.53658564814814813</v>
      </c>
      <c r="G1325" s="44">
        <v>6.3</v>
      </c>
      <c r="H1325" s="43" t="s">
        <v>238</v>
      </c>
      <c r="I1325" s="40" t="s">
        <v>1281</v>
      </c>
    </row>
    <row r="1326" spans="1:9" x14ac:dyDescent="0.25">
      <c r="A1326" s="40" t="s">
        <v>84</v>
      </c>
      <c r="B1326" s="28">
        <v>1584</v>
      </c>
      <c r="C1326" s="28" t="s">
        <v>35</v>
      </c>
      <c r="D1326" s="28" t="s">
        <v>38</v>
      </c>
      <c r="E1326" s="41">
        <v>46140</v>
      </c>
      <c r="F1326" s="47">
        <v>0.14916666666666667</v>
      </c>
      <c r="G1326" s="44">
        <v>6.3</v>
      </c>
      <c r="H1326" s="43" t="s">
        <v>235</v>
      </c>
      <c r="I1326" s="40" t="s">
        <v>1281</v>
      </c>
    </row>
    <row r="1327" spans="1:9" x14ac:dyDescent="0.25">
      <c r="A1327" s="40" t="s">
        <v>84</v>
      </c>
      <c r="B1327" s="28">
        <v>1584</v>
      </c>
      <c r="C1327" s="28" t="s">
        <v>35</v>
      </c>
      <c r="D1327" s="28" t="s">
        <v>38</v>
      </c>
      <c r="E1327" s="41">
        <v>46140</v>
      </c>
      <c r="F1327" s="47">
        <v>0.15601851851851853</v>
      </c>
      <c r="G1327" s="44">
        <v>6.3</v>
      </c>
      <c r="H1327" s="43" t="s">
        <v>236</v>
      </c>
      <c r="I1327" s="40" t="s">
        <v>1281</v>
      </c>
    </row>
    <row r="1328" spans="1:9" x14ac:dyDescent="0.25">
      <c r="A1328" s="40" t="s">
        <v>84</v>
      </c>
      <c r="B1328" s="28">
        <v>1584</v>
      </c>
      <c r="C1328" s="28" t="s">
        <v>35</v>
      </c>
      <c r="D1328" s="28" t="s">
        <v>38</v>
      </c>
      <c r="E1328" s="41">
        <v>46140</v>
      </c>
      <c r="F1328" s="47">
        <v>0.19637731481481482</v>
      </c>
      <c r="G1328" s="44">
        <v>6.3</v>
      </c>
      <c r="H1328" s="43" t="s">
        <v>237</v>
      </c>
      <c r="I1328" s="40" t="s">
        <v>1281</v>
      </c>
    </row>
    <row r="1329" spans="1:9" x14ac:dyDescent="0.25">
      <c r="A1329" s="40" t="s">
        <v>84</v>
      </c>
      <c r="B1329" s="28">
        <v>1584</v>
      </c>
      <c r="C1329" s="28" t="s">
        <v>35</v>
      </c>
      <c r="D1329" s="28" t="s">
        <v>38</v>
      </c>
      <c r="E1329" s="41">
        <v>46140</v>
      </c>
      <c r="F1329" s="47">
        <v>0.20094907407407409</v>
      </c>
      <c r="G1329" s="44">
        <v>6.3</v>
      </c>
      <c r="H1329" s="43" t="s">
        <v>234</v>
      </c>
      <c r="I1329" s="40" t="s">
        <v>1281</v>
      </c>
    </row>
    <row r="1330" spans="1:9" x14ac:dyDescent="0.25">
      <c r="A1330" s="40" t="s">
        <v>84</v>
      </c>
      <c r="B1330" s="28">
        <v>1584</v>
      </c>
      <c r="C1330" s="28" t="s">
        <v>35</v>
      </c>
      <c r="D1330" s="28" t="s">
        <v>38</v>
      </c>
      <c r="E1330" s="45">
        <v>46140</v>
      </c>
      <c r="F1330" s="48">
        <v>0.67003472222222227</v>
      </c>
      <c r="G1330" s="44">
        <v>6.3</v>
      </c>
      <c r="H1330" s="43" t="s">
        <v>238</v>
      </c>
      <c r="I1330" s="40" t="s">
        <v>1281</v>
      </c>
    </row>
    <row r="1331" spans="1:9" x14ac:dyDescent="0.25">
      <c r="A1331" s="40" t="s">
        <v>84</v>
      </c>
      <c r="B1331" s="28">
        <v>1584</v>
      </c>
      <c r="C1331" s="28" t="s">
        <v>35</v>
      </c>
      <c r="D1331" s="28" t="s">
        <v>38</v>
      </c>
      <c r="E1331" s="41">
        <v>46140</v>
      </c>
      <c r="F1331" s="47">
        <v>0.67898148148148152</v>
      </c>
      <c r="G1331" s="44">
        <v>6.3</v>
      </c>
      <c r="H1331" s="43" t="s">
        <v>234</v>
      </c>
      <c r="I1331" s="40" t="s">
        <v>1281</v>
      </c>
    </row>
    <row r="1332" spans="1:9" x14ac:dyDescent="0.25">
      <c r="A1332" s="40" t="s">
        <v>84</v>
      </c>
      <c r="B1332" s="28">
        <v>1584</v>
      </c>
      <c r="C1332" s="28">
        <v>5641104</v>
      </c>
      <c r="D1332" s="28" t="s">
        <v>37</v>
      </c>
      <c r="E1332" s="41">
        <v>46140</v>
      </c>
      <c r="F1332" s="47">
        <v>0.71383101851851849</v>
      </c>
      <c r="G1332" s="44">
        <v>6.3</v>
      </c>
      <c r="H1332" s="43" t="s">
        <v>235</v>
      </c>
      <c r="I1332" s="40" t="s">
        <v>1281</v>
      </c>
    </row>
    <row r="1333" spans="1:9" x14ac:dyDescent="0.25">
      <c r="A1333" s="40" t="s">
        <v>84</v>
      </c>
      <c r="B1333" s="28">
        <v>1584</v>
      </c>
      <c r="C1333" s="28" t="s">
        <v>35</v>
      </c>
      <c r="D1333" s="28" t="s">
        <v>38</v>
      </c>
      <c r="E1333" s="41">
        <v>46140</v>
      </c>
      <c r="F1333" s="47">
        <v>0.76861111111111113</v>
      </c>
      <c r="G1333" s="44">
        <v>6.3</v>
      </c>
      <c r="H1333" s="43" t="s">
        <v>234</v>
      </c>
      <c r="I1333" s="40" t="s">
        <v>1281</v>
      </c>
    </row>
    <row r="1334" spans="1:9" x14ac:dyDescent="0.25">
      <c r="A1334" s="40" t="s">
        <v>84</v>
      </c>
      <c r="B1334" s="28">
        <v>1584</v>
      </c>
      <c r="C1334" s="28" t="s">
        <v>35</v>
      </c>
      <c r="D1334" s="28" t="s">
        <v>38</v>
      </c>
      <c r="E1334" s="41">
        <v>46141</v>
      </c>
      <c r="F1334" s="47">
        <v>0.13134259259259259</v>
      </c>
      <c r="G1334" s="44">
        <v>6.3</v>
      </c>
      <c r="H1334" s="43" t="s">
        <v>235</v>
      </c>
      <c r="I1334" s="40" t="s">
        <v>1281</v>
      </c>
    </row>
    <row r="1335" spans="1:9" x14ac:dyDescent="0.25">
      <c r="A1335" s="40" t="s">
        <v>84</v>
      </c>
      <c r="B1335" s="28">
        <v>1584</v>
      </c>
      <c r="C1335" s="28" t="s">
        <v>35</v>
      </c>
      <c r="D1335" s="28" t="s">
        <v>38</v>
      </c>
      <c r="E1335" s="41">
        <v>46141</v>
      </c>
      <c r="F1335" s="47">
        <v>0.13796296296296295</v>
      </c>
      <c r="G1335" s="44">
        <v>6.3</v>
      </c>
      <c r="H1335" s="43" t="s">
        <v>236</v>
      </c>
      <c r="I1335" s="40" t="s">
        <v>1281</v>
      </c>
    </row>
    <row r="1336" spans="1:9" x14ac:dyDescent="0.25">
      <c r="A1336" s="40" t="s">
        <v>84</v>
      </c>
      <c r="B1336" s="28">
        <v>1584</v>
      </c>
      <c r="C1336" s="28">
        <v>5642026</v>
      </c>
      <c r="D1336" s="28"/>
      <c r="E1336" s="45">
        <v>46141</v>
      </c>
      <c r="F1336" s="48">
        <v>0.18667824074074074</v>
      </c>
      <c r="G1336" s="44">
        <v>6.3</v>
      </c>
      <c r="H1336" s="43" t="s">
        <v>237</v>
      </c>
      <c r="I1336" s="40" t="s">
        <v>1281</v>
      </c>
    </row>
    <row r="1337" spans="1:9" x14ac:dyDescent="0.25">
      <c r="A1337" s="40" t="s">
        <v>84</v>
      </c>
      <c r="B1337" s="28">
        <v>1584</v>
      </c>
      <c r="C1337" s="28">
        <v>5642026</v>
      </c>
      <c r="D1337" s="28"/>
      <c r="E1337" s="41">
        <v>46141</v>
      </c>
      <c r="F1337" s="47">
        <v>0.19195601851851851</v>
      </c>
      <c r="G1337" s="44">
        <v>6.3</v>
      </c>
      <c r="H1337" s="43" t="s">
        <v>234</v>
      </c>
      <c r="I1337" s="40" t="s">
        <v>1281</v>
      </c>
    </row>
    <row r="1338" spans="1:9" x14ac:dyDescent="0.25">
      <c r="A1338" s="40" t="s">
        <v>84</v>
      </c>
      <c r="B1338" s="28">
        <v>1584</v>
      </c>
      <c r="C1338" s="28" t="s">
        <v>35</v>
      </c>
      <c r="D1338" s="28" t="s">
        <v>38</v>
      </c>
      <c r="E1338" s="45">
        <v>46141</v>
      </c>
      <c r="F1338" s="48">
        <v>0.9509143518518518</v>
      </c>
      <c r="G1338" s="44">
        <v>6.3</v>
      </c>
      <c r="H1338" s="43" t="s">
        <v>238</v>
      </c>
      <c r="I1338" s="40" t="s">
        <v>1281</v>
      </c>
    </row>
    <row r="1339" spans="1:9" x14ac:dyDescent="0.25">
      <c r="A1339" s="40" t="s">
        <v>84</v>
      </c>
      <c r="B1339" s="28">
        <v>1584</v>
      </c>
      <c r="C1339" s="28" t="s">
        <v>35</v>
      </c>
      <c r="D1339" s="28" t="s">
        <v>38</v>
      </c>
      <c r="E1339" s="41">
        <v>46141</v>
      </c>
      <c r="F1339" s="47">
        <v>0.95546296296296296</v>
      </c>
      <c r="G1339" s="44">
        <v>6.3</v>
      </c>
      <c r="H1339" s="43" t="s">
        <v>234</v>
      </c>
      <c r="I1339" s="40" t="s">
        <v>1281</v>
      </c>
    </row>
    <row r="1340" spans="1:9" x14ac:dyDescent="0.25">
      <c r="A1340" s="40" t="s">
        <v>84</v>
      </c>
      <c r="B1340" s="28">
        <v>1584</v>
      </c>
      <c r="C1340" s="28">
        <v>5644044</v>
      </c>
      <c r="D1340" s="28"/>
      <c r="E1340" s="45">
        <v>46142</v>
      </c>
      <c r="F1340" s="48">
        <v>0.16018518518518518</v>
      </c>
      <c r="G1340" s="44">
        <v>6.3</v>
      </c>
      <c r="H1340" s="43" t="s">
        <v>238</v>
      </c>
      <c r="I1340" s="40" t="s">
        <v>1281</v>
      </c>
    </row>
    <row r="1341" spans="1:9" x14ac:dyDescent="0.25">
      <c r="A1341" s="40" t="s">
        <v>84</v>
      </c>
      <c r="B1341" s="28">
        <v>1584</v>
      </c>
      <c r="C1341" s="28">
        <v>5644044</v>
      </c>
      <c r="D1341" s="28"/>
      <c r="E1341" s="41">
        <v>46142</v>
      </c>
      <c r="F1341" s="47">
        <v>0.16444444444444445</v>
      </c>
      <c r="G1341" s="44">
        <v>6.3</v>
      </c>
      <c r="H1341" s="43" t="s">
        <v>234</v>
      </c>
      <c r="I1341" s="40" t="s">
        <v>1281</v>
      </c>
    </row>
    <row r="1342" spans="1:9" x14ac:dyDescent="0.25">
      <c r="A1342" s="40" t="s">
        <v>84</v>
      </c>
      <c r="B1342" s="28">
        <v>1584</v>
      </c>
      <c r="C1342" s="28">
        <v>5644419</v>
      </c>
      <c r="D1342" s="28"/>
      <c r="E1342" s="41">
        <v>46142</v>
      </c>
      <c r="F1342" s="47">
        <v>0.45497685185185183</v>
      </c>
      <c r="G1342" s="44">
        <v>6.3</v>
      </c>
      <c r="H1342" s="43" t="s">
        <v>235</v>
      </c>
      <c r="I1342" s="40" t="s">
        <v>1281</v>
      </c>
    </row>
    <row r="1343" spans="1:9" x14ac:dyDescent="0.25">
      <c r="A1343" s="40" t="s">
        <v>84</v>
      </c>
      <c r="B1343" s="28">
        <v>1584</v>
      </c>
      <c r="C1343" s="28" t="s">
        <v>35</v>
      </c>
      <c r="D1343" s="28" t="s">
        <v>38</v>
      </c>
      <c r="E1343" s="45">
        <v>46143</v>
      </c>
      <c r="F1343" s="48">
        <v>0.4148148148148148</v>
      </c>
      <c r="G1343" s="44">
        <v>6.3</v>
      </c>
      <c r="H1343" s="43" t="s">
        <v>237</v>
      </c>
      <c r="I1343" s="40" t="s">
        <v>1282</v>
      </c>
    </row>
    <row r="1344" spans="1:9" x14ac:dyDescent="0.25">
      <c r="A1344" s="40" t="s">
        <v>84</v>
      </c>
      <c r="B1344" s="28">
        <v>1584</v>
      </c>
      <c r="C1344" s="28" t="s">
        <v>35</v>
      </c>
      <c r="D1344" s="28" t="s">
        <v>38</v>
      </c>
      <c r="E1344" s="41">
        <v>46143</v>
      </c>
      <c r="F1344" s="47">
        <v>0.42001157407407408</v>
      </c>
      <c r="G1344" s="44">
        <v>6.3</v>
      </c>
      <c r="H1344" s="43" t="s">
        <v>234</v>
      </c>
      <c r="I1344" s="40" t="s">
        <v>1282</v>
      </c>
    </row>
    <row r="1345" spans="1:9" x14ac:dyDescent="0.25">
      <c r="A1345" s="40" t="s">
        <v>84</v>
      </c>
      <c r="B1345" s="28">
        <v>1584</v>
      </c>
      <c r="C1345" s="28" t="s">
        <v>35</v>
      </c>
      <c r="D1345" s="28" t="s">
        <v>38</v>
      </c>
      <c r="E1345" s="41">
        <v>46143</v>
      </c>
      <c r="F1345" s="47">
        <v>0.85564814814814816</v>
      </c>
      <c r="G1345" s="44">
        <v>6.3</v>
      </c>
      <c r="H1345" s="43" t="s">
        <v>239</v>
      </c>
      <c r="I1345" s="40" t="s">
        <v>1282</v>
      </c>
    </row>
    <row r="1346" spans="1:9" x14ac:dyDescent="0.25">
      <c r="A1346" s="40" t="s">
        <v>84</v>
      </c>
      <c r="B1346" s="28">
        <v>1584</v>
      </c>
      <c r="C1346" s="28">
        <v>5647163</v>
      </c>
      <c r="D1346" s="28" t="s">
        <v>36</v>
      </c>
      <c r="E1346" s="41">
        <v>46144</v>
      </c>
      <c r="F1346" s="47">
        <v>0.15734953703703702</v>
      </c>
      <c r="G1346" s="44">
        <v>6.3</v>
      </c>
      <c r="H1346" s="43" t="s">
        <v>237</v>
      </c>
      <c r="I1346" s="40" t="s">
        <v>1282</v>
      </c>
    </row>
    <row r="1347" spans="1:9" x14ac:dyDescent="0.25">
      <c r="A1347" s="40" t="s">
        <v>84</v>
      </c>
      <c r="B1347" s="28">
        <v>1584</v>
      </c>
      <c r="C1347" s="28">
        <v>5647163</v>
      </c>
      <c r="D1347" s="28" t="s">
        <v>36</v>
      </c>
      <c r="E1347" s="41">
        <v>46144</v>
      </c>
      <c r="F1347" s="47">
        <v>0.16185185185185186</v>
      </c>
      <c r="G1347" s="42">
        <v>6.3</v>
      </c>
      <c r="H1347" s="40" t="s">
        <v>234</v>
      </c>
      <c r="I1347" s="40" t="s">
        <v>1282</v>
      </c>
    </row>
    <row r="1348" spans="1:9" x14ac:dyDescent="0.25">
      <c r="A1348" s="40" t="s">
        <v>84</v>
      </c>
      <c r="B1348" s="28">
        <v>1584</v>
      </c>
      <c r="C1348" s="28">
        <v>5648207</v>
      </c>
      <c r="D1348" s="28" t="s">
        <v>36</v>
      </c>
      <c r="E1348" s="41">
        <v>46145</v>
      </c>
      <c r="F1348" s="47">
        <v>0.17591435185185186</v>
      </c>
      <c r="G1348" s="42">
        <v>6.3</v>
      </c>
      <c r="H1348" s="40" t="s">
        <v>237</v>
      </c>
      <c r="I1348" s="40" t="s">
        <v>1282</v>
      </c>
    </row>
    <row r="1349" spans="1:9" x14ac:dyDescent="0.25">
      <c r="A1349" s="40" t="s">
        <v>84</v>
      </c>
      <c r="B1349" s="28">
        <v>1584</v>
      </c>
      <c r="C1349" s="28">
        <v>5648207</v>
      </c>
      <c r="D1349" s="28" t="s">
        <v>36</v>
      </c>
      <c r="E1349" s="41">
        <v>46145</v>
      </c>
      <c r="F1349" s="47">
        <v>0.18078703703703702</v>
      </c>
      <c r="G1349" s="42">
        <v>6.3</v>
      </c>
      <c r="H1349" s="40" t="s">
        <v>234</v>
      </c>
      <c r="I1349" s="40" t="s">
        <v>1282</v>
      </c>
    </row>
    <row r="1350" spans="1:9" x14ac:dyDescent="0.25">
      <c r="A1350" s="40" t="s">
        <v>84</v>
      </c>
      <c r="B1350" s="28">
        <v>1584</v>
      </c>
      <c r="C1350" s="28">
        <v>5648361</v>
      </c>
      <c r="D1350" s="28" t="s">
        <v>36</v>
      </c>
      <c r="E1350" s="41">
        <v>46145</v>
      </c>
      <c r="F1350" s="47">
        <v>0.41644675925925928</v>
      </c>
      <c r="G1350" s="42">
        <v>6.3</v>
      </c>
      <c r="H1350" s="40" t="s">
        <v>233</v>
      </c>
      <c r="I1350" s="40" t="s">
        <v>1282</v>
      </c>
    </row>
    <row r="1351" spans="1:9" x14ac:dyDescent="0.25">
      <c r="A1351" s="40" t="s">
        <v>84</v>
      </c>
      <c r="B1351" s="28">
        <v>1584</v>
      </c>
      <c r="C1351" s="28">
        <v>5648361</v>
      </c>
      <c r="D1351" s="28" t="s">
        <v>36</v>
      </c>
      <c r="E1351" s="41">
        <v>46145</v>
      </c>
      <c r="F1351" s="47">
        <v>0.42155092592592591</v>
      </c>
      <c r="G1351" s="44">
        <v>6.3</v>
      </c>
      <c r="H1351" s="43" t="s">
        <v>234</v>
      </c>
      <c r="I1351" s="40" t="s">
        <v>1282</v>
      </c>
    </row>
    <row r="1352" spans="1:9" x14ac:dyDescent="0.25">
      <c r="A1352" s="40" t="s">
        <v>84</v>
      </c>
      <c r="B1352" s="28">
        <v>1584</v>
      </c>
      <c r="C1352" s="28">
        <v>5648529</v>
      </c>
      <c r="D1352" s="28" t="s">
        <v>37</v>
      </c>
      <c r="E1352" s="41">
        <v>46145</v>
      </c>
      <c r="F1352" s="47">
        <v>0.50783564814814819</v>
      </c>
      <c r="G1352" s="44">
        <v>6.3</v>
      </c>
      <c r="H1352" s="43" t="s">
        <v>235</v>
      </c>
      <c r="I1352" s="40" t="s">
        <v>1282</v>
      </c>
    </row>
    <row r="1353" spans="1:9" x14ac:dyDescent="0.25">
      <c r="A1353" s="40" t="s">
        <v>84</v>
      </c>
      <c r="B1353" s="28">
        <v>1584</v>
      </c>
      <c r="C1353" s="28">
        <v>5648529</v>
      </c>
      <c r="D1353" s="28" t="s">
        <v>37</v>
      </c>
      <c r="E1353" s="45">
        <v>46145</v>
      </c>
      <c r="F1353" s="48">
        <v>0.51356481481481486</v>
      </c>
      <c r="G1353" s="44">
        <v>6.3</v>
      </c>
      <c r="H1353" s="43" t="s">
        <v>239</v>
      </c>
      <c r="I1353" s="40" t="s">
        <v>1282</v>
      </c>
    </row>
    <row r="1354" spans="1:9" x14ac:dyDescent="0.25">
      <c r="A1354" s="40" t="s">
        <v>411</v>
      </c>
      <c r="B1354" s="28">
        <v>1591</v>
      </c>
      <c r="C1354" s="28" t="s">
        <v>593</v>
      </c>
      <c r="D1354" s="28"/>
      <c r="E1354" s="41">
        <v>46139</v>
      </c>
      <c r="F1354" s="47">
        <v>0.36951388888888886</v>
      </c>
      <c r="G1354" s="44">
        <v>6.3</v>
      </c>
      <c r="H1354" s="43" t="s">
        <v>235</v>
      </c>
      <c r="I1354" s="40" t="s">
        <v>1281</v>
      </c>
    </row>
    <row r="1355" spans="1:9" x14ac:dyDescent="0.25">
      <c r="A1355" s="40" t="s">
        <v>411</v>
      </c>
      <c r="B1355" s="28">
        <v>1591</v>
      </c>
      <c r="C1355" s="28" t="s">
        <v>593</v>
      </c>
      <c r="D1355" s="28"/>
      <c r="E1355" s="41">
        <v>46139</v>
      </c>
      <c r="F1355" s="47">
        <v>0.38502314814814814</v>
      </c>
      <c r="G1355" s="44">
        <v>6.3</v>
      </c>
      <c r="H1355" s="43" t="s">
        <v>236</v>
      </c>
      <c r="I1355" s="40" t="s">
        <v>1281</v>
      </c>
    </row>
    <row r="1356" spans="1:9" x14ac:dyDescent="0.25">
      <c r="A1356" s="40" t="s">
        <v>411</v>
      </c>
      <c r="B1356" s="28">
        <v>1591</v>
      </c>
      <c r="C1356" s="28" t="s">
        <v>594</v>
      </c>
      <c r="D1356" s="28"/>
      <c r="E1356" s="41">
        <v>46140</v>
      </c>
      <c r="F1356" s="47">
        <v>0.31969907407407405</v>
      </c>
      <c r="G1356" s="44">
        <v>6.3</v>
      </c>
      <c r="H1356" s="43" t="s">
        <v>235</v>
      </c>
      <c r="I1356" s="40" t="s">
        <v>1281</v>
      </c>
    </row>
    <row r="1357" spans="1:9" x14ac:dyDescent="0.25">
      <c r="A1357" s="40" t="s">
        <v>411</v>
      </c>
      <c r="B1357" s="28">
        <v>1591</v>
      </c>
      <c r="C1357" s="28" t="s">
        <v>594</v>
      </c>
      <c r="D1357" s="28"/>
      <c r="E1357" s="41">
        <v>46140</v>
      </c>
      <c r="F1357" s="47">
        <v>0.33627314814814813</v>
      </c>
      <c r="G1357" s="44">
        <v>6.3</v>
      </c>
      <c r="H1357" s="43" t="s">
        <v>236</v>
      </c>
      <c r="I1357" s="40" t="s">
        <v>1281</v>
      </c>
    </row>
    <row r="1358" spans="1:9" x14ac:dyDescent="0.25">
      <c r="A1358" s="40" t="s">
        <v>411</v>
      </c>
      <c r="B1358" s="28">
        <v>1591</v>
      </c>
      <c r="C1358" s="28" t="s">
        <v>595</v>
      </c>
      <c r="D1358" s="28"/>
      <c r="E1358" s="41">
        <v>46140</v>
      </c>
      <c r="F1358" s="47">
        <v>0.42709490740740741</v>
      </c>
      <c r="G1358" s="44">
        <v>6.3</v>
      </c>
      <c r="H1358" s="43" t="s">
        <v>237</v>
      </c>
      <c r="I1358" s="40" t="s">
        <v>1281</v>
      </c>
    </row>
    <row r="1359" spans="1:9" x14ac:dyDescent="0.25">
      <c r="A1359" s="40" t="s">
        <v>411</v>
      </c>
      <c r="B1359" s="28">
        <v>1591</v>
      </c>
      <c r="C1359" s="28" t="s">
        <v>595</v>
      </c>
      <c r="D1359" s="28"/>
      <c r="E1359" s="45">
        <v>46140</v>
      </c>
      <c r="F1359" s="48">
        <v>0.44118055555555558</v>
      </c>
      <c r="G1359" s="44">
        <v>6.3</v>
      </c>
      <c r="H1359" s="43" t="s">
        <v>234</v>
      </c>
      <c r="I1359" s="40" t="s">
        <v>1281</v>
      </c>
    </row>
    <row r="1360" spans="1:9" x14ac:dyDescent="0.25">
      <c r="A1360" s="40" t="s">
        <v>411</v>
      </c>
      <c r="B1360" s="28">
        <v>1591</v>
      </c>
      <c r="C1360" s="28" t="s">
        <v>596</v>
      </c>
      <c r="D1360" s="28"/>
      <c r="E1360" s="41">
        <v>46142</v>
      </c>
      <c r="F1360" s="47">
        <v>0.29806712962962961</v>
      </c>
      <c r="G1360" s="44">
        <v>6.3</v>
      </c>
      <c r="H1360" s="43" t="s">
        <v>235</v>
      </c>
      <c r="I1360" s="40" t="s">
        <v>1281</v>
      </c>
    </row>
    <row r="1361" spans="1:9" x14ac:dyDescent="0.25">
      <c r="A1361" s="40" t="s">
        <v>411</v>
      </c>
      <c r="B1361" s="28">
        <v>1591</v>
      </c>
      <c r="C1361" s="28" t="s">
        <v>596</v>
      </c>
      <c r="D1361" s="28"/>
      <c r="E1361" s="41">
        <v>46142</v>
      </c>
      <c r="F1361" s="47">
        <v>0.31313657407407408</v>
      </c>
      <c r="G1361" s="44">
        <v>6.3</v>
      </c>
      <c r="H1361" s="43" t="s">
        <v>236</v>
      </c>
      <c r="I1361" s="40" t="s">
        <v>1281</v>
      </c>
    </row>
    <row r="1362" spans="1:9" x14ac:dyDescent="0.25">
      <c r="A1362" s="40" t="s">
        <v>411</v>
      </c>
      <c r="B1362" s="28">
        <v>1591</v>
      </c>
      <c r="C1362" s="28" t="s">
        <v>597</v>
      </c>
      <c r="D1362" s="28"/>
      <c r="E1362" s="41">
        <v>46142</v>
      </c>
      <c r="F1362" s="47">
        <v>0.40738425925925925</v>
      </c>
      <c r="G1362" s="44">
        <v>6.3</v>
      </c>
      <c r="H1362" s="43" t="s">
        <v>237</v>
      </c>
      <c r="I1362" s="40" t="s">
        <v>1281</v>
      </c>
    </row>
    <row r="1363" spans="1:9" x14ac:dyDescent="0.25">
      <c r="A1363" s="40" t="s">
        <v>411</v>
      </c>
      <c r="B1363" s="28">
        <v>1591</v>
      </c>
      <c r="C1363" s="28" t="s">
        <v>597</v>
      </c>
      <c r="D1363" s="28"/>
      <c r="E1363" s="41">
        <v>46142</v>
      </c>
      <c r="F1363" s="47">
        <v>0.41321759259259261</v>
      </c>
      <c r="G1363" s="44">
        <v>6.3</v>
      </c>
      <c r="H1363" s="43" t="s">
        <v>234</v>
      </c>
      <c r="I1363" s="40" t="s">
        <v>1281</v>
      </c>
    </row>
    <row r="1364" spans="1:9" x14ac:dyDescent="0.25">
      <c r="A1364" s="40" t="s">
        <v>225</v>
      </c>
      <c r="B1364" s="28">
        <v>1594</v>
      </c>
      <c r="C1364" s="28" t="s">
        <v>598</v>
      </c>
      <c r="D1364" s="28"/>
      <c r="E1364" s="41">
        <v>46139</v>
      </c>
      <c r="F1364" s="47">
        <v>3.9351851851851848E-3</v>
      </c>
      <c r="G1364" s="42">
        <v>6.3</v>
      </c>
      <c r="H1364" s="40" t="s">
        <v>239</v>
      </c>
      <c r="I1364" s="40" t="s">
        <v>1281</v>
      </c>
    </row>
    <row r="1365" spans="1:9" x14ac:dyDescent="0.25">
      <c r="A1365" s="40" t="s">
        <v>225</v>
      </c>
      <c r="B1365" s="28">
        <v>1594</v>
      </c>
      <c r="C1365" s="28" t="s">
        <v>35</v>
      </c>
      <c r="D1365" s="28" t="s">
        <v>38</v>
      </c>
      <c r="E1365" s="41">
        <v>46139</v>
      </c>
      <c r="F1365" s="47">
        <v>0.63123842592592594</v>
      </c>
      <c r="G1365" s="42">
        <v>6.3</v>
      </c>
      <c r="H1365" s="40" t="s">
        <v>237</v>
      </c>
      <c r="I1365" s="40" t="s">
        <v>1281</v>
      </c>
    </row>
    <row r="1366" spans="1:9" x14ac:dyDescent="0.25">
      <c r="A1366" s="40" t="s">
        <v>225</v>
      </c>
      <c r="B1366" s="28">
        <v>1594</v>
      </c>
      <c r="C1366" s="28" t="s">
        <v>35</v>
      </c>
      <c r="D1366" s="28" t="s">
        <v>38</v>
      </c>
      <c r="E1366" s="41">
        <v>46139</v>
      </c>
      <c r="F1366" s="47">
        <v>0.63802083333333337</v>
      </c>
      <c r="G1366" s="44">
        <v>6.3</v>
      </c>
      <c r="H1366" s="43" t="s">
        <v>234</v>
      </c>
      <c r="I1366" s="40" t="s">
        <v>1281</v>
      </c>
    </row>
    <row r="1367" spans="1:9" x14ac:dyDescent="0.25">
      <c r="A1367" s="40" t="s">
        <v>225</v>
      </c>
      <c r="B1367" s="28">
        <v>1594</v>
      </c>
      <c r="C1367" s="28">
        <v>5639607</v>
      </c>
      <c r="D1367" s="28"/>
      <c r="E1367" s="41">
        <v>46139</v>
      </c>
      <c r="F1367" s="47">
        <v>0.93961805555555555</v>
      </c>
      <c r="G1367" s="44">
        <v>6.3</v>
      </c>
      <c r="H1367" s="43" t="s">
        <v>235</v>
      </c>
      <c r="I1367" s="40" t="s">
        <v>1281</v>
      </c>
    </row>
    <row r="1368" spans="1:9" x14ac:dyDescent="0.25">
      <c r="A1368" s="40" t="s">
        <v>225</v>
      </c>
      <c r="B1368" s="28">
        <v>1594</v>
      </c>
      <c r="C1368" s="28">
        <v>5639607</v>
      </c>
      <c r="D1368" s="28"/>
      <c r="E1368" s="41">
        <v>46139</v>
      </c>
      <c r="F1368" s="47">
        <v>0.9455324074074074</v>
      </c>
      <c r="G1368" s="44">
        <v>6.3</v>
      </c>
      <c r="H1368" s="43" t="s">
        <v>239</v>
      </c>
      <c r="I1368" s="40" t="s">
        <v>1281</v>
      </c>
    </row>
    <row r="1369" spans="1:9" x14ac:dyDescent="0.25">
      <c r="A1369" s="40" t="s">
        <v>225</v>
      </c>
      <c r="B1369" s="28">
        <v>1594</v>
      </c>
      <c r="C1369" s="28" t="s">
        <v>35</v>
      </c>
      <c r="D1369" s="28" t="s">
        <v>38</v>
      </c>
      <c r="E1369" s="41">
        <v>46139</v>
      </c>
      <c r="F1369" s="47">
        <v>0.98629629629629634</v>
      </c>
      <c r="G1369" s="44">
        <v>6.3</v>
      </c>
      <c r="H1369" s="43" t="s">
        <v>233</v>
      </c>
      <c r="I1369" s="40" t="s">
        <v>1281</v>
      </c>
    </row>
    <row r="1370" spans="1:9" x14ac:dyDescent="0.25">
      <c r="A1370" s="40" t="s">
        <v>225</v>
      </c>
      <c r="B1370" s="28">
        <v>1594</v>
      </c>
      <c r="C1370" s="28" t="s">
        <v>35</v>
      </c>
      <c r="D1370" s="28" t="s">
        <v>38</v>
      </c>
      <c r="E1370" s="41">
        <v>46139</v>
      </c>
      <c r="F1370" s="47">
        <v>0.99118055555555551</v>
      </c>
      <c r="G1370" s="44">
        <v>6.3</v>
      </c>
      <c r="H1370" s="43" t="s">
        <v>234</v>
      </c>
      <c r="I1370" s="40" t="s">
        <v>1281</v>
      </c>
    </row>
    <row r="1371" spans="1:9" x14ac:dyDescent="0.25">
      <c r="A1371" s="40" t="s">
        <v>225</v>
      </c>
      <c r="B1371" s="28">
        <v>1594</v>
      </c>
      <c r="C1371" s="28" t="s">
        <v>35</v>
      </c>
      <c r="D1371" s="28" t="s">
        <v>38</v>
      </c>
      <c r="E1371" s="41">
        <v>46140</v>
      </c>
      <c r="F1371" s="47">
        <v>0.12290509259259259</v>
      </c>
      <c r="G1371" s="44">
        <v>6.3</v>
      </c>
      <c r="H1371" s="43" t="s">
        <v>236</v>
      </c>
      <c r="I1371" s="40" t="s">
        <v>1281</v>
      </c>
    </row>
    <row r="1372" spans="1:9" x14ac:dyDescent="0.25">
      <c r="A1372" s="40" t="s">
        <v>225</v>
      </c>
      <c r="B1372" s="28">
        <v>1594</v>
      </c>
      <c r="C1372" s="28">
        <v>5641653</v>
      </c>
      <c r="D1372" s="28"/>
      <c r="E1372" s="41">
        <v>46140</v>
      </c>
      <c r="F1372" s="47">
        <v>0.87549768518518523</v>
      </c>
      <c r="G1372" s="44">
        <v>6.3</v>
      </c>
      <c r="H1372" s="43" t="s">
        <v>235</v>
      </c>
      <c r="I1372" s="40" t="s">
        <v>1281</v>
      </c>
    </row>
    <row r="1373" spans="1:9" x14ac:dyDescent="0.25">
      <c r="A1373" s="40" t="s">
        <v>225</v>
      </c>
      <c r="B1373" s="28">
        <v>1594</v>
      </c>
      <c r="C1373" s="28">
        <v>5641653</v>
      </c>
      <c r="D1373" s="28"/>
      <c r="E1373" s="41">
        <v>46140</v>
      </c>
      <c r="F1373" s="47">
        <v>0.88288194444444446</v>
      </c>
      <c r="G1373" s="44">
        <v>6.3</v>
      </c>
      <c r="H1373" s="43" t="s">
        <v>236</v>
      </c>
      <c r="I1373" s="40" t="s">
        <v>1281</v>
      </c>
    </row>
    <row r="1374" spans="1:9" x14ac:dyDescent="0.25">
      <c r="A1374" s="40" t="s">
        <v>225</v>
      </c>
      <c r="B1374" s="28">
        <v>1594</v>
      </c>
      <c r="C1374" s="28" t="s">
        <v>599</v>
      </c>
      <c r="D1374" s="28"/>
      <c r="E1374" s="41">
        <v>46140</v>
      </c>
      <c r="F1374" s="47">
        <v>0.99927083333333333</v>
      </c>
      <c r="G1374" s="44">
        <v>6.3</v>
      </c>
      <c r="H1374" s="43" t="s">
        <v>235</v>
      </c>
      <c r="I1374" s="40" t="s">
        <v>1281</v>
      </c>
    </row>
    <row r="1375" spans="1:9" x14ac:dyDescent="0.25">
      <c r="A1375" s="40" t="s">
        <v>225</v>
      </c>
      <c r="B1375" s="28">
        <v>1594</v>
      </c>
      <c r="C1375" s="28" t="s">
        <v>599</v>
      </c>
      <c r="D1375" s="28"/>
      <c r="E1375" s="41">
        <v>46141</v>
      </c>
      <c r="F1375" s="47">
        <v>5.2662037037037035E-3</v>
      </c>
      <c r="G1375" s="44">
        <v>6.3</v>
      </c>
      <c r="H1375" s="43" t="s">
        <v>236</v>
      </c>
      <c r="I1375" s="40" t="s">
        <v>1281</v>
      </c>
    </row>
    <row r="1376" spans="1:9" x14ac:dyDescent="0.25">
      <c r="A1376" s="40" t="s">
        <v>225</v>
      </c>
      <c r="B1376" s="28">
        <v>1594</v>
      </c>
      <c r="C1376" s="28">
        <v>5648010</v>
      </c>
      <c r="D1376" s="28"/>
      <c r="E1376" s="41">
        <v>46145</v>
      </c>
      <c r="F1376" s="47">
        <v>0.15450231481481483</v>
      </c>
      <c r="G1376" s="44">
        <v>6.3</v>
      </c>
      <c r="H1376" s="43" t="s">
        <v>237</v>
      </c>
      <c r="I1376" s="40" t="s">
        <v>1282</v>
      </c>
    </row>
    <row r="1377" spans="1:9" x14ac:dyDescent="0.25">
      <c r="A1377" s="40" t="s">
        <v>225</v>
      </c>
      <c r="B1377" s="28">
        <v>1594</v>
      </c>
      <c r="C1377" s="28">
        <v>5648010</v>
      </c>
      <c r="D1377" s="28"/>
      <c r="E1377" s="41">
        <v>46145</v>
      </c>
      <c r="F1377" s="47">
        <v>0.15914351851851852</v>
      </c>
      <c r="G1377" s="44">
        <v>6.3</v>
      </c>
      <c r="H1377" s="43" t="s">
        <v>234</v>
      </c>
      <c r="I1377" s="40" t="s">
        <v>1282</v>
      </c>
    </row>
    <row r="1378" spans="1:9" x14ac:dyDescent="0.25">
      <c r="A1378" s="40" t="s">
        <v>225</v>
      </c>
      <c r="B1378" s="28">
        <v>1594</v>
      </c>
      <c r="C1378" s="28">
        <v>5649077</v>
      </c>
      <c r="D1378" s="28" t="s">
        <v>37</v>
      </c>
      <c r="E1378" s="41">
        <v>46145</v>
      </c>
      <c r="F1378" s="47">
        <v>0.87799768518518517</v>
      </c>
      <c r="G1378" s="44">
        <v>6.3</v>
      </c>
      <c r="H1378" s="43" t="s">
        <v>235</v>
      </c>
      <c r="I1378" s="40" t="s">
        <v>1282</v>
      </c>
    </row>
    <row r="1379" spans="1:9" x14ac:dyDescent="0.25">
      <c r="A1379" s="40" t="s">
        <v>225</v>
      </c>
      <c r="B1379" s="28">
        <v>1594</v>
      </c>
      <c r="C1379" s="28">
        <v>5649077</v>
      </c>
      <c r="D1379" s="28" t="s">
        <v>37</v>
      </c>
      <c r="E1379" s="41">
        <v>46145</v>
      </c>
      <c r="F1379" s="47">
        <v>0.8850810185185185</v>
      </c>
      <c r="G1379" s="44">
        <v>6.3</v>
      </c>
      <c r="H1379" s="43" t="s">
        <v>236</v>
      </c>
      <c r="I1379" s="40" t="s">
        <v>1282</v>
      </c>
    </row>
    <row r="1380" spans="1:9" x14ac:dyDescent="0.25">
      <c r="A1380" s="40" t="s">
        <v>225</v>
      </c>
      <c r="B1380" s="28">
        <v>1594</v>
      </c>
      <c r="C1380" s="28" t="s">
        <v>600</v>
      </c>
      <c r="D1380" s="28"/>
      <c r="E1380" s="41">
        <v>46145</v>
      </c>
      <c r="F1380" s="47">
        <v>0.96697916666666661</v>
      </c>
      <c r="G1380" s="44">
        <v>6.3</v>
      </c>
      <c r="H1380" s="43" t="s">
        <v>235</v>
      </c>
      <c r="I1380" s="40" t="s">
        <v>1282</v>
      </c>
    </row>
    <row r="1381" spans="1:9" x14ac:dyDescent="0.25">
      <c r="A1381" s="40" t="s">
        <v>225</v>
      </c>
      <c r="B1381" s="28">
        <v>1594</v>
      </c>
      <c r="C1381" s="28" t="s">
        <v>600</v>
      </c>
      <c r="D1381" s="28"/>
      <c r="E1381" s="41">
        <v>46145</v>
      </c>
      <c r="F1381" s="47">
        <v>0.97384259259259254</v>
      </c>
      <c r="G1381" s="44">
        <v>6.3</v>
      </c>
      <c r="H1381" s="43" t="s">
        <v>236</v>
      </c>
      <c r="I1381" s="40" t="s">
        <v>1282</v>
      </c>
    </row>
    <row r="1382" spans="1:9" x14ac:dyDescent="0.25">
      <c r="A1382" s="40" t="s">
        <v>212</v>
      </c>
      <c r="B1382" s="28">
        <v>1595</v>
      </c>
      <c r="C1382" s="28" t="s">
        <v>601</v>
      </c>
      <c r="D1382" s="28"/>
      <c r="E1382" s="41">
        <v>46139</v>
      </c>
      <c r="F1382" s="47">
        <v>0.62553240740740745</v>
      </c>
      <c r="G1382" s="44">
        <v>6.3</v>
      </c>
      <c r="H1382" s="43" t="s">
        <v>235</v>
      </c>
      <c r="I1382" s="40" t="s">
        <v>1281</v>
      </c>
    </row>
    <row r="1383" spans="1:9" x14ac:dyDescent="0.25">
      <c r="A1383" s="40" t="s">
        <v>212</v>
      </c>
      <c r="B1383" s="28">
        <v>1595</v>
      </c>
      <c r="C1383" s="28" t="s">
        <v>601</v>
      </c>
      <c r="D1383" s="28"/>
      <c r="E1383" s="41">
        <v>46139</v>
      </c>
      <c r="F1383" s="47">
        <v>0.63475694444444442</v>
      </c>
      <c r="G1383" s="44">
        <v>6.3</v>
      </c>
      <c r="H1383" s="43" t="s">
        <v>239</v>
      </c>
      <c r="I1383" s="40" t="s">
        <v>1281</v>
      </c>
    </row>
    <row r="1384" spans="1:9" x14ac:dyDescent="0.25">
      <c r="A1384" s="40" t="s">
        <v>212</v>
      </c>
      <c r="B1384" s="28">
        <v>1595</v>
      </c>
      <c r="C1384" s="28">
        <v>5642170</v>
      </c>
      <c r="D1384" s="28"/>
      <c r="E1384" s="41">
        <v>46141</v>
      </c>
      <c r="F1384" s="47">
        <v>0.32370370370370372</v>
      </c>
      <c r="G1384" s="44">
        <v>6.3</v>
      </c>
      <c r="H1384" s="43" t="s">
        <v>235</v>
      </c>
      <c r="I1384" s="40" t="s">
        <v>1281</v>
      </c>
    </row>
    <row r="1385" spans="1:9" x14ac:dyDescent="0.25">
      <c r="A1385" s="40" t="s">
        <v>212</v>
      </c>
      <c r="B1385" s="28">
        <v>1595</v>
      </c>
      <c r="C1385" s="28">
        <v>5643158</v>
      </c>
      <c r="D1385" s="28"/>
      <c r="E1385" s="41">
        <v>46141</v>
      </c>
      <c r="F1385" s="47">
        <v>0.69914351851851853</v>
      </c>
      <c r="G1385" s="44">
        <v>6.3</v>
      </c>
      <c r="H1385" s="43" t="s">
        <v>235</v>
      </c>
      <c r="I1385" s="40" t="s">
        <v>1281</v>
      </c>
    </row>
    <row r="1386" spans="1:9" x14ac:dyDescent="0.25">
      <c r="A1386" s="40" t="s">
        <v>212</v>
      </c>
      <c r="B1386" s="28">
        <v>1595</v>
      </c>
      <c r="C1386" s="28">
        <v>5643158</v>
      </c>
      <c r="D1386" s="28"/>
      <c r="E1386" s="41">
        <v>46141</v>
      </c>
      <c r="F1386" s="47">
        <v>0.71285879629629634</v>
      </c>
      <c r="G1386" s="44">
        <v>6.3</v>
      </c>
      <c r="H1386" s="43" t="s">
        <v>236</v>
      </c>
      <c r="I1386" s="40" t="s">
        <v>1281</v>
      </c>
    </row>
    <row r="1387" spans="1:9" x14ac:dyDescent="0.25">
      <c r="A1387" s="40" t="s">
        <v>212</v>
      </c>
      <c r="B1387" s="28">
        <v>1595</v>
      </c>
      <c r="C1387" s="28">
        <v>5640673</v>
      </c>
      <c r="D1387" s="28" t="s">
        <v>37</v>
      </c>
      <c r="E1387" s="45">
        <v>46141</v>
      </c>
      <c r="F1387" s="48">
        <v>0.81980324074074074</v>
      </c>
      <c r="G1387" s="44">
        <v>6.3</v>
      </c>
      <c r="H1387" s="43" t="s">
        <v>235</v>
      </c>
      <c r="I1387" s="40" t="s">
        <v>1281</v>
      </c>
    </row>
    <row r="1388" spans="1:9" x14ac:dyDescent="0.25">
      <c r="A1388" s="40" t="s">
        <v>212</v>
      </c>
      <c r="B1388" s="28">
        <v>1595</v>
      </c>
      <c r="C1388" s="28">
        <v>5645692</v>
      </c>
      <c r="D1388" s="28"/>
      <c r="E1388" s="41">
        <v>46142</v>
      </c>
      <c r="F1388" s="47">
        <v>0.90700231481481486</v>
      </c>
      <c r="G1388" s="44">
        <v>6.3</v>
      </c>
      <c r="H1388" s="43" t="s">
        <v>235</v>
      </c>
      <c r="I1388" s="40" t="s">
        <v>1281</v>
      </c>
    </row>
    <row r="1389" spans="1:9" x14ac:dyDescent="0.25">
      <c r="A1389" s="40" t="s">
        <v>212</v>
      </c>
      <c r="B1389" s="28">
        <v>1595</v>
      </c>
      <c r="C1389" s="28">
        <v>5645692</v>
      </c>
      <c r="D1389" s="28"/>
      <c r="E1389" s="41">
        <v>46142</v>
      </c>
      <c r="F1389" s="47">
        <v>0.91402777777777777</v>
      </c>
      <c r="G1389" s="44">
        <v>6.3</v>
      </c>
      <c r="H1389" s="43" t="s">
        <v>236</v>
      </c>
      <c r="I1389" s="40" t="s">
        <v>1281</v>
      </c>
    </row>
    <row r="1390" spans="1:9" x14ac:dyDescent="0.25">
      <c r="A1390" s="40" t="s">
        <v>212</v>
      </c>
      <c r="B1390" s="28">
        <v>1595</v>
      </c>
      <c r="C1390" s="28">
        <v>5646205</v>
      </c>
      <c r="D1390" s="28"/>
      <c r="E1390" s="41">
        <v>46143</v>
      </c>
      <c r="F1390" s="47">
        <v>0.49410879629629628</v>
      </c>
      <c r="G1390" s="44">
        <v>6.3</v>
      </c>
      <c r="H1390" s="43" t="s">
        <v>235</v>
      </c>
      <c r="I1390" s="40" t="s">
        <v>1282</v>
      </c>
    </row>
    <row r="1391" spans="1:9" x14ac:dyDescent="0.25">
      <c r="A1391" s="40" t="s">
        <v>212</v>
      </c>
      <c r="B1391" s="28">
        <v>1595</v>
      </c>
      <c r="C1391" s="28">
        <v>5646205</v>
      </c>
      <c r="D1391" s="28"/>
      <c r="E1391" s="45">
        <v>46143</v>
      </c>
      <c r="F1391" s="48">
        <v>0.5006018518518518</v>
      </c>
      <c r="G1391" s="44">
        <v>6.3</v>
      </c>
      <c r="H1391" s="43" t="s">
        <v>236</v>
      </c>
      <c r="I1391" s="40" t="s">
        <v>1282</v>
      </c>
    </row>
    <row r="1392" spans="1:9" x14ac:dyDescent="0.25">
      <c r="A1392" s="40" t="s">
        <v>212</v>
      </c>
      <c r="B1392" s="28">
        <v>1595</v>
      </c>
      <c r="C1392" s="28" t="s">
        <v>602</v>
      </c>
      <c r="D1392" s="28"/>
      <c r="E1392" s="45">
        <v>46143</v>
      </c>
      <c r="F1392" s="48">
        <v>0.60818287037037033</v>
      </c>
      <c r="G1392" s="44">
        <v>6.3</v>
      </c>
      <c r="H1392" s="43" t="s">
        <v>235</v>
      </c>
      <c r="I1392" s="40" t="s">
        <v>1282</v>
      </c>
    </row>
    <row r="1393" spans="1:9" x14ac:dyDescent="0.25">
      <c r="A1393" s="40" t="s">
        <v>212</v>
      </c>
      <c r="B1393" s="28">
        <v>1595</v>
      </c>
      <c r="C1393" s="28" t="s">
        <v>602</v>
      </c>
      <c r="D1393" s="28"/>
      <c r="E1393" s="45">
        <v>46143</v>
      </c>
      <c r="F1393" s="48">
        <v>0.61405092592592592</v>
      </c>
      <c r="G1393" s="44">
        <v>6.3</v>
      </c>
      <c r="H1393" s="43" t="s">
        <v>239</v>
      </c>
      <c r="I1393" s="40" t="s">
        <v>1282</v>
      </c>
    </row>
    <row r="1394" spans="1:9" x14ac:dyDescent="0.25">
      <c r="A1394" s="40" t="s">
        <v>212</v>
      </c>
      <c r="B1394" s="28">
        <v>1595</v>
      </c>
      <c r="C1394" s="28" t="s">
        <v>603</v>
      </c>
      <c r="D1394" s="28"/>
      <c r="E1394" s="41">
        <v>46144</v>
      </c>
      <c r="F1394" s="47">
        <v>0.43160879629629628</v>
      </c>
      <c r="G1394" s="44">
        <v>6.3</v>
      </c>
      <c r="H1394" s="43" t="s">
        <v>235</v>
      </c>
      <c r="I1394" s="40" t="s">
        <v>1282</v>
      </c>
    </row>
    <row r="1395" spans="1:9" x14ac:dyDescent="0.25">
      <c r="A1395" s="40" t="s">
        <v>212</v>
      </c>
      <c r="B1395" s="28">
        <v>1595</v>
      </c>
      <c r="C1395" s="28" t="s">
        <v>603</v>
      </c>
      <c r="D1395" s="28"/>
      <c r="E1395" s="45">
        <v>46144</v>
      </c>
      <c r="F1395" s="48">
        <v>0.43912037037037038</v>
      </c>
      <c r="G1395" s="44">
        <v>6.3</v>
      </c>
      <c r="H1395" s="43" t="s">
        <v>236</v>
      </c>
      <c r="I1395" s="40" t="s">
        <v>1282</v>
      </c>
    </row>
    <row r="1396" spans="1:9" x14ac:dyDescent="0.25">
      <c r="A1396" s="40" t="s">
        <v>157</v>
      </c>
      <c r="B1396" s="28">
        <v>1601</v>
      </c>
      <c r="C1396" s="28" t="s">
        <v>35</v>
      </c>
      <c r="D1396" s="28" t="s">
        <v>38</v>
      </c>
      <c r="E1396" s="41">
        <v>46139</v>
      </c>
      <c r="F1396" s="47">
        <v>0.42400462962962965</v>
      </c>
      <c r="G1396" s="44">
        <v>6.3</v>
      </c>
      <c r="H1396" s="43" t="s">
        <v>237</v>
      </c>
      <c r="I1396" s="40" t="s">
        <v>1281</v>
      </c>
    </row>
    <row r="1397" spans="1:9" x14ac:dyDescent="0.25">
      <c r="A1397" s="40" t="s">
        <v>157</v>
      </c>
      <c r="B1397" s="28">
        <v>1601</v>
      </c>
      <c r="C1397" s="28" t="s">
        <v>35</v>
      </c>
      <c r="D1397" s="28" t="s">
        <v>38</v>
      </c>
      <c r="E1397" s="41">
        <v>46139</v>
      </c>
      <c r="F1397" s="47">
        <v>0.43074074074074076</v>
      </c>
      <c r="G1397" s="44">
        <v>6.3</v>
      </c>
      <c r="H1397" s="43" t="s">
        <v>234</v>
      </c>
      <c r="I1397" s="40" t="s">
        <v>1281</v>
      </c>
    </row>
    <row r="1398" spans="1:9" x14ac:dyDescent="0.25">
      <c r="A1398" s="40" t="s">
        <v>157</v>
      </c>
      <c r="B1398" s="28">
        <v>1601</v>
      </c>
      <c r="C1398" s="28" t="s">
        <v>35</v>
      </c>
      <c r="D1398" s="28" t="s">
        <v>38</v>
      </c>
      <c r="E1398" s="41">
        <v>46140</v>
      </c>
      <c r="F1398" s="47">
        <v>0.37049768518518517</v>
      </c>
      <c r="G1398" s="42">
        <v>6.3</v>
      </c>
      <c r="H1398" s="40" t="s">
        <v>237</v>
      </c>
      <c r="I1398" s="40" t="s">
        <v>1281</v>
      </c>
    </row>
    <row r="1399" spans="1:9" x14ac:dyDescent="0.25">
      <c r="A1399" s="40" t="s">
        <v>157</v>
      </c>
      <c r="B1399" s="28">
        <v>1601</v>
      </c>
      <c r="C1399" s="28" t="s">
        <v>35</v>
      </c>
      <c r="D1399" s="28" t="s">
        <v>38</v>
      </c>
      <c r="E1399" s="41">
        <v>46140</v>
      </c>
      <c r="F1399" s="47">
        <v>0.38533564814814814</v>
      </c>
      <c r="G1399" s="44">
        <v>6.3</v>
      </c>
      <c r="H1399" s="43" t="s">
        <v>234</v>
      </c>
      <c r="I1399" s="40" t="s">
        <v>1281</v>
      </c>
    </row>
    <row r="1400" spans="1:9" x14ac:dyDescent="0.25">
      <c r="A1400" s="40" t="s">
        <v>157</v>
      </c>
      <c r="B1400" s="28">
        <v>1601</v>
      </c>
      <c r="C1400" s="28">
        <v>5640377</v>
      </c>
      <c r="D1400" s="28"/>
      <c r="E1400" s="45">
        <v>46140</v>
      </c>
      <c r="F1400" s="48">
        <v>0.4778472222222222</v>
      </c>
      <c r="G1400" s="44">
        <v>6.3</v>
      </c>
      <c r="H1400" s="43" t="s">
        <v>235</v>
      </c>
      <c r="I1400" s="40" t="s">
        <v>1281</v>
      </c>
    </row>
    <row r="1401" spans="1:9" x14ac:dyDescent="0.25">
      <c r="A1401" s="40" t="s">
        <v>157</v>
      </c>
      <c r="B1401" s="28">
        <v>1601</v>
      </c>
      <c r="C1401" s="28">
        <v>5640377</v>
      </c>
      <c r="D1401" s="28"/>
      <c r="E1401" s="41">
        <v>46140</v>
      </c>
      <c r="F1401" s="47">
        <v>0.49008101851851854</v>
      </c>
      <c r="G1401" s="44">
        <v>6.3</v>
      </c>
      <c r="H1401" s="43" t="s">
        <v>236</v>
      </c>
      <c r="I1401" s="40" t="s">
        <v>1281</v>
      </c>
    </row>
    <row r="1402" spans="1:9" x14ac:dyDescent="0.25">
      <c r="A1402" s="40" t="s">
        <v>157</v>
      </c>
      <c r="B1402" s="28">
        <v>1601</v>
      </c>
      <c r="C1402" s="28">
        <v>5640070</v>
      </c>
      <c r="D1402" s="28" t="s">
        <v>36</v>
      </c>
      <c r="E1402" s="41">
        <v>46140</v>
      </c>
      <c r="F1402" s="47">
        <v>0.58607638888888891</v>
      </c>
      <c r="G1402" s="44">
        <v>6.3</v>
      </c>
      <c r="H1402" s="43" t="s">
        <v>237</v>
      </c>
      <c r="I1402" s="40" t="s">
        <v>1281</v>
      </c>
    </row>
    <row r="1403" spans="1:9" x14ac:dyDescent="0.25">
      <c r="A1403" s="40" t="s">
        <v>157</v>
      </c>
      <c r="B1403" s="28">
        <v>1601</v>
      </c>
      <c r="C1403" s="28" t="s">
        <v>35</v>
      </c>
      <c r="D1403" s="28" t="s">
        <v>38</v>
      </c>
      <c r="E1403" s="41">
        <v>46141</v>
      </c>
      <c r="F1403" s="47">
        <v>0.40758101851851852</v>
      </c>
      <c r="G1403" s="44">
        <v>6.3</v>
      </c>
      <c r="H1403" s="43" t="s">
        <v>237</v>
      </c>
      <c r="I1403" s="40" t="s">
        <v>1281</v>
      </c>
    </row>
    <row r="1404" spans="1:9" x14ac:dyDescent="0.25">
      <c r="A1404" s="40" t="s">
        <v>157</v>
      </c>
      <c r="B1404" s="28">
        <v>1601</v>
      </c>
      <c r="C1404" s="28" t="s">
        <v>35</v>
      </c>
      <c r="D1404" s="28" t="s">
        <v>38</v>
      </c>
      <c r="E1404" s="41">
        <v>46141</v>
      </c>
      <c r="F1404" s="47">
        <v>0.42515046296296294</v>
      </c>
      <c r="G1404" s="44">
        <v>6.3</v>
      </c>
      <c r="H1404" s="43" t="s">
        <v>234</v>
      </c>
      <c r="I1404" s="40" t="s">
        <v>1281</v>
      </c>
    </row>
    <row r="1405" spans="1:9" x14ac:dyDescent="0.25">
      <c r="A1405" s="40" t="s">
        <v>157</v>
      </c>
      <c r="B1405" s="28">
        <v>1601</v>
      </c>
      <c r="C1405" s="28" t="s">
        <v>35</v>
      </c>
      <c r="D1405" s="28" t="s">
        <v>38</v>
      </c>
      <c r="E1405" s="41">
        <v>46142</v>
      </c>
      <c r="F1405" s="47">
        <v>0.40188657407407408</v>
      </c>
      <c r="G1405" s="44">
        <v>6.3</v>
      </c>
      <c r="H1405" s="43" t="s">
        <v>233</v>
      </c>
      <c r="I1405" s="40" t="s">
        <v>1281</v>
      </c>
    </row>
    <row r="1406" spans="1:9" x14ac:dyDescent="0.25">
      <c r="A1406" s="40" t="s">
        <v>157</v>
      </c>
      <c r="B1406" s="28">
        <v>1601</v>
      </c>
      <c r="C1406" s="28" t="s">
        <v>35</v>
      </c>
      <c r="D1406" s="28" t="s">
        <v>38</v>
      </c>
      <c r="E1406" s="41">
        <v>46142</v>
      </c>
      <c r="F1406" s="47">
        <v>0.40806712962962965</v>
      </c>
      <c r="G1406" s="44">
        <v>6.3</v>
      </c>
      <c r="H1406" s="43" t="s">
        <v>234</v>
      </c>
      <c r="I1406" s="40" t="s">
        <v>1281</v>
      </c>
    </row>
    <row r="1407" spans="1:9" x14ac:dyDescent="0.25">
      <c r="A1407" s="40" t="s">
        <v>157</v>
      </c>
      <c r="B1407" s="28">
        <v>1601</v>
      </c>
      <c r="C1407" s="28" t="s">
        <v>35</v>
      </c>
      <c r="D1407" s="28" t="s">
        <v>38</v>
      </c>
      <c r="E1407" s="41">
        <v>46143</v>
      </c>
      <c r="F1407" s="47">
        <v>0.43238425925925927</v>
      </c>
      <c r="G1407" s="44">
        <v>6.3</v>
      </c>
      <c r="H1407" s="43" t="s">
        <v>237</v>
      </c>
      <c r="I1407" s="40" t="s">
        <v>1282</v>
      </c>
    </row>
    <row r="1408" spans="1:9" x14ac:dyDescent="0.25">
      <c r="A1408" s="40" t="s">
        <v>157</v>
      </c>
      <c r="B1408" s="28">
        <v>1601</v>
      </c>
      <c r="C1408" s="28" t="s">
        <v>35</v>
      </c>
      <c r="D1408" s="28" t="s">
        <v>38</v>
      </c>
      <c r="E1408" s="45">
        <v>46143</v>
      </c>
      <c r="F1408" s="48">
        <v>0.43841435185185185</v>
      </c>
      <c r="G1408" s="44">
        <v>6.3</v>
      </c>
      <c r="H1408" s="43" t="s">
        <v>234</v>
      </c>
      <c r="I1408" s="40" t="s">
        <v>1282</v>
      </c>
    </row>
    <row r="1409" spans="1:9" x14ac:dyDescent="0.25">
      <c r="A1409" s="40" t="s">
        <v>157</v>
      </c>
      <c r="B1409" s="28">
        <v>1601</v>
      </c>
      <c r="C1409" s="28">
        <v>5646241</v>
      </c>
      <c r="D1409" s="28"/>
      <c r="E1409" s="41">
        <v>46143</v>
      </c>
      <c r="F1409" s="47">
        <v>0.50592592592592589</v>
      </c>
      <c r="G1409" s="44">
        <v>6.3</v>
      </c>
      <c r="H1409" s="43" t="s">
        <v>235</v>
      </c>
      <c r="I1409" s="40" t="s">
        <v>1282</v>
      </c>
    </row>
    <row r="1410" spans="1:9" x14ac:dyDescent="0.25">
      <c r="A1410" s="40" t="s">
        <v>157</v>
      </c>
      <c r="B1410" s="28">
        <v>1601</v>
      </c>
      <c r="C1410" s="28">
        <v>5646241</v>
      </c>
      <c r="D1410" s="28"/>
      <c r="E1410" s="41">
        <v>46143</v>
      </c>
      <c r="F1410" s="47">
        <v>0.51482638888888888</v>
      </c>
      <c r="G1410" s="44">
        <v>6.3</v>
      </c>
      <c r="H1410" s="43" t="s">
        <v>236</v>
      </c>
      <c r="I1410" s="40" t="s">
        <v>1282</v>
      </c>
    </row>
    <row r="1411" spans="1:9" x14ac:dyDescent="0.25">
      <c r="A1411" s="40" t="s">
        <v>157</v>
      </c>
      <c r="B1411" s="28">
        <v>1601</v>
      </c>
      <c r="C1411" s="28" t="s">
        <v>35</v>
      </c>
      <c r="D1411" s="28" t="s">
        <v>38</v>
      </c>
      <c r="E1411" s="41">
        <v>46143</v>
      </c>
      <c r="F1411" s="47">
        <v>0.53694444444444445</v>
      </c>
      <c r="G1411" s="44">
        <v>6.3</v>
      </c>
      <c r="H1411" s="43" t="s">
        <v>237</v>
      </c>
      <c r="I1411" s="40" t="s">
        <v>1282</v>
      </c>
    </row>
    <row r="1412" spans="1:9" x14ac:dyDescent="0.25">
      <c r="A1412" s="40" t="s">
        <v>157</v>
      </c>
      <c r="B1412" s="28">
        <v>1601</v>
      </c>
      <c r="C1412" s="28" t="s">
        <v>35</v>
      </c>
      <c r="D1412" s="28" t="s">
        <v>38</v>
      </c>
      <c r="E1412" s="41">
        <v>46143</v>
      </c>
      <c r="F1412" s="47">
        <v>0.54300925925925925</v>
      </c>
      <c r="G1412" s="44">
        <v>6.3</v>
      </c>
      <c r="H1412" s="43" t="s">
        <v>234</v>
      </c>
      <c r="I1412" s="40" t="s">
        <v>1282</v>
      </c>
    </row>
    <row r="1413" spans="1:9" x14ac:dyDescent="0.25">
      <c r="A1413" s="40" t="s">
        <v>157</v>
      </c>
      <c r="B1413" s="28">
        <v>1601</v>
      </c>
      <c r="C1413" s="28">
        <v>5647178</v>
      </c>
      <c r="D1413" s="28"/>
      <c r="E1413" s="41">
        <v>46144</v>
      </c>
      <c r="F1413" s="47">
        <v>0.70899305555555558</v>
      </c>
      <c r="G1413" s="42">
        <v>6.3</v>
      </c>
      <c r="H1413" s="40" t="s">
        <v>235</v>
      </c>
      <c r="I1413" s="40" t="s">
        <v>1282</v>
      </c>
    </row>
    <row r="1414" spans="1:9" x14ac:dyDescent="0.25">
      <c r="A1414" s="40" t="s">
        <v>157</v>
      </c>
      <c r="B1414" s="28">
        <v>1601</v>
      </c>
      <c r="C1414" s="28">
        <v>5647178</v>
      </c>
      <c r="D1414" s="28"/>
      <c r="E1414" s="41">
        <v>46144</v>
      </c>
      <c r="F1414" s="47">
        <v>0.71793981481481484</v>
      </c>
      <c r="G1414" s="42">
        <v>6.3</v>
      </c>
      <c r="H1414" s="40" t="s">
        <v>240</v>
      </c>
      <c r="I1414" s="40" t="s">
        <v>1282</v>
      </c>
    </row>
    <row r="1415" spans="1:9" x14ac:dyDescent="0.25">
      <c r="A1415" s="40" t="s">
        <v>157</v>
      </c>
      <c r="B1415" s="28">
        <v>1601</v>
      </c>
      <c r="C1415" s="28" t="s">
        <v>35</v>
      </c>
      <c r="D1415" s="28" t="s">
        <v>38</v>
      </c>
      <c r="E1415" s="45">
        <v>46145</v>
      </c>
      <c r="F1415" s="48">
        <v>0.41011574074074075</v>
      </c>
      <c r="G1415" s="42">
        <v>6.3</v>
      </c>
      <c r="H1415" s="40" t="s">
        <v>237</v>
      </c>
      <c r="I1415" s="40" t="s">
        <v>1282</v>
      </c>
    </row>
    <row r="1416" spans="1:9" x14ac:dyDescent="0.25">
      <c r="A1416" s="40" t="s">
        <v>157</v>
      </c>
      <c r="B1416" s="28">
        <v>1601</v>
      </c>
      <c r="C1416" s="28" t="s">
        <v>35</v>
      </c>
      <c r="D1416" s="28" t="s">
        <v>38</v>
      </c>
      <c r="E1416" s="45">
        <v>46145</v>
      </c>
      <c r="F1416" s="48">
        <v>0.41599537037037038</v>
      </c>
      <c r="G1416" s="44">
        <v>6.3</v>
      </c>
      <c r="H1416" s="43" t="s">
        <v>234</v>
      </c>
      <c r="I1416" s="40" t="s">
        <v>1282</v>
      </c>
    </row>
    <row r="1417" spans="1:9" x14ac:dyDescent="0.25">
      <c r="A1417" s="40" t="s">
        <v>157</v>
      </c>
      <c r="B1417" s="28">
        <v>1601</v>
      </c>
      <c r="C1417" s="28" t="s">
        <v>35</v>
      </c>
      <c r="D1417" s="28" t="s">
        <v>38</v>
      </c>
      <c r="E1417" s="41">
        <v>46145</v>
      </c>
      <c r="F1417" s="47">
        <v>0.9495717592592593</v>
      </c>
      <c r="G1417" s="44">
        <v>6.3</v>
      </c>
      <c r="H1417" s="43" t="s">
        <v>236</v>
      </c>
      <c r="I1417" s="40" t="s">
        <v>1282</v>
      </c>
    </row>
    <row r="1418" spans="1:9" x14ac:dyDescent="0.25">
      <c r="A1418" s="40" t="s">
        <v>83</v>
      </c>
      <c r="B1418" s="28">
        <v>1603</v>
      </c>
      <c r="C1418" s="28">
        <v>5639310</v>
      </c>
      <c r="D1418" s="28"/>
      <c r="E1418" s="41">
        <v>46140</v>
      </c>
      <c r="F1418" s="47">
        <v>0.47283564814814816</v>
      </c>
      <c r="G1418" s="44">
        <v>6.3</v>
      </c>
      <c r="H1418" s="43" t="s">
        <v>235</v>
      </c>
      <c r="I1418" s="40" t="s">
        <v>1281</v>
      </c>
    </row>
    <row r="1419" spans="1:9" x14ac:dyDescent="0.25">
      <c r="A1419" s="40" t="s">
        <v>83</v>
      </c>
      <c r="B1419" s="28">
        <v>1603</v>
      </c>
      <c r="C1419" s="28">
        <v>5639310</v>
      </c>
      <c r="D1419" s="28"/>
      <c r="E1419" s="41">
        <v>46140</v>
      </c>
      <c r="F1419" s="47">
        <v>0.48614583333333333</v>
      </c>
      <c r="G1419" s="44">
        <v>6.3</v>
      </c>
      <c r="H1419" s="43" t="s">
        <v>236</v>
      </c>
      <c r="I1419" s="40" t="s">
        <v>1281</v>
      </c>
    </row>
    <row r="1420" spans="1:9" x14ac:dyDescent="0.25">
      <c r="A1420" s="40" t="s">
        <v>83</v>
      </c>
      <c r="B1420" s="28">
        <v>1603</v>
      </c>
      <c r="C1420" s="28">
        <v>5643274</v>
      </c>
      <c r="D1420" s="28"/>
      <c r="E1420" s="41">
        <v>46142</v>
      </c>
      <c r="F1420" s="47">
        <v>0.44494212962962965</v>
      </c>
      <c r="G1420" s="44">
        <v>6.3</v>
      </c>
      <c r="H1420" s="43" t="s">
        <v>235</v>
      </c>
      <c r="I1420" s="40" t="s">
        <v>1281</v>
      </c>
    </row>
    <row r="1421" spans="1:9" x14ac:dyDescent="0.25">
      <c r="A1421" s="40" t="s">
        <v>83</v>
      </c>
      <c r="B1421" s="28">
        <v>1603</v>
      </c>
      <c r="C1421" s="28" t="s">
        <v>35</v>
      </c>
      <c r="D1421" s="28" t="s">
        <v>38</v>
      </c>
      <c r="E1421" s="45">
        <v>46143</v>
      </c>
      <c r="F1421" s="48">
        <v>0.28314814814814815</v>
      </c>
      <c r="G1421" s="44">
        <v>6.3</v>
      </c>
      <c r="H1421" s="43" t="s">
        <v>236</v>
      </c>
      <c r="I1421" s="40" t="s">
        <v>1282</v>
      </c>
    </row>
    <row r="1422" spans="1:9" x14ac:dyDescent="0.25">
      <c r="A1422" s="40" t="s">
        <v>83</v>
      </c>
      <c r="B1422" s="28">
        <v>1603</v>
      </c>
      <c r="C1422" s="28" t="s">
        <v>35</v>
      </c>
      <c r="D1422" s="28" t="s">
        <v>38</v>
      </c>
      <c r="E1422" s="45">
        <v>46143</v>
      </c>
      <c r="F1422" s="48">
        <v>0.33400462962962962</v>
      </c>
      <c r="G1422" s="44">
        <v>6.3</v>
      </c>
      <c r="H1422" s="43" t="s">
        <v>237</v>
      </c>
      <c r="I1422" s="40" t="s">
        <v>1282</v>
      </c>
    </row>
    <row r="1423" spans="1:9" x14ac:dyDescent="0.25">
      <c r="A1423" s="40" t="s">
        <v>83</v>
      </c>
      <c r="B1423" s="28">
        <v>1603</v>
      </c>
      <c r="C1423" s="28" t="s">
        <v>35</v>
      </c>
      <c r="D1423" s="28" t="s">
        <v>38</v>
      </c>
      <c r="E1423" s="41">
        <v>46143</v>
      </c>
      <c r="F1423" s="47">
        <v>0.33931712962962962</v>
      </c>
      <c r="G1423" s="44">
        <v>6.3</v>
      </c>
      <c r="H1423" s="43" t="s">
        <v>234</v>
      </c>
      <c r="I1423" s="40" t="s">
        <v>1282</v>
      </c>
    </row>
    <row r="1424" spans="1:9" x14ac:dyDescent="0.25">
      <c r="A1424" s="40" t="s">
        <v>83</v>
      </c>
      <c r="B1424" s="28">
        <v>1603</v>
      </c>
      <c r="C1424" s="28">
        <v>5648403</v>
      </c>
      <c r="D1424" s="28"/>
      <c r="E1424" s="41">
        <v>46145</v>
      </c>
      <c r="F1424" s="47">
        <v>0.3709722222222222</v>
      </c>
      <c r="G1424" s="42">
        <v>6.3</v>
      </c>
      <c r="H1424" s="40" t="s">
        <v>235</v>
      </c>
      <c r="I1424" s="40" t="s">
        <v>1282</v>
      </c>
    </row>
    <row r="1425" spans="1:9" x14ac:dyDescent="0.25">
      <c r="A1425" s="40" t="s">
        <v>83</v>
      </c>
      <c r="B1425" s="28">
        <v>1603</v>
      </c>
      <c r="C1425" s="28">
        <v>5648403</v>
      </c>
      <c r="D1425" s="28"/>
      <c r="E1425" s="41">
        <v>46145</v>
      </c>
      <c r="F1425" s="47">
        <v>0.37855324074074076</v>
      </c>
      <c r="G1425" s="42">
        <v>6.3</v>
      </c>
      <c r="H1425" s="40" t="s">
        <v>236</v>
      </c>
      <c r="I1425" s="40" t="s">
        <v>1282</v>
      </c>
    </row>
    <row r="1426" spans="1:9" x14ac:dyDescent="0.25">
      <c r="A1426" s="40" t="s">
        <v>386</v>
      </c>
      <c r="B1426" s="28">
        <v>1615</v>
      </c>
      <c r="C1426" s="28">
        <v>5637443</v>
      </c>
      <c r="D1426" s="28"/>
      <c r="E1426" s="45">
        <v>46139</v>
      </c>
      <c r="F1426" s="48">
        <v>0.30078703703703702</v>
      </c>
      <c r="G1426" s="44">
        <v>6.3</v>
      </c>
      <c r="H1426" s="43" t="s">
        <v>237</v>
      </c>
      <c r="I1426" s="40" t="s">
        <v>1281</v>
      </c>
    </row>
    <row r="1427" spans="1:9" x14ac:dyDescent="0.25">
      <c r="A1427" s="40" t="s">
        <v>386</v>
      </c>
      <c r="B1427" s="28">
        <v>1615</v>
      </c>
      <c r="C1427" s="28">
        <v>5637443</v>
      </c>
      <c r="D1427" s="28"/>
      <c r="E1427" s="41">
        <v>46139</v>
      </c>
      <c r="F1427" s="47">
        <v>0.31070601851851853</v>
      </c>
      <c r="G1427" s="44">
        <v>6.3</v>
      </c>
      <c r="H1427" s="43" t="s">
        <v>234</v>
      </c>
      <c r="I1427" s="40" t="s">
        <v>1281</v>
      </c>
    </row>
    <row r="1428" spans="1:9" x14ac:dyDescent="0.25">
      <c r="A1428" s="40" t="s">
        <v>386</v>
      </c>
      <c r="B1428" s="28">
        <v>1615</v>
      </c>
      <c r="C1428" s="28">
        <v>5624564</v>
      </c>
      <c r="D1428" s="28"/>
      <c r="E1428" s="41">
        <v>46141</v>
      </c>
      <c r="F1428" s="47">
        <v>0.23755787037037038</v>
      </c>
      <c r="G1428" s="44">
        <v>6.3</v>
      </c>
      <c r="H1428" s="43" t="s">
        <v>235</v>
      </c>
      <c r="I1428" s="40" t="s">
        <v>1281</v>
      </c>
    </row>
    <row r="1429" spans="1:9" x14ac:dyDescent="0.25">
      <c r="A1429" s="40" t="s">
        <v>386</v>
      </c>
      <c r="B1429" s="28">
        <v>1615</v>
      </c>
      <c r="C1429" s="28">
        <v>5624564</v>
      </c>
      <c r="D1429" s="28"/>
      <c r="E1429" s="41">
        <v>46141</v>
      </c>
      <c r="F1429" s="47">
        <v>0.24645833333333333</v>
      </c>
      <c r="G1429" s="44">
        <v>6.3</v>
      </c>
      <c r="H1429" s="43" t="s">
        <v>236</v>
      </c>
      <c r="I1429" s="40" t="s">
        <v>1281</v>
      </c>
    </row>
    <row r="1430" spans="1:9" x14ac:dyDescent="0.25">
      <c r="A1430" s="40" t="s">
        <v>386</v>
      </c>
      <c r="B1430" s="28">
        <v>1615</v>
      </c>
      <c r="C1430" s="28" t="s">
        <v>35</v>
      </c>
      <c r="D1430" s="28" t="s">
        <v>38</v>
      </c>
      <c r="E1430" s="41">
        <v>46142</v>
      </c>
      <c r="F1430" s="47">
        <v>0.17208333333333334</v>
      </c>
      <c r="G1430" s="44">
        <v>6.3</v>
      </c>
      <c r="H1430" s="43" t="s">
        <v>240</v>
      </c>
      <c r="I1430" s="40" t="s">
        <v>1281</v>
      </c>
    </row>
    <row r="1431" spans="1:9" x14ac:dyDescent="0.25">
      <c r="A1431" s="40" t="s">
        <v>386</v>
      </c>
      <c r="B1431" s="28">
        <v>1615</v>
      </c>
      <c r="C1431" s="28" t="s">
        <v>35</v>
      </c>
      <c r="D1431" s="28" t="s">
        <v>38</v>
      </c>
      <c r="E1431" s="41">
        <v>46142</v>
      </c>
      <c r="F1431" s="47">
        <v>0.3963888888888889</v>
      </c>
      <c r="G1431" s="44">
        <v>6.3</v>
      </c>
      <c r="H1431" s="43" t="s">
        <v>241</v>
      </c>
      <c r="I1431" s="40" t="s">
        <v>1281</v>
      </c>
    </row>
    <row r="1432" spans="1:9" x14ac:dyDescent="0.25">
      <c r="A1432" s="40" t="s">
        <v>386</v>
      </c>
      <c r="B1432" s="28">
        <v>1615</v>
      </c>
      <c r="C1432" s="28" t="s">
        <v>35</v>
      </c>
      <c r="D1432" s="28" t="s">
        <v>38</v>
      </c>
      <c r="E1432" s="41">
        <v>46142</v>
      </c>
      <c r="F1432" s="47">
        <v>0.40098379629629627</v>
      </c>
      <c r="G1432" s="44">
        <v>6.3</v>
      </c>
      <c r="H1432" s="43" t="s">
        <v>234</v>
      </c>
      <c r="I1432" s="40" t="s">
        <v>1281</v>
      </c>
    </row>
    <row r="1433" spans="1:9" x14ac:dyDescent="0.25">
      <c r="A1433" s="40" t="s">
        <v>206</v>
      </c>
      <c r="B1433" s="28">
        <v>1673</v>
      </c>
      <c r="C1433" s="28">
        <v>5647079</v>
      </c>
      <c r="D1433" s="28"/>
      <c r="E1433" s="41">
        <v>46144</v>
      </c>
      <c r="F1433" s="47">
        <v>0.20093749999999999</v>
      </c>
      <c r="G1433" s="44">
        <v>6.3</v>
      </c>
      <c r="H1433" s="43" t="s">
        <v>237</v>
      </c>
      <c r="I1433" s="40" t="s">
        <v>1282</v>
      </c>
    </row>
    <row r="1434" spans="1:9" x14ac:dyDescent="0.25">
      <c r="A1434" s="40" t="s">
        <v>206</v>
      </c>
      <c r="B1434" s="28">
        <v>1673</v>
      </c>
      <c r="C1434" s="28">
        <v>5647079</v>
      </c>
      <c r="D1434" s="28"/>
      <c r="E1434" s="41">
        <v>46144</v>
      </c>
      <c r="F1434" s="47">
        <v>0.20581018518518518</v>
      </c>
      <c r="G1434" s="44">
        <v>6.3</v>
      </c>
      <c r="H1434" s="43" t="s">
        <v>234</v>
      </c>
      <c r="I1434" s="40" t="s">
        <v>1282</v>
      </c>
    </row>
    <row r="1435" spans="1:9" x14ac:dyDescent="0.25">
      <c r="A1435" s="40" t="s">
        <v>291</v>
      </c>
      <c r="B1435" s="28">
        <v>1675</v>
      </c>
      <c r="C1435" s="28" t="s">
        <v>35</v>
      </c>
      <c r="D1435" s="28" t="s">
        <v>38</v>
      </c>
      <c r="E1435" s="41">
        <v>46140</v>
      </c>
      <c r="F1435" s="47">
        <v>0.30739583333333331</v>
      </c>
      <c r="G1435" s="44">
        <v>6.3</v>
      </c>
      <c r="H1435" s="43" t="s">
        <v>234</v>
      </c>
      <c r="I1435" s="40" t="s">
        <v>1281</v>
      </c>
    </row>
    <row r="1436" spans="1:9" x14ac:dyDescent="0.25">
      <c r="A1436" s="40" t="s">
        <v>291</v>
      </c>
      <c r="B1436" s="28">
        <v>1675</v>
      </c>
      <c r="C1436" s="28" t="s">
        <v>35</v>
      </c>
      <c r="D1436" s="28" t="s">
        <v>38</v>
      </c>
      <c r="E1436" s="41">
        <v>46140</v>
      </c>
      <c r="F1436" s="47">
        <v>0.87722222222222224</v>
      </c>
      <c r="G1436" s="44">
        <v>6.3</v>
      </c>
      <c r="H1436" s="43" t="s">
        <v>237</v>
      </c>
      <c r="I1436" s="40" t="s">
        <v>1281</v>
      </c>
    </row>
    <row r="1437" spans="1:9" x14ac:dyDescent="0.25">
      <c r="A1437" s="40" t="s">
        <v>291</v>
      </c>
      <c r="B1437" s="28">
        <v>1675</v>
      </c>
      <c r="C1437" s="28">
        <v>5642126</v>
      </c>
      <c r="D1437" s="28"/>
      <c r="E1437" s="45">
        <v>46141</v>
      </c>
      <c r="F1437" s="48">
        <v>0.85188657407407409</v>
      </c>
      <c r="G1437" s="42">
        <v>6.3</v>
      </c>
      <c r="H1437" s="40" t="s">
        <v>235</v>
      </c>
      <c r="I1437" s="40" t="s">
        <v>1281</v>
      </c>
    </row>
    <row r="1438" spans="1:9" x14ac:dyDescent="0.25">
      <c r="A1438" s="40" t="s">
        <v>291</v>
      </c>
      <c r="B1438" s="28">
        <v>1675</v>
      </c>
      <c r="C1438" s="28">
        <v>5642126</v>
      </c>
      <c r="D1438" s="28"/>
      <c r="E1438" s="45">
        <v>46141</v>
      </c>
      <c r="F1438" s="48">
        <v>0.86428240740740736</v>
      </c>
      <c r="G1438" s="42">
        <v>6.3</v>
      </c>
      <c r="H1438" s="40" t="s">
        <v>236</v>
      </c>
      <c r="I1438" s="40" t="s">
        <v>1281</v>
      </c>
    </row>
    <row r="1439" spans="1:9" x14ac:dyDescent="0.25">
      <c r="A1439" s="40" t="s">
        <v>291</v>
      </c>
      <c r="B1439" s="28">
        <v>1675</v>
      </c>
      <c r="C1439" s="28">
        <v>5643822</v>
      </c>
      <c r="D1439" s="28"/>
      <c r="E1439" s="45">
        <v>46141</v>
      </c>
      <c r="F1439" s="48">
        <v>0.94810185185185181</v>
      </c>
      <c r="G1439" s="42">
        <v>6.3</v>
      </c>
      <c r="H1439" s="40" t="s">
        <v>235</v>
      </c>
      <c r="I1439" s="40" t="s">
        <v>1281</v>
      </c>
    </row>
    <row r="1440" spans="1:9" x14ac:dyDescent="0.25">
      <c r="A1440" s="40" t="s">
        <v>291</v>
      </c>
      <c r="B1440" s="28">
        <v>1675</v>
      </c>
      <c r="C1440" s="28">
        <v>5643822</v>
      </c>
      <c r="D1440" s="28"/>
      <c r="E1440" s="41">
        <v>46141</v>
      </c>
      <c r="F1440" s="47">
        <v>0.95594907407407403</v>
      </c>
      <c r="G1440" s="42">
        <v>6.3</v>
      </c>
      <c r="H1440" s="40" t="s">
        <v>236</v>
      </c>
      <c r="I1440" s="40" t="s">
        <v>1281</v>
      </c>
    </row>
    <row r="1441" spans="1:9" x14ac:dyDescent="0.25">
      <c r="A1441" s="40" t="s">
        <v>291</v>
      </c>
      <c r="B1441" s="28">
        <v>1675</v>
      </c>
      <c r="C1441" s="28" t="s">
        <v>604</v>
      </c>
      <c r="D1441" s="28"/>
      <c r="E1441" s="41">
        <v>46142</v>
      </c>
      <c r="F1441" s="47">
        <v>0.96728009259259262</v>
      </c>
      <c r="G1441" s="44">
        <v>6.3</v>
      </c>
      <c r="H1441" s="43" t="s">
        <v>235</v>
      </c>
      <c r="I1441" s="40" t="s">
        <v>1282</v>
      </c>
    </row>
    <row r="1442" spans="1:9" x14ac:dyDescent="0.25">
      <c r="A1442" s="40" t="s">
        <v>291</v>
      </c>
      <c r="B1442" s="28">
        <v>1675</v>
      </c>
      <c r="C1442" s="28" t="s">
        <v>604</v>
      </c>
      <c r="D1442" s="28"/>
      <c r="E1442" s="41">
        <v>46142</v>
      </c>
      <c r="F1442" s="47">
        <v>0.97483796296296299</v>
      </c>
      <c r="G1442" s="44">
        <v>6.3</v>
      </c>
      <c r="H1442" s="43" t="s">
        <v>236</v>
      </c>
      <c r="I1442" s="40" t="s">
        <v>1282</v>
      </c>
    </row>
    <row r="1443" spans="1:9" x14ac:dyDescent="0.25">
      <c r="A1443" s="40" t="s">
        <v>291</v>
      </c>
      <c r="B1443" s="28">
        <v>1675</v>
      </c>
      <c r="C1443" s="28">
        <v>5648188</v>
      </c>
      <c r="D1443" s="28"/>
      <c r="E1443" s="41">
        <v>46144</v>
      </c>
      <c r="F1443" s="47">
        <v>0.91871527777777773</v>
      </c>
      <c r="G1443" s="44">
        <v>6.3</v>
      </c>
      <c r="H1443" s="43" t="s">
        <v>235</v>
      </c>
      <c r="I1443" s="40" t="s">
        <v>1282</v>
      </c>
    </row>
    <row r="1444" spans="1:9" x14ac:dyDescent="0.25">
      <c r="A1444" s="40" t="s">
        <v>291</v>
      </c>
      <c r="B1444" s="28">
        <v>1675</v>
      </c>
      <c r="C1444" s="28">
        <v>5648286</v>
      </c>
      <c r="D1444" s="28"/>
      <c r="E1444" s="41">
        <v>46145</v>
      </c>
      <c r="F1444" s="47">
        <v>0.84743055555555558</v>
      </c>
      <c r="G1444" s="44">
        <v>6.3</v>
      </c>
      <c r="H1444" s="43" t="s">
        <v>235</v>
      </c>
      <c r="I1444" s="40" t="s">
        <v>1282</v>
      </c>
    </row>
    <row r="1445" spans="1:9" x14ac:dyDescent="0.25">
      <c r="A1445" s="40" t="s">
        <v>291</v>
      </c>
      <c r="B1445" s="28">
        <v>1675</v>
      </c>
      <c r="C1445" s="28">
        <v>5648286</v>
      </c>
      <c r="D1445" s="28"/>
      <c r="E1445" s="41">
        <v>46145</v>
      </c>
      <c r="F1445" s="47">
        <v>0.85499999999999998</v>
      </c>
      <c r="G1445" s="44">
        <v>6.3</v>
      </c>
      <c r="H1445" s="43" t="s">
        <v>236</v>
      </c>
      <c r="I1445" s="40" t="s">
        <v>1282</v>
      </c>
    </row>
    <row r="1446" spans="1:9" x14ac:dyDescent="0.25">
      <c r="A1446" s="40" t="s">
        <v>291</v>
      </c>
      <c r="B1446" s="28">
        <v>1675</v>
      </c>
      <c r="C1446" s="28" t="s">
        <v>35</v>
      </c>
      <c r="D1446" s="28" t="s">
        <v>38</v>
      </c>
      <c r="E1446" s="41">
        <v>46145</v>
      </c>
      <c r="F1446" s="47">
        <v>0.88842592592592595</v>
      </c>
      <c r="G1446" s="44">
        <v>6.3</v>
      </c>
      <c r="H1446" s="43" t="s">
        <v>237</v>
      </c>
      <c r="I1446" s="40" t="s">
        <v>1282</v>
      </c>
    </row>
    <row r="1447" spans="1:9" x14ac:dyDescent="0.25">
      <c r="A1447" s="40" t="s">
        <v>291</v>
      </c>
      <c r="B1447" s="28">
        <v>1675</v>
      </c>
      <c r="C1447" s="28" t="s">
        <v>35</v>
      </c>
      <c r="D1447" s="28" t="s">
        <v>38</v>
      </c>
      <c r="E1447" s="45">
        <v>46145</v>
      </c>
      <c r="F1447" s="48">
        <v>0.89393518518518522</v>
      </c>
      <c r="G1447" s="44">
        <v>6.3</v>
      </c>
      <c r="H1447" s="43" t="s">
        <v>234</v>
      </c>
      <c r="I1447" s="40" t="s">
        <v>1282</v>
      </c>
    </row>
    <row r="1448" spans="1:9" x14ac:dyDescent="0.25">
      <c r="A1448" s="40" t="s">
        <v>244</v>
      </c>
      <c r="B1448" s="28">
        <v>1698</v>
      </c>
      <c r="C1448" s="28">
        <v>5636985</v>
      </c>
      <c r="D1448" s="28"/>
      <c r="E1448" s="41">
        <v>46139</v>
      </c>
      <c r="F1448" s="47">
        <v>0.15284722222222222</v>
      </c>
      <c r="G1448" s="44">
        <v>6.3</v>
      </c>
      <c r="H1448" s="43" t="s">
        <v>237</v>
      </c>
      <c r="I1448" s="40" t="s">
        <v>1281</v>
      </c>
    </row>
    <row r="1449" spans="1:9" x14ac:dyDescent="0.25">
      <c r="A1449" s="40" t="s">
        <v>244</v>
      </c>
      <c r="B1449" s="28">
        <v>1698</v>
      </c>
      <c r="C1449" s="28">
        <v>5636985</v>
      </c>
      <c r="D1449" s="28"/>
      <c r="E1449" s="41">
        <v>46139</v>
      </c>
      <c r="F1449" s="47">
        <v>0.15790509259259258</v>
      </c>
      <c r="G1449" s="44">
        <v>6.3</v>
      </c>
      <c r="H1449" s="43" t="s">
        <v>234</v>
      </c>
      <c r="I1449" s="40" t="s">
        <v>1281</v>
      </c>
    </row>
    <row r="1450" spans="1:9" x14ac:dyDescent="0.25">
      <c r="A1450" s="40" t="s">
        <v>244</v>
      </c>
      <c r="B1450" s="28">
        <v>1698</v>
      </c>
      <c r="C1450" s="28">
        <v>5636987</v>
      </c>
      <c r="D1450" s="28"/>
      <c r="E1450" s="45">
        <v>46139</v>
      </c>
      <c r="F1450" s="48">
        <v>0.25725694444444447</v>
      </c>
      <c r="G1450" s="44">
        <v>6.3</v>
      </c>
      <c r="H1450" s="43" t="s">
        <v>237</v>
      </c>
      <c r="I1450" s="40" t="s">
        <v>1281</v>
      </c>
    </row>
    <row r="1451" spans="1:9" x14ac:dyDescent="0.25">
      <c r="A1451" s="40" t="s">
        <v>244</v>
      </c>
      <c r="B1451" s="28">
        <v>1698</v>
      </c>
      <c r="C1451" s="28">
        <v>5636987</v>
      </c>
      <c r="D1451" s="28"/>
      <c r="E1451" s="41">
        <v>46139</v>
      </c>
      <c r="F1451" s="47">
        <v>0.26290509259259259</v>
      </c>
      <c r="G1451" s="44">
        <v>6.3</v>
      </c>
      <c r="H1451" s="43" t="s">
        <v>234</v>
      </c>
      <c r="I1451" s="40" t="s">
        <v>1281</v>
      </c>
    </row>
    <row r="1452" spans="1:9" x14ac:dyDescent="0.25">
      <c r="A1452" s="40" t="s">
        <v>244</v>
      </c>
      <c r="B1452" s="28">
        <v>1698</v>
      </c>
      <c r="C1452" s="28">
        <v>5638965</v>
      </c>
      <c r="D1452" s="28"/>
      <c r="E1452" s="41">
        <v>46140</v>
      </c>
      <c r="F1452" s="47">
        <v>0.37520833333333331</v>
      </c>
      <c r="G1452" s="44">
        <v>6.3</v>
      </c>
      <c r="H1452" s="43" t="s">
        <v>234</v>
      </c>
      <c r="I1452" s="40" t="s">
        <v>1281</v>
      </c>
    </row>
    <row r="1453" spans="1:9" x14ac:dyDescent="0.25">
      <c r="A1453" s="40" t="s">
        <v>244</v>
      </c>
      <c r="B1453" s="28">
        <v>1698</v>
      </c>
      <c r="C1453" s="28" t="s">
        <v>35</v>
      </c>
      <c r="D1453" s="28" t="s">
        <v>38</v>
      </c>
      <c r="E1453" s="41">
        <v>46140</v>
      </c>
      <c r="F1453" s="47">
        <v>0.93952546296296291</v>
      </c>
      <c r="G1453" s="44">
        <v>6.3</v>
      </c>
      <c r="H1453" s="43" t="s">
        <v>237</v>
      </c>
      <c r="I1453" s="40" t="s">
        <v>1281</v>
      </c>
    </row>
    <row r="1454" spans="1:9" x14ac:dyDescent="0.25">
      <c r="A1454" s="40" t="s">
        <v>244</v>
      </c>
      <c r="B1454" s="28">
        <v>1698</v>
      </c>
      <c r="C1454" s="28" t="s">
        <v>35</v>
      </c>
      <c r="D1454" s="28" t="s">
        <v>38</v>
      </c>
      <c r="E1454" s="41">
        <v>46140</v>
      </c>
      <c r="F1454" s="47">
        <v>0.94530092592592596</v>
      </c>
      <c r="G1454" s="44">
        <v>6.3</v>
      </c>
      <c r="H1454" s="43" t="s">
        <v>234</v>
      </c>
      <c r="I1454" s="40" t="s">
        <v>1281</v>
      </c>
    </row>
    <row r="1455" spans="1:9" x14ac:dyDescent="0.25">
      <c r="A1455" s="40" t="s">
        <v>244</v>
      </c>
      <c r="B1455" s="28">
        <v>1698</v>
      </c>
      <c r="C1455" s="28" t="s">
        <v>35</v>
      </c>
      <c r="D1455" s="28" t="s">
        <v>38</v>
      </c>
      <c r="E1455" s="41">
        <v>46141</v>
      </c>
      <c r="F1455" s="47">
        <v>0.24408564814814815</v>
      </c>
      <c r="G1455" s="44">
        <v>6.3</v>
      </c>
      <c r="H1455" s="43" t="s">
        <v>237</v>
      </c>
      <c r="I1455" s="40" t="s">
        <v>1281</v>
      </c>
    </row>
    <row r="1456" spans="1:9" x14ac:dyDescent="0.25">
      <c r="A1456" s="40" t="s">
        <v>244</v>
      </c>
      <c r="B1456" s="28">
        <v>1698</v>
      </c>
      <c r="C1456" s="28" t="s">
        <v>35</v>
      </c>
      <c r="D1456" s="28" t="s">
        <v>38</v>
      </c>
      <c r="E1456" s="41">
        <v>46141</v>
      </c>
      <c r="F1456" s="47">
        <v>0.24964120370370371</v>
      </c>
      <c r="G1456" s="44">
        <v>6.3</v>
      </c>
      <c r="H1456" s="43" t="s">
        <v>234</v>
      </c>
      <c r="I1456" s="40" t="s">
        <v>1281</v>
      </c>
    </row>
    <row r="1457" spans="1:9" x14ac:dyDescent="0.25">
      <c r="A1457" s="40" t="s">
        <v>244</v>
      </c>
      <c r="B1457" s="28">
        <v>1698</v>
      </c>
      <c r="C1457" s="28">
        <v>5646233</v>
      </c>
      <c r="D1457" s="28" t="s">
        <v>37</v>
      </c>
      <c r="E1457" s="41">
        <v>46143</v>
      </c>
      <c r="F1457" s="47">
        <v>0.49409722222222224</v>
      </c>
      <c r="G1457" s="44">
        <v>6.3</v>
      </c>
      <c r="H1457" s="43" t="s">
        <v>235</v>
      </c>
      <c r="I1457" s="40" t="s">
        <v>1282</v>
      </c>
    </row>
    <row r="1458" spans="1:9" x14ac:dyDescent="0.25">
      <c r="A1458" s="40" t="s">
        <v>244</v>
      </c>
      <c r="B1458" s="28">
        <v>1698</v>
      </c>
      <c r="C1458" s="28">
        <v>5646233</v>
      </c>
      <c r="D1458" s="28" t="s">
        <v>37</v>
      </c>
      <c r="E1458" s="41">
        <v>46143</v>
      </c>
      <c r="F1458" s="47">
        <v>0.50150462962962961</v>
      </c>
      <c r="G1458" s="44">
        <v>6.3</v>
      </c>
      <c r="H1458" s="43" t="s">
        <v>236</v>
      </c>
      <c r="I1458" s="40" t="s">
        <v>1282</v>
      </c>
    </row>
    <row r="1459" spans="1:9" x14ac:dyDescent="0.25">
      <c r="A1459" s="40" t="s">
        <v>244</v>
      </c>
      <c r="B1459" s="28">
        <v>1698</v>
      </c>
      <c r="C1459" s="28">
        <v>5647332</v>
      </c>
      <c r="D1459" s="28"/>
      <c r="E1459" s="41">
        <v>46144</v>
      </c>
      <c r="F1459" s="47">
        <v>0.42236111111111113</v>
      </c>
      <c r="G1459" s="44">
        <v>6.3</v>
      </c>
      <c r="H1459" s="43" t="s">
        <v>235</v>
      </c>
      <c r="I1459" s="40" t="s">
        <v>1282</v>
      </c>
    </row>
    <row r="1460" spans="1:9" x14ac:dyDescent="0.25">
      <c r="A1460" s="40" t="s">
        <v>244</v>
      </c>
      <c r="B1460" s="28">
        <v>1698</v>
      </c>
      <c r="C1460" s="28">
        <v>5647332</v>
      </c>
      <c r="D1460" s="28"/>
      <c r="E1460" s="41">
        <v>46144</v>
      </c>
      <c r="F1460" s="47">
        <v>0.43135416666666665</v>
      </c>
      <c r="G1460" s="44">
        <v>6.3</v>
      </c>
      <c r="H1460" s="43" t="s">
        <v>236</v>
      </c>
      <c r="I1460" s="40" t="s">
        <v>1282</v>
      </c>
    </row>
    <row r="1461" spans="1:9" x14ac:dyDescent="0.25">
      <c r="A1461" s="40" t="s">
        <v>244</v>
      </c>
      <c r="B1461" s="28">
        <v>1698</v>
      </c>
      <c r="C1461" s="28">
        <v>5647758</v>
      </c>
      <c r="D1461" s="28"/>
      <c r="E1461" s="41">
        <v>46145</v>
      </c>
      <c r="F1461" s="47">
        <v>0.14901620370370369</v>
      </c>
      <c r="G1461" s="44">
        <v>6.3</v>
      </c>
      <c r="H1461" s="43" t="s">
        <v>237</v>
      </c>
      <c r="I1461" s="40" t="s">
        <v>1282</v>
      </c>
    </row>
    <row r="1462" spans="1:9" x14ac:dyDescent="0.25">
      <c r="A1462" s="40" t="s">
        <v>244</v>
      </c>
      <c r="B1462" s="28">
        <v>1698</v>
      </c>
      <c r="C1462" s="28">
        <v>5647758</v>
      </c>
      <c r="D1462" s="28"/>
      <c r="E1462" s="41">
        <v>46145</v>
      </c>
      <c r="F1462" s="47">
        <v>0.15395833333333334</v>
      </c>
      <c r="G1462" s="44">
        <v>6.3</v>
      </c>
      <c r="H1462" s="43" t="s">
        <v>234</v>
      </c>
      <c r="I1462" s="40" t="s">
        <v>1282</v>
      </c>
    </row>
    <row r="1463" spans="1:9" x14ac:dyDescent="0.25">
      <c r="A1463" s="40" t="s">
        <v>244</v>
      </c>
      <c r="B1463" s="28">
        <v>1698</v>
      </c>
      <c r="C1463" s="28">
        <v>5648354</v>
      </c>
      <c r="D1463" s="28"/>
      <c r="E1463" s="45">
        <v>46145</v>
      </c>
      <c r="F1463" s="48">
        <v>0.22741898148148149</v>
      </c>
      <c r="G1463" s="44">
        <v>6.3</v>
      </c>
      <c r="H1463" s="43" t="s">
        <v>235</v>
      </c>
      <c r="I1463" s="40" t="s">
        <v>1282</v>
      </c>
    </row>
    <row r="1464" spans="1:9" x14ac:dyDescent="0.25">
      <c r="A1464" s="40" t="s">
        <v>244</v>
      </c>
      <c r="B1464" s="28">
        <v>1698</v>
      </c>
      <c r="C1464" s="28">
        <v>5648354</v>
      </c>
      <c r="D1464" s="28"/>
      <c r="E1464" s="45">
        <v>46145</v>
      </c>
      <c r="F1464" s="48">
        <v>0.23421296296296296</v>
      </c>
      <c r="G1464" s="44">
        <v>6.3</v>
      </c>
      <c r="H1464" s="43" t="s">
        <v>236</v>
      </c>
      <c r="I1464" s="40" t="s">
        <v>1282</v>
      </c>
    </row>
    <row r="1465" spans="1:9" x14ac:dyDescent="0.25">
      <c r="A1465" s="40" t="s">
        <v>244</v>
      </c>
      <c r="B1465" s="28">
        <v>1698</v>
      </c>
      <c r="C1465" s="28" t="s">
        <v>35</v>
      </c>
      <c r="D1465" s="28" t="s">
        <v>38</v>
      </c>
      <c r="E1465" s="41">
        <v>46145</v>
      </c>
      <c r="F1465" s="47">
        <v>0.24590277777777778</v>
      </c>
      <c r="G1465" s="42">
        <v>6.3</v>
      </c>
      <c r="H1465" s="40" t="s">
        <v>237</v>
      </c>
      <c r="I1465" s="40" t="s">
        <v>1282</v>
      </c>
    </row>
    <row r="1466" spans="1:9" x14ac:dyDescent="0.25">
      <c r="A1466" s="40" t="s">
        <v>244</v>
      </c>
      <c r="B1466" s="28">
        <v>1698</v>
      </c>
      <c r="C1466" s="28" t="s">
        <v>35</v>
      </c>
      <c r="D1466" s="28" t="s">
        <v>38</v>
      </c>
      <c r="E1466" s="41">
        <v>46145</v>
      </c>
      <c r="F1466" s="47">
        <v>0.25063657407407408</v>
      </c>
      <c r="G1466" s="42">
        <v>6.3</v>
      </c>
      <c r="H1466" s="40" t="s">
        <v>234</v>
      </c>
      <c r="I1466" s="40" t="s">
        <v>1282</v>
      </c>
    </row>
    <row r="1467" spans="1:9" x14ac:dyDescent="0.25">
      <c r="A1467" s="40" t="s">
        <v>244</v>
      </c>
      <c r="B1467" s="28">
        <v>1698</v>
      </c>
      <c r="C1467" s="28">
        <v>5644962</v>
      </c>
      <c r="D1467" s="28"/>
      <c r="E1467" s="45">
        <v>46145</v>
      </c>
      <c r="F1467" s="48">
        <v>0.67494212962962963</v>
      </c>
      <c r="G1467" s="42">
        <v>6.3</v>
      </c>
      <c r="H1467" s="40" t="s">
        <v>235</v>
      </c>
      <c r="I1467" s="40" t="s">
        <v>1282</v>
      </c>
    </row>
    <row r="1468" spans="1:9" x14ac:dyDescent="0.25">
      <c r="A1468" s="40" t="s">
        <v>244</v>
      </c>
      <c r="B1468" s="28">
        <v>1698</v>
      </c>
      <c r="C1468" s="28">
        <v>5644962</v>
      </c>
      <c r="D1468" s="28"/>
      <c r="E1468" s="41">
        <v>46145</v>
      </c>
      <c r="F1468" s="47">
        <v>0.6856944444444445</v>
      </c>
      <c r="G1468" s="42">
        <v>6.3</v>
      </c>
      <c r="H1468" s="40" t="s">
        <v>236</v>
      </c>
      <c r="I1468" s="40" t="s">
        <v>1282</v>
      </c>
    </row>
    <row r="1469" spans="1:9" x14ac:dyDescent="0.25">
      <c r="A1469" s="40" t="s">
        <v>244</v>
      </c>
      <c r="B1469" s="28">
        <v>1698</v>
      </c>
      <c r="C1469" s="28">
        <v>5649072</v>
      </c>
      <c r="D1469" s="28"/>
      <c r="E1469" s="41">
        <v>46145</v>
      </c>
      <c r="F1469" s="47">
        <v>0.78065972222222224</v>
      </c>
      <c r="G1469" s="44">
        <v>6.3</v>
      </c>
      <c r="H1469" s="43" t="s">
        <v>233</v>
      </c>
      <c r="I1469" s="40" t="s">
        <v>1282</v>
      </c>
    </row>
    <row r="1470" spans="1:9" x14ac:dyDescent="0.25">
      <c r="A1470" s="40" t="s">
        <v>244</v>
      </c>
      <c r="B1470" s="28">
        <v>1698</v>
      </c>
      <c r="C1470" s="28">
        <v>5649072</v>
      </c>
      <c r="D1470" s="28"/>
      <c r="E1470" s="45">
        <v>46145</v>
      </c>
      <c r="F1470" s="48">
        <v>0.78600694444444441</v>
      </c>
      <c r="G1470" s="44">
        <v>6.3</v>
      </c>
      <c r="H1470" s="43" t="s">
        <v>234</v>
      </c>
      <c r="I1470" s="40" t="s">
        <v>1282</v>
      </c>
    </row>
    <row r="1471" spans="1:9" x14ac:dyDescent="0.25">
      <c r="A1471" s="40" t="s">
        <v>244</v>
      </c>
      <c r="B1471" s="28">
        <v>1698</v>
      </c>
      <c r="C1471" s="28">
        <v>5649484</v>
      </c>
      <c r="D1471" s="28"/>
      <c r="E1471" s="41">
        <v>46145</v>
      </c>
      <c r="F1471" s="47">
        <v>0.92943287037037037</v>
      </c>
      <c r="G1471" s="44">
        <v>6.3</v>
      </c>
      <c r="H1471" s="43" t="s">
        <v>235</v>
      </c>
      <c r="I1471" s="40" t="s">
        <v>1282</v>
      </c>
    </row>
    <row r="1472" spans="1:9" x14ac:dyDescent="0.25">
      <c r="A1472" s="40" t="s">
        <v>244</v>
      </c>
      <c r="B1472" s="28">
        <v>1698</v>
      </c>
      <c r="C1472" s="28">
        <v>5649484</v>
      </c>
      <c r="D1472" s="28"/>
      <c r="E1472" s="45">
        <v>46145</v>
      </c>
      <c r="F1472" s="48">
        <v>0.9361342592592593</v>
      </c>
      <c r="G1472" s="44">
        <v>6.3</v>
      </c>
      <c r="H1472" s="43" t="s">
        <v>236</v>
      </c>
      <c r="I1472" s="40" t="s">
        <v>1282</v>
      </c>
    </row>
    <row r="1473" spans="1:9" x14ac:dyDescent="0.25">
      <c r="A1473" s="40" t="s">
        <v>153</v>
      </c>
      <c r="B1473" s="28">
        <v>1699</v>
      </c>
      <c r="C1473" s="28">
        <v>5647105</v>
      </c>
      <c r="D1473" s="28"/>
      <c r="E1473" s="45">
        <v>46143</v>
      </c>
      <c r="F1473" s="48">
        <v>0.99329861111111106</v>
      </c>
      <c r="G1473" s="44">
        <v>6.3</v>
      </c>
      <c r="H1473" s="43" t="s">
        <v>235</v>
      </c>
      <c r="I1473" s="40" t="s">
        <v>1282</v>
      </c>
    </row>
    <row r="1474" spans="1:9" x14ac:dyDescent="0.25">
      <c r="A1474" s="40" t="s">
        <v>153</v>
      </c>
      <c r="B1474" s="28">
        <v>1699</v>
      </c>
      <c r="C1474" s="28">
        <v>5647105</v>
      </c>
      <c r="D1474" s="28"/>
      <c r="E1474" s="41">
        <v>46144</v>
      </c>
      <c r="F1474" s="47">
        <v>1.8634259259259259E-3</v>
      </c>
      <c r="G1474" s="44">
        <v>6.3</v>
      </c>
      <c r="H1474" s="43" t="s">
        <v>236</v>
      </c>
      <c r="I1474" s="40" t="s">
        <v>1282</v>
      </c>
    </row>
    <row r="1475" spans="1:9" x14ac:dyDescent="0.25">
      <c r="A1475" s="40" t="s">
        <v>153</v>
      </c>
      <c r="B1475" s="28">
        <v>1699</v>
      </c>
      <c r="C1475" s="28">
        <v>5646542</v>
      </c>
      <c r="D1475" s="28"/>
      <c r="E1475" s="41">
        <v>46144</v>
      </c>
      <c r="F1475" s="47">
        <v>0.47114583333333332</v>
      </c>
      <c r="G1475" s="44">
        <v>6.3</v>
      </c>
      <c r="H1475" s="43" t="s">
        <v>237</v>
      </c>
      <c r="I1475" s="40" t="s">
        <v>1282</v>
      </c>
    </row>
    <row r="1476" spans="1:9" x14ac:dyDescent="0.25">
      <c r="A1476" s="40" t="s">
        <v>153</v>
      </c>
      <c r="B1476" s="28">
        <v>1699</v>
      </c>
      <c r="C1476" s="28">
        <v>5646542</v>
      </c>
      <c r="D1476" s="28"/>
      <c r="E1476" s="41">
        <v>46144</v>
      </c>
      <c r="F1476" s="47">
        <v>0.47674768518518518</v>
      </c>
      <c r="G1476" s="44">
        <v>6.3</v>
      </c>
      <c r="H1476" s="43" t="s">
        <v>234</v>
      </c>
      <c r="I1476" s="40" t="s">
        <v>1282</v>
      </c>
    </row>
    <row r="1477" spans="1:9" x14ac:dyDescent="0.25">
      <c r="A1477" s="40" t="s">
        <v>153</v>
      </c>
      <c r="B1477" s="28">
        <v>1699</v>
      </c>
      <c r="C1477" s="28">
        <v>5647929</v>
      </c>
      <c r="D1477" s="28"/>
      <c r="E1477" s="41">
        <v>46144</v>
      </c>
      <c r="F1477" s="47">
        <v>0.97050925925925924</v>
      </c>
      <c r="G1477" s="44">
        <v>6.3</v>
      </c>
      <c r="H1477" s="43" t="s">
        <v>235</v>
      </c>
      <c r="I1477" s="40" t="s">
        <v>1282</v>
      </c>
    </row>
    <row r="1478" spans="1:9" x14ac:dyDescent="0.25">
      <c r="A1478" s="40" t="s">
        <v>153</v>
      </c>
      <c r="B1478" s="28">
        <v>1699</v>
      </c>
      <c r="C1478" s="28">
        <v>5647929</v>
      </c>
      <c r="D1478" s="28"/>
      <c r="E1478" s="41">
        <v>46144</v>
      </c>
      <c r="F1478" s="47">
        <v>0.97755787037037034</v>
      </c>
      <c r="G1478" s="44">
        <v>6.3</v>
      </c>
      <c r="H1478" s="43" t="s">
        <v>236</v>
      </c>
      <c r="I1478" s="40" t="s">
        <v>1282</v>
      </c>
    </row>
    <row r="1479" spans="1:9" x14ac:dyDescent="0.25">
      <c r="A1479" s="40" t="s">
        <v>153</v>
      </c>
      <c r="B1479" s="28">
        <v>1699</v>
      </c>
      <c r="C1479" s="28" t="s">
        <v>35</v>
      </c>
      <c r="D1479" s="28" t="s">
        <v>38</v>
      </c>
      <c r="E1479" s="41">
        <v>46144</v>
      </c>
      <c r="F1479" s="47">
        <v>0.98620370370370369</v>
      </c>
      <c r="G1479" s="44">
        <v>6.3</v>
      </c>
      <c r="H1479" s="43" t="s">
        <v>237</v>
      </c>
      <c r="I1479" s="40" t="s">
        <v>1282</v>
      </c>
    </row>
    <row r="1480" spans="1:9" x14ac:dyDescent="0.25">
      <c r="A1480" s="40" t="s">
        <v>217</v>
      </c>
      <c r="B1480" s="28">
        <v>1713</v>
      </c>
      <c r="C1480" s="28" t="s">
        <v>35</v>
      </c>
      <c r="D1480" s="28" t="s">
        <v>38</v>
      </c>
      <c r="E1480" s="45">
        <v>46143</v>
      </c>
      <c r="F1480" s="48">
        <v>4.099537037037037E-2</v>
      </c>
      <c r="G1480" s="44">
        <v>6.3</v>
      </c>
      <c r="H1480" s="43" t="s">
        <v>235</v>
      </c>
      <c r="I1480" s="40" t="s">
        <v>1282</v>
      </c>
    </row>
    <row r="1481" spans="1:9" x14ac:dyDescent="0.25">
      <c r="A1481" s="40" t="s">
        <v>217</v>
      </c>
      <c r="B1481" s="28">
        <v>1713</v>
      </c>
      <c r="C1481" s="28" t="s">
        <v>35</v>
      </c>
      <c r="D1481" s="28" t="s">
        <v>38</v>
      </c>
      <c r="E1481" s="41">
        <v>46143</v>
      </c>
      <c r="F1481" s="47">
        <v>4.8935185185185186E-2</v>
      </c>
      <c r="G1481" s="44">
        <v>6.3</v>
      </c>
      <c r="H1481" s="43" t="s">
        <v>236</v>
      </c>
      <c r="I1481" s="40" t="s">
        <v>1282</v>
      </c>
    </row>
    <row r="1482" spans="1:9" x14ac:dyDescent="0.25">
      <c r="A1482" s="40" t="s">
        <v>306</v>
      </c>
      <c r="B1482" s="28">
        <v>1774</v>
      </c>
      <c r="C1482" s="28">
        <v>5637117</v>
      </c>
      <c r="D1482" s="28"/>
      <c r="E1482" s="45">
        <v>46139</v>
      </c>
      <c r="F1482" s="48">
        <v>0.15417824074074074</v>
      </c>
      <c r="G1482" s="44">
        <v>6.3</v>
      </c>
      <c r="H1482" s="43" t="s">
        <v>237</v>
      </c>
      <c r="I1482" s="40" t="s">
        <v>1281</v>
      </c>
    </row>
    <row r="1483" spans="1:9" x14ac:dyDescent="0.25">
      <c r="A1483" s="40" t="s">
        <v>306</v>
      </c>
      <c r="B1483" s="28">
        <v>1774</v>
      </c>
      <c r="C1483" s="28">
        <v>5637117</v>
      </c>
      <c r="D1483" s="28"/>
      <c r="E1483" s="41">
        <v>46139</v>
      </c>
      <c r="F1483" s="47">
        <v>0.15916666666666668</v>
      </c>
      <c r="G1483" s="44">
        <v>6.3</v>
      </c>
      <c r="H1483" s="43" t="s">
        <v>234</v>
      </c>
      <c r="I1483" s="40" t="s">
        <v>1281</v>
      </c>
    </row>
    <row r="1484" spans="1:9" x14ac:dyDescent="0.25">
      <c r="A1484" s="40" t="s">
        <v>306</v>
      </c>
      <c r="B1484" s="28">
        <v>1774</v>
      </c>
      <c r="C1484" s="28" t="s">
        <v>605</v>
      </c>
      <c r="D1484" s="28"/>
      <c r="E1484" s="41">
        <v>46139</v>
      </c>
      <c r="F1484" s="47">
        <v>0.39649305555555553</v>
      </c>
      <c r="G1484" s="44">
        <v>6.3</v>
      </c>
      <c r="H1484" s="43" t="s">
        <v>235</v>
      </c>
      <c r="I1484" s="40" t="s">
        <v>1281</v>
      </c>
    </row>
    <row r="1485" spans="1:9" x14ac:dyDescent="0.25">
      <c r="A1485" s="40" t="s">
        <v>306</v>
      </c>
      <c r="B1485" s="28">
        <v>1774</v>
      </c>
      <c r="C1485" s="28" t="s">
        <v>605</v>
      </c>
      <c r="D1485" s="28"/>
      <c r="E1485" s="41">
        <v>46139</v>
      </c>
      <c r="F1485" s="47">
        <v>0.41207175925925926</v>
      </c>
      <c r="G1485" s="44">
        <v>6.3</v>
      </c>
      <c r="H1485" s="43" t="s">
        <v>236</v>
      </c>
      <c r="I1485" s="40" t="s">
        <v>1281</v>
      </c>
    </row>
    <row r="1486" spans="1:9" x14ac:dyDescent="0.25">
      <c r="A1486" s="40" t="s">
        <v>306</v>
      </c>
      <c r="B1486" s="28">
        <v>1774</v>
      </c>
      <c r="C1486" s="28" t="s">
        <v>606</v>
      </c>
      <c r="D1486" s="28"/>
      <c r="E1486" s="41">
        <v>46140</v>
      </c>
      <c r="F1486" s="47">
        <v>0.90807870370370369</v>
      </c>
      <c r="G1486" s="44">
        <v>6.3</v>
      </c>
      <c r="H1486" s="43" t="s">
        <v>235</v>
      </c>
      <c r="I1486" s="40" t="s">
        <v>1281</v>
      </c>
    </row>
    <row r="1487" spans="1:9" x14ac:dyDescent="0.25">
      <c r="A1487" s="40" t="s">
        <v>306</v>
      </c>
      <c r="B1487" s="28">
        <v>1774</v>
      </c>
      <c r="C1487" s="28" t="s">
        <v>606</v>
      </c>
      <c r="D1487" s="28"/>
      <c r="E1487" s="41">
        <v>46140</v>
      </c>
      <c r="F1487" s="47">
        <v>0.91549768518518515</v>
      </c>
      <c r="G1487" s="44">
        <v>6.3</v>
      </c>
      <c r="H1487" s="43" t="s">
        <v>236</v>
      </c>
      <c r="I1487" s="40" t="s">
        <v>1281</v>
      </c>
    </row>
    <row r="1488" spans="1:9" x14ac:dyDescent="0.25">
      <c r="A1488" s="40" t="s">
        <v>306</v>
      </c>
      <c r="B1488" s="28">
        <v>1774</v>
      </c>
      <c r="C1488" s="28">
        <v>5644737</v>
      </c>
      <c r="D1488" s="28"/>
      <c r="E1488" s="45">
        <v>46142</v>
      </c>
      <c r="F1488" s="48">
        <v>0.82300925925925927</v>
      </c>
      <c r="G1488" s="44">
        <v>6.3</v>
      </c>
      <c r="H1488" s="43" t="s">
        <v>235</v>
      </c>
      <c r="I1488" s="40" t="s">
        <v>1281</v>
      </c>
    </row>
    <row r="1489" spans="1:9" x14ac:dyDescent="0.25">
      <c r="A1489" s="40" t="s">
        <v>306</v>
      </c>
      <c r="B1489" s="28">
        <v>1774</v>
      </c>
      <c r="C1489" s="28">
        <v>5644737</v>
      </c>
      <c r="D1489" s="28"/>
      <c r="E1489" s="41">
        <v>46142</v>
      </c>
      <c r="F1489" s="47">
        <v>0.83332175925925922</v>
      </c>
      <c r="G1489" s="44">
        <v>6.3</v>
      </c>
      <c r="H1489" s="43" t="s">
        <v>236</v>
      </c>
      <c r="I1489" s="40" t="s">
        <v>1281</v>
      </c>
    </row>
    <row r="1490" spans="1:9" x14ac:dyDescent="0.25">
      <c r="A1490" s="40" t="s">
        <v>306</v>
      </c>
      <c r="B1490" s="28">
        <v>1774</v>
      </c>
      <c r="C1490" s="28">
        <v>5642291</v>
      </c>
      <c r="D1490" s="28"/>
      <c r="E1490" s="45">
        <v>46143</v>
      </c>
      <c r="F1490" s="48">
        <v>0.26300925925925928</v>
      </c>
      <c r="G1490" s="44">
        <v>6.3</v>
      </c>
      <c r="H1490" s="43" t="s">
        <v>237</v>
      </c>
      <c r="I1490" s="40" t="s">
        <v>1282</v>
      </c>
    </row>
    <row r="1491" spans="1:9" x14ac:dyDescent="0.25">
      <c r="A1491" s="40" t="s">
        <v>306</v>
      </c>
      <c r="B1491" s="28">
        <v>1774</v>
      </c>
      <c r="C1491" s="28">
        <v>5642291</v>
      </c>
      <c r="D1491" s="28"/>
      <c r="E1491" s="41">
        <v>46143</v>
      </c>
      <c r="F1491" s="47">
        <v>0.26825231481481482</v>
      </c>
      <c r="G1491" s="44">
        <v>6.3</v>
      </c>
      <c r="H1491" s="43" t="s">
        <v>234</v>
      </c>
      <c r="I1491" s="40" t="s">
        <v>1282</v>
      </c>
    </row>
    <row r="1492" spans="1:9" x14ac:dyDescent="0.25">
      <c r="A1492" s="40" t="s">
        <v>306</v>
      </c>
      <c r="B1492" s="28">
        <v>1774</v>
      </c>
      <c r="C1492" s="28">
        <v>5642653</v>
      </c>
      <c r="D1492" s="28"/>
      <c r="E1492" s="41">
        <v>46143</v>
      </c>
      <c r="F1492" s="47">
        <v>0.54190972222222222</v>
      </c>
      <c r="G1492" s="44">
        <v>6.3</v>
      </c>
      <c r="H1492" s="43" t="s">
        <v>235</v>
      </c>
      <c r="I1492" s="40" t="s">
        <v>1282</v>
      </c>
    </row>
    <row r="1493" spans="1:9" x14ac:dyDescent="0.25">
      <c r="A1493" s="40" t="s">
        <v>306</v>
      </c>
      <c r="B1493" s="28">
        <v>1774</v>
      </c>
      <c r="C1493" s="28">
        <v>5642653</v>
      </c>
      <c r="D1493" s="28"/>
      <c r="E1493" s="41">
        <v>46143</v>
      </c>
      <c r="F1493" s="47">
        <v>0.54945601851851855</v>
      </c>
      <c r="G1493" s="44">
        <v>6.3</v>
      </c>
      <c r="H1493" s="43" t="s">
        <v>236</v>
      </c>
      <c r="I1493" s="40" t="s">
        <v>1282</v>
      </c>
    </row>
    <row r="1494" spans="1:9" x14ac:dyDescent="0.25">
      <c r="A1494" s="40" t="s">
        <v>306</v>
      </c>
      <c r="B1494" s="28">
        <v>1774</v>
      </c>
      <c r="C1494" s="28" t="s">
        <v>35</v>
      </c>
      <c r="D1494" s="28" t="s">
        <v>38</v>
      </c>
      <c r="E1494" s="41">
        <v>46143</v>
      </c>
      <c r="F1494" s="47">
        <v>0.97340277777777773</v>
      </c>
      <c r="G1494" s="42">
        <v>6.3</v>
      </c>
      <c r="H1494" s="40" t="s">
        <v>236</v>
      </c>
      <c r="I1494" s="40" t="s">
        <v>1282</v>
      </c>
    </row>
    <row r="1495" spans="1:9" x14ac:dyDescent="0.25">
      <c r="A1495" s="40" t="s">
        <v>306</v>
      </c>
      <c r="B1495" s="28">
        <v>1774</v>
      </c>
      <c r="C1495" s="28" t="s">
        <v>607</v>
      </c>
      <c r="D1495" s="28"/>
      <c r="E1495" s="41">
        <v>46145</v>
      </c>
      <c r="F1495" s="47">
        <v>0.19224537037037037</v>
      </c>
      <c r="G1495" s="42">
        <v>6.3</v>
      </c>
      <c r="H1495" s="40" t="s">
        <v>237</v>
      </c>
      <c r="I1495" s="40" t="s">
        <v>1282</v>
      </c>
    </row>
    <row r="1496" spans="1:9" x14ac:dyDescent="0.25">
      <c r="A1496" s="40" t="s">
        <v>306</v>
      </c>
      <c r="B1496" s="28">
        <v>1774</v>
      </c>
      <c r="C1496" s="28" t="s">
        <v>607</v>
      </c>
      <c r="D1496" s="28"/>
      <c r="E1496" s="45">
        <v>46145</v>
      </c>
      <c r="F1496" s="48">
        <v>0.19758101851851853</v>
      </c>
      <c r="G1496" s="44">
        <v>6.3</v>
      </c>
      <c r="H1496" s="43" t="s">
        <v>234</v>
      </c>
      <c r="I1496" s="40" t="s">
        <v>1282</v>
      </c>
    </row>
    <row r="1497" spans="1:9" x14ac:dyDescent="0.25">
      <c r="A1497" s="40" t="s">
        <v>378</v>
      </c>
      <c r="B1497" s="28">
        <v>1786</v>
      </c>
      <c r="C1497" s="28">
        <v>5637511</v>
      </c>
      <c r="D1497" s="28"/>
      <c r="E1497" s="41">
        <v>46139</v>
      </c>
      <c r="F1497" s="47">
        <v>0.1477199074074074</v>
      </c>
      <c r="G1497" s="44">
        <v>6.3</v>
      </c>
      <c r="H1497" s="43" t="s">
        <v>237</v>
      </c>
      <c r="I1497" s="40" t="s">
        <v>1281</v>
      </c>
    </row>
    <row r="1498" spans="1:9" x14ac:dyDescent="0.25">
      <c r="A1498" s="40" t="s">
        <v>378</v>
      </c>
      <c r="B1498" s="28">
        <v>1786</v>
      </c>
      <c r="C1498" s="28">
        <v>5637511</v>
      </c>
      <c r="D1498" s="28"/>
      <c r="E1498" s="41">
        <v>46139</v>
      </c>
      <c r="F1498" s="47">
        <v>0.15339120370370371</v>
      </c>
      <c r="G1498" s="44">
        <v>6.3</v>
      </c>
      <c r="H1498" s="43" t="s">
        <v>234</v>
      </c>
      <c r="I1498" s="40" t="s">
        <v>1281</v>
      </c>
    </row>
    <row r="1499" spans="1:9" x14ac:dyDescent="0.25">
      <c r="A1499" s="40" t="s">
        <v>378</v>
      </c>
      <c r="B1499" s="28">
        <v>1786</v>
      </c>
      <c r="C1499" s="28" t="s">
        <v>608</v>
      </c>
      <c r="D1499" s="28"/>
      <c r="E1499" s="41">
        <v>46139</v>
      </c>
      <c r="F1499" s="47">
        <v>0.33048611111111109</v>
      </c>
      <c r="G1499" s="44">
        <v>6.3</v>
      </c>
      <c r="H1499" s="43" t="s">
        <v>235</v>
      </c>
      <c r="I1499" s="40" t="s">
        <v>1281</v>
      </c>
    </row>
    <row r="1500" spans="1:9" x14ac:dyDescent="0.25">
      <c r="A1500" s="40" t="s">
        <v>378</v>
      </c>
      <c r="B1500" s="28">
        <v>1786</v>
      </c>
      <c r="C1500" s="28" t="s">
        <v>608</v>
      </c>
      <c r="D1500" s="28"/>
      <c r="E1500" s="41">
        <v>46139</v>
      </c>
      <c r="F1500" s="47">
        <v>0.35868055555555556</v>
      </c>
      <c r="G1500" s="44">
        <v>6.3</v>
      </c>
      <c r="H1500" s="43" t="s">
        <v>236</v>
      </c>
      <c r="I1500" s="40" t="s">
        <v>1281</v>
      </c>
    </row>
    <row r="1501" spans="1:9" x14ac:dyDescent="0.25">
      <c r="A1501" s="40" t="s">
        <v>378</v>
      </c>
      <c r="B1501" s="28">
        <v>1786</v>
      </c>
      <c r="C1501" s="28" t="s">
        <v>35</v>
      </c>
      <c r="D1501" s="28" t="s">
        <v>38</v>
      </c>
      <c r="E1501" s="41">
        <v>46140</v>
      </c>
      <c r="F1501" s="47">
        <v>0.26153935185185184</v>
      </c>
      <c r="G1501" s="42">
        <v>6.3</v>
      </c>
      <c r="H1501" s="40" t="s">
        <v>237</v>
      </c>
      <c r="I1501" s="40" t="s">
        <v>1281</v>
      </c>
    </row>
    <row r="1502" spans="1:9" x14ac:dyDescent="0.25">
      <c r="A1502" s="40" t="s">
        <v>378</v>
      </c>
      <c r="B1502" s="28">
        <v>1786</v>
      </c>
      <c r="C1502" s="28" t="s">
        <v>35</v>
      </c>
      <c r="D1502" s="28" t="s">
        <v>38</v>
      </c>
      <c r="E1502" s="41">
        <v>46140</v>
      </c>
      <c r="F1502" s="47">
        <v>0.26719907407407406</v>
      </c>
      <c r="G1502" s="42">
        <v>6.3</v>
      </c>
      <c r="H1502" s="40" t="s">
        <v>234</v>
      </c>
      <c r="I1502" s="40" t="s">
        <v>1281</v>
      </c>
    </row>
    <row r="1503" spans="1:9" x14ac:dyDescent="0.25">
      <c r="A1503" s="40" t="s">
        <v>378</v>
      </c>
      <c r="B1503" s="28">
        <v>1786</v>
      </c>
      <c r="C1503" s="28">
        <v>10552001</v>
      </c>
      <c r="D1503" s="28"/>
      <c r="E1503" s="41">
        <v>46140</v>
      </c>
      <c r="F1503" s="47">
        <v>0.78225694444444449</v>
      </c>
      <c r="G1503" s="42">
        <v>6.3</v>
      </c>
      <c r="H1503" s="40" t="s">
        <v>237</v>
      </c>
      <c r="I1503" s="40" t="s">
        <v>1281</v>
      </c>
    </row>
    <row r="1504" spans="1:9" x14ac:dyDescent="0.25">
      <c r="A1504" s="40" t="s">
        <v>378</v>
      </c>
      <c r="B1504" s="28">
        <v>1786</v>
      </c>
      <c r="C1504" s="28">
        <v>10552001</v>
      </c>
      <c r="D1504" s="28"/>
      <c r="E1504" s="41">
        <v>46140</v>
      </c>
      <c r="F1504" s="47">
        <v>0.80565972222222226</v>
      </c>
      <c r="G1504" s="44">
        <v>6.3</v>
      </c>
      <c r="H1504" s="43" t="s">
        <v>234</v>
      </c>
      <c r="I1504" s="40" t="s">
        <v>1281</v>
      </c>
    </row>
    <row r="1505" spans="1:9" x14ac:dyDescent="0.25">
      <c r="A1505" s="40" t="s">
        <v>378</v>
      </c>
      <c r="B1505" s="28">
        <v>1786</v>
      </c>
      <c r="C1505" s="28">
        <v>10563739</v>
      </c>
      <c r="D1505" s="28"/>
      <c r="E1505" s="45">
        <v>46140</v>
      </c>
      <c r="F1505" s="48">
        <v>0.86656250000000001</v>
      </c>
      <c r="G1505" s="44">
        <v>6.3</v>
      </c>
      <c r="H1505" s="43" t="s">
        <v>235</v>
      </c>
      <c r="I1505" s="40" t="s">
        <v>1281</v>
      </c>
    </row>
    <row r="1506" spans="1:9" x14ac:dyDescent="0.25">
      <c r="A1506" s="40" t="s">
        <v>378</v>
      </c>
      <c r="B1506" s="28">
        <v>1786</v>
      </c>
      <c r="C1506" s="28">
        <v>10563739</v>
      </c>
      <c r="D1506" s="28"/>
      <c r="E1506" s="41">
        <v>46140</v>
      </c>
      <c r="F1506" s="47">
        <v>0.87354166666666666</v>
      </c>
      <c r="G1506" s="44">
        <v>6.3</v>
      </c>
      <c r="H1506" s="43" t="s">
        <v>239</v>
      </c>
      <c r="I1506" s="40" t="s">
        <v>1281</v>
      </c>
    </row>
    <row r="1507" spans="1:9" x14ac:dyDescent="0.25">
      <c r="A1507" s="40" t="s">
        <v>378</v>
      </c>
      <c r="B1507" s="28">
        <v>1786</v>
      </c>
      <c r="C1507" s="28">
        <v>5643635</v>
      </c>
      <c r="D1507" s="28"/>
      <c r="E1507" s="41">
        <v>46141</v>
      </c>
      <c r="F1507" s="47">
        <v>0.97297453703703707</v>
      </c>
      <c r="G1507" s="44">
        <v>6.3</v>
      </c>
      <c r="H1507" s="43" t="s">
        <v>237</v>
      </c>
      <c r="I1507" s="40" t="s">
        <v>1281</v>
      </c>
    </row>
    <row r="1508" spans="1:9" x14ac:dyDescent="0.25">
      <c r="A1508" s="40" t="s">
        <v>378</v>
      </c>
      <c r="B1508" s="28">
        <v>1786</v>
      </c>
      <c r="C1508" s="28">
        <v>10566546</v>
      </c>
      <c r="D1508" s="28"/>
      <c r="E1508" s="45">
        <v>46142</v>
      </c>
      <c r="F1508" s="48">
        <v>0.34340277777777778</v>
      </c>
      <c r="G1508" s="44">
        <v>6.3</v>
      </c>
      <c r="H1508" s="43" t="s">
        <v>233</v>
      </c>
      <c r="I1508" s="40" t="s">
        <v>1281</v>
      </c>
    </row>
    <row r="1509" spans="1:9" x14ac:dyDescent="0.25">
      <c r="A1509" s="40" t="s">
        <v>378</v>
      </c>
      <c r="B1509" s="28">
        <v>1786</v>
      </c>
      <c r="C1509" s="28">
        <v>10566546</v>
      </c>
      <c r="D1509" s="28"/>
      <c r="E1509" s="45">
        <v>46142</v>
      </c>
      <c r="F1509" s="48">
        <v>0.35387731481481483</v>
      </c>
      <c r="G1509" s="44">
        <v>6.3</v>
      </c>
      <c r="H1509" s="43" t="s">
        <v>234</v>
      </c>
      <c r="I1509" s="40" t="s">
        <v>1281</v>
      </c>
    </row>
    <row r="1510" spans="1:9" x14ac:dyDescent="0.25">
      <c r="A1510" s="40" t="s">
        <v>378</v>
      </c>
      <c r="B1510" s="28">
        <v>1786</v>
      </c>
      <c r="C1510" s="28" t="s">
        <v>609</v>
      </c>
      <c r="D1510" s="28"/>
      <c r="E1510" s="41">
        <v>46142</v>
      </c>
      <c r="F1510" s="47">
        <v>0.81361111111111106</v>
      </c>
      <c r="G1510" s="44">
        <v>6.3</v>
      </c>
      <c r="H1510" s="43" t="s">
        <v>238</v>
      </c>
      <c r="I1510" s="40" t="s">
        <v>1281</v>
      </c>
    </row>
    <row r="1511" spans="1:9" x14ac:dyDescent="0.25">
      <c r="A1511" s="40" t="s">
        <v>378</v>
      </c>
      <c r="B1511" s="28">
        <v>1786</v>
      </c>
      <c r="C1511" s="28" t="s">
        <v>609</v>
      </c>
      <c r="D1511" s="28"/>
      <c r="E1511" s="41">
        <v>46142</v>
      </c>
      <c r="F1511" s="47">
        <v>0.83696759259259257</v>
      </c>
      <c r="G1511" s="44">
        <v>6.3</v>
      </c>
      <c r="H1511" s="43" t="s">
        <v>234</v>
      </c>
      <c r="I1511" s="40" t="s">
        <v>1281</v>
      </c>
    </row>
    <row r="1512" spans="1:9" x14ac:dyDescent="0.25">
      <c r="A1512" s="40" t="s">
        <v>378</v>
      </c>
      <c r="B1512" s="28">
        <v>1786</v>
      </c>
      <c r="C1512" s="28">
        <v>10568499</v>
      </c>
      <c r="D1512" s="28"/>
      <c r="E1512" s="41">
        <v>46142</v>
      </c>
      <c r="F1512" s="47">
        <v>0.91488425925925931</v>
      </c>
      <c r="G1512" s="44">
        <v>6.3</v>
      </c>
      <c r="H1512" s="43" t="s">
        <v>235</v>
      </c>
      <c r="I1512" s="40" t="s">
        <v>1281</v>
      </c>
    </row>
    <row r="1513" spans="1:9" x14ac:dyDescent="0.25">
      <c r="A1513" s="40" t="s">
        <v>378</v>
      </c>
      <c r="B1513" s="28">
        <v>1786</v>
      </c>
      <c r="C1513" s="28">
        <v>10568499</v>
      </c>
      <c r="D1513" s="28"/>
      <c r="E1513" s="41">
        <v>46142</v>
      </c>
      <c r="F1513" s="47">
        <v>0.92236111111111108</v>
      </c>
      <c r="G1513" s="44">
        <v>6.3</v>
      </c>
      <c r="H1513" s="43" t="s">
        <v>239</v>
      </c>
      <c r="I1513" s="40" t="s">
        <v>1281</v>
      </c>
    </row>
    <row r="1514" spans="1:9" x14ac:dyDescent="0.25">
      <c r="A1514" s="40" t="s">
        <v>378</v>
      </c>
      <c r="B1514" s="28">
        <v>1786</v>
      </c>
      <c r="C1514" s="28">
        <v>5644887</v>
      </c>
      <c r="D1514" s="28"/>
      <c r="E1514" s="41">
        <v>46143</v>
      </c>
      <c r="F1514" s="47">
        <v>0.46718749999999998</v>
      </c>
      <c r="G1514" s="44">
        <v>6.3</v>
      </c>
      <c r="H1514" s="43" t="s">
        <v>233</v>
      </c>
      <c r="I1514" s="40" t="s">
        <v>1282</v>
      </c>
    </row>
    <row r="1515" spans="1:9" x14ac:dyDescent="0.25">
      <c r="A1515" s="40" t="s">
        <v>378</v>
      </c>
      <c r="B1515" s="28">
        <v>1786</v>
      </c>
      <c r="C1515" s="28">
        <v>5644887</v>
      </c>
      <c r="D1515" s="28"/>
      <c r="E1515" s="41">
        <v>46143</v>
      </c>
      <c r="F1515" s="47">
        <v>0.47249999999999998</v>
      </c>
      <c r="G1515" s="44">
        <v>6.3</v>
      </c>
      <c r="H1515" s="43" t="s">
        <v>234</v>
      </c>
      <c r="I1515" s="40" t="s">
        <v>1282</v>
      </c>
    </row>
    <row r="1516" spans="1:9" x14ac:dyDescent="0.25">
      <c r="A1516" s="40" t="s">
        <v>378</v>
      </c>
      <c r="B1516" s="28">
        <v>1786</v>
      </c>
      <c r="C1516" s="28">
        <v>10573495</v>
      </c>
      <c r="D1516" s="28"/>
      <c r="E1516" s="41">
        <v>46144</v>
      </c>
      <c r="F1516" s="47">
        <v>5.8796296296296296E-3</v>
      </c>
      <c r="G1516" s="44">
        <v>6.3</v>
      </c>
      <c r="H1516" s="43" t="s">
        <v>235</v>
      </c>
      <c r="I1516" s="40" t="s">
        <v>1282</v>
      </c>
    </row>
    <row r="1517" spans="1:9" x14ac:dyDescent="0.25">
      <c r="A1517" s="40" t="s">
        <v>378</v>
      </c>
      <c r="B1517" s="28">
        <v>1786</v>
      </c>
      <c r="C1517" s="28">
        <v>10573495</v>
      </c>
      <c r="D1517" s="28"/>
      <c r="E1517" s="41">
        <v>46144</v>
      </c>
      <c r="F1517" s="47">
        <v>1.2592592592592593E-2</v>
      </c>
      <c r="G1517" s="44">
        <v>6.3</v>
      </c>
      <c r="H1517" s="43" t="s">
        <v>239</v>
      </c>
      <c r="I1517" s="40" t="s">
        <v>1282</v>
      </c>
    </row>
    <row r="1518" spans="1:9" x14ac:dyDescent="0.25">
      <c r="A1518" s="40" t="s">
        <v>378</v>
      </c>
      <c r="B1518" s="28">
        <v>1786</v>
      </c>
      <c r="C1518" s="28">
        <v>5647077</v>
      </c>
      <c r="D1518" s="28"/>
      <c r="E1518" s="41">
        <v>46144</v>
      </c>
      <c r="F1518" s="47">
        <v>0.18539351851851851</v>
      </c>
      <c r="G1518" s="44">
        <v>6.3</v>
      </c>
      <c r="H1518" s="43" t="s">
        <v>237</v>
      </c>
      <c r="I1518" s="40" t="s">
        <v>1282</v>
      </c>
    </row>
    <row r="1519" spans="1:9" x14ac:dyDescent="0.25">
      <c r="A1519" s="40" t="s">
        <v>378</v>
      </c>
      <c r="B1519" s="28">
        <v>1786</v>
      </c>
      <c r="C1519" s="28">
        <v>5647077</v>
      </c>
      <c r="D1519" s="28"/>
      <c r="E1519" s="41">
        <v>46144</v>
      </c>
      <c r="F1519" s="47">
        <v>0.19096064814814814</v>
      </c>
      <c r="G1519" s="44">
        <v>6.3</v>
      </c>
      <c r="H1519" s="43" t="s">
        <v>234</v>
      </c>
      <c r="I1519" s="40" t="s">
        <v>1282</v>
      </c>
    </row>
    <row r="1520" spans="1:9" x14ac:dyDescent="0.25">
      <c r="A1520" s="40" t="s">
        <v>378</v>
      </c>
      <c r="B1520" s="28">
        <v>1786</v>
      </c>
      <c r="C1520" s="28" t="s">
        <v>610</v>
      </c>
      <c r="D1520" s="28"/>
      <c r="E1520" s="41">
        <v>46144</v>
      </c>
      <c r="F1520" s="47">
        <v>0.34707175925925926</v>
      </c>
      <c r="G1520" s="44">
        <v>6.3</v>
      </c>
      <c r="H1520" s="43" t="s">
        <v>235</v>
      </c>
      <c r="I1520" s="40" t="s">
        <v>1282</v>
      </c>
    </row>
    <row r="1521" spans="1:9" x14ac:dyDescent="0.25">
      <c r="A1521" s="40" t="s">
        <v>378</v>
      </c>
      <c r="B1521" s="28">
        <v>1786</v>
      </c>
      <c r="C1521" s="28" t="s">
        <v>610</v>
      </c>
      <c r="D1521" s="28"/>
      <c r="E1521" s="41">
        <v>46144</v>
      </c>
      <c r="F1521" s="47">
        <v>0.35495370370370372</v>
      </c>
      <c r="G1521" s="44">
        <v>6.3</v>
      </c>
      <c r="H1521" s="43" t="s">
        <v>236</v>
      </c>
      <c r="I1521" s="40" t="s">
        <v>1282</v>
      </c>
    </row>
    <row r="1522" spans="1:9" x14ac:dyDescent="0.25">
      <c r="A1522" s="40" t="s">
        <v>378</v>
      </c>
      <c r="B1522" s="28">
        <v>1786</v>
      </c>
      <c r="C1522" s="28">
        <v>10585869</v>
      </c>
      <c r="D1522" s="28" t="s">
        <v>36</v>
      </c>
      <c r="E1522" s="41">
        <v>46145</v>
      </c>
      <c r="F1522" s="47">
        <v>0.50429398148148152</v>
      </c>
      <c r="G1522" s="44">
        <v>6.3</v>
      </c>
      <c r="H1522" s="43" t="s">
        <v>238</v>
      </c>
      <c r="I1522" s="40" t="s">
        <v>1282</v>
      </c>
    </row>
    <row r="1523" spans="1:9" x14ac:dyDescent="0.25">
      <c r="A1523" s="40" t="s">
        <v>378</v>
      </c>
      <c r="B1523" s="28">
        <v>1786</v>
      </c>
      <c r="C1523" s="28">
        <v>10585869</v>
      </c>
      <c r="D1523" s="28" t="s">
        <v>36</v>
      </c>
      <c r="E1523" s="45">
        <v>46145</v>
      </c>
      <c r="F1523" s="48">
        <v>0.50877314814814811</v>
      </c>
      <c r="G1523" s="44">
        <v>6.3</v>
      </c>
      <c r="H1523" s="43" t="s">
        <v>234</v>
      </c>
      <c r="I1523" s="40" t="s">
        <v>1282</v>
      </c>
    </row>
    <row r="1524" spans="1:9" x14ac:dyDescent="0.25">
      <c r="A1524" s="40" t="s">
        <v>378</v>
      </c>
      <c r="B1524" s="28">
        <v>1786</v>
      </c>
      <c r="C1524" s="28" t="s">
        <v>611</v>
      </c>
      <c r="D1524" s="28"/>
      <c r="E1524" s="41">
        <v>46145</v>
      </c>
      <c r="F1524" s="47">
        <v>0.72655092592592596</v>
      </c>
      <c r="G1524" s="44">
        <v>6.3</v>
      </c>
      <c r="H1524" s="43" t="s">
        <v>233</v>
      </c>
      <c r="I1524" s="40" t="s">
        <v>1282</v>
      </c>
    </row>
    <row r="1525" spans="1:9" x14ac:dyDescent="0.25">
      <c r="A1525" s="40" t="s">
        <v>378</v>
      </c>
      <c r="B1525" s="28">
        <v>1786</v>
      </c>
      <c r="C1525" s="28" t="s">
        <v>611</v>
      </c>
      <c r="D1525" s="28"/>
      <c r="E1525" s="41">
        <v>46145</v>
      </c>
      <c r="F1525" s="47">
        <v>0.73181712962962964</v>
      </c>
      <c r="G1525" s="44">
        <v>6.3</v>
      </c>
      <c r="H1525" s="43" t="s">
        <v>234</v>
      </c>
      <c r="I1525" s="40" t="s">
        <v>1282</v>
      </c>
    </row>
    <row r="1526" spans="1:9" x14ac:dyDescent="0.25">
      <c r="A1526" s="40" t="s">
        <v>378</v>
      </c>
      <c r="B1526" s="28">
        <v>1786</v>
      </c>
      <c r="C1526" s="28">
        <v>10585746</v>
      </c>
      <c r="D1526" s="28"/>
      <c r="E1526" s="41">
        <v>46145</v>
      </c>
      <c r="F1526" s="47">
        <v>0.96028935185185182</v>
      </c>
      <c r="G1526" s="44">
        <v>6.3</v>
      </c>
      <c r="H1526" s="43" t="s">
        <v>235</v>
      </c>
      <c r="I1526" s="40" t="s">
        <v>1282</v>
      </c>
    </row>
    <row r="1527" spans="1:9" x14ac:dyDescent="0.25">
      <c r="A1527" s="40" t="s">
        <v>222</v>
      </c>
      <c r="B1527" s="28">
        <v>1792</v>
      </c>
      <c r="C1527" s="28">
        <v>5642362</v>
      </c>
      <c r="D1527" s="28"/>
      <c r="E1527" s="41">
        <v>46141</v>
      </c>
      <c r="F1527" s="47">
        <v>0.55828703703703708</v>
      </c>
      <c r="G1527" s="44">
        <v>6.3</v>
      </c>
      <c r="H1527" s="43" t="s">
        <v>235</v>
      </c>
      <c r="I1527" s="40" t="s">
        <v>1281</v>
      </c>
    </row>
    <row r="1528" spans="1:9" x14ac:dyDescent="0.25">
      <c r="A1528" s="40" t="s">
        <v>222</v>
      </c>
      <c r="B1528" s="28">
        <v>1792</v>
      </c>
      <c r="C1528" s="28">
        <v>5642362</v>
      </c>
      <c r="D1528" s="28"/>
      <c r="E1528" s="41">
        <v>46141</v>
      </c>
      <c r="F1528" s="47">
        <v>0.5767592592592593</v>
      </c>
      <c r="G1528" s="44">
        <v>6.3</v>
      </c>
      <c r="H1528" s="43" t="s">
        <v>239</v>
      </c>
      <c r="I1528" s="40" t="s">
        <v>1281</v>
      </c>
    </row>
    <row r="1529" spans="1:9" x14ac:dyDescent="0.25">
      <c r="A1529" s="40" t="s">
        <v>222</v>
      </c>
      <c r="B1529" s="28">
        <v>1792</v>
      </c>
      <c r="C1529" s="28" t="s">
        <v>35</v>
      </c>
      <c r="D1529" s="28" t="s">
        <v>38</v>
      </c>
      <c r="E1529" s="41">
        <v>46141</v>
      </c>
      <c r="F1529" s="47">
        <v>0.60501157407407402</v>
      </c>
      <c r="G1529" s="44">
        <v>6.3</v>
      </c>
      <c r="H1529" s="43" t="s">
        <v>233</v>
      </c>
      <c r="I1529" s="40" t="s">
        <v>1281</v>
      </c>
    </row>
    <row r="1530" spans="1:9" x14ac:dyDescent="0.25">
      <c r="A1530" s="40" t="s">
        <v>222</v>
      </c>
      <c r="B1530" s="28">
        <v>1792</v>
      </c>
      <c r="C1530" s="28" t="s">
        <v>35</v>
      </c>
      <c r="D1530" s="28" t="s">
        <v>38</v>
      </c>
      <c r="E1530" s="45">
        <v>46141</v>
      </c>
      <c r="F1530" s="48">
        <v>0.61423611111111109</v>
      </c>
      <c r="G1530" s="42">
        <v>6.3</v>
      </c>
      <c r="H1530" s="40" t="s">
        <v>234</v>
      </c>
      <c r="I1530" s="40" t="s">
        <v>1281</v>
      </c>
    </row>
    <row r="1531" spans="1:9" x14ac:dyDescent="0.25">
      <c r="A1531" s="40" t="s">
        <v>222</v>
      </c>
      <c r="B1531" s="28">
        <v>1792</v>
      </c>
      <c r="C1531" s="28">
        <v>5644141</v>
      </c>
      <c r="D1531" s="28"/>
      <c r="E1531" s="41">
        <v>46142</v>
      </c>
      <c r="F1531" s="47">
        <v>0.38599537037037035</v>
      </c>
      <c r="G1531" s="42">
        <v>6.3</v>
      </c>
      <c r="H1531" s="40" t="s">
        <v>235</v>
      </c>
      <c r="I1531" s="40" t="s">
        <v>1281</v>
      </c>
    </row>
    <row r="1532" spans="1:9" x14ac:dyDescent="0.25">
      <c r="A1532" s="40" t="s">
        <v>222</v>
      </c>
      <c r="B1532" s="28">
        <v>1792</v>
      </c>
      <c r="C1532" s="28">
        <v>5644141</v>
      </c>
      <c r="D1532" s="28"/>
      <c r="E1532" s="41">
        <v>46142</v>
      </c>
      <c r="F1532" s="47">
        <v>0.40591435185185187</v>
      </c>
      <c r="G1532" s="42">
        <v>6.3</v>
      </c>
      <c r="H1532" s="40" t="s">
        <v>239</v>
      </c>
      <c r="I1532" s="40" t="s">
        <v>1281</v>
      </c>
    </row>
    <row r="1533" spans="1:9" x14ac:dyDescent="0.25">
      <c r="A1533" s="40" t="s">
        <v>222</v>
      </c>
      <c r="B1533" s="28">
        <v>1792</v>
      </c>
      <c r="C1533" s="28" t="s">
        <v>35</v>
      </c>
      <c r="D1533" s="28" t="s">
        <v>38</v>
      </c>
      <c r="E1533" s="41">
        <v>46142</v>
      </c>
      <c r="F1533" s="47">
        <v>0.45246527777777779</v>
      </c>
      <c r="G1533" s="44">
        <v>6.3</v>
      </c>
      <c r="H1533" s="43" t="s">
        <v>233</v>
      </c>
      <c r="I1533" s="40" t="s">
        <v>1281</v>
      </c>
    </row>
    <row r="1534" spans="1:9" x14ac:dyDescent="0.25">
      <c r="A1534" s="40" t="s">
        <v>222</v>
      </c>
      <c r="B1534" s="28">
        <v>1792</v>
      </c>
      <c r="C1534" s="28" t="s">
        <v>35</v>
      </c>
      <c r="D1534" s="28" t="s">
        <v>38</v>
      </c>
      <c r="E1534" s="41">
        <v>46142</v>
      </c>
      <c r="F1534" s="47">
        <v>0.46240740740740743</v>
      </c>
      <c r="G1534" s="44">
        <v>6.3</v>
      </c>
      <c r="H1534" s="43" t="s">
        <v>234</v>
      </c>
      <c r="I1534" s="40" t="s">
        <v>1281</v>
      </c>
    </row>
    <row r="1535" spans="1:9" x14ac:dyDescent="0.25">
      <c r="A1535" s="40" t="s">
        <v>222</v>
      </c>
      <c r="B1535" s="28">
        <v>1792</v>
      </c>
      <c r="C1535" s="28">
        <v>5644987</v>
      </c>
      <c r="D1535" s="28"/>
      <c r="E1535" s="41">
        <v>46142</v>
      </c>
      <c r="F1535" s="47">
        <v>0.64554398148148151</v>
      </c>
      <c r="G1535" s="44">
        <v>6.3</v>
      </c>
      <c r="H1535" s="43" t="s">
        <v>235</v>
      </c>
      <c r="I1535" s="40" t="s">
        <v>1281</v>
      </c>
    </row>
    <row r="1536" spans="1:9" x14ac:dyDescent="0.25">
      <c r="A1536" s="40" t="s">
        <v>612</v>
      </c>
      <c r="B1536" s="28">
        <v>1793</v>
      </c>
      <c r="C1536" s="28" t="s">
        <v>35</v>
      </c>
      <c r="D1536" s="28" t="s">
        <v>38</v>
      </c>
      <c r="E1536" s="45">
        <v>46139</v>
      </c>
      <c r="F1536" s="48">
        <v>0.27975694444444443</v>
      </c>
      <c r="G1536" s="44">
        <v>6.3</v>
      </c>
      <c r="H1536" s="43" t="s">
        <v>241</v>
      </c>
      <c r="I1536" s="40" t="s">
        <v>1281</v>
      </c>
    </row>
    <row r="1537" spans="1:9" x14ac:dyDescent="0.25">
      <c r="A1537" s="40" t="s">
        <v>612</v>
      </c>
      <c r="B1537" s="28">
        <v>1793</v>
      </c>
      <c r="C1537" s="28" t="s">
        <v>35</v>
      </c>
      <c r="D1537" s="28" t="s">
        <v>38</v>
      </c>
      <c r="E1537" s="41">
        <v>46139</v>
      </c>
      <c r="F1537" s="47">
        <v>0.31203703703703706</v>
      </c>
      <c r="G1537" s="44">
        <v>6.3</v>
      </c>
      <c r="H1537" s="43" t="s">
        <v>234</v>
      </c>
      <c r="I1537" s="40" t="s">
        <v>1281</v>
      </c>
    </row>
    <row r="1538" spans="1:9" x14ac:dyDescent="0.25">
      <c r="A1538" s="40" t="s">
        <v>612</v>
      </c>
      <c r="B1538" s="28">
        <v>1793</v>
      </c>
      <c r="C1538" s="28" t="s">
        <v>35</v>
      </c>
      <c r="D1538" s="28" t="s">
        <v>38</v>
      </c>
      <c r="E1538" s="41">
        <v>46140</v>
      </c>
      <c r="F1538" s="47">
        <v>0.32976851851851852</v>
      </c>
      <c r="G1538" s="44">
        <v>6.3</v>
      </c>
      <c r="H1538" s="43" t="s">
        <v>241</v>
      </c>
      <c r="I1538" s="40" t="s">
        <v>1281</v>
      </c>
    </row>
    <row r="1539" spans="1:9" x14ac:dyDescent="0.25">
      <c r="A1539" s="40" t="s">
        <v>612</v>
      </c>
      <c r="B1539" s="28">
        <v>1793</v>
      </c>
      <c r="C1539" s="28" t="s">
        <v>35</v>
      </c>
      <c r="D1539" s="28" t="s">
        <v>38</v>
      </c>
      <c r="E1539" s="41">
        <v>46140</v>
      </c>
      <c r="F1539" s="47">
        <v>0.33607638888888891</v>
      </c>
      <c r="G1539" s="44">
        <v>6.3</v>
      </c>
      <c r="H1539" s="43" t="s">
        <v>234</v>
      </c>
      <c r="I1539" s="40" t="s">
        <v>1281</v>
      </c>
    </row>
    <row r="1540" spans="1:9" x14ac:dyDescent="0.25">
      <c r="A1540" s="40" t="s">
        <v>612</v>
      </c>
      <c r="B1540" s="28">
        <v>1793</v>
      </c>
      <c r="C1540" s="28">
        <v>5638347</v>
      </c>
      <c r="D1540" s="28"/>
      <c r="E1540" s="41">
        <v>46141</v>
      </c>
      <c r="F1540" s="47">
        <v>0.80961805555555555</v>
      </c>
      <c r="G1540" s="44">
        <v>6.3</v>
      </c>
      <c r="H1540" s="43" t="s">
        <v>235</v>
      </c>
      <c r="I1540" s="40" t="s">
        <v>1281</v>
      </c>
    </row>
    <row r="1541" spans="1:9" x14ac:dyDescent="0.25">
      <c r="A1541" s="40" t="s">
        <v>612</v>
      </c>
      <c r="B1541" s="28">
        <v>1793</v>
      </c>
      <c r="C1541" s="28" t="s">
        <v>35</v>
      </c>
      <c r="D1541" s="28" t="s">
        <v>38</v>
      </c>
      <c r="E1541" s="45">
        <v>46141</v>
      </c>
      <c r="F1541" s="48">
        <v>0.9059490740740741</v>
      </c>
      <c r="G1541" s="44">
        <v>6.3</v>
      </c>
      <c r="H1541" s="43" t="s">
        <v>238</v>
      </c>
      <c r="I1541" s="40" t="s">
        <v>1281</v>
      </c>
    </row>
    <row r="1542" spans="1:9" x14ac:dyDescent="0.25">
      <c r="A1542" s="40" t="s">
        <v>612</v>
      </c>
      <c r="B1542" s="28">
        <v>1793</v>
      </c>
      <c r="C1542" s="28" t="s">
        <v>35</v>
      </c>
      <c r="D1542" s="28" t="s">
        <v>38</v>
      </c>
      <c r="E1542" s="41">
        <v>46142</v>
      </c>
      <c r="F1542" s="47">
        <v>0.95878472222222222</v>
      </c>
      <c r="G1542" s="44">
        <v>6.3</v>
      </c>
      <c r="H1542" s="43" t="s">
        <v>235</v>
      </c>
      <c r="I1542" s="40" t="s">
        <v>1281</v>
      </c>
    </row>
    <row r="1543" spans="1:9" x14ac:dyDescent="0.25">
      <c r="A1543" s="40" t="s">
        <v>612</v>
      </c>
      <c r="B1543" s="28">
        <v>1793</v>
      </c>
      <c r="C1543" s="28">
        <v>5646032</v>
      </c>
      <c r="D1543" s="28"/>
      <c r="E1543" s="45">
        <v>46143</v>
      </c>
      <c r="F1543" s="48">
        <v>0.29243055555555558</v>
      </c>
      <c r="G1543" s="44">
        <v>6.3</v>
      </c>
      <c r="H1543" s="43" t="s">
        <v>235</v>
      </c>
      <c r="I1543" s="40" t="s">
        <v>1282</v>
      </c>
    </row>
    <row r="1544" spans="1:9" x14ac:dyDescent="0.25">
      <c r="A1544" s="40" t="s">
        <v>612</v>
      </c>
      <c r="B1544" s="28">
        <v>1793</v>
      </c>
      <c r="C1544" s="28">
        <v>5646032</v>
      </c>
      <c r="D1544" s="28"/>
      <c r="E1544" s="41">
        <v>46143</v>
      </c>
      <c r="F1544" s="47">
        <v>0.30175925925925928</v>
      </c>
      <c r="G1544" s="44">
        <v>6.3</v>
      </c>
      <c r="H1544" s="43" t="s">
        <v>240</v>
      </c>
      <c r="I1544" s="40" t="s">
        <v>1282</v>
      </c>
    </row>
    <row r="1545" spans="1:9" x14ac:dyDescent="0.25">
      <c r="A1545" s="40" t="s">
        <v>612</v>
      </c>
      <c r="B1545" s="28">
        <v>1793</v>
      </c>
      <c r="C1545" s="28" t="s">
        <v>35</v>
      </c>
      <c r="D1545" s="28" t="s">
        <v>38</v>
      </c>
      <c r="E1545" s="41">
        <v>46143</v>
      </c>
      <c r="F1545" s="47">
        <v>0.56504629629629632</v>
      </c>
      <c r="G1545" s="44">
        <v>6.3</v>
      </c>
      <c r="H1545" s="43" t="s">
        <v>241</v>
      </c>
      <c r="I1545" s="40" t="s">
        <v>1282</v>
      </c>
    </row>
    <row r="1546" spans="1:9" x14ac:dyDescent="0.25">
      <c r="A1546" s="40" t="s">
        <v>612</v>
      </c>
      <c r="B1546" s="28">
        <v>1793</v>
      </c>
      <c r="C1546" s="28" t="s">
        <v>35</v>
      </c>
      <c r="D1546" s="28" t="s">
        <v>38</v>
      </c>
      <c r="E1546" s="41">
        <v>46143</v>
      </c>
      <c r="F1546" s="47">
        <v>0.56765046296296295</v>
      </c>
      <c r="G1546" s="44">
        <v>6.3</v>
      </c>
      <c r="H1546" s="43" t="s">
        <v>234</v>
      </c>
      <c r="I1546" s="40" t="s">
        <v>1282</v>
      </c>
    </row>
    <row r="1547" spans="1:9" x14ac:dyDescent="0.25">
      <c r="A1547" s="40" t="s">
        <v>612</v>
      </c>
      <c r="B1547" s="28">
        <v>1793</v>
      </c>
      <c r="C1547" s="28" t="s">
        <v>35</v>
      </c>
      <c r="D1547" s="28" t="s">
        <v>38</v>
      </c>
      <c r="E1547" s="41">
        <v>46143</v>
      </c>
      <c r="F1547" s="47">
        <v>0.84222222222222221</v>
      </c>
      <c r="G1547" s="44">
        <v>6.3</v>
      </c>
      <c r="H1547" s="43" t="s">
        <v>240</v>
      </c>
      <c r="I1547" s="40" t="s">
        <v>1282</v>
      </c>
    </row>
    <row r="1548" spans="1:9" x14ac:dyDescent="0.25">
      <c r="A1548" s="40" t="s">
        <v>612</v>
      </c>
      <c r="B1548" s="28">
        <v>1793</v>
      </c>
      <c r="C1548" s="28" t="s">
        <v>35</v>
      </c>
      <c r="D1548" s="28" t="s">
        <v>38</v>
      </c>
      <c r="E1548" s="41">
        <v>46145</v>
      </c>
      <c r="F1548" s="47">
        <v>0.14592592592592593</v>
      </c>
      <c r="G1548" s="44">
        <v>6.3</v>
      </c>
      <c r="H1548" s="43" t="s">
        <v>239</v>
      </c>
      <c r="I1548" s="40" t="s">
        <v>1282</v>
      </c>
    </row>
    <row r="1549" spans="1:9" x14ac:dyDescent="0.25">
      <c r="A1549" s="40" t="s">
        <v>612</v>
      </c>
      <c r="B1549" s="28">
        <v>1793</v>
      </c>
      <c r="C1549" s="28">
        <v>5647433</v>
      </c>
      <c r="D1549" s="28"/>
      <c r="E1549" s="41">
        <v>46145</v>
      </c>
      <c r="F1549" s="47">
        <v>0.17488425925925927</v>
      </c>
      <c r="G1549" s="44">
        <v>6.3</v>
      </c>
      <c r="H1549" s="43" t="s">
        <v>234</v>
      </c>
      <c r="I1549" s="40" t="s">
        <v>1282</v>
      </c>
    </row>
    <row r="1550" spans="1:9" x14ac:dyDescent="0.25">
      <c r="A1550" s="40" t="s">
        <v>612</v>
      </c>
      <c r="B1550" s="28">
        <v>1793</v>
      </c>
      <c r="C1550" s="28" t="s">
        <v>35</v>
      </c>
      <c r="D1550" s="28" t="s">
        <v>38</v>
      </c>
      <c r="E1550" s="41">
        <v>46145</v>
      </c>
      <c r="F1550" s="47">
        <v>0.5861574074074074</v>
      </c>
      <c r="G1550" s="44">
        <v>6.3</v>
      </c>
      <c r="H1550" s="43" t="s">
        <v>237</v>
      </c>
      <c r="I1550" s="40" t="s">
        <v>1282</v>
      </c>
    </row>
    <row r="1551" spans="1:9" x14ac:dyDescent="0.25">
      <c r="A1551" s="40" t="s">
        <v>613</v>
      </c>
      <c r="B1551" s="28">
        <v>1798</v>
      </c>
      <c r="C1551" s="28">
        <v>5638012</v>
      </c>
      <c r="D1551" s="28"/>
      <c r="E1551" s="41">
        <v>46139</v>
      </c>
      <c r="F1551" s="47">
        <v>0.50793981481481476</v>
      </c>
      <c r="G1551" s="44">
        <v>6.3</v>
      </c>
      <c r="H1551" s="43" t="s">
        <v>235</v>
      </c>
      <c r="I1551" s="40" t="s">
        <v>1281</v>
      </c>
    </row>
    <row r="1552" spans="1:9" x14ac:dyDescent="0.25">
      <c r="A1552" s="40" t="s">
        <v>613</v>
      </c>
      <c r="B1552" s="28">
        <v>1798</v>
      </c>
      <c r="C1552" s="28">
        <v>5638012</v>
      </c>
      <c r="D1552" s="28"/>
      <c r="E1552" s="41">
        <v>46139</v>
      </c>
      <c r="F1552" s="47">
        <v>0.51821759259259259</v>
      </c>
      <c r="G1552" s="44">
        <v>6.3</v>
      </c>
      <c r="H1552" s="43" t="s">
        <v>236</v>
      </c>
      <c r="I1552" s="40" t="s">
        <v>1281</v>
      </c>
    </row>
    <row r="1553" spans="1:9" x14ac:dyDescent="0.25">
      <c r="A1553" s="40" t="s">
        <v>613</v>
      </c>
      <c r="B1553" s="28">
        <v>1798</v>
      </c>
      <c r="C1553" s="28">
        <v>5641813</v>
      </c>
      <c r="D1553" s="28"/>
      <c r="E1553" s="41">
        <v>46140</v>
      </c>
      <c r="F1553" s="47">
        <v>0.95546296296296296</v>
      </c>
      <c r="G1553" s="44">
        <v>6.3</v>
      </c>
      <c r="H1553" s="43" t="s">
        <v>235</v>
      </c>
      <c r="I1553" s="40" t="s">
        <v>1281</v>
      </c>
    </row>
    <row r="1554" spans="1:9" x14ac:dyDescent="0.25">
      <c r="A1554" s="40" t="s">
        <v>613</v>
      </c>
      <c r="B1554" s="28">
        <v>1798</v>
      </c>
      <c r="C1554" s="28">
        <v>5641813</v>
      </c>
      <c r="D1554" s="28"/>
      <c r="E1554" s="41">
        <v>46140</v>
      </c>
      <c r="F1554" s="47">
        <v>0.96168981481481486</v>
      </c>
      <c r="G1554" s="44">
        <v>6.3</v>
      </c>
      <c r="H1554" s="43" t="s">
        <v>236</v>
      </c>
      <c r="I1554" s="40" t="s">
        <v>1281</v>
      </c>
    </row>
    <row r="1555" spans="1:9" x14ac:dyDescent="0.25">
      <c r="A1555" s="40" t="s">
        <v>613</v>
      </c>
      <c r="B1555" s="28">
        <v>1798</v>
      </c>
      <c r="C1555" s="28" t="s">
        <v>35</v>
      </c>
      <c r="D1555" s="28" t="s">
        <v>38</v>
      </c>
      <c r="E1555" s="45">
        <v>46140</v>
      </c>
      <c r="F1555" s="48">
        <v>0.98122685185185188</v>
      </c>
      <c r="G1555" s="44">
        <v>6.3</v>
      </c>
      <c r="H1555" s="43" t="s">
        <v>237</v>
      </c>
      <c r="I1555" s="40" t="s">
        <v>1281</v>
      </c>
    </row>
    <row r="1556" spans="1:9" x14ac:dyDescent="0.25">
      <c r="A1556" s="40" t="s">
        <v>613</v>
      </c>
      <c r="B1556" s="28">
        <v>1798</v>
      </c>
      <c r="C1556" s="28">
        <v>5529774</v>
      </c>
      <c r="D1556" s="28"/>
      <c r="E1556" s="41">
        <v>46143</v>
      </c>
      <c r="F1556" s="47">
        <v>0.50586805555555558</v>
      </c>
      <c r="G1556" s="42">
        <v>6.3</v>
      </c>
      <c r="H1556" s="40" t="s">
        <v>235</v>
      </c>
      <c r="I1556" s="40" t="s">
        <v>1282</v>
      </c>
    </row>
    <row r="1557" spans="1:9" x14ac:dyDescent="0.25">
      <c r="A1557" s="40" t="s">
        <v>613</v>
      </c>
      <c r="B1557" s="28">
        <v>1798</v>
      </c>
      <c r="C1557" s="28">
        <v>5529774</v>
      </c>
      <c r="D1557" s="28"/>
      <c r="E1557" s="41">
        <v>46143</v>
      </c>
      <c r="F1557" s="47">
        <v>0.51261574074074079</v>
      </c>
      <c r="G1557" s="42">
        <v>6.3</v>
      </c>
      <c r="H1557" s="40" t="s">
        <v>236</v>
      </c>
      <c r="I1557" s="40" t="s">
        <v>1282</v>
      </c>
    </row>
    <row r="1558" spans="1:9" x14ac:dyDescent="0.25">
      <c r="A1558" s="40" t="s">
        <v>613</v>
      </c>
      <c r="B1558" s="28">
        <v>1798</v>
      </c>
      <c r="C1558" s="28" t="s">
        <v>35</v>
      </c>
      <c r="D1558" s="28" t="s">
        <v>38</v>
      </c>
      <c r="E1558" s="41">
        <v>46143</v>
      </c>
      <c r="F1558" s="47">
        <v>0.72865740740740736</v>
      </c>
      <c r="G1558" s="44">
        <v>6.3</v>
      </c>
      <c r="H1558" s="43" t="s">
        <v>237</v>
      </c>
      <c r="I1558" s="40" t="s">
        <v>1282</v>
      </c>
    </row>
    <row r="1559" spans="1:9" x14ac:dyDescent="0.25">
      <c r="A1559" s="40" t="s">
        <v>613</v>
      </c>
      <c r="B1559" s="28">
        <v>1798</v>
      </c>
      <c r="C1559" s="28" t="s">
        <v>35</v>
      </c>
      <c r="D1559" s="28" t="s">
        <v>38</v>
      </c>
      <c r="E1559" s="41">
        <v>46144</v>
      </c>
      <c r="F1559" s="47">
        <v>0.85851851851851857</v>
      </c>
      <c r="G1559" s="44">
        <v>6.3</v>
      </c>
      <c r="H1559" s="43" t="s">
        <v>237</v>
      </c>
      <c r="I1559" s="40" t="s">
        <v>1282</v>
      </c>
    </row>
    <row r="1560" spans="1:9" x14ac:dyDescent="0.25">
      <c r="A1560" s="40" t="s">
        <v>613</v>
      </c>
      <c r="B1560" s="28">
        <v>1798</v>
      </c>
      <c r="C1560" s="28" t="s">
        <v>35</v>
      </c>
      <c r="D1560" s="28" t="s">
        <v>38</v>
      </c>
      <c r="E1560" s="45">
        <v>46144</v>
      </c>
      <c r="F1560" s="48">
        <v>0.9914236111111111</v>
      </c>
      <c r="G1560" s="44">
        <v>6.3</v>
      </c>
      <c r="H1560" s="43" t="s">
        <v>239</v>
      </c>
      <c r="I1560" s="40" t="s">
        <v>1282</v>
      </c>
    </row>
    <row r="1561" spans="1:9" x14ac:dyDescent="0.25">
      <c r="A1561" s="40" t="s">
        <v>613</v>
      </c>
      <c r="B1561" s="28">
        <v>1798</v>
      </c>
      <c r="C1561" s="28">
        <v>5648345</v>
      </c>
      <c r="D1561" s="28"/>
      <c r="E1561" s="41">
        <v>46145</v>
      </c>
      <c r="F1561" s="47">
        <v>0.20054398148148148</v>
      </c>
      <c r="G1561" s="44">
        <v>6.3</v>
      </c>
      <c r="H1561" s="43" t="s">
        <v>237</v>
      </c>
      <c r="I1561" s="40" t="s">
        <v>1282</v>
      </c>
    </row>
    <row r="1562" spans="1:9" x14ac:dyDescent="0.25">
      <c r="A1562" s="40" t="s">
        <v>613</v>
      </c>
      <c r="B1562" s="28">
        <v>1798</v>
      </c>
      <c r="C1562" s="28">
        <v>5648345</v>
      </c>
      <c r="D1562" s="28"/>
      <c r="E1562" s="45">
        <v>46145</v>
      </c>
      <c r="F1562" s="48">
        <v>0.20552083333333335</v>
      </c>
      <c r="G1562" s="44">
        <v>6.3</v>
      </c>
      <c r="H1562" s="43" t="s">
        <v>234</v>
      </c>
      <c r="I1562" s="40" t="s">
        <v>1282</v>
      </c>
    </row>
    <row r="1563" spans="1:9" x14ac:dyDescent="0.25">
      <c r="A1563" s="40" t="s">
        <v>614</v>
      </c>
      <c r="B1563" s="28">
        <v>1828</v>
      </c>
      <c r="C1563" s="28">
        <v>5639490</v>
      </c>
      <c r="D1563" s="28"/>
      <c r="E1563" s="45">
        <v>46140</v>
      </c>
      <c r="F1563" s="48">
        <v>0.35754629629629631</v>
      </c>
      <c r="G1563" s="44">
        <v>6.3</v>
      </c>
      <c r="H1563" s="43" t="s">
        <v>234</v>
      </c>
      <c r="I1563" s="40" t="s">
        <v>1281</v>
      </c>
    </row>
    <row r="1564" spans="1:9" x14ac:dyDescent="0.25">
      <c r="A1564" s="40" t="s">
        <v>614</v>
      </c>
      <c r="B1564" s="28">
        <v>1828</v>
      </c>
      <c r="C1564" s="28" t="s">
        <v>615</v>
      </c>
      <c r="D1564" s="28"/>
      <c r="E1564" s="41">
        <v>46141</v>
      </c>
      <c r="F1564" s="47">
        <v>0.88983796296296291</v>
      </c>
      <c r="G1564" s="44">
        <v>6.3</v>
      </c>
      <c r="H1564" s="43" t="s">
        <v>235</v>
      </c>
      <c r="I1564" s="40" t="s">
        <v>1281</v>
      </c>
    </row>
    <row r="1565" spans="1:9" x14ac:dyDescent="0.25">
      <c r="A1565" s="40" t="s">
        <v>614</v>
      </c>
      <c r="B1565" s="28">
        <v>1828</v>
      </c>
      <c r="C1565" s="28" t="s">
        <v>615</v>
      </c>
      <c r="D1565" s="28"/>
      <c r="E1565" s="41">
        <v>46141</v>
      </c>
      <c r="F1565" s="47">
        <v>0.89758101851851857</v>
      </c>
      <c r="G1565" s="44">
        <v>6.3</v>
      </c>
      <c r="H1565" s="43" t="s">
        <v>236</v>
      </c>
      <c r="I1565" s="40" t="s">
        <v>1281</v>
      </c>
    </row>
    <row r="1566" spans="1:9" x14ac:dyDescent="0.25">
      <c r="A1566" s="40" t="s">
        <v>614</v>
      </c>
      <c r="B1566" s="28">
        <v>1828</v>
      </c>
      <c r="C1566" s="28" t="s">
        <v>35</v>
      </c>
      <c r="D1566" s="28" t="s">
        <v>38</v>
      </c>
      <c r="E1566" s="41">
        <v>46141</v>
      </c>
      <c r="F1566" s="47">
        <v>0.9145833333333333</v>
      </c>
      <c r="G1566" s="44">
        <v>6.3</v>
      </c>
      <c r="H1566" s="43" t="s">
        <v>237</v>
      </c>
      <c r="I1566" s="40" t="s">
        <v>1281</v>
      </c>
    </row>
    <row r="1567" spans="1:9" x14ac:dyDescent="0.25">
      <c r="A1567" s="40" t="s">
        <v>614</v>
      </c>
      <c r="B1567" s="28">
        <v>1828</v>
      </c>
      <c r="C1567" s="28">
        <v>5648075</v>
      </c>
      <c r="D1567" s="28"/>
      <c r="E1567" s="41">
        <v>46144</v>
      </c>
      <c r="F1567" s="47">
        <v>0.83581018518518524</v>
      </c>
      <c r="G1567" s="44">
        <v>6.3</v>
      </c>
      <c r="H1567" s="43" t="s">
        <v>235</v>
      </c>
      <c r="I1567" s="40" t="s">
        <v>1282</v>
      </c>
    </row>
    <row r="1568" spans="1:9" x14ac:dyDescent="0.25">
      <c r="A1568" s="40" t="s">
        <v>614</v>
      </c>
      <c r="B1568" s="28">
        <v>1828</v>
      </c>
      <c r="C1568" s="28">
        <v>5648075</v>
      </c>
      <c r="D1568" s="28"/>
      <c r="E1568" s="41">
        <v>46144</v>
      </c>
      <c r="F1568" s="47">
        <v>0.84285879629629634</v>
      </c>
      <c r="G1568" s="44">
        <v>6.3</v>
      </c>
      <c r="H1568" s="43" t="s">
        <v>236</v>
      </c>
      <c r="I1568" s="40" t="s">
        <v>1282</v>
      </c>
    </row>
    <row r="1569" spans="1:9" x14ac:dyDescent="0.25">
      <c r="A1569" s="40" t="s">
        <v>614</v>
      </c>
      <c r="B1569" s="28">
        <v>1828</v>
      </c>
      <c r="C1569" s="28" t="s">
        <v>35</v>
      </c>
      <c r="D1569" s="28" t="s">
        <v>38</v>
      </c>
      <c r="E1569" s="45">
        <v>46144</v>
      </c>
      <c r="F1569" s="48">
        <v>0.95990740740740743</v>
      </c>
      <c r="G1569" s="44">
        <v>6.3</v>
      </c>
      <c r="H1569" s="43" t="s">
        <v>237</v>
      </c>
      <c r="I1569" s="40" t="s">
        <v>1282</v>
      </c>
    </row>
    <row r="1570" spans="1:9" x14ac:dyDescent="0.25">
      <c r="A1570" s="40" t="s">
        <v>614</v>
      </c>
      <c r="B1570" s="28">
        <v>1828</v>
      </c>
      <c r="C1570" s="28" t="s">
        <v>35</v>
      </c>
      <c r="D1570" s="28" t="s">
        <v>38</v>
      </c>
      <c r="E1570" s="41">
        <v>46144</v>
      </c>
      <c r="F1570" s="47">
        <v>0.96674768518518517</v>
      </c>
      <c r="G1570" s="44">
        <v>6.3</v>
      </c>
      <c r="H1570" s="43" t="s">
        <v>234</v>
      </c>
      <c r="I1570" s="40" t="s">
        <v>1282</v>
      </c>
    </row>
    <row r="1571" spans="1:9" x14ac:dyDescent="0.25">
      <c r="A1571" s="40" t="s">
        <v>614</v>
      </c>
      <c r="B1571" s="28">
        <v>1828</v>
      </c>
      <c r="C1571" s="28">
        <v>5648788</v>
      </c>
      <c r="D1571" s="28"/>
      <c r="E1571" s="41">
        <v>46145</v>
      </c>
      <c r="F1571" s="47">
        <v>0.70556712962962964</v>
      </c>
      <c r="G1571" s="44">
        <v>6.3</v>
      </c>
      <c r="H1571" s="43" t="s">
        <v>234</v>
      </c>
      <c r="I1571" s="40" t="s">
        <v>1282</v>
      </c>
    </row>
    <row r="1572" spans="1:9" x14ac:dyDescent="0.25">
      <c r="A1572" s="40" t="s">
        <v>402</v>
      </c>
      <c r="B1572" s="28">
        <v>1844</v>
      </c>
      <c r="C1572" s="28" t="s">
        <v>616</v>
      </c>
      <c r="D1572" s="28"/>
      <c r="E1572" s="41">
        <v>46141</v>
      </c>
      <c r="F1572" s="47">
        <v>0.96281249999999996</v>
      </c>
      <c r="G1572" s="44">
        <v>6.3</v>
      </c>
      <c r="H1572" s="43" t="s">
        <v>235</v>
      </c>
      <c r="I1572" s="40" t="s">
        <v>1281</v>
      </c>
    </row>
    <row r="1573" spans="1:9" x14ac:dyDescent="0.25">
      <c r="A1573" s="40" t="s">
        <v>402</v>
      </c>
      <c r="B1573" s="28">
        <v>1844</v>
      </c>
      <c r="C1573" s="28" t="s">
        <v>616</v>
      </c>
      <c r="D1573" s="28"/>
      <c r="E1573" s="45">
        <v>46141</v>
      </c>
      <c r="F1573" s="48">
        <v>0.97052083333333339</v>
      </c>
      <c r="G1573" s="44">
        <v>6.3</v>
      </c>
      <c r="H1573" s="43" t="s">
        <v>236</v>
      </c>
      <c r="I1573" s="40" t="s">
        <v>1281</v>
      </c>
    </row>
    <row r="1574" spans="1:9" x14ac:dyDescent="0.25">
      <c r="A1574" s="40" t="s">
        <v>402</v>
      </c>
      <c r="B1574" s="28">
        <v>1844</v>
      </c>
      <c r="C1574" s="28" t="s">
        <v>617</v>
      </c>
      <c r="D1574" s="28"/>
      <c r="E1574" s="41">
        <v>46142</v>
      </c>
      <c r="F1574" s="47">
        <v>0.20103009259259258</v>
      </c>
      <c r="G1574" s="44">
        <v>6.3</v>
      </c>
      <c r="H1574" s="43" t="s">
        <v>235</v>
      </c>
      <c r="I1574" s="40" t="s">
        <v>1281</v>
      </c>
    </row>
    <row r="1575" spans="1:9" x14ac:dyDescent="0.25">
      <c r="A1575" s="40" t="s">
        <v>402</v>
      </c>
      <c r="B1575" s="28">
        <v>1844</v>
      </c>
      <c r="C1575" s="28" t="s">
        <v>617</v>
      </c>
      <c r="D1575" s="28"/>
      <c r="E1575" s="41">
        <v>46142</v>
      </c>
      <c r="F1575" s="47">
        <v>0.2096412037037037</v>
      </c>
      <c r="G1575" s="44">
        <v>6.3</v>
      </c>
      <c r="H1575" s="43" t="s">
        <v>236</v>
      </c>
      <c r="I1575" s="40" t="s">
        <v>1281</v>
      </c>
    </row>
    <row r="1576" spans="1:9" x14ac:dyDescent="0.25">
      <c r="A1576" s="40" t="s">
        <v>402</v>
      </c>
      <c r="B1576" s="28">
        <v>1844</v>
      </c>
      <c r="C1576" s="28" t="s">
        <v>617</v>
      </c>
      <c r="D1576" s="28"/>
      <c r="E1576" s="41">
        <v>46142</v>
      </c>
      <c r="F1576" s="47">
        <v>0.24528935185185186</v>
      </c>
      <c r="G1576" s="44">
        <v>6.3</v>
      </c>
      <c r="H1576" s="43" t="s">
        <v>237</v>
      </c>
      <c r="I1576" s="40" t="s">
        <v>1281</v>
      </c>
    </row>
    <row r="1577" spans="1:9" x14ac:dyDescent="0.25">
      <c r="A1577" s="40" t="s">
        <v>402</v>
      </c>
      <c r="B1577" s="28">
        <v>1844</v>
      </c>
      <c r="C1577" s="28" t="s">
        <v>617</v>
      </c>
      <c r="D1577" s="28"/>
      <c r="E1577" s="45">
        <v>46142</v>
      </c>
      <c r="F1577" s="48">
        <v>0.25107638888888889</v>
      </c>
      <c r="G1577" s="44">
        <v>6.3</v>
      </c>
      <c r="H1577" s="43" t="s">
        <v>234</v>
      </c>
      <c r="I1577" s="40" t="s">
        <v>1281</v>
      </c>
    </row>
    <row r="1578" spans="1:9" x14ac:dyDescent="0.25">
      <c r="A1578" s="40" t="s">
        <v>402</v>
      </c>
      <c r="B1578" s="28">
        <v>1844</v>
      </c>
      <c r="C1578" s="28" t="s">
        <v>618</v>
      </c>
      <c r="D1578" s="28"/>
      <c r="E1578" s="41">
        <v>46143</v>
      </c>
      <c r="F1578" s="47">
        <v>4.0902777777777781E-2</v>
      </c>
      <c r="G1578" s="44">
        <v>6.3</v>
      </c>
      <c r="H1578" s="43" t="s">
        <v>235</v>
      </c>
      <c r="I1578" s="40" t="s">
        <v>1282</v>
      </c>
    </row>
    <row r="1579" spans="1:9" x14ac:dyDescent="0.25">
      <c r="A1579" s="40" t="s">
        <v>402</v>
      </c>
      <c r="B1579" s="28">
        <v>1844</v>
      </c>
      <c r="C1579" s="28" t="s">
        <v>618</v>
      </c>
      <c r="D1579" s="28"/>
      <c r="E1579" s="41">
        <v>46143</v>
      </c>
      <c r="F1579" s="47">
        <v>4.8125000000000001E-2</v>
      </c>
      <c r="G1579" s="44">
        <v>6.3</v>
      </c>
      <c r="H1579" s="43" t="s">
        <v>236</v>
      </c>
      <c r="I1579" s="40" t="s">
        <v>1282</v>
      </c>
    </row>
    <row r="1580" spans="1:9" x14ac:dyDescent="0.25">
      <c r="A1580" s="40" t="s">
        <v>402</v>
      </c>
      <c r="B1580" s="28">
        <v>1844</v>
      </c>
      <c r="C1580" s="28" t="s">
        <v>619</v>
      </c>
      <c r="D1580" s="28"/>
      <c r="E1580" s="41">
        <v>46143</v>
      </c>
      <c r="F1580" s="47">
        <v>0.10868055555555556</v>
      </c>
      <c r="G1580" s="44">
        <v>6.3</v>
      </c>
      <c r="H1580" s="43" t="s">
        <v>233</v>
      </c>
      <c r="I1580" s="40" t="s">
        <v>1282</v>
      </c>
    </row>
    <row r="1581" spans="1:9" x14ac:dyDescent="0.25">
      <c r="A1581" s="40" t="s">
        <v>402</v>
      </c>
      <c r="B1581" s="28">
        <v>1844</v>
      </c>
      <c r="C1581" s="28" t="s">
        <v>619</v>
      </c>
      <c r="D1581" s="28"/>
      <c r="E1581" s="45">
        <v>46143</v>
      </c>
      <c r="F1581" s="48">
        <v>0.11392361111111111</v>
      </c>
      <c r="G1581" s="44">
        <v>6.3</v>
      </c>
      <c r="H1581" s="43" t="s">
        <v>234</v>
      </c>
      <c r="I1581" s="40" t="s">
        <v>1282</v>
      </c>
    </row>
    <row r="1582" spans="1:9" x14ac:dyDescent="0.25">
      <c r="A1582" s="40" t="s">
        <v>402</v>
      </c>
      <c r="B1582" s="28">
        <v>1844</v>
      </c>
      <c r="C1582" s="28" t="s">
        <v>620</v>
      </c>
      <c r="D1582" s="28"/>
      <c r="E1582" s="41">
        <v>46143</v>
      </c>
      <c r="F1582" s="47">
        <v>0.98604166666666671</v>
      </c>
      <c r="G1582" s="42">
        <v>6.3</v>
      </c>
      <c r="H1582" s="40" t="s">
        <v>235</v>
      </c>
      <c r="I1582" s="40" t="s">
        <v>1282</v>
      </c>
    </row>
    <row r="1583" spans="1:9" x14ac:dyDescent="0.25">
      <c r="A1583" s="40" t="s">
        <v>402</v>
      </c>
      <c r="B1583" s="28">
        <v>1844</v>
      </c>
      <c r="C1583" s="28" t="s">
        <v>620</v>
      </c>
      <c r="D1583" s="28"/>
      <c r="E1583" s="41">
        <v>46143</v>
      </c>
      <c r="F1583" s="47">
        <v>0.99535879629629631</v>
      </c>
      <c r="G1583" s="42">
        <v>6.3</v>
      </c>
      <c r="H1583" s="40" t="s">
        <v>236</v>
      </c>
      <c r="I1583" s="40" t="s">
        <v>1282</v>
      </c>
    </row>
    <row r="1584" spans="1:9" x14ac:dyDescent="0.25">
      <c r="A1584" s="40" t="s">
        <v>402</v>
      </c>
      <c r="B1584" s="28">
        <v>1844</v>
      </c>
      <c r="C1584" s="28" t="s">
        <v>621</v>
      </c>
      <c r="D1584" s="28"/>
      <c r="E1584" s="41">
        <v>46144</v>
      </c>
      <c r="F1584" s="47">
        <v>0.72512731481481485</v>
      </c>
      <c r="G1584" s="44">
        <v>6.3</v>
      </c>
      <c r="H1584" s="43" t="s">
        <v>235</v>
      </c>
      <c r="I1584" s="40" t="s">
        <v>1282</v>
      </c>
    </row>
    <row r="1585" spans="1:9" x14ac:dyDescent="0.25">
      <c r="A1585" s="40" t="s">
        <v>402</v>
      </c>
      <c r="B1585" s="28">
        <v>1844</v>
      </c>
      <c r="C1585" s="28" t="s">
        <v>621</v>
      </c>
      <c r="D1585" s="28"/>
      <c r="E1585" s="41">
        <v>46144</v>
      </c>
      <c r="F1585" s="47">
        <v>0.73333333333333328</v>
      </c>
      <c r="G1585" s="44">
        <v>6.3</v>
      </c>
      <c r="H1585" s="43" t="s">
        <v>236</v>
      </c>
      <c r="I1585" s="40" t="s">
        <v>1282</v>
      </c>
    </row>
    <row r="1586" spans="1:9" x14ac:dyDescent="0.25">
      <c r="A1586" s="40" t="s">
        <v>402</v>
      </c>
      <c r="B1586" s="28">
        <v>1844</v>
      </c>
      <c r="C1586" s="28" t="s">
        <v>622</v>
      </c>
      <c r="D1586" s="28"/>
      <c r="E1586" s="41">
        <v>46144</v>
      </c>
      <c r="F1586" s="47">
        <v>0.81663194444444442</v>
      </c>
      <c r="G1586" s="44">
        <v>6.3</v>
      </c>
      <c r="H1586" s="43" t="s">
        <v>237</v>
      </c>
      <c r="I1586" s="40" t="s">
        <v>1282</v>
      </c>
    </row>
    <row r="1587" spans="1:9" x14ac:dyDescent="0.25">
      <c r="A1587" s="40" t="s">
        <v>402</v>
      </c>
      <c r="B1587" s="28">
        <v>1844</v>
      </c>
      <c r="C1587" s="28" t="s">
        <v>622</v>
      </c>
      <c r="D1587" s="28"/>
      <c r="E1587" s="41">
        <v>46144</v>
      </c>
      <c r="F1587" s="47">
        <v>0.82195601851851852</v>
      </c>
      <c r="G1587" s="44">
        <v>6.3</v>
      </c>
      <c r="H1587" s="43" t="s">
        <v>234</v>
      </c>
      <c r="I1587" s="40" t="s">
        <v>1282</v>
      </c>
    </row>
    <row r="1588" spans="1:9" x14ac:dyDescent="0.25">
      <c r="A1588" s="40" t="s">
        <v>402</v>
      </c>
      <c r="B1588" s="28">
        <v>1844</v>
      </c>
      <c r="C1588" s="28" t="s">
        <v>623</v>
      </c>
      <c r="D1588" s="28"/>
      <c r="E1588" s="41">
        <v>46145</v>
      </c>
      <c r="F1588" s="47">
        <v>1.4027777777777778E-2</v>
      </c>
      <c r="G1588" s="44">
        <v>6.3</v>
      </c>
      <c r="H1588" s="43" t="s">
        <v>235</v>
      </c>
      <c r="I1588" s="40" t="s">
        <v>1282</v>
      </c>
    </row>
    <row r="1589" spans="1:9" x14ac:dyDescent="0.25">
      <c r="A1589" s="40" t="s">
        <v>402</v>
      </c>
      <c r="B1589" s="28">
        <v>1844</v>
      </c>
      <c r="C1589" s="28" t="s">
        <v>623</v>
      </c>
      <c r="D1589" s="28"/>
      <c r="E1589" s="41">
        <v>46145</v>
      </c>
      <c r="F1589" s="47">
        <v>2.0775462962962964E-2</v>
      </c>
      <c r="G1589" s="44">
        <v>6.3</v>
      </c>
      <c r="H1589" s="43" t="s">
        <v>236</v>
      </c>
      <c r="I1589" s="40" t="s">
        <v>1282</v>
      </c>
    </row>
    <row r="1590" spans="1:9" x14ac:dyDescent="0.25">
      <c r="A1590" s="40" t="s">
        <v>402</v>
      </c>
      <c r="B1590" s="28">
        <v>1844</v>
      </c>
      <c r="C1590" s="28" t="s">
        <v>624</v>
      </c>
      <c r="D1590" s="28"/>
      <c r="E1590" s="41">
        <v>46145</v>
      </c>
      <c r="F1590" s="47">
        <v>0.11306712962962963</v>
      </c>
      <c r="G1590" s="44">
        <v>6.3</v>
      </c>
      <c r="H1590" s="43" t="s">
        <v>237</v>
      </c>
      <c r="I1590" s="40" t="s">
        <v>1282</v>
      </c>
    </row>
    <row r="1591" spans="1:9" x14ac:dyDescent="0.25">
      <c r="A1591" s="40" t="s">
        <v>402</v>
      </c>
      <c r="B1591" s="28">
        <v>1844</v>
      </c>
      <c r="C1591" s="28" t="s">
        <v>624</v>
      </c>
      <c r="D1591" s="28"/>
      <c r="E1591" s="45">
        <v>46145</v>
      </c>
      <c r="F1591" s="48">
        <v>0.1181712962962963</v>
      </c>
      <c r="G1591" s="44">
        <v>6.3</v>
      </c>
      <c r="H1591" s="43" t="s">
        <v>234</v>
      </c>
      <c r="I1591" s="40" t="s">
        <v>1282</v>
      </c>
    </row>
    <row r="1592" spans="1:9" x14ac:dyDescent="0.25">
      <c r="A1592" s="40" t="s">
        <v>402</v>
      </c>
      <c r="B1592" s="28">
        <v>1844</v>
      </c>
      <c r="C1592" s="28" t="s">
        <v>625</v>
      </c>
      <c r="D1592" s="28"/>
      <c r="E1592" s="41">
        <v>46145</v>
      </c>
      <c r="F1592" s="47">
        <v>0.83395833333333336</v>
      </c>
      <c r="G1592" s="44">
        <v>6.3</v>
      </c>
      <c r="H1592" s="43" t="s">
        <v>235</v>
      </c>
      <c r="I1592" s="40" t="s">
        <v>1282</v>
      </c>
    </row>
    <row r="1593" spans="1:9" x14ac:dyDescent="0.25">
      <c r="A1593" s="40" t="s">
        <v>402</v>
      </c>
      <c r="B1593" s="28">
        <v>1844</v>
      </c>
      <c r="C1593" s="28" t="s">
        <v>625</v>
      </c>
      <c r="D1593" s="28"/>
      <c r="E1593" s="41">
        <v>46145</v>
      </c>
      <c r="F1593" s="47">
        <v>0.8411805555555556</v>
      </c>
      <c r="G1593" s="44">
        <v>6.3</v>
      </c>
      <c r="H1593" s="43" t="s">
        <v>236</v>
      </c>
      <c r="I1593" s="40" t="s">
        <v>1282</v>
      </c>
    </row>
    <row r="1594" spans="1:9" x14ac:dyDescent="0.25">
      <c r="A1594" s="40" t="s">
        <v>402</v>
      </c>
      <c r="B1594" s="28">
        <v>1844</v>
      </c>
      <c r="C1594" s="28" t="s">
        <v>626</v>
      </c>
      <c r="D1594" s="28"/>
      <c r="E1594" s="41">
        <v>46145</v>
      </c>
      <c r="F1594" s="47">
        <v>0.89299768518518519</v>
      </c>
      <c r="G1594" s="44">
        <v>6.3</v>
      </c>
      <c r="H1594" s="43" t="s">
        <v>233</v>
      </c>
      <c r="I1594" s="40" t="s">
        <v>1282</v>
      </c>
    </row>
    <row r="1595" spans="1:9" x14ac:dyDescent="0.25">
      <c r="A1595" s="40" t="s">
        <v>402</v>
      </c>
      <c r="B1595" s="28">
        <v>1844</v>
      </c>
      <c r="C1595" s="28" t="s">
        <v>626</v>
      </c>
      <c r="D1595" s="28"/>
      <c r="E1595" s="41">
        <v>46145</v>
      </c>
      <c r="F1595" s="47">
        <v>0.8982175925925926</v>
      </c>
      <c r="G1595" s="44">
        <v>6.3</v>
      </c>
      <c r="H1595" s="43" t="s">
        <v>234</v>
      </c>
      <c r="I1595" s="40" t="s">
        <v>1282</v>
      </c>
    </row>
    <row r="1596" spans="1:9" x14ac:dyDescent="0.25">
      <c r="A1596" s="40" t="s">
        <v>402</v>
      </c>
      <c r="B1596" s="28">
        <v>1844</v>
      </c>
      <c r="C1596" s="28" t="s">
        <v>627</v>
      </c>
      <c r="D1596" s="28"/>
      <c r="E1596" s="41">
        <v>46145</v>
      </c>
      <c r="F1596" s="47">
        <v>0.99349537037037039</v>
      </c>
      <c r="G1596" s="44">
        <v>6.3</v>
      </c>
      <c r="H1596" s="43" t="s">
        <v>235</v>
      </c>
      <c r="I1596" s="40" t="s">
        <v>1282</v>
      </c>
    </row>
    <row r="1597" spans="1:9" x14ac:dyDescent="0.25">
      <c r="A1597" s="40" t="s">
        <v>354</v>
      </c>
      <c r="B1597" s="28">
        <v>1847</v>
      </c>
      <c r="C1597" s="28" t="s">
        <v>628</v>
      </c>
      <c r="D1597" s="28"/>
      <c r="E1597" s="41">
        <v>46140</v>
      </c>
      <c r="F1597" s="47">
        <v>0.76302083333333337</v>
      </c>
      <c r="G1597" s="44">
        <v>6.3</v>
      </c>
      <c r="H1597" s="43" t="s">
        <v>235</v>
      </c>
      <c r="I1597" s="40" t="s">
        <v>1281</v>
      </c>
    </row>
    <row r="1598" spans="1:9" x14ac:dyDescent="0.25">
      <c r="A1598" s="40" t="s">
        <v>354</v>
      </c>
      <c r="B1598" s="28">
        <v>1847</v>
      </c>
      <c r="C1598" s="28" t="s">
        <v>628</v>
      </c>
      <c r="D1598" s="28"/>
      <c r="E1598" s="41">
        <v>46140</v>
      </c>
      <c r="F1598" s="47">
        <v>0.77449074074074076</v>
      </c>
      <c r="G1598" s="44">
        <v>6.3</v>
      </c>
      <c r="H1598" s="43" t="s">
        <v>239</v>
      </c>
      <c r="I1598" s="40" t="s">
        <v>1281</v>
      </c>
    </row>
    <row r="1599" spans="1:9" x14ac:dyDescent="0.25">
      <c r="A1599" s="40" t="s">
        <v>354</v>
      </c>
      <c r="B1599" s="28">
        <v>1847</v>
      </c>
      <c r="C1599" s="28">
        <v>5640015</v>
      </c>
      <c r="D1599" s="28"/>
      <c r="E1599" s="41">
        <v>46140</v>
      </c>
      <c r="F1599" s="47">
        <v>0.93734953703703705</v>
      </c>
      <c r="G1599" s="44">
        <v>6.3</v>
      </c>
      <c r="H1599" s="43" t="s">
        <v>235</v>
      </c>
      <c r="I1599" s="40" t="s">
        <v>1281</v>
      </c>
    </row>
    <row r="1600" spans="1:9" x14ac:dyDescent="0.25">
      <c r="A1600" s="40" t="s">
        <v>354</v>
      </c>
      <c r="B1600" s="28">
        <v>1847</v>
      </c>
      <c r="C1600" s="28">
        <v>5640015</v>
      </c>
      <c r="D1600" s="28"/>
      <c r="E1600" s="45">
        <v>46140</v>
      </c>
      <c r="F1600" s="48">
        <v>0.94421296296296298</v>
      </c>
      <c r="G1600" s="44">
        <v>6.3</v>
      </c>
      <c r="H1600" s="43" t="s">
        <v>236</v>
      </c>
      <c r="I1600" s="40" t="s">
        <v>1281</v>
      </c>
    </row>
    <row r="1601" spans="1:9" x14ac:dyDescent="0.25">
      <c r="A1601" s="40" t="s">
        <v>354</v>
      </c>
      <c r="B1601" s="28">
        <v>1847</v>
      </c>
      <c r="C1601" s="28" t="s">
        <v>35</v>
      </c>
      <c r="D1601" s="28" t="s">
        <v>38</v>
      </c>
      <c r="E1601" s="41">
        <v>46140</v>
      </c>
      <c r="F1601" s="47">
        <v>0.98461805555555559</v>
      </c>
      <c r="G1601" s="42">
        <v>6.3</v>
      </c>
      <c r="H1601" s="40" t="s">
        <v>233</v>
      </c>
      <c r="I1601" s="40" t="s">
        <v>1281</v>
      </c>
    </row>
    <row r="1602" spans="1:9" x14ac:dyDescent="0.25">
      <c r="A1602" s="40" t="s">
        <v>354</v>
      </c>
      <c r="B1602" s="28">
        <v>1847</v>
      </c>
      <c r="C1602" s="28" t="s">
        <v>629</v>
      </c>
      <c r="D1602" s="28"/>
      <c r="E1602" s="41">
        <v>46142</v>
      </c>
      <c r="F1602" s="47">
        <v>0.74707175925925928</v>
      </c>
      <c r="G1602" s="42">
        <v>6.3</v>
      </c>
      <c r="H1602" s="40" t="s">
        <v>235</v>
      </c>
      <c r="I1602" s="40" t="s">
        <v>1281</v>
      </c>
    </row>
    <row r="1603" spans="1:9" x14ac:dyDescent="0.25">
      <c r="A1603" s="40" t="s">
        <v>354</v>
      </c>
      <c r="B1603" s="28">
        <v>1847</v>
      </c>
      <c r="C1603" s="28" t="s">
        <v>629</v>
      </c>
      <c r="D1603" s="28"/>
      <c r="E1603" s="41">
        <v>46142</v>
      </c>
      <c r="F1603" s="47">
        <v>0.76109953703703703</v>
      </c>
      <c r="G1603" s="42">
        <v>6.3</v>
      </c>
      <c r="H1603" s="40" t="s">
        <v>236</v>
      </c>
      <c r="I1603" s="40" t="s">
        <v>1281</v>
      </c>
    </row>
    <row r="1604" spans="1:9" x14ac:dyDescent="0.25">
      <c r="A1604" s="40" t="s">
        <v>630</v>
      </c>
      <c r="B1604" s="28">
        <v>1868</v>
      </c>
      <c r="C1604" s="28">
        <v>5636823</v>
      </c>
      <c r="D1604" s="28"/>
      <c r="E1604" s="41">
        <v>46139</v>
      </c>
      <c r="F1604" s="47">
        <v>0.27108796296296295</v>
      </c>
      <c r="G1604" s="42">
        <v>6.3</v>
      </c>
      <c r="H1604" s="40" t="s">
        <v>235</v>
      </c>
      <c r="I1604" s="40" t="s">
        <v>1281</v>
      </c>
    </row>
    <row r="1605" spans="1:9" x14ac:dyDescent="0.25">
      <c r="A1605" s="40" t="s">
        <v>630</v>
      </c>
      <c r="B1605" s="28">
        <v>1868</v>
      </c>
      <c r="C1605" s="28">
        <v>5636823</v>
      </c>
      <c r="D1605" s="28"/>
      <c r="E1605" s="41">
        <v>46139</v>
      </c>
      <c r="F1605" s="47">
        <v>0.28107638888888886</v>
      </c>
      <c r="G1605" s="42">
        <v>6.3</v>
      </c>
      <c r="H1605" s="40" t="s">
        <v>239</v>
      </c>
      <c r="I1605" s="40" t="s">
        <v>1281</v>
      </c>
    </row>
    <row r="1606" spans="1:9" x14ac:dyDescent="0.25">
      <c r="A1606" s="40" t="s">
        <v>630</v>
      </c>
      <c r="B1606" s="28">
        <v>1868</v>
      </c>
      <c r="C1606" s="28">
        <v>5636552</v>
      </c>
      <c r="D1606" s="28"/>
      <c r="E1606" s="45">
        <v>46139</v>
      </c>
      <c r="F1606" s="48">
        <v>0.30861111111111111</v>
      </c>
      <c r="G1606" s="44">
        <v>6.3</v>
      </c>
      <c r="H1606" s="43" t="s">
        <v>237</v>
      </c>
      <c r="I1606" s="40" t="s">
        <v>1281</v>
      </c>
    </row>
    <row r="1607" spans="1:9" x14ac:dyDescent="0.25">
      <c r="A1607" s="40" t="s">
        <v>630</v>
      </c>
      <c r="B1607" s="28">
        <v>1868</v>
      </c>
      <c r="C1607" s="28">
        <v>5637817</v>
      </c>
      <c r="D1607" s="28"/>
      <c r="E1607" s="41">
        <v>46139</v>
      </c>
      <c r="F1607" s="47">
        <v>0.40530092592592593</v>
      </c>
      <c r="G1607" s="44">
        <v>6.3</v>
      </c>
      <c r="H1607" s="43" t="s">
        <v>236</v>
      </c>
      <c r="I1607" s="40" t="s">
        <v>1281</v>
      </c>
    </row>
    <row r="1608" spans="1:9" x14ac:dyDescent="0.25">
      <c r="A1608" s="40" t="s">
        <v>630</v>
      </c>
      <c r="B1608" s="28">
        <v>1868</v>
      </c>
      <c r="C1608" s="28">
        <v>5638493</v>
      </c>
      <c r="D1608" s="28"/>
      <c r="E1608" s="41">
        <v>46139</v>
      </c>
      <c r="F1608" s="47">
        <v>0.61648148148148152</v>
      </c>
      <c r="G1608" s="44">
        <v>6.3</v>
      </c>
      <c r="H1608" s="43" t="s">
        <v>235</v>
      </c>
      <c r="I1608" s="40" t="s">
        <v>1281</v>
      </c>
    </row>
    <row r="1609" spans="1:9" x14ac:dyDescent="0.25">
      <c r="A1609" s="40" t="s">
        <v>630</v>
      </c>
      <c r="B1609" s="28">
        <v>1868</v>
      </c>
      <c r="C1609" s="28">
        <v>5638493</v>
      </c>
      <c r="D1609" s="28"/>
      <c r="E1609" s="41">
        <v>46139</v>
      </c>
      <c r="F1609" s="47">
        <v>0.62737268518518519</v>
      </c>
      <c r="G1609" s="44">
        <v>6.3</v>
      </c>
      <c r="H1609" s="43" t="s">
        <v>236</v>
      </c>
      <c r="I1609" s="40" t="s">
        <v>1281</v>
      </c>
    </row>
    <row r="1610" spans="1:9" x14ac:dyDescent="0.25">
      <c r="A1610" s="40" t="s">
        <v>630</v>
      </c>
      <c r="B1610" s="28">
        <v>1868</v>
      </c>
      <c r="C1610" s="28">
        <v>5647851</v>
      </c>
      <c r="D1610" s="28"/>
      <c r="E1610" s="41">
        <v>46144</v>
      </c>
      <c r="F1610" s="47">
        <v>0.7403819444444445</v>
      </c>
      <c r="G1610" s="44">
        <v>6.3</v>
      </c>
      <c r="H1610" s="43" t="s">
        <v>234</v>
      </c>
      <c r="I1610" s="40" t="s">
        <v>1282</v>
      </c>
    </row>
    <row r="1611" spans="1:9" x14ac:dyDescent="0.25">
      <c r="A1611" s="40" t="s">
        <v>631</v>
      </c>
      <c r="B1611" s="28">
        <v>1874</v>
      </c>
      <c r="C1611" s="28" t="s">
        <v>632</v>
      </c>
      <c r="D1611" s="28"/>
      <c r="E1611" s="41">
        <v>46140</v>
      </c>
      <c r="F1611" s="47">
        <v>0.33501157407407406</v>
      </c>
      <c r="G1611" s="44">
        <v>6.3</v>
      </c>
      <c r="H1611" s="43" t="s">
        <v>235</v>
      </c>
      <c r="I1611" s="40" t="s">
        <v>1281</v>
      </c>
    </row>
    <row r="1612" spans="1:9" x14ac:dyDescent="0.25">
      <c r="A1612" s="40" t="s">
        <v>631</v>
      </c>
      <c r="B1612" s="28">
        <v>1874</v>
      </c>
      <c r="C1612" s="28" t="s">
        <v>632</v>
      </c>
      <c r="D1612" s="28"/>
      <c r="E1612" s="41">
        <v>46140</v>
      </c>
      <c r="F1612" s="47">
        <v>0.35399305555555555</v>
      </c>
      <c r="G1612" s="44">
        <v>6.3</v>
      </c>
      <c r="H1612" s="43" t="s">
        <v>236</v>
      </c>
      <c r="I1612" s="40" t="s">
        <v>1281</v>
      </c>
    </row>
    <row r="1613" spans="1:9" x14ac:dyDescent="0.25">
      <c r="A1613" s="40" t="s">
        <v>631</v>
      </c>
      <c r="B1613" s="28">
        <v>1874</v>
      </c>
      <c r="C1613" s="28" t="s">
        <v>633</v>
      </c>
      <c r="D1613" s="28"/>
      <c r="E1613" s="41">
        <v>46140</v>
      </c>
      <c r="F1613" s="47">
        <v>0.42219907407407409</v>
      </c>
      <c r="G1613" s="44">
        <v>6.3</v>
      </c>
      <c r="H1613" s="43" t="s">
        <v>237</v>
      </c>
      <c r="I1613" s="40" t="s">
        <v>1281</v>
      </c>
    </row>
    <row r="1614" spans="1:9" x14ac:dyDescent="0.25">
      <c r="A1614" s="40" t="s">
        <v>631</v>
      </c>
      <c r="B1614" s="28">
        <v>1874</v>
      </c>
      <c r="C1614" s="28" t="s">
        <v>633</v>
      </c>
      <c r="D1614" s="28"/>
      <c r="E1614" s="41">
        <v>46140</v>
      </c>
      <c r="F1614" s="47">
        <v>0.43487268518518518</v>
      </c>
      <c r="G1614" s="44">
        <v>6.3</v>
      </c>
      <c r="H1614" s="43" t="s">
        <v>234</v>
      </c>
      <c r="I1614" s="40" t="s">
        <v>1281</v>
      </c>
    </row>
    <row r="1615" spans="1:9" x14ac:dyDescent="0.25">
      <c r="A1615" s="40" t="s">
        <v>631</v>
      </c>
      <c r="B1615" s="28">
        <v>1874</v>
      </c>
      <c r="C1615" s="28" t="s">
        <v>634</v>
      </c>
      <c r="D1615" s="28"/>
      <c r="E1615" s="41">
        <v>46141</v>
      </c>
      <c r="F1615" s="47">
        <v>0.22523148148148148</v>
      </c>
      <c r="G1615" s="44">
        <v>6.3</v>
      </c>
      <c r="H1615" s="43" t="s">
        <v>237</v>
      </c>
      <c r="I1615" s="40" t="s">
        <v>1281</v>
      </c>
    </row>
    <row r="1616" spans="1:9" x14ac:dyDescent="0.25">
      <c r="A1616" s="40" t="s">
        <v>631</v>
      </c>
      <c r="B1616" s="28">
        <v>1874</v>
      </c>
      <c r="C1616" s="28" t="s">
        <v>634</v>
      </c>
      <c r="D1616" s="28"/>
      <c r="E1616" s="45">
        <v>46141</v>
      </c>
      <c r="F1616" s="48">
        <v>0.2303587962962963</v>
      </c>
      <c r="G1616" s="44">
        <v>6.3</v>
      </c>
      <c r="H1616" s="43" t="s">
        <v>234</v>
      </c>
      <c r="I1616" s="40" t="s">
        <v>1281</v>
      </c>
    </row>
    <row r="1617" spans="1:9" x14ac:dyDescent="0.25">
      <c r="A1617" s="40" t="s">
        <v>631</v>
      </c>
      <c r="B1617" s="28">
        <v>1874</v>
      </c>
      <c r="C1617" s="28" t="s">
        <v>635</v>
      </c>
      <c r="D1617" s="28"/>
      <c r="E1617" s="41">
        <v>46141</v>
      </c>
      <c r="F1617" s="47">
        <v>0.32024305555555554</v>
      </c>
      <c r="G1617" s="44">
        <v>6.3</v>
      </c>
      <c r="H1617" s="43" t="s">
        <v>235</v>
      </c>
      <c r="I1617" s="40" t="s">
        <v>1281</v>
      </c>
    </row>
    <row r="1618" spans="1:9" x14ac:dyDescent="0.25">
      <c r="A1618" s="40" t="s">
        <v>631</v>
      </c>
      <c r="B1618" s="28">
        <v>1874</v>
      </c>
      <c r="C1618" s="28" t="s">
        <v>635</v>
      </c>
      <c r="D1618" s="28"/>
      <c r="E1618" s="41">
        <v>46141</v>
      </c>
      <c r="F1618" s="47">
        <v>0.33179398148148148</v>
      </c>
      <c r="G1618" s="44">
        <v>6.3</v>
      </c>
      <c r="H1618" s="43" t="s">
        <v>236</v>
      </c>
      <c r="I1618" s="40" t="s">
        <v>1281</v>
      </c>
    </row>
    <row r="1619" spans="1:9" x14ac:dyDescent="0.25">
      <c r="A1619" s="40" t="s">
        <v>631</v>
      </c>
      <c r="B1619" s="28">
        <v>1874</v>
      </c>
      <c r="C1619" s="28" t="s">
        <v>636</v>
      </c>
      <c r="D1619" s="28"/>
      <c r="E1619" s="41">
        <v>46142</v>
      </c>
      <c r="F1619" s="47">
        <v>0.23987268518518517</v>
      </c>
      <c r="G1619" s="44">
        <v>6.3</v>
      </c>
      <c r="H1619" s="43" t="s">
        <v>237</v>
      </c>
      <c r="I1619" s="40" t="s">
        <v>1281</v>
      </c>
    </row>
    <row r="1620" spans="1:9" x14ac:dyDescent="0.25">
      <c r="A1620" s="40" t="s">
        <v>631</v>
      </c>
      <c r="B1620" s="28">
        <v>1874</v>
      </c>
      <c r="C1620" s="28" t="s">
        <v>636</v>
      </c>
      <c r="D1620" s="28"/>
      <c r="E1620" s="41">
        <v>46142</v>
      </c>
      <c r="F1620" s="47">
        <v>0.24510416666666668</v>
      </c>
      <c r="G1620" s="44">
        <v>6.3</v>
      </c>
      <c r="H1620" s="43" t="s">
        <v>234</v>
      </c>
      <c r="I1620" s="40" t="s">
        <v>1281</v>
      </c>
    </row>
    <row r="1621" spans="1:9" x14ac:dyDescent="0.25">
      <c r="A1621" s="40" t="s">
        <v>631</v>
      </c>
      <c r="B1621" s="28">
        <v>1874</v>
      </c>
      <c r="C1621" s="28" t="s">
        <v>637</v>
      </c>
      <c r="D1621" s="28"/>
      <c r="E1621" s="41">
        <v>46143</v>
      </c>
      <c r="F1621" s="47">
        <v>0.34021990740740743</v>
      </c>
      <c r="G1621" s="42">
        <v>6.3</v>
      </c>
      <c r="H1621" s="40" t="s">
        <v>235</v>
      </c>
      <c r="I1621" s="40" t="s">
        <v>1282</v>
      </c>
    </row>
    <row r="1622" spans="1:9" x14ac:dyDescent="0.25">
      <c r="A1622" s="40" t="s">
        <v>631</v>
      </c>
      <c r="B1622" s="28">
        <v>1874</v>
      </c>
      <c r="C1622" s="28" t="s">
        <v>637</v>
      </c>
      <c r="D1622" s="28"/>
      <c r="E1622" s="41">
        <v>46143</v>
      </c>
      <c r="F1622" s="47">
        <v>0.34724537037037034</v>
      </c>
      <c r="G1622" s="42">
        <v>6.3</v>
      </c>
      <c r="H1622" s="40" t="s">
        <v>236</v>
      </c>
      <c r="I1622" s="40" t="s">
        <v>1282</v>
      </c>
    </row>
    <row r="1623" spans="1:9" x14ac:dyDescent="0.25">
      <c r="A1623" s="40" t="s">
        <v>631</v>
      </c>
      <c r="B1623" s="28">
        <v>1874</v>
      </c>
      <c r="C1623" s="28" t="s">
        <v>638</v>
      </c>
      <c r="D1623" s="28"/>
      <c r="E1623" s="41">
        <v>46143</v>
      </c>
      <c r="F1623" s="47">
        <v>0.38864583333333336</v>
      </c>
      <c r="G1623" s="44">
        <v>6.3</v>
      </c>
      <c r="H1623" s="43" t="s">
        <v>237</v>
      </c>
      <c r="I1623" s="40" t="s">
        <v>1282</v>
      </c>
    </row>
    <row r="1624" spans="1:9" x14ac:dyDescent="0.25">
      <c r="A1624" s="40" t="s">
        <v>631</v>
      </c>
      <c r="B1624" s="28">
        <v>1874</v>
      </c>
      <c r="C1624" s="28" t="s">
        <v>638</v>
      </c>
      <c r="D1624" s="28"/>
      <c r="E1624" s="41">
        <v>46143</v>
      </c>
      <c r="F1624" s="47">
        <v>0.39409722222222221</v>
      </c>
      <c r="G1624" s="44">
        <v>6.3</v>
      </c>
      <c r="H1624" s="43" t="s">
        <v>234</v>
      </c>
      <c r="I1624" s="40" t="s">
        <v>1282</v>
      </c>
    </row>
    <row r="1625" spans="1:9" x14ac:dyDescent="0.25">
      <c r="A1625" s="40" t="s">
        <v>631</v>
      </c>
      <c r="B1625" s="28">
        <v>1874</v>
      </c>
      <c r="C1625" s="28" t="s">
        <v>639</v>
      </c>
      <c r="D1625" s="28"/>
      <c r="E1625" s="41">
        <v>46143</v>
      </c>
      <c r="F1625" s="47">
        <v>0.44871527777777775</v>
      </c>
      <c r="G1625" s="44">
        <v>6.3</v>
      </c>
      <c r="H1625" s="43" t="s">
        <v>235</v>
      </c>
      <c r="I1625" s="40" t="s">
        <v>1282</v>
      </c>
    </row>
    <row r="1626" spans="1:9" x14ac:dyDescent="0.25">
      <c r="A1626" s="40" t="s">
        <v>631</v>
      </c>
      <c r="B1626" s="28">
        <v>1874</v>
      </c>
      <c r="C1626" s="28" t="s">
        <v>639</v>
      </c>
      <c r="D1626" s="28"/>
      <c r="E1626" s="41">
        <v>46143</v>
      </c>
      <c r="F1626" s="47">
        <v>0.45618055555555553</v>
      </c>
      <c r="G1626" s="44">
        <v>6.3</v>
      </c>
      <c r="H1626" s="43" t="s">
        <v>236</v>
      </c>
      <c r="I1626" s="40" t="s">
        <v>1282</v>
      </c>
    </row>
    <row r="1627" spans="1:9" x14ac:dyDescent="0.25">
      <c r="A1627" s="40" t="s">
        <v>631</v>
      </c>
      <c r="B1627" s="28">
        <v>1874</v>
      </c>
      <c r="C1627" s="28" t="s">
        <v>640</v>
      </c>
      <c r="D1627" s="28"/>
      <c r="E1627" s="45">
        <v>46144</v>
      </c>
      <c r="F1627" s="48">
        <v>0.40142361111111113</v>
      </c>
      <c r="G1627" s="44">
        <v>6.3</v>
      </c>
      <c r="H1627" s="43" t="s">
        <v>235</v>
      </c>
      <c r="I1627" s="40" t="s">
        <v>1282</v>
      </c>
    </row>
    <row r="1628" spans="1:9" x14ac:dyDescent="0.25">
      <c r="A1628" s="40" t="s">
        <v>631</v>
      </c>
      <c r="B1628" s="28">
        <v>1874</v>
      </c>
      <c r="C1628" s="28" t="s">
        <v>640</v>
      </c>
      <c r="D1628" s="28"/>
      <c r="E1628" s="45">
        <v>46144</v>
      </c>
      <c r="F1628" s="48">
        <v>0.40871527777777777</v>
      </c>
      <c r="G1628" s="42">
        <v>6.3</v>
      </c>
      <c r="H1628" s="40" t="s">
        <v>236</v>
      </c>
      <c r="I1628" s="40" t="s">
        <v>1282</v>
      </c>
    </row>
    <row r="1629" spans="1:9" x14ac:dyDescent="0.25">
      <c r="A1629" s="40" t="s">
        <v>631</v>
      </c>
      <c r="B1629" s="28">
        <v>1874</v>
      </c>
      <c r="C1629" s="28" t="s">
        <v>641</v>
      </c>
      <c r="D1629" s="28"/>
      <c r="E1629" s="45">
        <v>46145</v>
      </c>
      <c r="F1629" s="48">
        <v>0.35608796296296297</v>
      </c>
      <c r="G1629" s="42">
        <v>6.3</v>
      </c>
      <c r="H1629" s="40" t="s">
        <v>237</v>
      </c>
      <c r="I1629" s="40" t="s">
        <v>1282</v>
      </c>
    </row>
    <row r="1630" spans="1:9" x14ac:dyDescent="0.25">
      <c r="A1630" s="40" t="s">
        <v>631</v>
      </c>
      <c r="B1630" s="28">
        <v>1874</v>
      </c>
      <c r="C1630" s="28" t="s">
        <v>641</v>
      </c>
      <c r="D1630" s="28"/>
      <c r="E1630" s="41">
        <v>46145</v>
      </c>
      <c r="F1630" s="47">
        <v>0.36123842592592592</v>
      </c>
      <c r="G1630" s="42">
        <v>6.3</v>
      </c>
      <c r="H1630" s="40" t="s">
        <v>234</v>
      </c>
      <c r="I1630" s="40" t="s">
        <v>1282</v>
      </c>
    </row>
    <row r="1631" spans="1:9" x14ac:dyDescent="0.25">
      <c r="A1631" s="40" t="s">
        <v>631</v>
      </c>
      <c r="B1631" s="28">
        <v>1874</v>
      </c>
      <c r="C1631" s="28" t="s">
        <v>642</v>
      </c>
      <c r="D1631" s="28"/>
      <c r="E1631" s="41">
        <v>46145</v>
      </c>
      <c r="F1631" s="47">
        <v>0.4971875</v>
      </c>
      <c r="G1631" s="42">
        <v>6.3</v>
      </c>
      <c r="H1631" s="40" t="s">
        <v>237</v>
      </c>
      <c r="I1631" s="40" t="s">
        <v>1282</v>
      </c>
    </row>
    <row r="1632" spans="1:9" x14ac:dyDescent="0.25">
      <c r="A1632" s="40" t="s">
        <v>631</v>
      </c>
      <c r="B1632" s="28">
        <v>1874</v>
      </c>
      <c r="C1632" s="28" t="s">
        <v>642</v>
      </c>
      <c r="D1632" s="28"/>
      <c r="E1632" s="41">
        <v>46145</v>
      </c>
      <c r="F1632" s="47">
        <v>0.50254629629629632</v>
      </c>
      <c r="G1632" s="44">
        <v>6.3</v>
      </c>
      <c r="H1632" s="43" t="s">
        <v>234</v>
      </c>
      <c r="I1632" s="40" t="s">
        <v>1282</v>
      </c>
    </row>
    <row r="1633" spans="1:9" x14ac:dyDescent="0.25">
      <c r="A1633" s="40" t="s">
        <v>264</v>
      </c>
      <c r="B1633" s="28">
        <v>1875</v>
      </c>
      <c r="C1633" s="28" t="s">
        <v>35</v>
      </c>
      <c r="D1633" s="28" t="s">
        <v>38</v>
      </c>
      <c r="E1633" s="45">
        <v>46139</v>
      </c>
      <c r="F1633" s="48">
        <v>0.5618981481481482</v>
      </c>
      <c r="G1633" s="44">
        <v>6.3</v>
      </c>
      <c r="H1633" s="43" t="s">
        <v>234</v>
      </c>
      <c r="I1633" s="40" t="s">
        <v>1281</v>
      </c>
    </row>
    <row r="1634" spans="1:9" x14ac:dyDescent="0.25">
      <c r="A1634" s="40" t="s">
        <v>264</v>
      </c>
      <c r="B1634" s="28">
        <v>1875</v>
      </c>
      <c r="C1634" s="28">
        <v>10552837</v>
      </c>
      <c r="D1634" s="28"/>
      <c r="E1634" s="41">
        <v>46140</v>
      </c>
      <c r="F1634" s="47">
        <v>0.64665509259259257</v>
      </c>
      <c r="G1634" s="44">
        <v>6.3</v>
      </c>
      <c r="H1634" s="43" t="s">
        <v>235</v>
      </c>
      <c r="I1634" s="40" t="s">
        <v>1281</v>
      </c>
    </row>
    <row r="1635" spans="1:9" x14ac:dyDescent="0.25">
      <c r="A1635" s="40" t="s">
        <v>264</v>
      </c>
      <c r="B1635" s="28">
        <v>1875</v>
      </c>
      <c r="C1635" s="28">
        <v>10552837</v>
      </c>
      <c r="D1635" s="28"/>
      <c r="E1635" s="41">
        <v>46140</v>
      </c>
      <c r="F1635" s="47">
        <v>0.65614583333333332</v>
      </c>
      <c r="G1635" s="44">
        <v>6.3</v>
      </c>
      <c r="H1635" s="43" t="s">
        <v>236</v>
      </c>
      <c r="I1635" s="40" t="s">
        <v>1281</v>
      </c>
    </row>
    <row r="1636" spans="1:9" x14ac:dyDescent="0.25">
      <c r="A1636" s="40" t="s">
        <v>264</v>
      </c>
      <c r="B1636" s="28">
        <v>1875</v>
      </c>
      <c r="C1636" s="28">
        <v>10560317</v>
      </c>
      <c r="D1636" s="28"/>
      <c r="E1636" s="41">
        <v>46141</v>
      </c>
      <c r="F1636" s="47">
        <v>0.2900462962962963</v>
      </c>
      <c r="G1636" s="44">
        <v>6.3</v>
      </c>
      <c r="H1636" s="43" t="s">
        <v>234</v>
      </c>
      <c r="I1636" s="40" t="s">
        <v>1281</v>
      </c>
    </row>
    <row r="1637" spans="1:9" x14ac:dyDescent="0.25">
      <c r="A1637" s="40" t="s">
        <v>264</v>
      </c>
      <c r="B1637" s="28">
        <v>1875</v>
      </c>
      <c r="C1637" s="28" t="s">
        <v>35</v>
      </c>
      <c r="D1637" s="28" t="s">
        <v>38</v>
      </c>
      <c r="E1637" s="41">
        <v>46141</v>
      </c>
      <c r="F1637" s="47">
        <v>0.38650462962962961</v>
      </c>
      <c r="G1637" s="44">
        <v>6.3</v>
      </c>
      <c r="H1637" s="43" t="s">
        <v>235</v>
      </c>
      <c r="I1637" s="40" t="s">
        <v>1281</v>
      </c>
    </row>
    <row r="1638" spans="1:9" x14ac:dyDescent="0.25">
      <c r="A1638" s="40" t="s">
        <v>264</v>
      </c>
      <c r="B1638" s="28">
        <v>1875</v>
      </c>
      <c r="C1638" s="28" t="s">
        <v>35</v>
      </c>
      <c r="D1638" s="28" t="s">
        <v>38</v>
      </c>
      <c r="E1638" s="41">
        <v>46141</v>
      </c>
      <c r="F1638" s="47">
        <v>0.40680555555555553</v>
      </c>
      <c r="G1638" s="44">
        <v>6.3</v>
      </c>
      <c r="H1638" s="43" t="s">
        <v>236</v>
      </c>
      <c r="I1638" s="40" t="s">
        <v>1281</v>
      </c>
    </row>
    <row r="1639" spans="1:9" x14ac:dyDescent="0.25">
      <c r="A1639" s="40" t="s">
        <v>264</v>
      </c>
      <c r="B1639" s="28">
        <v>1875</v>
      </c>
      <c r="C1639" s="28">
        <v>5646124</v>
      </c>
      <c r="D1639" s="28"/>
      <c r="E1639" s="41">
        <v>46143</v>
      </c>
      <c r="F1639" s="47">
        <v>0.85240740740740739</v>
      </c>
      <c r="G1639" s="44">
        <v>6.3</v>
      </c>
      <c r="H1639" s="43" t="s">
        <v>237</v>
      </c>
      <c r="I1639" s="40" t="s">
        <v>1282</v>
      </c>
    </row>
    <row r="1640" spans="1:9" x14ac:dyDescent="0.25">
      <c r="A1640" s="40" t="s">
        <v>264</v>
      </c>
      <c r="B1640" s="28">
        <v>1875</v>
      </c>
      <c r="C1640" s="28">
        <v>5646124</v>
      </c>
      <c r="D1640" s="28"/>
      <c r="E1640" s="41">
        <v>46143</v>
      </c>
      <c r="F1640" s="47">
        <v>0.85807870370370365</v>
      </c>
      <c r="G1640" s="44">
        <v>6.3</v>
      </c>
      <c r="H1640" s="43" t="s">
        <v>234</v>
      </c>
      <c r="I1640" s="40" t="s">
        <v>1282</v>
      </c>
    </row>
    <row r="1641" spans="1:9" x14ac:dyDescent="0.25">
      <c r="A1641" s="40" t="s">
        <v>264</v>
      </c>
      <c r="B1641" s="28">
        <v>1875</v>
      </c>
      <c r="C1641" s="28">
        <v>10573572</v>
      </c>
      <c r="D1641" s="28"/>
      <c r="E1641" s="41">
        <v>46143</v>
      </c>
      <c r="F1641" s="47">
        <v>0.99436342592592597</v>
      </c>
      <c r="G1641" s="44">
        <v>6.3</v>
      </c>
      <c r="H1641" s="43" t="s">
        <v>235</v>
      </c>
      <c r="I1641" s="40" t="s">
        <v>1282</v>
      </c>
    </row>
    <row r="1642" spans="1:9" x14ac:dyDescent="0.25">
      <c r="A1642" s="40" t="s">
        <v>264</v>
      </c>
      <c r="B1642" s="28">
        <v>1875</v>
      </c>
      <c r="C1642" s="28">
        <v>10573572</v>
      </c>
      <c r="D1642" s="28"/>
      <c r="E1642" s="45">
        <v>46144</v>
      </c>
      <c r="F1642" s="48">
        <v>8.726851851851852E-3</v>
      </c>
      <c r="G1642" s="44">
        <v>6.3</v>
      </c>
      <c r="H1642" s="43" t="s">
        <v>236</v>
      </c>
      <c r="I1642" s="40" t="s">
        <v>1282</v>
      </c>
    </row>
    <row r="1643" spans="1:9" x14ac:dyDescent="0.25">
      <c r="A1643" s="40" t="s">
        <v>264</v>
      </c>
      <c r="B1643" s="28">
        <v>1875</v>
      </c>
      <c r="C1643" s="28">
        <v>10583738</v>
      </c>
      <c r="D1643" s="28"/>
      <c r="E1643" s="41">
        <v>46144</v>
      </c>
      <c r="F1643" s="47">
        <v>0.83337962962962964</v>
      </c>
      <c r="G1643" s="44">
        <v>6.3</v>
      </c>
      <c r="H1643" s="43" t="s">
        <v>235</v>
      </c>
      <c r="I1643" s="40" t="s">
        <v>1282</v>
      </c>
    </row>
    <row r="1644" spans="1:9" x14ac:dyDescent="0.25">
      <c r="A1644" s="40" t="s">
        <v>264</v>
      </c>
      <c r="B1644" s="28">
        <v>1875</v>
      </c>
      <c r="C1644" s="28">
        <v>10590777</v>
      </c>
      <c r="D1644" s="28"/>
      <c r="E1644" s="41">
        <v>46145</v>
      </c>
      <c r="F1644" s="47">
        <v>0.47625000000000001</v>
      </c>
      <c r="G1644" s="44">
        <v>6.3</v>
      </c>
      <c r="H1644" s="43" t="s">
        <v>234</v>
      </c>
      <c r="I1644" s="40" t="s">
        <v>1282</v>
      </c>
    </row>
    <row r="1645" spans="1:9" x14ac:dyDescent="0.25">
      <c r="A1645" s="40" t="s">
        <v>264</v>
      </c>
      <c r="B1645" s="28">
        <v>1875</v>
      </c>
      <c r="C1645" s="28">
        <v>10587248</v>
      </c>
      <c r="D1645" s="28"/>
      <c r="E1645" s="45">
        <v>46145</v>
      </c>
      <c r="F1645" s="48">
        <v>0.88672453703703702</v>
      </c>
      <c r="G1645" s="44">
        <v>6.3</v>
      </c>
      <c r="H1645" s="43" t="s">
        <v>235</v>
      </c>
      <c r="I1645" s="40" t="s">
        <v>1282</v>
      </c>
    </row>
    <row r="1646" spans="1:9" x14ac:dyDescent="0.25">
      <c r="A1646" s="40" t="s">
        <v>273</v>
      </c>
      <c r="B1646" s="28">
        <v>1878</v>
      </c>
      <c r="C1646" s="28">
        <v>5637073</v>
      </c>
      <c r="D1646" s="28" t="s">
        <v>36</v>
      </c>
      <c r="E1646" s="41">
        <v>46139</v>
      </c>
      <c r="F1646" s="47">
        <v>0.18637731481481482</v>
      </c>
      <c r="G1646" s="44">
        <v>6.3</v>
      </c>
      <c r="H1646" s="43" t="s">
        <v>233</v>
      </c>
      <c r="I1646" s="40" t="s">
        <v>1281</v>
      </c>
    </row>
    <row r="1647" spans="1:9" x14ac:dyDescent="0.25">
      <c r="A1647" s="40" t="s">
        <v>273</v>
      </c>
      <c r="B1647" s="28">
        <v>1878</v>
      </c>
      <c r="C1647" s="28">
        <v>5637073</v>
      </c>
      <c r="D1647" s="28" t="s">
        <v>36</v>
      </c>
      <c r="E1647" s="41">
        <v>46139</v>
      </c>
      <c r="F1647" s="47">
        <v>0.19113425925925925</v>
      </c>
      <c r="G1647" s="42">
        <v>6.3</v>
      </c>
      <c r="H1647" s="40" t="s">
        <v>234</v>
      </c>
      <c r="I1647" s="40" t="s">
        <v>1281</v>
      </c>
    </row>
    <row r="1648" spans="1:9" x14ac:dyDescent="0.25">
      <c r="A1648" s="40" t="s">
        <v>273</v>
      </c>
      <c r="B1648" s="28">
        <v>1878</v>
      </c>
      <c r="C1648" s="28" t="s">
        <v>35</v>
      </c>
      <c r="D1648" s="28" t="s">
        <v>38</v>
      </c>
      <c r="E1648" s="41">
        <v>46139</v>
      </c>
      <c r="F1648" s="47">
        <v>0.33539351851851851</v>
      </c>
      <c r="G1648" s="42">
        <v>6.3</v>
      </c>
      <c r="H1648" s="40" t="s">
        <v>235</v>
      </c>
      <c r="I1648" s="40" t="s">
        <v>1281</v>
      </c>
    </row>
    <row r="1649" spans="1:9" x14ac:dyDescent="0.25">
      <c r="A1649" s="40" t="s">
        <v>273</v>
      </c>
      <c r="B1649" s="28">
        <v>1878</v>
      </c>
      <c r="C1649" s="28" t="s">
        <v>643</v>
      </c>
      <c r="D1649" s="28"/>
      <c r="E1649" s="45">
        <v>46139</v>
      </c>
      <c r="F1649" s="48">
        <v>0.89634259259259264</v>
      </c>
      <c r="G1649" s="42">
        <v>6.3</v>
      </c>
      <c r="H1649" s="40" t="s">
        <v>235</v>
      </c>
      <c r="I1649" s="40" t="s">
        <v>1281</v>
      </c>
    </row>
    <row r="1650" spans="1:9" x14ac:dyDescent="0.25">
      <c r="A1650" s="40" t="s">
        <v>273</v>
      </c>
      <c r="B1650" s="28">
        <v>1878</v>
      </c>
      <c r="C1650" s="28" t="s">
        <v>643</v>
      </c>
      <c r="D1650" s="28"/>
      <c r="E1650" s="41">
        <v>46139</v>
      </c>
      <c r="F1650" s="47">
        <v>0.90409722222222222</v>
      </c>
      <c r="G1650" s="42">
        <v>6.3</v>
      </c>
      <c r="H1650" s="40" t="s">
        <v>236</v>
      </c>
      <c r="I1650" s="40" t="s">
        <v>1281</v>
      </c>
    </row>
    <row r="1651" spans="1:9" x14ac:dyDescent="0.25">
      <c r="A1651" s="40" t="s">
        <v>273</v>
      </c>
      <c r="B1651" s="28">
        <v>1878</v>
      </c>
      <c r="C1651" s="28" t="s">
        <v>35</v>
      </c>
      <c r="D1651" s="28" t="s">
        <v>38</v>
      </c>
      <c r="E1651" s="41">
        <v>46140</v>
      </c>
      <c r="F1651" s="47">
        <v>0.17531250000000001</v>
      </c>
      <c r="G1651" s="44">
        <v>6.3</v>
      </c>
      <c r="H1651" s="43" t="s">
        <v>237</v>
      </c>
      <c r="I1651" s="40" t="s">
        <v>1281</v>
      </c>
    </row>
    <row r="1652" spans="1:9" x14ac:dyDescent="0.25">
      <c r="A1652" s="40" t="s">
        <v>273</v>
      </c>
      <c r="B1652" s="28">
        <v>1878</v>
      </c>
      <c r="C1652" s="28" t="s">
        <v>35</v>
      </c>
      <c r="D1652" s="28" t="s">
        <v>38</v>
      </c>
      <c r="E1652" s="45">
        <v>46140</v>
      </c>
      <c r="F1652" s="48">
        <v>0.17974537037037036</v>
      </c>
      <c r="G1652" s="44">
        <v>6.3</v>
      </c>
      <c r="H1652" s="43" t="s">
        <v>234</v>
      </c>
      <c r="I1652" s="40" t="s">
        <v>1281</v>
      </c>
    </row>
    <row r="1653" spans="1:9" x14ac:dyDescent="0.25">
      <c r="A1653" s="40" t="s">
        <v>273</v>
      </c>
      <c r="B1653" s="28">
        <v>1878</v>
      </c>
      <c r="C1653" s="28" t="s">
        <v>35</v>
      </c>
      <c r="D1653" s="28" t="s">
        <v>38</v>
      </c>
      <c r="E1653" s="41">
        <v>46140</v>
      </c>
      <c r="F1653" s="47">
        <v>0.27278935185185182</v>
      </c>
      <c r="G1653" s="44">
        <v>6.3</v>
      </c>
      <c r="H1653" s="43" t="s">
        <v>233</v>
      </c>
      <c r="I1653" s="40" t="s">
        <v>1281</v>
      </c>
    </row>
    <row r="1654" spans="1:9" x14ac:dyDescent="0.25">
      <c r="A1654" s="40" t="s">
        <v>273</v>
      </c>
      <c r="B1654" s="28">
        <v>1878</v>
      </c>
      <c r="C1654" s="28" t="s">
        <v>35</v>
      </c>
      <c r="D1654" s="28" t="s">
        <v>38</v>
      </c>
      <c r="E1654" s="41">
        <v>46140</v>
      </c>
      <c r="F1654" s="47">
        <v>0.33351851851851849</v>
      </c>
      <c r="G1654" s="44">
        <v>6.3</v>
      </c>
      <c r="H1654" s="43" t="s">
        <v>239</v>
      </c>
      <c r="I1654" s="40" t="s">
        <v>1281</v>
      </c>
    </row>
    <row r="1655" spans="1:9" x14ac:dyDescent="0.25">
      <c r="A1655" s="40" t="s">
        <v>273</v>
      </c>
      <c r="B1655" s="28">
        <v>1878</v>
      </c>
      <c r="C1655" s="28" t="s">
        <v>35</v>
      </c>
      <c r="D1655" s="28" t="s">
        <v>38</v>
      </c>
      <c r="E1655" s="41">
        <v>46140</v>
      </c>
      <c r="F1655" s="47">
        <v>0.42575231481481479</v>
      </c>
      <c r="G1655" s="44">
        <v>6.3</v>
      </c>
      <c r="H1655" s="43" t="s">
        <v>237</v>
      </c>
      <c r="I1655" s="40" t="s">
        <v>1281</v>
      </c>
    </row>
    <row r="1656" spans="1:9" x14ac:dyDescent="0.25">
      <c r="A1656" s="40" t="s">
        <v>273</v>
      </c>
      <c r="B1656" s="28">
        <v>1878</v>
      </c>
      <c r="C1656" s="28" t="s">
        <v>35</v>
      </c>
      <c r="D1656" s="28" t="s">
        <v>38</v>
      </c>
      <c r="E1656" s="45">
        <v>46140</v>
      </c>
      <c r="F1656" s="48">
        <v>0.44020833333333331</v>
      </c>
      <c r="G1656" s="44">
        <v>6.3</v>
      </c>
      <c r="H1656" s="43" t="s">
        <v>234</v>
      </c>
      <c r="I1656" s="40" t="s">
        <v>1281</v>
      </c>
    </row>
    <row r="1657" spans="1:9" x14ac:dyDescent="0.25">
      <c r="A1657" s="40" t="s">
        <v>273</v>
      </c>
      <c r="B1657" s="28">
        <v>1878</v>
      </c>
      <c r="C1657" s="28" t="s">
        <v>35</v>
      </c>
      <c r="D1657" s="28" t="s">
        <v>38</v>
      </c>
      <c r="E1657" s="41">
        <v>46142</v>
      </c>
      <c r="F1657" s="47">
        <v>7.8263888888888883E-2</v>
      </c>
      <c r="G1657" s="44">
        <v>6.3</v>
      </c>
      <c r="H1657" s="43" t="s">
        <v>237</v>
      </c>
      <c r="I1657" s="40" t="s">
        <v>1281</v>
      </c>
    </row>
    <row r="1658" spans="1:9" x14ac:dyDescent="0.25">
      <c r="A1658" s="40" t="s">
        <v>273</v>
      </c>
      <c r="B1658" s="28">
        <v>1878</v>
      </c>
      <c r="C1658" s="28">
        <v>5631144</v>
      </c>
      <c r="D1658" s="28"/>
      <c r="E1658" s="41">
        <v>46142</v>
      </c>
      <c r="F1658" s="47">
        <v>0.71711805555555552</v>
      </c>
      <c r="G1658" s="44">
        <v>6.3</v>
      </c>
      <c r="H1658" s="43" t="s">
        <v>233</v>
      </c>
      <c r="I1658" s="40" t="s">
        <v>1281</v>
      </c>
    </row>
    <row r="1659" spans="1:9" x14ac:dyDescent="0.25">
      <c r="A1659" s="40" t="s">
        <v>273</v>
      </c>
      <c r="B1659" s="28">
        <v>1878</v>
      </c>
      <c r="C1659" s="28">
        <v>5631144</v>
      </c>
      <c r="D1659" s="28"/>
      <c r="E1659" s="45">
        <v>46142</v>
      </c>
      <c r="F1659" s="48">
        <v>0.73192129629629632</v>
      </c>
      <c r="G1659" s="44">
        <v>6.3</v>
      </c>
      <c r="H1659" s="43" t="s">
        <v>234</v>
      </c>
      <c r="I1659" s="40" t="s">
        <v>1281</v>
      </c>
    </row>
    <row r="1660" spans="1:9" x14ac:dyDescent="0.25">
      <c r="A1660" s="40" t="s">
        <v>273</v>
      </c>
      <c r="B1660" s="28">
        <v>1878</v>
      </c>
      <c r="C1660" s="28">
        <v>5641341</v>
      </c>
      <c r="D1660" s="28"/>
      <c r="E1660" s="41">
        <v>46143</v>
      </c>
      <c r="F1660" s="47">
        <v>0.99913194444444442</v>
      </c>
      <c r="G1660" s="44">
        <v>6.3</v>
      </c>
      <c r="H1660" s="43" t="s">
        <v>235</v>
      </c>
      <c r="I1660" s="40" t="s">
        <v>1282</v>
      </c>
    </row>
    <row r="1661" spans="1:9" x14ac:dyDescent="0.25">
      <c r="A1661" s="40" t="s">
        <v>273</v>
      </c>
      <c r="B1661" s="28">
        <v>1878</v>
      </c>
      <c r="C1661" s="28">
        <v>5641341</v>
      </c>
      <c r="D1661" s="28"/>
      <c r="E1661" s="45">
        <v>46144</v>
      </c>
      <c r="F1661" s="48">
        <v>4.8726851851851848E-3</v>
      </c>
      <c r="G1661" s="44">
        <v>6.3</v>
      </c>
      <c r="H1661" s="43" t="s">
        <v>239</v>
      </c>
      <c r="I1661" s="40" t="s">
        <v>1282</v>
      </c>
    </row>
    <row r="1662" spans="1:9" x14ac:dyDescent="0.25">
      <c r="A1662" s="40" t="s">
        <v>273</v>
      </c>
      <c r="B1662" s="28">
        <v>1878</v>
      </c>
      <c r="C1662" s="28">
        <v>5646922</v>
      </c>
      <c r="D1662" s="28" t="s">
        <v>37</v>
      </c>
      <c r="E1662" s="41">
        <v>46144</v>
      </c>
      <c r="F1662" s="47">
        <v>0.21103009259259259</v>
      </c>
      <c r="G1662" s="44">
        <v>6.3</v>
      </c>
      <c r="H1662" s="43" t="s">
        <v>237</v>
      </c>
      <c r="I1662" s="40" t="s">
        <v>1282</v>
      </c>
    </row>
    <row r="1663" spans="1:9" x14ac:dyDescent="0.25">
      <c r="A1663" s="40" t="s">
        <v>273</v>
      </c>
      <c r="B1663" s="28">
        <v>1878</v>
      </c>
      <c r="C1663" s="28">
        <v>5646922</v>
      </c>
      <c r="D1663" s="28" t="s">
        <v>37</v>
      </c>
      <c r="E1663" s="41">
        <v>46144</v>
      </c>
      <c r="F1663" s="47">
        <v>0.2152662037037037</v>
      </c>
      <c r="G1663" s="44">
        <v>6.3</v>
      </c>
      <c r="H1663" s="43" t="s">
        <v>234</v>
      </c>
      <c r="I1663" s="40" t="s">
        <v>1282</v>
      </c>
    </row>
    <row r="1664" spans="1:9" x14ac:dyDescent="0.25">
      <c r="A1664" s="40" t="s">
        <v>273</v>
      </c>
      <c r="B1664" s="28">
        <v>1878</v>
      </c>
      <c r="C1664" s="28">
        <v>5646489</v>
      </c>
      <c r="D1664" s="28"/>
      <c r="E1664" s="41">
        <v>46144</v>
      </c>
      <c r="F1664" s="47">
        <v>0.35309027777777779</v>
      </c>
      <c r="G1664" s="44">
        <v>6.3</v>
      </c>
      <c r="H1664" s="43" t="s">
        <v>235</v>
      </c>
      <c r="I1664" s="40" t="s">
        <v>1282</v>
      </c>
    </row>
    <row r="1665" spans="1:9" x14ac:dyDescent="0.25">
      <c r="A1665" s="40" t="s">
        <v>273</v>
      </c>
      <c r="B1665" s="28">
        <v>1878</v>
      </c>
      <c r="C1665" s="28">
        <v>5646489</v>
      </c>
      <c r="D1665" s="28"/>
      <c r="E1665" s="41">
        <v>46144</v>
      </c>
      <c r="F1665" s="47">
        <v>0.36098379629629629</v>
      </c>
      <c r="G1665" s="44">
        <v>6.3</v>
      </c>
      <c r="H1665" s="43" t="s">
        <v>236</v>
      </c>
      <c r="I1665" s="40" t="s">
        <v>1282</v>
      </c>
    </row>
    <row r="1666" spans="1:9" x14ac:dyDescent="0.25">
      <c r="A1666" s="40" t="s">
        <v>256</v>
      </c>
      <c r="B1666" s="28">
        <v>1891</v>
      </c>
      <c r="C1666" s="28" t="s">
        <v>644</v>
      </c>
      <c r="D1666" s="28"/>
      <c r="E1666" s="41">
        <v>46139</v>
      </c>
      <c r="F1666" s="47">
        <v>0.59726851851851848</v>
      </c>
      <c r="G1666" s="44">
        <v>6.3</v>
      </c>
      <c r="H1666" s="43" t="s">
        <v>235</v>
      </c>
      <c r="I1666" s="40" t="s">
        <v>1281</v>
      </c>
    </row>
    <row r="1667" spans="1:9" x14ac:dyDescent="0.25">
      <c r="A1667" s="40" t="s">
        <v>256</v>
      </c>
      <c r="B1667" s="28">
        <v>1891</v>
      </c>
      <c r="C1667" s="28" t="s">
        <v>644</v>
      </c>
      <c r="D1667" s="28"/>
      <c r="E1667" s="41">
        <v>46139</v>
      </c>
      <c r="F1667" s="47">
        <v>0.60506944444444444</v>
      </c>
      <c r="G1667" s="44">
        <v>6.3</v>
      </c>
      <c r="H1667" s="43" t="s">
        <v>236</v>
      </c>
      <c r="I1667" s="40" t="s">
        <v>1281</v>
      </c>
    </row>
    <row r="1668" spans="1:9" x14ac:dyDescent="0.25">
      <c r="A1668" s="40" t="s">
        <v>256</v>
      </c>
      <c r="B1668" s="28">
        <v>1891</v>
      </c>
      <c r="C1668" s="28">
        <v>5637902</v>
      </c>
      <c r="D1668" s="28" t="s">
        <v>36</v>
      </c>
      <c r="E1668" s="41">
        <v>46139</v>
      </c>
      <c r="F1668" s="47">
        <v>0.74505787037037041</v>
      </c>
      <c r="G1668" s="44">
        <v>6.3</v>
      </c>
      <c r="H1668" s="43" t="s">
        <v>235</v>
      </c>
      <c r="I1668" s="40" t="s">
        <v>1281</v>
      </c>
    </row>
    <row r="1669" spans="1:9" x14ac:dyDescent="0.25">
      <c r="A1669" s="40" t="s">
        <v>256</v>
      </c>
      <c r="B1669" s="28">
        <v>1891</v>
      </c>
      <c r="C1669" s="28">
        <v>5637902</v>
      </c>
      <c r="D1669" s="28" t="s">
        <v>36</v>
      </c>
      <c r="E1669" s="41">
        <v>46139</v>
      </c>
      <c r="F1669" s="47">
        <v>0.75973379629629634</v>
      </c>
      <c r="G1669" s="44">
        <v>6.3</v>
      </c>
      <c r="H1669" s="43" t="s">
        <v>236</v>
      </c>
      <c r="I1669" s="40" t="s">
        <v>1281</v>
      </c>
    </row>
    <row r="1670" spans="1:9" x14ac:dyDescent="0.25">
      <c r="A1670" s="40" t="s">
        <v>256</v>
      </c>
      <c r="B1670" s="28">
        <v>1891</v>
      </c>
      <c r="C1670" s="28">
        <v>5639553</v>
      </c>
      <c r="D1670" s="28"/>
      <c r="E1670" s="41">
        <v>46139</v>
      </c>
      <c r="F1670" s="47">
        <v>0.92246527777777776</v>
      </c>
      <c r="G1670" s="44">
        <v>6.3</v>
      </c>
      <c r="H1670" s="43" t="s">
        <v>235</v>
      </c>
      <c r="I1670" s="40" t="s">
        <v>1281</v>
      </c>
    </row>
    <row r="1671" spans="1:9" x14ac:dyDescent="0.25">
      <c r="A1671" s="40" t="s">
        <v>256</v>
      </c>
      <c r="B1671" s="28">
        <v>1891</v>
      </c>
      <c r="C1671" s="28">
        <v>5639553</v>
      </c>
      <c r="D1671" s="28"/>
      <c r="E1671" s="41">
        <v>46139</v>
      </c>
      <c r="F1671" s="47">
        <v>0.92972222222222223</v>
      </c>
      <c r="G1671" s="42">
        <v>6.3</v>
      </c>
      <c r="H1671" s="40" t="s">
        <v>236</v>
      </c>
      <c r="I1671" s="40" t="s">
        <v>1281</v>
      </c>
    </row>
    <row r="1672" spans="1:9" x14ac:dyDescent="0.25">
      <c r="A1672" s="40" t="s">
        <v>256</v>
      </c>
      <c r="B1672" s="28">
        <v>1891</v>
      </c>
      <c r="C1672" s="28">
        <v>5640357</v>
      </c>
      <c r="D1672" s="28"/>
      <c r="E1672" s="41">
        <v>46140</v>
      </c>
      <c r="F1672" s="47">
        <v>0.59565972222222219</v>
      </c>
      <c r="G1672" s="42">
        <v>6.3</v>
      </c>
      <c r="H1672" s="40" t="s">
        <v>235</v>
      </c>
      <c r="I1672" s="40" t="s">
        <v>1281</v>
      </c>
    </row>
    <row r="1673" spans="1:9" x14ac:dyDescent="0.25">
      <c r="A1673" s="40" t="s">
        <v>256</v>
      </c>
      <c r="B1673" s="28">
        <v>1891</v>
      </c>
      <c r="C1673" s="28">
        <v>5640357</v>
      </c>
      <c r="D1673" s="28"/>
      <c r="E1673" s="41">
        <v>46140</v>
      </c>
      <c r="F1673" s="47">
        <v>0.60626157407407411</v>
      </c>
      <c r="G1673" s="42">
        <v>6.3</v>
      </c>
      <c r="H1673" s="40" t="s">
        <v>236</v>
      </c>
      <c r="I1673" s="40" t="s">
        <v>1281</v>
      </c>
    </row>
    <row r="1674" spans="1:9" x14ac:dyDescent="0.25">
      <c r="A1674" s="40" t="s">
        <v>256</v>
      </c>
      <c r="B1674" s="28">
        <v>1891</v>
      </c>
      <c r="C1674" s="28">
        <v>5640454</v>
      </c>
      <c r="D1674" s="28" t="s">
        <v>36</v>
      </c>
      <c r="E1674" s="45">
        <v>46141</v>
      </c>
      <c r="F1674" s="48">
        <v>0.60072916666666665</v>
      </c>
      <c r="G1674" s="42">
        <v>6.3</v>
      </c>
      <c r="H1674" s="40" t="s">
        <v>235</v>
      </c>
      <c r="I1674" s="40" t="s">
        <v>1281</v>
      </c>
    </row>
    <row r="1675" spans="1:9" x14ac:dyDescent="0.25">
      <c r="A1675" s="40" t="s">
        <v>256</v>
      </c>
      <c r="B1675" s="28">
        <v>1891</v>
      </c>
      <c r="C1675" s="28">
        <v>5643484</v>
      </c>
      <c r="D1675" s="28"/>
      <c r="E1675" s="45">
        <v>46141</v>
      </c>
      <c r="F1675" s="48">
        <v>0.95861111111111108</v>
      </c>
      <c r="G1675" s="44">
        <v>6.3</v>
      </c>
      <c r="H1675" s="43" t="s">
        <v>235</v>
      </c>
      <c r="I1675" s="40" t="s">
        <v>1281</v>
      </c>
    </row>
    <row r="1676" spans="1:9" x14ac:dyDescent="0.25">
      <c r="A1676" s="40" t="s">
        <v>256</v>
      </c>
      <c r="B1676" s="28">
        <v>1891</v>
      </c>
      <c r="C1676" s="28">
        <v>5643484</v>
      </c>
      <c r="D1676" s="28"/>
      <c r="E1676" s="41">
        <v>46141</v>
      </c>
      <c r="F1676" s="47">
        <v>0.96576388888888887</v>
      </c>
      <c r="G1676" s="44">
        <v>6.3</v>
      </c>
      <c r="H1676" s="43" t="s">
        <v>236</v>
      </c>
      <c r="I1676" s="40" t="s">
        <v>1281</v>
      </c>
    </row>
    <row r="1677" spans="1:9" x14ac:dyDescent="0.25">
      <c r="A1677" s="40" t="s">
        <v>256</v>
      </c>
      <c r="B1677" s="28">
        <v>1891</v>
      </c>
      <c r="C1677" s="28" t="s">
        <v>35</v>
      </c>
      <c r="D1677" s="28" t="s">
        <v>38</v>
      </c>
      <c r="E1677" s="41">
        <v>46144</v>
      </c>
      <c r="F1677" s="47">
        <v>0.59106481481481477</v>
      </c>
      <c r="G1677" s="44">
        <v>6.3</v>
      </c>
      <c r="H1677" s="43" t="s">
        <v>234</v>
      </c>
      <c r="I1677" s="40" t="s">
        <v>1282</v>
      </c>
    </row>
    <row r="1678" spans="1:9" x14ac:dyDescent="0.25">
      <c r="A1678" s="40" t="s">
        <v>256</v>
      </c>
      <c r="B1678" s="28">
        <v>1891</v>
      </c>
      <c r="C1678" s="28" t="s">
        <v>35</v>
      </c>
      <c r="D1678" s="28" t="s">
        <v>38</v>
      </c>
      <c r="E1678" s="41">
        <v>46145</v>
      </c>
      <c r="F1678" s="47">
        <v>5.6886574074074076E-2</v>
      </c>
      <c r="G1678" s="44">
        <v>6.3</v>
      </c>
      <c r="H1678" s="43" t="s">
        <v>236</v>
      </c>
      <c r="I1678" s="40" t="s">
        <v>1282</v>
      </c>
    </row>
    <row r="1679" spans="1:9" x14ac:dyDescent="0.25">
      <c r="A1679" s="40" t="s">
        <v>302</v>
      </c>
      <c r="B1679" s="28">
        <v>1894</v>
      </c>
      <c r="C1679" s="28" t="s">
        <v>645</v>
      </c>
      <c r="D1679" s="28"/>
      <c r="E1679" s="45">
        <v>46139</v>
      </c>
      <c r="F1679" s="48">
        <v>0.66005787037037034</v>
      </c>
      <c r="G1679" s="44">
        <v>6.3</v>
      </c>
      <c r="H1679" s="43" t="s">
        <v>235</v>
      </c>
      <c r="I1679" s="40" t="s">
        <v>1281</v>
      </c>
    </row>
    <row r="1680" spans="1:9" x14ac:dyDescent="0.25">
      <c r="A1680" s="40" t="s">
        <v>302</v>
      </c>
      <c r="B1680" s="28">
        <v>1894</v>
      </c>
      <c r="C1680" s="28" t="s">
        <v>645</v>
      </c>
      <c r="D1680" s="28"/>
      <c r="E1680" s="41">
        <v>46139</v>
      </c>
      <c r="F1680" s="47">
        <v>0.67932870370370368</v>
      </c>
      <c r="G1680" s="44">
        <v>6.3</v>
      </c>
      <c r="H1680" s="43" t="s">
        <v>236</v>
      </c>
      <c r="I1680" s="40" t="s">
        <v>1281</v>
      </c>
    </row>
    <row r="1681" spans="1:9" x14ac:dyDescent="0.25">
      <c r="A1681" s="40" t="s">
        <v>302</v>
      </c>
      <c r="B1681" s="28">
        <v>1894</v>
      </c>
      <c r="C1681" s="28">
        <v>10544346</v>
      </c>
      <c r="D1681" s="28"/>
      <c r="E1681" s="41">
        <v>46139</v>
      </c>
      <c r="F1681" s="47">
        <v>0.7669907407407407</v>
      </c>
      <c r="G1681" s="44">
        <v>6.3</v>
      </c>
      <c r="H1681" s="43" t="s">
        <v>237</v>
      </c>
      <c r="I1681" s="40" t="s">
        <v>1281</v>
      </c>
    </row>
    <row r="1682" spans="1:9" x14ac:dyDescent="0.25">
      <c r="A1682" s="40" t="s">
        <v>302</v>
      </c>
      <c r="B1682" s="28">
        <v>1894</v>
      </c>
      <c r="C1682" s="28">
        <v>10544346</v>
      </c>
      <c r="D1682" s="28"/>
      <c r="E1682" s="41">
        <v>46139</v>
      </c>
      <c r="F1682" s="47">
        <v>0.80679398148148151</v>
      </c>
      <c r="G1682" s="44">
        <v>6.3</v>
      </c>
      <c r="H1682" s="43" t="s">
        <v>234</v>
      </c>
      <c r="I1682" s="40" t="s">
        <v>1281</v>
      </c>
    </row>
    <row r="1683" spans="1:9" x14ac:dyDescent="0.25">
      <c r="A1683" s="40" t="s">
        <v>302</v>
      </c>
      <c r="B1683" s="28">
        <v>1894</v>
      </c>
      <c r="C1683" s="28" t="s">
        <v>646</v>
      </c>
      <c r="D1683" s="28"/>
      <c r="E1683" s="41">
        <v>46140</v>
      </c>
      <c r="F1683" s="47">
        <v>0.87105324074074075</v>
      </c>
      <c r="G1683" s="44">
        <v>6.3</v>
      </c>
      <c r="H1683" s="43" t="s">
        <v>235</v>
      </c>
      <c r="I1683" s="40" t="s">
        <v>1281</v>
      </c>
    </row>
    <row r="1684" spans="1:9" x14ac:dyDescent="0.25">
      <c r="A1684" s="40" t="s">
        <v>302</v>
      </c>
      <c r="B1684" s="28">
        <v>1894</v>
      </c>
      <c r="C1684" s="28" t="s">
        <v>646</v>
      </c>
      <c r="D1684" s="28"/>
      <c r="E1684" s="41">
        <v>46140</v>
      </c>
      <c r="F1684" s="47">
        <v>0.87864583333333335</v>
      </c>
      <c r="G1684" s="44">
        <v>6.3</v>
      </c>
      <c r="H1684" s="43" t="s">
        <v>236</v>
      </c>
      <c r="I1684" s="40" t="s">
        <v>1281</v>
      </c>
    </row>
    <row r="1685" spans="1:9" x14ac:dyDescent="0.25">
      <c r="A1685" s="40" t="s">
        <v>302</v>
      </c>
      <c r="B1685" s="28">
        <v>1894</v>
      </c>
      <c r="C1685" s="28" t="s">
        <v>647</v>
      </c>
      <c r="D1685" s="28"/>
      <c r="E1685" s="41">
        <v>46141</v>
      </c>
      <c r="F1685" s="47">
        <v>0.63276620370370373</v>
      </c>
      <c r="G1685" s="44">
        <v>6.3</v>
      </c>
      <c r="H1685" s="43" t="s">
        <v>235</v>
      </c>
      <c r="I1685" s="40" t="s">
        <v>1281</v>
      </c>
    </row>
    <row r="1686" spans="1:9" x14ac:dyDescent="0.25">
      <c r="A1686" s="40" t="s">
        <v>302</v>
      </c>
      <c r="B1686" s="28">
        <v>1894</v>
      </c>
      <c r="C1686" s="28" t="s">
        <v>647</v>
      </c>
      <c r="D1686" s="28"/>
      <c r="E1686" s="41">
        <v>46141</v>
      </c>
      <c r="F1686" s="47">
        <v>0.64406249999999998</v>
      </c>
      <c r="G1686" s="44">
        <v>6.3</v>
      </c>
      <c r="H1686" s="43" t="s">
        <v>239</v>
      </c>
      <c r="I1686" s="40" t="s">
        <v>1281</v>
      </c>
    </row>
    <row r="1687" spans="1:9" x14ac:dyDescent="0.25">
      <c r="A1687" s="40" t="s">
        <v>302</v>
      </c>
      <c r="B1687" s="28">
        <v>1894</v>
      </c>
      <c r="C1687" s="28" t="s">
        <v>648</v>
      </c>
      <c r="D1687" s="28"/>
      <c r="E1687" s="41">
        <v>46141</v>
      </c>
      <c r="F1687" s="47">
        <v>0.68150462962962965</v>
      </c>
      <c r="G1687" s="44">
        <v>6.3</v>
      </c>
      <c r="H1687" s="43" t="s">
        <v>233</v>
      </c>
      <c r="I1687" s="40" t="s">
        <v>1281</v>
      </c>
    </row>
    <row r="1688" spans="1:9" x14ac:dyDescent="0.25">
      <c r="A1688" s="40" t="s">
        <v>302</v>
      </c>
      <c r="B1688" s="28">
        <v>1894</v>
      </c>
      <c r="C1688" s="28" t="s">
        <v>648</v>
      </c>
      <c r="D1688" s="28"/>
      <c r="E1688" s="41">
        <v>46141</v>
      </c>
      <c r="F1688" s="47">
        <v>0.68704861111111115</v>
      </c>
      <c r="G1688" s="44">
        <v>6.3</v>
      </c>
      <c r="H1688" s="43" t="s">
        <v>234</v>
      </c>
      <c r="I1688" s="40" t="s">
        <v>1281</v>
      </c>
    </row>
    <row r="1689" spans="1:9" x14ac:dyDescent="0.25">
      <c r="A1689" s="40" t="s">
        <v>302</v>
      </c>
      <c r="B1689" s="28">
        <v>1894</v>
      </c>
      <c r="C1689" s="28" t="s">
        <v>649</v>
      </c>
      <c r="D1689" s="28"/>
      <c r="E1689" s="41">
        <v>46142</v>
      </c>
      <c r="F1689" s="47">
        <v>0.55964120370370374</v>
      </c>
      <c r="G1689" s="44">
        <v>6.3</v>
      </c>
      <c r="H1689" s="43" t="s">
        <v>235</v>
      </c>
      <c r="I1689" s="40" t="s">
        <v>1281</v>
      </c>
    </row>
    <row r="1690" spans="1:9" x14ac:dyDescent="0.25">
      <c r="A1690" s="40" t="s">
        <v>302</v>
      </c>
      <c r="B1690" s="28">
        <v>1894</v>
      </c>
      <c r="C1690" s="28" t="s">
        <v>649</v>
      </c>
      <c r="D1690" s="28"/>
      <c r="E1690" s="45">
        <v>46142</v>
      </c>
      <c r="F1690" s="48">
        <v>0.57884259259259263</v>
      </c>
      <c r="G1690" s="42">
        <v>6.3</v>
      </c>
      <c r="H1690" s="40" t="s">
        <v>236</v>
      </c>
      <c r="I1690" s="40" t="s">
        <v>1281</v>
      </c>
    </row>
    <row r="1691" spans="1:9" x14ac:dyDescent="0.25">
      <c r="A1691" s="40" t="s">
        <v>302</v>
      </c>
      <c r="B1691" s="28">
        <v>1894</v>
      </c>
      <c r="C1691" s="28" t="s">
        <v>650</v>
      </c>
      <c r="D1691" s="28"/>
      <c r="E1691" s="41">
        <v>46142</v>
      </c>
      <c r="F1691" s="47">
        <v>0.6360069444444445</v>
      </c>
      <c r="G1691" s="42">
        <v>6.3</v>
      </c>
      <c r="H1691" s="40" t="s">
        <v>233</v>
      </c>
      <c r="I1691" s="40" t="s">
        <v>1281</v>
      </c>
    </row>
    <row r="1692" spans="1:9" x14ac:dyDescent="0.25">
      <c r="A1692" s="40" t="s">
        <v>302</v>
      </c>
      <c r="B1692" s="28">
        <v>1894</v>
      </c>
      <c r="C1692" s="28" t="s">
        <v>650</v>
      </c>
      <c r="D1692" s="28"/>
      <c r="E1692" s="41">
        <v>46142</v>
      </c>
      <c r="F1692" s="47">
        <v>0.65304398148148146</v>
      </c>
      <c r="G1692" s="44">
        <v>6.3</v>
      </c>
      <c r="H1692" s="43" t="s">
        <v>234</v>
      </c>
      <c r="I1692" s="40" t="s">
        <v>1281</v>
      </c>
    </row>
    <row r="1693" spans="1:9" x14ac:dyDescent="0.25">
      <c r="A1693" s="40" t="s">
        <v>302</v>
      </c>
      <c r="B1693" s="28">
        <v>1894</v>
      </c>
      <c r="C1693" s="28" t="s">
        <v>651</v>
      </c>
      <c r="D1693" s="28"/>
      <c r="E1693" s="41">
        <v>46145</v>
      </c>
      <c r="F1693" s="47">
        <v>0.9246875</v>
      </c>
      <c r="G1693" s="44">
        <v>6.3</v>
      </c>
      <c r="H1693" s="43" t="s">
        <v>237</v>
      </c>
      <c r="I1693" s="40" t="s">
        <v>1282</v>
      </c>
    </row>
    <row r="1694" spans="1:9" x14ac:dyDescent="0.25">
      <c r="A1694" s="40" t="s">
        <v>302</v>
      </c>
      <c r="B1694" s="28">
        <v>1894</v>
      </c>
      <c r="C1694" s="28" t="s">
        <v>651</v>
      </c>
      <c r="D1694" s="28"/>
      <c r="E1694" s="41">
        <v>46145</v>
      </c>
      <c r="F1694" s="47">
        <v>0.93002314814814813</v>
      </c>
      <c r="G1694" s="44">
        <v>6.3</v>
      </c>
      <c r="H1694" s="43" t="s">
        <v>234</v>
      </c>
      <c r="I1694" s="40" t="s">
        <v>1282</v>
      </c>
    </row>
    <row r="1695" spans="1:9" x14ac:dyDescent="0.25">
      <c r="A1695" s="40" t="s">
        <v>119</v>
      </c>
      <c r="B1695" s="28">
        <v>1915</v>
      </c>
      <c r="C1695" s="28">
        <v>5637671</v>
      </c>
      <c r="D1695" s="28"/>
      <c r="E1695" s="45">
        <v>46139</v>
      </c>
      <c r="F1695" s="48">
        <v>0.25090277777777775</v>
      </c>
      <c r="G1695" s="44">
        <v>6.3</v>
      </c>
      <c r="H1695" s="43" t="s">
        <v>241</v>
      </c>
      <c r="I1695" s="40" t="s">
        <v>1281</v>
      </c>
    </row>
    <row r="1696" spans="1:9" x14ac:dyDescent="0.25">
      <c r="A1696" s="40" t="s">
        <v>119</v>
      </c>
      <c r="B1696" s="28">
        <v>1915</v>
      </c>
      <c r="C1696" s="28">
        <v>5637671</v>
      </c>
      <c r="D1696" s="28"/>
      <c r="E1696" s="41">
        <v>46139</v>
      </c>
      <c r="F1696" s="47">
        <v>0.25381944444444443</v>
      </c>
      <c r="G1696" s="44">
        <v>6.3</v>
      </c>
      <c r="H1696" s="43" t="s">
        <v>234</v>
      </c>
      <c r="I1696" s="40" t="s">
        <v>1281</v>
      </c>
    </row>
    <row r="1697" spans="1:9" x14ac:dyDescent="0.25">
      <c r="A1697" s="40" t="s">
        <v>119</v>
      </c>
      <c r="B1697" s="28">
        <v>1915</v>
      </c>
      <c r="C1697" s="28">
        <v>5638331</v>
      </c>
      <c r="D1697" s="28"/>
      <c r="E1697" s="41">
        <v>46139</v>
      </c>
      <c r="F1697" s="47">
        <v>0.66196759259259264</v>
      </c>
      <c r="G1697" s="44">
        <v>6.3</v>
      </c>
      <c r="H1697" s="43" t="s">
        <v>235</v>
      </c>
      <c r="I1697" s="40" t="s">
        <v>1281</v>
      </c>
    </row>
    <row r="1698" spans="1:9" x14ac:dyDescent="0.25">
      <c r="A1698" s="40" t="s">
        <v>119</v>
      </c>
      <c r="B1698" s="28">
        <v>1915</v>
      </c>
      <c r="C1698" s="28">
        <v>5638331</v>
      </c>
      <c r="D1698" s="28"/>
      <c r="E1698" s="41">
        <v>46139</v>
      </c>
      <c r="F1698" s="47">
        <v>0.67199074074074072</v>
      </c>
      <c r="G1698" s="44">
        <v>6.3</v>
      </c>
      <c r="H1698" s="43" t="s">
        <v>240</v>
      </c>
      <c r="I1698" s="40" t="s">
        <v>1281</v>
      </c>
    </row>
    <row r="1699" spans="1:9" x14ac:dyDescent="0.25">
      <c r="A1699" s="40" t="s">
        <v>119</v>
      </c>
      <c r="B1699" s="28">
        <v>1915</v>
      </c>
      <c r="C1699" s="28">
        <v>5638887</v>
      </c>
      <c r="D1699" s="28"/>
      <c r="E1699" s="45">
        <v>46140</v>
      </c>
      <c r="F1699" s="48">
        <v>0.2066087962962963</v>
      </c>
      <c r="G1699" s="44">
        <v>6.3</v>
      </c>
      <c r="H1699" s="43" t="s">
        <v>241</v>
      </c>
      <c r="I1699" s="40" t="s">
        <v>1281</v>
      </c>
    </row>
    <row r="1700" spans="1:9" x14ac:dyDescent="0.25">
      <c r="A1700" s="40" t="s">
        <v>119</v>
      </c>
      <c r="B1700" s="28">
        <v>1915</v>
      </c>
      <c r="C1700" s="28">
        <v>5638887</v>
      </c>
      <c r="D1700" s="28"/>
      <c r="E1700" s="41">
        <v>46140</v>
      </c>
      <c r="F1700" s="47">
        <v>0.20943287037037037</v>
      </c>
      <c r="G1700" s="44">
        <v>6.3</v>
      </c>
      <c r="H1700" s="43" t="s">
        <v>234</v>
      </c>
      <c r="I1700" s="40" t="s">
        <v>1281</v>
      </c>
    </row>
    <row r="1701" spans="1:9" x14ac:dyDescent="0.25">
      <c r="A1701" s="40" t="s">
        <v>119</v>
      </c>
      <c r="B1701" s="28">
        <v>1915</v>
      </c>
      <c r="C1701" s="28">
        <v>5639181</v>
      </c>
      <c r="D1701" s="28"/>
      <c r="E1701" s="41">
        <v>46140</v>
      </c>
      <c r="F1701" s="47">
        <v>0.2901273148148148</v>
      </c>
      <c r="G1701" s="44">
        <v>6.3</v>
      </c>
      <c r="H1701" s="43" t="s">
        <v>235</v>
      </c>
      <c r="I1701" s="40" t="s">
        <v>1281</v>
      </c>
    </row>
    <row r="1702" spans="1:9" x14ac:dyDescent="0.25">
      <c r="A1702" s="40" t="s">
        <v>119</v>
      </c>
      <c r="B1702" s="28">
        <v>1915</v>
      </c>
      <c r="C1702" s="28" t="s">
        <v>35</v>
      </c>
      <c r="D1702" s="28" t="s">
        <v>38</v>
      </c>
      <c r="E1702" s="41">
        <v>46141</v>
      </c>
      <c r="F1702" s="47">
        <v>0.5749305555555555</v>
      </c>
      <c r="G1702" s="44">
        <v>6.3</v>
      </c>
      <c r="H1702" s="43" t="s">
        <v>237</v>
      </c>
      <c r="I1702" s="40" t="s">
        <v>1281</v>
      </c>
    </row>
    <row r="1703" spans="1:9" x14ac:dyDescent="0.25">
      <c r="A1703" s="40" t="s">
        <v>119</v>
      </c>
      <c r="B1703" s="28">
        <v>1915</v>
      </c>
      <c r="C1703" s="28">
        <v>5643517</v>
      </c>
      <c r="D1703" s="28"/>
      <c r="E1703" s="45">
        <v>46142</v>
      </c>
      <c r="F1703" s="48">
        <v>0.25333333333333335</v>
      </c>
      <c r="G1703" s="44">
        <v>6.3</v>
      </c>
      <c r="H1703" s="43" t="s">
        <v>241</v>
      </c>
      <c r="I1703" s="40" t="s">
        <v>1281</v>
      </c>
    </row>
    <row r="1704" spans="1:9" x14ac:dyDescent="0.25">
      <c r="A1704" s="40" t="s">
        <v>119</v>
      </c>
      <c r="B1704" s="28">
        <v>1915</v>
      </c>
      <c r="C1704" s="28">
        <v>5643517</v>
      </c>
      <c r="D1704" s="28" t="s">
        <v>36</v>
      </c>
      <c r="E1704" s="45">
        <v>46142</v>
      </c>
      <c r="F1704" s="48">
        <v>0.25634259259259257</v>
      </c>
      <c r="G1704" s="44">
        <v>6.3</v>
      </c>
      <c r="H1704" s="43" t="s">
        <v>234</v>
      </c>
      <c r="I1704" s="40" t="s">
        <v>1281</v>
      </c>
    </row>
    <row r="1705" spans="1:9" x14ac:dyDescent="0.25">
      <c r="A1705" s="40" t="s">
        <v>119</v>
      </c>
      <c r="B1705" s="28">
        <v>1915</v>
      </c>
      <c r="C1705" s="28">
        <v>5643062</v>
      </c>
      <c r="D1705" s="28"/>
      <c r="E1705" s="41">
        <v>46142</v>
      </c>
      <c r="F1705" s="47">
        <v>0.44134259259259262</v>
      </c>
      <c r="G1705" s="44">
        <v>6.3</v>
      </c>
      <c r="H1705" s="43" t="s">
        <v>237</v>
      </c>
      <c r="I1705" s="40" t="s">
        <v>1281</v>
      </c>
    </row>
    <row r="1706" spans="1:9" x14ac:dyDescent="0.25">
      <c r="A1706" s="40" t="s">
        <v>119</v>
      </c>
      <c r="B1706" s="28">
        <v>1915</v>
      </c>
      <c r="C1706" s="28">
        <v>5643062</v>
      </c>
      <c r="D1706" s="28"/>
      <c r="E1706" s="41">
        <v>46142</v>
      </c>
      <c r="F1706" s="47">
        <v>0.44973379629629628</v>
      </c>
      <c r="G1706" s="44">
        <v>6.3</v>
      </c>
      <c r="H1706" s="43" t="s">
        <v>234</v>
      </c>
      <c r="I1706" s="40" t="s">
        <v>1281</v>
      </c>
    </row>
    <row r="1707" spans="1:9" x14ac:dyDescent="0.25">
      <c r="A1707" s="40" t="s">
        <v>119</v>
      </c>
      <c r="B1707" s="28">
        <v>1915</v>
      </c>
      <c r="C1707" s="28">
        <v>5644575</v>
      </c>
      <c r="D1707" s="28"/>
      <c r="E1707" s="41">
        <v>46142</v>
      </c>
      <c r="F1707" s="47">
        <v>0.51369212962962962</v>
      </c>
      <c r="G1707" s="44">
        <v>6.3</v>
      </c>
      <c r="H1707" s="43" t="s">
        <v>235</v>
      </c>
      <c r="I1707" s="40" t="s">
        <v>1281</v>
      </c>
    </row>
    <row r="1708" spans="1:9" x14ac:dyDescent="0.25">
      <c r="A1708" s="40" t="s">
        <v>119</v>
      </c>
      <c r="B1708" s="28">
        <v>1915</v>
      </c>
      <c r="C1708" s="28">
        <v>5644575</v>
      </c>
      <c r="D1708" s="28"/>
      <c r="E1708" s="41">
        <v>46142</v>
      </c>
      <c r="F1708" s="47">
        <v>0.52447916666666672</v>
      </c>
      <c r="G1708" s="44">
        <v>6.3</v>
      </c>
      <c r="H1708" s="43" t="s">
        <v>236</v>
      </c>
      <c r="I1708" s="40" t="s">
        <v>1281</v>
      </c>
    </row>
    <row r="1709" spans="1:9" x14ac:dyDescent="0.25">
      <c r="A1709" s="40" t="s">
        <v>119</v>
      </c>
      <c r="B1709" s="28">
        <v>1915</v>
      </c>
      <c r="C1709" s="28">
        <v>5647157</v>
      </c>
      <c r="D1709" s="28"/>
      <c r="E1709" s="41">
        <v>46144</v>
      </c>
      <c r="F1709" s="47">
        <v>0.28854166666666664</v>
      </c>
      <c r="G1709" s="44">
        <v>6.3</v>
      </c>
      <c r="H1709" s="43" t="s">
        <v>241</v>
      </c>
      <c r="I1709" s="40" t="s">
        <v>1282</v>
      </c>
    </row>
    <row r="1710" spans="1:9" x14ac:dyDescent="0.25">
      <c r="A1710" s="40" t="s">
        <v>119</v>
      </c>
      <c r="B1710" s="28">
        <v>1915</v>
      </c>
      <c r="C1710" s="28">
        <v>5647157</v>
      </c>
      <c r="D1710" s="28"/>
      <c r="E1710" s="41">
        <v>46144</v>
      </c>
      <c r="F1710" s="47">
        <v>0.29149305555555555</v>
      </c>
      <c r="G1710" s="44">
        <v>6.3</v>
      </c>
      <c r="H1710" s="43" t="s">
        <v>234</v>
      </c>
      <c r="I1710" s="40" t="s">
        <v>1282</v>
      </c>
    </row>
    <row r="1711" spans="1:9" x14ac:dyDescent="0.25">
      <c r="A1711" s="40" t="s">
        <v>119</v>
      </c>
      <c r="B1711" s="28">
        <v>1915</v>
      </c>
      <c r="C1711" s="28" t="s">
        <v>35</v>
      </c>
      <c r="D1711" s="28" t="s">
        <v>38</v>
      </c>
      <c r="E1711" s="41">
        <v>46144</v>
      </c>
      <c r="F1711" s="47">
        <v>0.71964120370370366</v>
      </c>
      <c r="G1711" s="44">
        <v>6.3</v>
      </c>
      <c r="H1711" s="43" t="s">
        <v>241</v>
      </c>
      <c r="I1711" s="40" t="s">
        <v>1282</v>
      </c>
    </row>
    <row r="1712" spans="1:9" x14ac:dyDescent="0.25">
      <c r="A1712" s="40" t="s">
        <v>119</v>
      </c>
      <c r="B1712" s="28">
        <v>1915</v>
      </c>
      <c r="C1712" s="28" t="s">
        <v>35</v>
      </c>
      <c r="D1712" s="28" t="s">
        <v>38</v>
      </c>
      <c r="E1712" s="41">
        <v>46144</v>
      </c>
      <c r="F1712" s="47">
        <v>0.72263888888888894</v>
      </c>
      <c r="G1712" s="44">
        <v>6.3</v>
      </c>
      <c r="H1712" s="43" t="s">
        <v>234</v>
      </c>
      <c r="I1712" s="40" t="s">
        <v>1282</v>
      </c>
    </row>
    <row r="1713" spans="1:9" x14ac:dyDescent="0.25">
      <c r="A1713" s="40" t="s">
        <v>119</v>
      </c>
      <c r="B1713" s="28">
        <v>1915</v>
      </c>
      <c r="C1713" s="28" t="s">
        <v>35</v>
      </c>
      <c r="D1713" s="28" t="s">
        <v>38</v>
      </c>
      <c r="E1713" s="41">
        <v>46144</v>
      </c>
      <c r="F1713" s="47">
        <v>0.82182870370370376</v>
      </c>
      <c r="G1713" s="44">
        <v>6.3</v>
      </c>
      <c r="H1713" s="43" t="s">
        <v>235</v>
      </c>
      <c r="I1713" s="40" t="s">
        <v>1282</v>
      </c>
    </row>
    <row r="1714" spans="1:9" x14ac:dyDescent="0.25">
      <c r="A1714" s="40" t="s">
        <v>119</v>
      </c>
      <c r="B1714" s="28">
        <v>1915</v>
      </c>
      <c r="C1714" s="28" t="s">
        <v>35</v>
      </c>
      <c r="D1714" s="28" t="s">
        <v>38</v>
      </c>
      <c r="E1714" s="41">
        <v>46144</v>
      </c>
      <c r="F1714" s="47">
        <v>0.82879629629629625</v>
      </c>
      <c r="G1714" s="44">
        <v>6.3</v>
      </c>
      <c r="H1714" s="43" t="s">
        <v>240</v>
      </c>
      <c r="I1714" s="40" t="s">
        <v>1282</v>
      </c>
    </row>
    <row r="1715" spans="1:9" x14ac:dyDescent="0.25">
      <c r="A1715" s="40" t="s">
        <v>120</v>
      </c>
      <c r="B1715" s="28">
        <v>1981</v>
      </c>
      <c r="C1715" s="28" t="s">
        <v>35</v>
      </c>
      <c r="D1715" s="28" t="s">
        <v>38</v>
      </c>
      <c r="E1715" s="45">
        <v>46140</v>
      </c>
      <c r="F1715" s="48">
        <v>0.54825231481481485</v>
      </c>
      <c r="G1715" s="44">
        <v>6.3</v>
      </c>
      <c r="H1715" s="43" t="s">
        <v>237</v>
      </c>
      <c r="I1715" s="40" t="s">
        <v>1281</v>
      </c>
    </row>
    <row r="1716" spans="1:9" x14ac:dyDescent="0.25">
      <c r="A1716" s="40" t="s">
        <v>120</v>
      </c>
      <c r="B1716" s="28">
        <v>1981</v>
      </c>
      <c r="C1716" s="28" t="s">
        <v>35</v>
      </c>
      <c r="D1716" s="28" t="s">
        <v>38</v>
      </c>
      <c r="E1716" s="41">
        <v>46142</v>
      </c>
      <c r="F1716" s="47">
        <v>0.25561342592592595</v>
      </c>
      <c r="G1716" s="44">
        <v>6.3</v>
      </c>
      <c r="H1716" s="43" t="s">
        <v>235</v>
      </c>
      <c r="I1716" s="40" t="s">
        <v>1281</v>
      </c>
    </row>
    <row r="1717" spans="1:9" x14ac:dyDescent="0.25">
      <c r="A1717" s="40" t="s">
        <v>120</v>
      </c>
      <c r="B1717" s="28">
        <v>1981</v>
      </c>
      <c r="C1717" s="28" t="s">
        <v>35</v>
      </c>
      <c r="D1717" s="28" t="s">
        <v>38</v>
      </c>
      <c r="E1717" s="41">
        <v>46142</v>
      </c>
      <c r="F1717" s="47">
        <v>0.56527777777777777</v>
      </c>
      <c r="G1717" s="42">
        <v>6.3</v>
      </c>
      <c r="H1717" s="40" t="s">
        <v>237</v>
      </c>
      <c r="I1717" s="40" t="s">
        <v>1281</v>
      </c>
    </row>
    <row r="1718" spans="1:9" x14ac:dyDescent="0.25">
      <c r="A1718" s="40" t="s">
        <v>120</v>
      </c>
      <c r="B1718" s="28">
        <v>1981</v>
      </c>
      <c r="C1718" s="28" t="s">
        <v>35</v>
      </c>
      <c r="D1718" s="28" t="s">
        <v>38</v>
      </c>
      <c r="E1718" s="41">
        <v>46142</v>
      </c>
      <c r="F1718" s="47">
        <v>0.57362268518518522</v>
      </c>
      <c r="G1718" s="42">
        <v>6.3</v>
      </c>
      <c r="H1718" s="40" t="s">
        <v>240</v>
      </c>
      <c r="I1718" s="40" t="s">
        <v>1281</v>
      </c>
    </row>
    <row r="1719" spans="1:9" x14ac:dyDescent="0.25">
      <c r="A1719" s="40" t="s">
        <v>120</v>
      </c>
      <c r="B1719" s="28">
        <v>1981</v>
      </c>
      <c r="C1719" s="28" t="s">
        <v>35</v>
      </c>
      <c r="D1719" s="28" t="s">
        <v>38</v>
      </c>
      <c r="E1719" s="41">
        <v>46142</v>
      </c>
      <c r="F1719" s="47">
        <v>0.64755787037037038</v>
      </c>
      <c r="G1719" s="42">
        <v>6.3</v>
      </c>
      <c r="H1719" s="40" t="s">
        <v>241</v>
      </c>
      <c r="I1719" s="40" t="s">
        <v>1281</v>
      </c>
    </row>
    <row r="1720" spans="1:9" x14ac:dyDescent="0.25">
      <c r="A1720" s="40" t="s">
        <v>120</v>
      </c>
      <c r="B1720" s="28">
        <v>1981</v>
      </c>
      <c r="C1720" s="28" t="s">
        <v>35</v>
      </c>
      <c r="D1720" s="28" t="s">
        <v>38</v>
      </c>
      <c r="E1720" s="41">
        <v>46144</v>
      </c>
      <c r="F1720" s="47">
        <v>0.2779861111111111</v>
      </c>
      <c r="G1720" s="42">
        <v>6.3</v>
      </c>
      <c r="H1720" s="40" t="s">
        <v>237</v>
      </c>
      <c r="I1720" s="40" t="s">
        <v>1282</v>
      </c>
    </row>
    <row r="1721" spans="1:9" x14ac:dyDescent="0.25">
      <c r="A1721" s="40" t="s">
        <v>652</v>
      </c>
      <c r="B1721" s="28">
        <v>2005</v>
      </c>
      <c r="C1721" s="28">
        <v>5641605</v>
      </c>
      <c r="D1721" s="28"/>
      <c r="E1721" s="41">
        <v>46140</v>
      </c>
      <c r="F1721" s="47">
        <v>0.93910879629629629</v>
      </c>
      <c r="G1721" s="44">
        <v>6.3</v>
      </c>
      <c r="H1721" s="43" t="s">
        <v>235</v>
      </c>
      <c r="I1721" s="40" t="s">
        <v>1281</v>
      </c>
    </row>
    <row r="1722" spans="1:9" x14ac:dyDescent="0.25">
      <c r="A1722" s="40" t="s">
        <v>652</v>
      </c>
      <c r="B1722" s="28">
        <v>2005</v>
      </c>
      <c r="C1722" s="28">
        <v>5641605</v>
      </c>
      <c r="D1722" s="28" t="s">
        <v>36</v>
      </c>
      <c r="E1722" s="41">
        <v>46140</v>
      </c>
      <c r="F1722" s="47">
        <v>0.94597222222222221</v>
      </c>
      <c r="G1722" s="44">
        <v>6.3</v>
      </c>
      <c r="H1722" s="43" t="s">
        <v>239</v>
      </c>
      <c r="I1722" s="40" t="s">
        <v>1281</v>
      </c>
    </row>
    <row r="1723" spans="1:9" x14ac:dyDescent="0.25">
      <c r="A1723" s="40" t="s">
        <v>652</v>
      </c>
      <c r="B1723" s="28">
        <v>2005</v>
      </c>
      <c r="C1723" s="28">
        <v>5645755</v>
      </c>
      <c r="D1723" s="28" t="s">
        <v>36</v>
      </c>
      <c r="E1723" s="45">
        <v>46142</v>
      </c>
      <c r="F1723" s="48">
        <v>0.97665509259259264</v>
      </c>
      <c r="G1723" s="44">
        <v>6.3</v>
      </c>
      <c r="H1723" s="43" t="s">
        <v>235</v>
      </c>
      <c r="I1723" s="40" t="s">
        <v>1282</v>
      </c>
    </row>
    <row r="1724" spans="1:9" x14ac:dyDescent="0.25">
      <c r="A1724" s="40" t="s">
        <v>652</v>
      </c>
      <c r="B1724" s="28">
        <v>2005</v>
      </c>
      <c r="C1724" s="28">
        <v>5644348</v>
      </c>
      <c r="D1724" s="28" t="s">
        <v>37</v>
      </c>
      <c r="E1724" s="41">
        <v>46143</v>
      </c>
      <c r="F1724" s="47">
        <v>0.34739583333333335</v>
      </c>
      <c r="G1724" s="44">
        <v>6.3</v>
      </c>
      <c r="H1724" s="43" t="s">
        <v>237</v>
      </c>
      <c r="I1724" s="40" t="s">
        <v>1282</v>
      </c>
    </row>
    <row r="1725" spans="1:9" x14ac:dyDescent="0.25">
      <c r="A1725" s="40" t="s">
        <v>652</v>
      </c>
      <c r="B1725" s="28">
        <v>2005</v>
      </c>
      <c r="C1725" s="28">
        <v>5644348</v>
      </c>
      <c r="D1725" s="28" t="s">
        <v>37</v>
      </c>
      <c r="E1725" s="45">
        <v>46143</v>
      </c>
      <c r="F1725" s="48">
        <v>0.35315972222222225</v>
      </c>
      <c r="G1725" s="44">
        <v>6.3</v>
      </c>
      <c r="H1725" s="43" t="s">
        <v>234</v>
      </c>
      <c r="I1725" s="40" t="s">
        <v>1282</v>
      </c>
    </row>
    <row r="1726" spans="1:9" x14ac:dyDescent="0.25">
      <c r="A1726" s="40" t="s">
        <v>653</v>
      </c>
      <c r="B1726" s="28">
        <v>2014</v>
      </c>
      <c r="C1726" s="28">
        <v>5638974</v>
      </c>
      <c r="D1726" s="28"/>
      <c r="E1726" s="41">
        <v>46139</v>
      </c>
      <c r="F1726" s="47">
        <v>0.80487268518518518</v>
      </c>
      <c r="G1726" s="44">
        <v>6.3</v>
      </c>
      <c r="H1726" s="43" t="s">
        <v>237</v>
      </c>
      <c r="I1726" s="40" t="s">
        <v>1281</v>
      </c>
    </row>
    <row r="1727" spans="1:9" x14ac:dyDescent="0.25">
      <c r="A1727" s="40" t="s">
        <v>653</v>
      </c>
      <c r="B1727" s="28">
        <v>2014</v>
      </c>
      <c r="C1727" s="28" t="s">
        <v>35</v>
      </c>
      <c r="D1727" s="28" t="s">
        <v>38</v>
      </c>
      <c r="E1727" s="41">
        <v>46139</v>
      </c>
      <c r="F1727" s="47">
        <v>0.86315972222222226</v>
      </c>
      <c r="G1727" s="44">
        <v>6.3</v>
      </c>
      <c r="H1727" s="43" t="s">
        <v>237</v>
      </c>
      <c r="I1727" s="40" t="s">
        <v>1281</v>
      </c>
    </row>
    <row r="1728" spans="1:9" x14ac:dyDescent="0.25">
      <c r="A1728" s="40" t="s">
        <v>653</v>
      </c>
      <c r="B1728" s="28">
        <v>2014</v>
      </c>
      <c r="C1728" s="28" t="s">
        <v>35</v>
      </c>
      <c r="D1728" s="28" t="s">
        <v>38</v>
      </c>
      <c r="E1728" s="41">
        <v>46139</v>
      </c>
      <c r="F1728" s="47">
        <v>0.88694444444444442</v>
      </c>
      <c r="G1728" s="44">
        <v>6.3</v>
      </c>
      <c r="H1728" s="43" t="s">
        <v>234</v>
      </c>
      <c r="I1728" s="40" t="s">
        <v>1281</v>
      </c>
    </row>
    <row r="1729" spans="1:9" x14ac:dyDescent="0.25">
      <c r="A1729" s="40" t="s">
        <v>653</v>
      </c>
      <c r="B1729" s="28">
        <v>2014</v>
      </c>
      <c r="C1729" s="28">
        <v>5648545</v>
      </c>
      <c r="D1729" s="28"/>
      <c r="E1729" s="41">
        <v>46145</v>
      </c>
      <c r="F1729" s="47">
        <v>0.51950231481481479</v>
      </c>
      <c r="G1729" s="44">
        <v>6.3</v>
      </c>
      <c r="H1729" s="43" t="s">
        <v>235</v>
      </c>
      <c r="I1729" s="40" t="s">
        <v>1282</v>
      </c>
    </row>
    <row r="1730" spans="1:9" x14ac:dyDescent="0.25">
      <c r="A1730" s="40" t="s">
        <v>653</v>
      </c>
      <c r="B1730" s="28">
        <v>2014</v>
      </c>
      <c r="C1730" s="28">
        <v>5648811</v>
      </c>
      <c r="D1730" s="28"/>
      <c r="E1730" s="41">
        <v>46145</v>
      </c>
      <c r="F1730" s="47">
        <v>0.6446412037037037</v>
      </c>
      <c r="G1730" s="44">
        <v>6.3</v>
      </c>
      <c r="H1730" s="43" t="s">
        <v>235</v>
      </c>
      <c r="I1730" s="40" t="s">
        <v>1282</v>
      </c>
    </row>
    <row r="1731" spans="1:9" x14ac:dyDescent="0.25">
      <c r="A1731" s="40" t="s">
        <v>653</v>
      </c>
      <c r="B1731" s="28">
        <v>2014</v>
      </c>
      <c r="C1731" s="28">
        <v>5648811</v>
      </c>
      <c r="D1731" s="28"/>
      <c r="E1731" s="41">
        <v>46145</v>
      </c>
      <c r="F1731" s="47">
        <v>0.65184027777777775</v>
      </c>
      <c r="G1731" s="44">
        <v>6.3</v>
      </c>
      <c r="H1731" s="43" t="s">
        <v>236</v>
      </c>
      <c r="I1731" s="40" t="s">
        <v>1282</v>
      </c>
    </row>
    <row r="1732" spans="1:9" x14ac:dyDescent="0.25">
      <c r="A1732" s="40" t="s">
        <v>653</v>
      </c>
      <c r="B1732" s="28">
        <v>2014</v>
      </c>
      <c r="C1732" s="28" t="s">
        <v>35</v>
      </c>
      <c r="D1732" s="28" t="s">
        <v>38</v>
      </c>
      <c r="E1732" s="41">
        <v>46145</v>
      </c>
      <c r="F1732" s="47">
        <v>0.67386574074074079</v>
      </c>
      <c r="G1732" s="44">
        <v>6.3</v>
      </c>
      <c r="H1732" s="43" t="s">
        <v>237</v>
      </c>
      <c r="I1732" s="40" t="s">
        <v>1282</v>
      </c>
    </row>
    <row r="1733" spans="1:9" x14ac:dyDescent="0.25">
      <c r="A1733" s="40" t="s">
        <v>137</v>
      </c>
      <c r="B1733" s="28">
        <v>2020</v>
      </c>
      <c r="C1733" s="28">
        <v>5638923</v>
      </c>
      <c r="D1733" s="28"/>
      <c r="E1733" s="41">
        <v>46139</v>
      </c>
      <c r="F1733" s="47">
        <v>0.84475694444444449</v>
      </c>
      <c r="G1733" s="44">
        <v>6.3</v>
      </c>
      <c r="H1733" s="43" t="s">
        <v>235</v>
      </c>
      <c r="I1733" s="40" t="s">
        <v>1281</v>
      </c>
    </row>
    <row r="1734" spans="1:9" x14ac:dyDescent="0.25">
      <c r="A1734" s="40" t="s">
        <v>137</v>
      </c>
      <c r="B1734" s="28">
        <v>2020</v>
      </c>
      <c r="C1734" s="28">
        <v>5638923</v>
      </c>
      <c r="D1734" s="28"/>
      <c r="E1734" s="41">
        <v>46139</v>
      </c>
      <c r="F1734" s="47">
        <v>0.85180555555555559</v>
      </c>
      <c r="G1734" s="44">
        <v>6.3</v>
      </c>
      <c r="H1734" s="43" t="s">
        <v>239</v>
      </c>
      <c r="I1734" s="40" t="s">
        <v>1281</v>
      </c>
    </row>
    <row r="1735" spans="1:9" x14ac:dyDescent="0.25">
      <c r="A1735" s="40" t="s">
        <v>137</v>
      </c>
      <c r="B1735" s="28">
        <v>2020</v>
      </c>
      <c r="C1735" s="28">
        <v>5639675</v>
      </c>
      <c r="D1735" s="28"/>
      <c r="E1735" s="41">
        <v>46140</v>
      </c>
      <c r="F1735" s="47">
        <v>0.74618055555555551</v>
      </c>
      <c r="G1735" s="44">
        <v>6.3</v>
      </c>
      <c r="H1735" s="43" t="s">
        <v>237</v>
      </c>
      <c r="I1735" s="40" t="s">
        <v>1281</v>
      </c>
    </row>
    <row r="1736" spans="1:9" x14ac:dyDescent="0.25">
      <c r="A1736" s="40" t="s">
        <v>137</v>
      </c>
      <c r="B1736" s="28">
        <v>2020</v>
      </c>
      <c r="C1736" s="28">
        <v>5646941</v>
      </c>
      <c r="D1736" s="28"/>
      <c r="E1736" s="41">
        <v>46144</v>
      </c>
      <c r="F1736" s="47">
        <v>0.23309027777777777</v>
      </c>
      <c r="G1736" s="44">
        <v>6.3</v>
      </c>
      <c r="H1736" s="43" t="s">
        <v>237</v>
      </c>
      <c r="I1736" s="40" t="s">
        <v>1282</v>
      </c>
    </row>
    <row r="1737" spans="1:9" x14ac:dyDescent="0.25">
      <c r="A1737" s="40" t="s">
        <v>137</v>
      </c>
      <c r="B1737" s="28">
        <v>2020</v>
      </c>
      <c r="C1737" s="28" t="s">
        <v>35</v>
      </c>
      <c r="D1737" s="28" t="s">
        <v>38</v>
      </c>
      <c r="E1737" s="41">
        <v>46144</v>
      </c>
      <c r="F1737" s="47">
        <v>0.2550115740740741</v>
      </c>
      <c r="G1737" s="44">
        <v>6.3</v>
      </c>
      <c r="H1737" s="43" t="s">
        <v>236</v>
      </c>
      <c r="I1737" s="40" t="s">
        <v>1282</v>
      </c>
    </row>
    <row r="1738" spans="1:9" x14ac:dyDescent="0.25">
      <c r="A1738" s="40" t="s">
        <v>121</v>
      </c>
      <c r="B1738" s="28">
        <v>2030</v>
      </c>
      <c r="C1738" s="28">
        <v>5636921</v>
      </c>
      <c r="D1738" s="28"/>
      <c r="E1738" s="41">
        <v>46139</v>
      </c>
      <c r="F1738" s="47">
        <v>0.74151620370370375</v>
      </c>
      <c r="G1738" s="44">
        <v>6.3</v>
      </c>
      <c r="H1738" s="43" t="s">
        <v>235</v>
      </c>
      <c r="I1738" s="40" t="s">
        <v>1281</v>
      </c>
    </row>
    <row r="1739" spans="1:9" x14ac:dyDescent="0.25">
      <c r="A1739" s="40" t="s">
        <v>121</v>
      </c>
      <c r="B1739" s="28">
        <v>2030</v>
      </c>
      <c r="C1739" s="28">
        <v>5641360</v>
      </c>
      <c r="D1739" s="28"/>
      <c r="E1739" s="41">
        <v>46140</v>
      </c>
      <c r="F1739" s="47">
        <v>0.80394675925925929</v>
      </c>
      <c r="G1739" s="44">
        <v>6.3</v>
      </c>
      <c r="H1739" s="43" t="s">
        <v>234</v>
      </c>
      <c r="I1739" s="40" t="s">
        <v>1281</v>
      </c>
    </row>
    <row r="1740" spans="1:9" x14ac:dyDescent="0.25">
      <c r="A1740" s="40" t="s">
        <v>121</v>
      </c>
      <c r="B1740" s="28">
        <v>2030</v>
      </c>
      <c r="C1740" s="28">
        <v>5643023</v>
      </c>
      <c r="D1740" s="28"/>
      <c r="E1740" s="41">
        <v>46141</v>
      </c>
      <c r="F1740" s="47">
        <v>0.64686342592592594</v>
      </c>
      <c r="G1740" s="44">
        <v>6.3</v>
      </c>
      <c r="H1740" s="43" t="s">
        <v>235</v>
      </c>
      <c r="I1740" s="40" t="s">
        <v>1281</v>
      </c>
    </row>
    <row r="1741" spans="1:9" x14ac:dyDescent="0.25">
      <c r="A1741" s="40" t="s">
        <v>121</v>
      </c>
      <c r="B1741" s="28">
        <v>2030</v>
      </c>
      <c r="C1741" s="28">
        <v>5643023</v>
      </c>
      <c r="D1741" s="28"/>
      <c r="E1741" s="41">
        <v>46141</v>
      </c>
      <c r="F1741" s="47">
        <v>0.66048611111111111</v>
      </c>
      <c r="G1741" s="44">
        <v>6.3</v>
      </c>
      <c r="H1741" s="43" t="s">
        <v>236</v>
      </c>
      <c r="I1741" s="40" t="s">
        <v>1281</v>
      </c>
    </row>
    <row r="1742" spans="1:9" x14ac:dyDescent="0.25">
      <c r="A1742" s="40" t="s">
        <v>121</v>
      </c>
      <c r="B1742" s="28">
        <v>2030</v>
      </c>
      <c r="C1742" s="28">
        <v>5644251</v>
      </c>
      <c r="D1742" s="28"/>
      <c r="E1742" s="41">
        <v>46142</v>
      </c>
      <c r="F1742" s="47">
        <v>0.39984953703703702</v>
      </c>
      <c r="G1742" s="42">
        <v>6.3</v>
      </c>
      <c r="H1742" s="40" t="s">
        <v>235</v>
      </c>
      <c r="I1742" s="40" t="s">
        <v>1281</v>
      </c>
    </row>
    <row r="1743" spans="1:9" x14ac:dyDescent="0.25">
      <c r="A1743" s="40" t="s">
        <v>121</v>
      </c>
      <c r="B1743" s="28">
        <v>2030</v>
      </c>
      <c r="C1743" s="28">
        <v>5644251</v>
      </c>
      <c r="D1743" s="28"/>
      <c r="E1743" s="41">
        <v>46142</v>
      </c>
      <c r="F1743" s="47">
        <v>0.41386574074074073</v>
      </c>
      <c r="G1743" s="42">
        <v>6.3</v>
      </c>
      <c r="H1743" s="40" t="s">
        <v>239</v>
      </c>
      <c r="I1743" s="40" t="s">
        <v>1281</v>
      </c>
    </row>
    <row r="1744" spans="1:9" x14ac:dyDescent="0.25">
      <c r="A1744" s="40" t="s">
        <v>121</v>
      </c>
      <c r="B1744" s="28">
        <v>2030</v>
      </c>
      <c r="C1744" s="28">
        <v>5644747</v>
      </c>
      <c r="D1744" s="28"/>
      <c r="E1744" s="41">
        <v>46142</v>
      </c>
      <c r="F1744" s="47">
        <v>0.5853356481481482</v>
      </c>
      <c r="G1744" s="44">
        <v>6.3</v>
      </c>
      <c r="H1744" s="43" t="s">
        <v>237</v>
      </c>
      <c r="I1744" s="40" t="s">
        <v>1281</v>
      </c>
    </row>
    <row r="1745" spans="1:9" x14ac:dyDescent="0.25">
      <c r="A1745" s="40" t="s">
        <v>121</v>
      </c>
      <c r="B1745" s="28">
        <v>2030</v>
      </c>
      <c r="C1745" s="28">
        <v>5644747</v>
      </c>
      <c r="D1745" s="28"/>
      <c r="E1745" s="41">
        <v>46142</v>
      </c>
      <c r="F1745" s="47">
        <v>0.60236111111111112</v>
      </c>
      <c r="G1745" s="44">
        <v>6.3</v>
      </c>
      <c r="H1745" s="43" t="s">
        <v>234</v>
      </c>
      <c r="I1745" s="40" t="s">
        <v>1281</v>
      </c>
    </row>
    <row r="1746" spans="1:9" x14ac:dyDescent="0.25">
      <c r="A1746" s="40" t="s">
        <v>122</v>
      </c>
      <c r="B1746" s="28">
        <v>2039</v>
      </c>
      <c r="C1746" s="28">
        <v>5639113</v>
      </c>
      <c r="D1746" s="28"/>
      <c r="E1746" s="41">
        <v>46140</v>
      </c>
      <c r="F1746" s="47">
        <v>0.22062499999999999</v>
      </c>
      <c r="G1746" s="44">
        <v>6.3</v>
      </c>
      <c r="H1746" s="43" t="s">
        <v>237</v>
      </c>
      <c r="I1746" s="40" t="s">
        <v>1281</v>
      </c>
    </row>
    <row r="1747" spans="1:9" x14ac:dyDescent="0.25">
      <c r="A1747" s="40" t="s">
        <v>122</v>
      </c>
      <c r="B1747" s="28">
        <v>2039</v>
      </c>
      <c r="C1747" s="28">
        <v>5639113</v>
      </c>
      <c r="D1747" s="28"/>
      <c r="E1747" s="41">
        <v>46140</v>
      </c>
      <c r="F1747" s="47">
        <v>0.22590277777777779</v>
      </c>
      <c r="G1747" s="44">
        <v>6.3</v>
      </c>
      <c r="H1747" s="43" t="s">
        <v>234</v>
      </c>
      <c r="I1747" s="40" t="s">
        <v>1281</v>
      </c>
    </row>
    <row r="1748" spans="1:9" x14ac:dyDescent="0.25">
      <c r="A1748" s="40" t="s">
        <v>122</v>
      </c>
      <c r="B1748" s="28">
        <v>2039</v>
      </c>
      <c r="C1748" s="28" t="s">
        <v>35</v>
      </c>
      <c r="D1748" s="28" t="s">
        <v>38</v>
      </c>
      <c r="E1748" s="41">
        <v>46140</v>
      </c>
      <c r="F1748" s="47">
        <v>0.37947916666666665</v>
      </c>
      <c r="G1748" s="44">
        <v>6.3</v>
      </c>
      <c r="H1748" s="43" t="s">
        <v>236</v>
      </c>
      <c r="I1748" s="40" t="s">
        <v>1281</v>
      </c>
    </row>
    <row r="1749" spans="1:9" x14ac:dyDescent="0.25">
      <c r="A1749" s="40" t="s">
        <v>122</v>
      </c>
      <c r="B1749" s="28">
        <v>2039</v>
      </c>
      <c r="C1749" s="28" t="s">
        <v>35</v>
      </c>
      <c r="D1749" s="28" t="s">
        <v>38</v>
      </c>
      <c r="E1749" s="45">
        <v>46141</v>
      </c>
      <c r="F1749" s="48">
        <v>0.24900462962962963</v>
      </c>
      <c r="G1749" s="44">
        <v>6.3</v>
      </c>
      <c r="H1749" s="43" t="s">
        <v>235</v>
      </c>
      <c r="I1749" s="40" t="s">
        <v>1281</v>
      </c>
    </row>
    <row r="1750" spans="1:9" x14ac:dyDescent="0.25">
      <c r="A1750" s="40" t="s">
        <v>122</v>
      </c>
      <c r="B1750" s="28">
        <v>2039</v>
      </c>
      <c r="C1750" s="28" t="s">
        <v>35</v>
      </c>
      <c r="D1750" s="28" t="s">
        <v>38</v>
      </c>
      <c r="E1750" s="41">
        <v>46141</v>
      </c>
      <c r="F1750" s="47">
        <v>0.25923611111111111</v>
      </c>
      <c r="G1750" s="44">
        <v>6.3</v>
      </c>
      <c r="H1750" s="43" t="s">
        <v>236</v>
      </c>
      <c r="I1750" s="40" t="s">
        <v>1281</v>
      </c>
    </row>
    <row r="1751" spans="1:9" x14ac:dyDescent="0.25">
      <c r="A1751" s="40" t="s">
        <v>122</v>
      </c>
      <c r="B1751" s="28">
        <v>2039</v>
      </c>
      <c r="C1751" s="28" t="s">
        <v>35</v>
      </c>
      <c r="D1751" s="28" t="s">
        <v>38</v>
      </c>
      <c r="E1751" s="41">
        <v>46142</v>
      </c>
      <c r="F1751" s="47">
        <v>0.12895833333333334</v>
      </c>
      <c r="G1751" s="44">
        <v>6.3</v>
      </c>
      <c r="H1751" s="43" t="s">
        <v>233</v>
      </c>
      <c r="I1751" s="40" t="s">
        <v>1281</v>
      </c>
    </row>
    <row r="1752" spans="1:9" x14ac:dyDescent="0.25">
      <c r="A1752" s="40" t="s">
        <v>122</v>
      </c>
      <c r="B1752" s="28">
        <v>2039</v>
      </c>
      <c r="C1752" s="28" t="s">
        <v>35</v>
      </c>
      <c r="D1752" s="28" t="s">
        <v>38</v>
      </c>
      <c r="E1752" s="41">
        <v>46142</v>
      </c>
      <c r="F1752" s="47">
        <v>0.13409722222222223</v>
      </c>
      <c r="G1752" s="44">
        <v>6.3</v>
      </c>
      <c r="H1752" s="43" t="s">
        <v>234</v>
      </c>
      <c r="I1752" s="40" t="s">
        <v>1281</v>
      </c>
    </row>
    <row r="1753" spans="1:9" x14ac:dyDescent="0.25">
      <c r="A1753" s="40" t="s">
        <v>122</v>
      </c>
      <c r="B1753" s="28">
        <v>2039</v>
      </c>
      <c r="C1753" s="28" t="s">
        <v>35</v>
      </c>
      <c r="D1753" s="28" t="s">
        <v>38</v>
      </c>
      <c r="E1753" s="41">
        <v>46145</v>
      </c>
      <c r="F1753" s="47">
        <v>0.45895833333333336</v>
      </c>
      <c r="G1753" s="44">
        <v>6.3</v>
      </c>
      <c r="H1753" s="43" t="s">
        <v>235</v>
      </c>
      <c r="I1753" s="40" t="s">
        <v>1282</v>
      </c>
    </row>
    <row r="1754" spans="1:9" x14ac:dyDescent="0.25">
      <c r="A1754" s="40" t="s">
        <v>122</v>
      </c>
      <c r="B1754" s="28">
        <v>2039</v>
      </c>
      <c r="C1754" s="28" t="s">
        <v>35</v>
      </c>
      <c r="D1754" s="28" t="s">
        <v>38</v>
      </c>
      <c r="E1754" s="41">
        <v>46145</v>
      </c>
      <c r="F1754" s="47">
        <v>0.46555555555555556</v>
      </c>
      <c r="G1754" s="44">
        <v>6.3</v>
      </c>
      <c r="H1754" s="43" t="s">
        <v>239</v>
      </c>
      <c r="I1754" s="40" t="s">
        <v>1282</v>
      </c>
    </row>
    <row r="1755" spans="1:9" x14ac:dyDescent="0.25">
      <c r="A1755" s="40" t="s">
        <v>345</v>
      </c>
      <c r="B1755" s="28">
        <v>2051</v>
      </c>
      <c r="C1755" s="28" t="s">
        <v>654</v>
      </c>
      <c r="D1755" s="28"/>
      <c r="E1755" s="41">
        <v>46139</v>
      </c>
      <c r="F1755" s="47">
        <v>0.59604166666666669</v>
      </c>
      <c r="G1755" s="44">
        <v>6.3</v>
      </c>
      <c r="H1755" s="43" t="s">
        <v>236</v>
      </c>
      <c r="I1755" s="40" t="s">
        <v>1281</v>
      </c>
    </row>
    <row r="1756" spans="1:9" x14ac:dyDescent="0.25">
      <c r="A1756" s="40" t="s">
        <v>345</v>
      </c>
      <c r="B1756" s="28">
        <v>2051</v>
      </c>
      <c r="C1756" s="28" t="s">
        <v>654</v>
      </c>
      <c r="D1756" s="28"/>
      <c r="E1756" s="41">
        <v>46139</v>
      </c>
      <c r="F1756" s="47">
        <v>0.6253009259259259</v>
      </c>
      <c r="G1756" s="44">
        <v>6.3</v>
      </c>
      <c r="H1756" s="43" t="s">
        <v>237</v>
      </c>
      <c r="I1756" s="40" t="s">
        <v>1281</v>
      </c>
    </row>
    <row r="1757" spans="1:9" x14ac:dyDescent="0.25">
      <c r="A1757" s="40" t="s">
        <v>345</v>
      </c>
      <c r="B1757" s="28">
        <v>2051</v>
      </c>
      <c r="C1757" s="28" t="s">
        <v>35</v>
      </c>
      <c r="D1757" s="28" t="s">
        <v>38</v>
      </c>
      <c r="E1757" s="41">
        <v>46139</v>
      </c>
      <c r="F1757" s="47">
        <v>0.63096064814814812</v>
      </c>
      <c r="G1757" s="44">
        <v>6.3</v>
      </c>
      <c r="H1757" s="43" t="s">
        <v>234</v>
      </c>
      <c r="I1757" s="40" t="s">
        <v>1281</v>
      </c>
    </row>
    <row r="1758" spans="1:9" x14ac:dyDescent="0.25">
      <c r="A1758" s="40" t="s">
        <v>345</v>
      </c>
      <c r="B1758" s="28">
        <v>2051</v>
      </c>
      <c r="C1758" s="28" t="s">
        <v>655</v>
      </c>
      <c r="D1758" s="28"/>
      <c r="E1758" s="45">
        <v>46145</v>
      </c>
      <c r="F1758" s="48">
        <v>0.80041666666666667</v>
      </c>
      <c r="G1758" s="44">
        <v>6.3</v>
      </c>
      <c r="H1758" s="43" t="s">
        <v>235</v>
      </c>
      <c r="I1758" s="40" t="s">
        <v>1282</v>
      </c>
    </row>
    <row r="1759" spans="1:9" x14ac:dyDescent="0.25">
      <c r="A1759" s="40" t="s">
        <v>345</v>
      </c>
      <c r="B1759" s="28">
        <v>2051</v>
      </c>
      <c r="C1759" s="28" t="s">
        <v>655</v>
      </c>
      <c r="D1759" s="28"/>
      <c r="E1759" s="41">
        <v>46145</v>
      </c>
      <c r="F1759" s="47">
        <v>0.80662037037037038</v>
      </c>
      <c r="G1759" s="44">
        <v>6.3</v>
      </c>
      <c r="H1759" s="43" t="s">
        <v>239</v>
      </c>
      <c r="I1759" s="40" t="s">
        <v>1282</v>
      </c>
    </row>
    <row r="1760" spans="1:9" x14ac:dyDescent="0.25">
      <c r="A1760" s="40" t="s">
        <v>345</v>
      </c>
      <c r="B1760" s="28">
        <v>2051</v>
      </c>
      <c r="C1760" s="28" t="s">
        <v>35</v>
      </c>
      <c r="D1760" s="28" t="s">
        <v>38</v>
      </c>
      <c r="E1760" s="41">
        <v>46145</v>
      </c>
      <c r="F1760" s="47">
        <v>0.84144675925925927</v>
      </c>
      <c r="G1760" s="44">
        <v>6.3</v>
      </c>
      <c r="H1760" s="43" t="s">
        <v>233</v>
      </c>
      <c r="I1760" s="40" t="s">
        <v>1282</v>
      </c>
    </row>
    <row r="1761" spans="1:9" x14ac:dyDescent="0.25">
      <c r="A1761" s="40" t="s">
        <v>345</v>
      </c>
      <c r="B1761" s="28">
        <v>2051</v>
      </c>
      <c r="C1761" s="28" t="s">
        <v>35</v>
      </c>
      <c r="D1761" s="28" t="s">
        <v>38</v>
      </c>
      <c r="E1761" s="41">
        <v>46145</v>
      </c>
      <c r="F1761" s="47">
        <v>0.84695601851851854</v>
      </c>
      <c r="G1761" s="44">
        <v>6.3</v>
      </c>
      <c r="H1761" s="43" t="s">
        <v>234</v>
      </c>
      <c r="I1761" s="40" t="s">
        <v>1282</v>
      </c>
    </row>
    <row r="1762" spans="1:9" x14ac:dyDescent="0.25">
      <c r="A1762" s="40" t="s">
        <v>656</v>
      </c>
      <c r="B1762" s="28">
        <v>2060</v>
      </c>
      <c r="C1762" s="28" t="s">
        <v>35</v>
      </c>
      <c r="D1762" s="28" t="s">
        <v>38</v>
      </c>
      <c r="E1762" s="41">
        <v>46139</v>
      </c>
      <c r="F1762" s="47">
        <v>0.67152777777777772</v>
      </c>
      <c r="G1762" s="44">
        <v>6.3</v>
      </c>
      <c r="H1762" s="43" t="s">
        <v>234</v>
      </c>
      <c r="I1762" s="40" t="s">
        <v>1281</v>
      </c>
    </row>
    <row r="1763" spans="1:9" x14ac:dyDescent="0.25">
      <c r="A1763" s="40" t="s">
        <v>258</v>
      </c>
      <c r="B1763" s="28">
        <v>2118</v>
      </c>
      <c r="C1763" s="28">
        <v>10559187</v>
      </c>
      <c r="D1763" s="28"/>
      <c r="E1763" s="41">
        <v>46141</v>
      </c>
      <c r="F1763" s="47">
        <v>0.38424768518518521</v>
      </c>
      <c r="G1763" s="44">
        <v>6.3</v>
      </c>
      <c r="H1763" s="43" t="s">
        <v>235</v>
      </c>
      <c r="I1763" s="40" t="s">
        <v>1281</v>
      </c>
    </row>
    <row r="1764" spans="1:9" x14ac:dyDescent="0.25">
      <c r="A1764" s="40" t="s">
        <v>258</v>
      </c>
      <c r="B1764" s="28">
        <v>2118</v>
      </c>
      <c r="C1764" s="28" t="s">
        <v>35</v>
      </c>
      <c r="D1764" s="28" t="s">
        <v>38</v>
      </c>
      <c r="E1764" s="45">
        <v>46141</v>
      </c>
      <c r="F1764" s="48">
        <v>0.40439814814814817</v>
      </c>
      <c r="G1764" s="44">
        <v>6.3</v>
      </c>
      <c r="H1764" s="43" t="s">
        <v>236</v>
      </c>
      <c r="I1764" s="40" t="s">
        <v>1281</v>
      </c>
    </row>
    <row r="1765" spans="1:9" x14ac:dyDescent="0.25">
      <c r="A1765" s="40" t="s">
        <v>258</v>
      </c>
      <c r="B1765" s="28">
        <v>2118</v>
      </c>
      <c r="C1765" s="28" t="s">
        <v>657</v>
      </c>
      <c r="D1765" s="28"/>
      <c r="E1765" s="41">
        <v>46144</v>
      </c>
      <c r="F1765" s="47">
        <v>0.72491898148148148</v>
      </c>
      <c r="G1765" s="44">
        <v>6.3</v>
      </c>
      <c r="H1765" s="43" t="s">
        <v>234</v>
      </c>
      <c r="I1765" s="40" t="s">
        <v>1282</v>
      </c>
    </row>
    <row r="1766" spans="1:9" x14ac:dyDescent="0.25">
      <c r="A1766" s="40" t="s">
        <v>123</v>
      </c>
      <c r="B1766" s="28">
        <v>2168</v>
      </c>
      <c r="C1766" s="28">
        <v>5644111</v>
      </c>
      <c r="D1766" s="28"/>
      <c r="E1766" s="41">
        <v>46142</v>
      </c>
      <c r="F1766" s="47">
        <v>0.22724537037037038</v>
      </c>
      <c r="G1766" s="44">
        <v>6.3</v>
      </c>
      <c r="H1766" s="43" t="s">
        <v>238</v>
      </c>
      <c r="I1766" s="40" t="s">
        <v>1281</v>
      </c>
    </row>
    <row r="1767" spans="1:9" x14ac:dyDescent="0.25">
      <c r="A1767" s="40" t="s">
        <v>123</v>
      </c>
      <c r="B1767" s="28">
        <v>2168</v>
      </c>
      <c r="C1767" s="28">
        <v>5644111</v>
      </c>
      <c r="D1767" s="28"/>
      <c r="E1767" s="45">
        <v>46142</v>
      </c>
      <c r="F1767" s="48">
        <v>0.23185185185185186</v>
      </c>
      <c r="G1767" s="44">
        <v>6.3</v>
      </c>
      <c r="H1767" s="43" t="s">
        <v>234</v>
      </c>
      <c r="I1767" s="40" t="s">
        <v>1281</v>
      </c>
    </row>
    <row r="1768" spans="1:9" x14ac:dyDescent="0.25">
      <c r="A1768" s="40" t="s">
        <v>123</v>
      </c>
      <c r="B1768" s="28">
        <v>2168</v>
      </c>
      <c r="C1768" s="28">
        <v>5645454</v>
      </c>
      <c r="D1768" s="28" t="s">
        <v>37</v>
      </c>
      <c r="E1768" s="45">
        <v>46143</v>
      </c>
      <c r="F1768" s="48">
        <v>0.33501157407407406</v>
      </c>
      <c r="G1768" s="44">
        <v>6.3</v>
      </c>
      <c r="H1768" s="43" t="s">
        <v>237</v>
      </c>
      <c r="I1768" s="40" t="s">
        <v>1282</v>
      </c>
    </row>
    <row r="1769" spans="1:9" x14ac:dyDescent="0.25">
      <c r="A1769" s="40" t="s">
        <v>658</v>
      </c>
      <c r="B1769" s="28">
        <v>2186</v>
      </c>
      <c r="C1769" s="28">
        <v>5639990</v>
      </c>
      <c r="D1769" s="28"/>
      <c r="E1769" s="41">
        <v>46140</v>
      </c>
      <c r="F1769" s="47">
        <v>0.34274305555555556</v>
      </c>
      <c r="G1769" s="44">
        <v>6.3</v>
      </c>
      <c r="H1769" s="43" t="s">
        <v>236</v>
      </c>
      <c r="I1769" s="40" t="s">
        <v>1281</v>
      </c>
    </row>
    <row r="1770" spans="1:9" x14ac:dyDescent="0.25">
      <c r="A1770" s="40" t="s">
        <v>658</v>
      </c>
      <c r="B1770" s="28">
        <v>2186</v>
      </c>
      <c r="C1770" s="28">
        <v>5639605</v>
      </c>
      <c r="D1770" s="28"/>
      <c r="E1770" s="41">
        <v>46140</v>
      </c>
      <c r="F1770" s="47">
        <v>0.40538194444444442</v>
      </c>
      <c r="G1770" s="44">
        <v>6.3</v>
      </c>
      <c r="H1770" s="43" t="s">
        <v>237</v>
      </c>
      <c r="I1770" s="40" t="s">
        <v>1281</v>
      </c>
    </row>
    <row r="1771" spans="1:9" x14ac:dyDescent="0.25">
      <c r="A1771" s="40" t="s">
        <v>658</v>
      </c>
      <c r="B1771" s="28">
        <v>2186</v>
      </c>
      <c r="C1771" s="28">
        <v>5640141</v>
      </c>
      <c r="D1771" s="28"/>
      <c r="E1771" s="41">
        <v>46140</v>
      </c>
      <c r="F1771" s="47">
        <v>0.54379629629629633</v>
      </c>
      <c r="G1771" s="44">
        <v>6.3</v>
      </c>
      <c r="H1771" s="43" t="s">
        <v>236</v>
      </c>
      <c r="I1771" s="40" t="s">
        <v>1281</v>
      </c>
    </row>
    <row r="1772" spans="1:9" x14ac:dyDescent="0.25">
      <c r="A1772" s="40" t="s">
        <v>658</v>
      </c>
      <c r="B1772" s="28">
        <v>2186</v>
      </c>
      <c r="C1772" s="28">
        <v>5641308</v>
      </c>
      <c r="D1772" s="28"/>
      <c r="E1772" s="41">
        <v>46141</v>
      </c>
      <c r="F1772" s="47">
        <v>0.23061342592592593</v>
      </c>
      <c r="G1772" s="44">
        <v>6.3</v>
      </c>
      <c r="H1772" s="43" t="s">
        <v>236</v>
      </c>
      <c r="I1772" s="40" t="s">
        <v>1281</v>
      </c>
    </row>
    <row r="1773" spans="1:9" x14ac:dyDescent="0.25">
      <c r="A1773" s="40" t="s">
        <v>658</v>
      </c>
      <c r="B1773" s="28">
        <v>2186</v>
      </c>
      <c r="C1773" s="28">
        <v>5636644</v>
      </c>
      <c r="D1773" s="28"/>
      <c r="E1773" s="41">
        <v>46142</v>
      </c>
      <c r="F1773" s="47">
        <v>0.31846064814814817</v>
      </c>
      <c r="G1773" s="44">
        <v>6.3</v>
      </c>
      <c r="H1773" s="43" t="s">
        <v>235</v>
      </c>
      <c r="I1773" s="40" t="s">
        <v>1281</v>
      </c>
    </row>
    <row r="1774" spans="1:9" x14ac:dyDescent="0.25">
      <c r="A1774" s="40" t="s">
        <v>658</v>
      </c>
      <c r="B1774" s="28">
        <v>2186</v>
      </c>
      <c r="C1774" s="28">
        <v>5636644</v>
      </c>
      <c r="D1774" s="28"/>
      <c r="E1774" s="45">
        <v>46142</v>
      </c>
      <c r="F1774" s="48">
        <v>0.33153935185185185</v>
      </c>
      <c r="G1774" s="44">
        <v>6.3</v>
      </c>
      <c r="H1774" s="43" t="s">
        <v>236</v>
      </c>
      <c r="I1774" s="40" t="s">
        <v>1281</v>
      </c>
    </row>
    <row r="1775" spans="1:9" x14ac:dyDescent="0.25">
      <c r="A1775" s="40" t="s">
        <v>658</v>
      </c>
      <c r="B1775" s="28">
        <v>2186</v>
      </c>
      <c r="C1775" s="28">
        <v>5644327</v>
      </c>
      <c r="D1775" s="28" t="s">
        <v>37</v>
      </c>
      <c r="E1775" s="41">
        <v>46142</v>
      </c>
      <c r="F1775" s="47">
        <v>0.41341435185185182</v>
      </c>
      <c r="G1775" s="44">
        <v>6.3</v>
      </c>
      <c r="H1775" s="43" t="s">
        <v>237</v>
      </c>
      <c r="I1775" s="40" t="s">
        <v>1281</v>
      </c>
    </row>
    <row r="1776" spans="1:9" x14ac:dyDescent="0.25">
      <c r="A1776" s="40" t="s">
        <v>254</v>
      </c>
      <c r="B1776" s="28">
        <v>2189</v>
      </c>
      <c r="C1776" s="28">
        <v>5639121</v>
      </c>
      <c r="D1776" s="28"/>
      <c r="E1776" s="41">
        <v>46139</v>
      </c>
      <c r="F1776" s="47">
        <v>0.87402777777777774</v>
      </c>
      <c r="G1776" s="44">
        <v>6.3</v>
      </c>
      <c r="H1776" s="43" t="s">
        <v>235</v>
      </c>
      <c r="I1776" s="40" t="s">
        <v>1281</v>
      </c>
    </row>
    <row r="1777" spans="1:9" x14ac:dyDescent="0.25">
      <c r="A1777" s="40" t="s">
        <v>254</v>
      </c>
      <c r="B1777" s="28">
        <v>2189</v>
      </c>
      <c r="C1777" s="28">
        <v>5639121</v>
      </c>
      <c r="D1777" s="28"/>
      <c r="E1777" s="45">
        <v>46139</v>
      </c>
      <c r="F1777" s="48">
        <v>0.88149305555555557</v>
      </c>
      <c r="G1777" s="44">
        <v>6.3</v>
      </c>
      <c r="H1777" s="43" t="s">
        <v>236</v>
      </c>
      <c r="I1777" s="40" t="s">
        <v>1281</v>
      </c>
    </row>
    <row r="1778" spans="1:9" x14ac:dyDescent="0.25">
      <c r="A1778" s="40" t="s">
        <v>254</v>
      </c>
      <c r="B1778" s="28">
        <v>2189</v>
      </c>
      <c r="C1778" s="28">
        <v>5639352</v>
      </c>
      <c r="D1778" s="28"/>
      <c r="E1778" s="45">
        <v>46140</v>
      </c>
      <c r="F1778" s="48">
        <v>0.20759259259259261</v>
      </c>
      <c r="G1778" s="44">
        <v>6.3</v>
      </c>
      <c r="H1778" s="43" t="s">
        <v>235</v>
      </c>
      <c r="I1778" s="40" t="s">
        <v>1281</v>
      </c>
    </row>
    <row r="1779" spans="1:9" x14ac:dyDescent="0.25">
      <c r="A1779" s="40" t="s">
        <v>254</v>
      </c>
      <c r="B1779" s="28">
        <v>2189</v>
      </c>
      <c r="C1779" s="28">
        <v>5639352</v>
      </c>
      <c r="D1779" s="28"/>
      <c r="E1779" s="41">
        <v>46140</v>
      </c>
      <c r="F1779" s="47">
        <v>0.21462962962962964</v>
      </c>
      <c r="G1779" s="44">
        <v>6.3</v>
      </c>
      <c r="H1779" s="43" t="s">
        <v>236</v>
      </c>
      <c r="I1779" s="40" t="s">
        <v>1281</v>
      </c>
    </row>
    <row r="1780" spans="1:9" x14ac:dyDescent="0.25">
      <c r="A1780" s="40" t="s">
        <v>350</v>
      </c>
      <c r="B1780" s="28">
        <v>2210</v>
      </c>
      <c r="C1780" s="28">
        <v>10573291</v>
      </c>
      <c r="D1780" s="28"/>
      <c r="E1780" s="41">
        <v>46143</v>
      </c>
      <c r="F1780" s="47">
        <v>0.35685185185185186</v>
      </c>
      <c r="G1780" s="44">
        <v>6.3</v>
      </c>
      <c r="H1780" s="43" t="s">
        <v>237</v>
      </c>
      <c r="I1780" s="40" t="s">
        <v>1282</v>
      </c>
    </row>
    <row r="1781" spans="1:9" x14ac:dyDescent="0.25">
      <c r="A1781" s="40" t="s">
        <v>350</v>
      </c>
      <c r="B1781" s="28">
        <v>2210</v>
      </c>
      <c r="C1781" s="28">
        <v>10573291</v>
      </c>
      <c r="D1781" s="28"/>
      <c r="E1781" s="41">
        <v>46143</v>
      </c>
      <c r="F1781" s="47">
        <v>0.36251157407407408</v>
      </c>
      <c r="G1781" s="44">
        <v>6.3</v>
      </c>
      <c r="H1781" s="43" t="s">
        <v>234</v>
      </c>
      <c r="I1781" s="40" t="s">
        <v>1282</v>
      </c>
    </row>
    <row r="1782" spans="1:9" x14ac:dyDescent="0.25">
      <c r="A1782" s="40" t="s">
        <v>350</v>
      </c>
      <c r="B1782" s="28">
        <v>2210</v>
      </c>
      <c r="C1782" s="28">
        <v>10580000</v>
      </c>
      <c r="D1782" s="28" t="s">
        <v>36</v>
      </c>
      <c r="E1782" s="41">
        <v>46144</v>
      </c>
      <c r="F1782" s="47">
        <v>0.57804398148148151</v>
      </c>
      <c r="G1782" s="44">
        <v>6.3</v>
      </c>
      <c r="H1782" s="43" t="s">
        <v>235</v>
      </c>
      <c r="I1782" s="40" t="s">
        <v>1282</v>
      </c>
    </row>
    <row r="1783" spans="1:9" x14ac:dyDescent="0.25">
      <c r="A1783" s="40" t="s">
        <v>350</v>
      </c>
      <c r="B1783" s="28">
        <v>2210</v>
      </c>
      <c r="C1783" s="28">
        <v>10580000</v>
      </c>
      <c r="D1783" s="28" t="s">
        <v>36</v>
      </c>
      <c r="E1783" s="41">
        <v>46144</v>
      </c>
      <c r="F1783" s="47">
        <v>0.58594907407407404</v>
      </c>
      <c r="G1783" s="44">
        <v>6.3</v>
      </c>
      <c r="H1783" s="43" t="s">
        <v>236</v>
      </c>
      <c r="I1783" s="40" t="s">
        <v>1282</v>
      </c>
    </row>
    <row r="1784" spans="1:9" x14ac:dyDescent="0.25">
      <c r="A1784" s="40" t="s">
        <v>385</v>
      </c>
      <c r="B1784" s="28">
        <v>2218</v>
      </c>
      <c r="C1784" s="28">
        <v>5641519</v>
      </c>
      <c r="D1784" s="28"/>
      <c r="E1784" s="41">
        <v>46140</v>
      </c>
      <c r="F1784" s="47">
        <v>0.94297453703703704</v>
      </c>
      <c r="G1784" s="44">
        <v>6.3</v>
      </c>
      <c r="H1784" s="43" t="s">
        <v>237</v>
      </c>
      <c r="I1784" s="40" t="s">
        <v>1281</v>
      </c>
    </row>
    <row r="1785" spans="1:9" x14ac:dyDescent="0.25">
      <c r="A1785" s="40" t="s">
        <v>385</v>
      </c>
      <c r="B1785" s="28">
        <v>2218</v>
      </c>
      <c r="C1785" s="28">
        <v>5643677</v>
      </c>
      <c r="D1785" s="28"/>
      <c r="E1785" s="41">
        <v>46141</v>
      </c>
      <c r="F1785" s="47">
        <v>0.95177083333333334</v>
      </c>
      <c r="G1785" s="44">
        <v>6.3</v>
      </c>
      <c r="H1785" s="43" t="s">
        <v>234</v>
      </c>
      <c r="I1785" s="40" t="s">
        <v>1281</v>
      </c>
    </row>
    <row r="1786" spans="1:9" x14ac:dyDescent="0.25">
      <c r="A1786" s="40" t="s">
        <v>385</v>
      </c>
      <c r="B1786" s="28">
        <v>2218</v>
      </c>
      <c r="C1786" s="28">
        <v>5643729</v>
      </c>
      <c r="D1786" s="28"/>
      <c r="E1786" s="41">
        <v>46142</v>
      </c>
      <c r="F1786" s="47">
        <v>0.23233796296296297</v>
      </c>
      <c r="G1786" s="44">
        <v>6.3</v>
      </c>
      <c r="H1786" s="43" t="s">
        <v>237</v>
      </c>
      <c r="I1786" s="40" t="s">
        <v>1281</v>
      </c>
    </row>
    <row r="1787" spans="1:9" x14ac:dyDescent="0.25">
      <c r="A1787" s="40" t="s">
        <v>385</v>
      </c>
      <c r="B1787" s="28">
        <v>2218</v>
      </c>
      <c r="C1787" s="28">
        <v>5643729</v>
      </c>
      <c r="D1787" s="28"/>
      <c r="E1787" s="41">
        <v>46142</v>
      </c>
      <c r="F1787" s="47">
        <v>0.23878472222222222</v>
      </c>
      <c r="G1787" s="42">
        <v>6.3</v>
      </c>
      <c r="H1787" s="40" t="s">
        <v>234</v>
      </c>
      <c r="I1787" s="40" t="s">
        <v>1281</v>
      </c>
    </row>
    <row r="1788" spans="1:9" x14ac:dyDescent="0.25">
      <c r="A1788" s="40" t="s">
        <v>385</v>
      </c>
      <c r="B1788" s="28">
        <v>2218</v>
      </c>
      <c r="C1788" s="28">
        <v>5645557</v>
      </c>
      <c r="D1788" s="28" t="s">
        <v>37</v>
      </c>
      <c r="E1788" s="41">
        <v>46142</v>
      </c>
      <c r="F1788" s="47">
        <v>0.87269675925925927</v>
      </c>
      <c r="G1788" s="42">
        <v>6.3</v>
      </c>
      <c r="H1788" s="40" t="s">
        <v>236</v>
      </c>
      <c r="I1788" s="40" t="s">
        <v>1281</v>
      </c>
    </row>
    <row r="1789" spans="1:9" x14ac:dyDescent="0.25">
      <c r="A1789" s="40" t="s">
        <v>385</v>
      </c>
      <c r="B1789" s="28">
        <v>2218</v>
      </c>
      <c r="C1789" s="28">
        <v>5645915</v>
      </c>
      <c r="D1789" s="28"/>
      <c r="E1789" s="41">
        <v>46143</v>
      </c>
      <c r="F1789" s="47">
        <v>0.13222222222222221</v>
      </c>
      <c r="G1789" s="44">
        <v>6.3</v>
      </c>
      <c r="H1789" s="43" t="s">
        <v>238</v>
      </c>
      <c r="I1789" s="40" t="s">
        <v>1282</v>
      </c>
    </row>
    <row r="1790" spans="1:9" x14ac:dyDescent="0.25">
      <c r="A1790" s="40" t="s">
        <v>385</v>
      </c>
      <c r="B1790" s="28">
        <v>2218</v>
      </c>
      <c r="C1790" s="28" t="s">
        <v>35</v>
      </c>
      <c r="D1790" s="28" t="s">
        <v>38</v>
      </c>
      <c r="E1790" s="41">
        <v>46145</v>
      </c>
      <c r="F1790" s="47">
        <v>0.14199074074074075</v>
      </c>
      <c r="G1790" s="44">
        <v>6.3</v>
      </c>
      <c r="H1790" s="43" t="s">
        <v>237</v>
      </c>
      <c r="I1790" s="40" t="s">
        <v>1282</v>
      </c>
    </row>
    <row r="1791" spans="1:9" x14ac:dyDescent="0.25">
      <c r="A1791" s="40" t="s">
        <v>124</v>
      </c>
      <c r="B1791" s="28">
        <v>2220</v>
      </c>
      <c r="C1791" s="28">
        <v>5636642</v>
      </c>
      <c r="D1791" s="28"/>
      <c r="E1791" s="41">
        <v>46140</v>
      </c>
      <c r="F1791" s="47">
        <v>0.31509259259259259</v>
      </c>
      <c r="G1791" s="44">
        <v>6.3</v>
      </c>
      <c r="H1791" s="43" t="s">
        <v>235</v>
      </c>
      <c r="I1791" s="40" t="s">
        <v>1281</v>
      </c>
    </row>
    <row r="1792" spans="1:9" x14ac:dyDescent="0.25">
      <c r="A1792" s="40" t="s">
        <v>124</v>
      </c>
      <c r="B1792" s="28">
        <v>2220</v>
      </c>
      <c r="C1792" s="28">
        <v>5636642</v>
      </c>
      <c r="D1792" s="28"/>
      <c r="E1792" s="41">
        <v>46140</v>
      </c>
      <c r="F1792" s="47">
        <v>0.32870370370370372</v>
      </c>
      <c r="G1792" s="44">
        <v>6.3</v>
      </c>
      <c r="H1792" s="43" t="s">
        <v>236</v>
      </c>
      <c r="I1792" s="40" t="s">
        <v>1281</v>
      </c>
    </row>
    <row r="1793" spans="1:9" x14ac:dyDescent="0.25">
      <c r="A1793" s="40" t="s">
        <v>124</v>
      </c>
      <c r="B1793" s="28">
        <v>2220</v>
      </c>
      <c r="C1793" s="28">
        <v>5640635</v>
      </c>
      <c r="D1793" s="28"/>
      <c r="E1793" s="41">
        <v>46140</v>
      </c>
      <c r="F1793" s="47">
        <v>0.6724768518518518</v>
      </c>
      <c r="G1793" s="44">
        <v>6.3</v>
      </c>
      <c r="H1793" s="43" t="s">
        <v>235</v>
      </c>
      <c r="I1793" s="40" t="s">
        <v>1281</v>
      </c>
    </row>
    <row r="1794" spans="1:9" x14ac:dyDescent="0.25">
      <c r="A1794" s="40" t="s">
        <v>124</v>
      </c>
      <c r="B1794" s="28">
        <v>2220</v>
      </c>
      <c r="C1794" s="28" t="s">
        <v>35</v>
      </c>
      <c r="D1794" s="28" t="s">
        <v>38</v>
      </c>
      <c r="E1794" s="41">
        <v>46140</v>
      </c>
      <c r="F1794" s="47">
        <v>0.81182870370370375</v>
      </c>
      <c r="G1794" s="44">
        <v>6.3</v>
      </c>
      <c r="H1794" s="43" t="s">
        <v>239</v>
      </c>
      <c r="I1794" s="40" t="s">
        <v>1281</v>
      </c>
    </row>
    <row r="1795" spans="1:9" x14ac:dyDescent="0.25">
      <c r="A1795" s="40" t="s">
        <v>124</v>
      </c>
      <c r="B1795" s="28">
        <v>2220</v>
      </c>
      <c r="C1795" s="28" t="s">
        <v>35</v>
      </c>
      <c r="D1795" s="28" t="s">
        <v>38</v>
      </c>
      <c r="E1795" s="41">
        <v>46140</v>
      </c>
      <c r="F1795" s="47">
        <v>0.84354166666666663</v>
      </c>
      <c r="G1795" s="44">
        <v>6.3</v>
      </c>
      <c r="H1795" s="43" t="s">
        <v>233</v>
      </c>
      <c r="I1795" s="40" t="s">
        <v>1281</v>
      </c>
    </row>
    <row r="1796" spans="1:9" x14ac:dyDescent="0.25">
      <c r="A1796" s="40" t="s">
        <v>124</v>
      </c>
      <c r="B1796" s="28">
        <v>2220</v>
      </c>
      <c r="C1796" s="28">
        <v>5642822</v>
      </c>
      <c r="D1796" s="28"/>
      <c r="E1796" s="45">
        <v>46141</v>
      </c>
      <c r="F1796" s="48">
        <v>0.61539351851851853</v>
      </c>
      <c r="G1796" s="44">
        <v>6.3</v>
      </c>
      <c r="H1796" s="43" t="s">
        <v>235</v>
      </c>
      <c r="I1796" s="40" t="s">
        <v>1281</v>
      </c>
    </row>
    <row r="1797" spans="1:9" x14ac:dyDescent="0.25">
      <c r="A1797" s="40" t="s">
        <v>124</v>
      </c>
      <c r="B1797" s="28">
        <v>2220</v>
      </c>
      <c r="C1797" s="28">
        <v>5642822</v>
      </c>
      <c r="D1797" s="28"/>
      <c r="E1797" s="41">
        <v>46141</v>
      </c>
      <c r="F1797" s="47">
        <v>0.6321296296296296</v>
      </c>
      <c r="G1797" s="44">
        <v>6.3</v>
      </c>
      <c r="H1797" s="43" t="s">
        <v>236</v>
      </c>
      <c r="I1797" s="40" t="s">
        <v>1281</v>
      </c>
    </row>
    <row r="1798" spans="1:9" x14ac:dyDescent="0.25">
      <c r="A1798" s="40" t="s">
        <v>300</v>
      </c>
      <c r="B1798" s="28">
        <v>2246</v>
      </c>
      <c r="C1798" s="28">
        <v>5639608</v>
      </c>
      <c r="D1798" s="28" t="s">
        <v>37</v>
      </c>
      <c r="E1798" s="41">
        <v>46140</v>
      </c>
      <c r="F1798" s="47">
        <v>0.32821759259259259</v>
      </c>
      <c r="G1798" s="44">
        <v>6.3</v>
      </c>
      <c r="H1798" s="43" t="s">
        <v>237</v>
      </c>
      <c r="I1798" s="40" t="s">
        <v>1281</v>
      </c>
    </row>
    <row r="1799" spans="1:9" x14ac:dyDescent="0.25">
      <c r="A1799" s="40" t="s">
        <v>300</v>
      </c>
      <c r="B1799" s="28">
        <v>2246</v>
      </c>
      <c r="C1799" s="28">
        <v>5643638</v>
      </c>
      <c r="D1799" s="28"/>
      <c r="E1799" s="41">
        <v>46141</v>
      </c>
      <c r="F1799" s="47">
        <v>0.92046296296296293</v>
      </c>
      <c r="G1799" s="44">
        <v>6.3</v>
      </c>
      <c r="H1799" s="43" t="s">
        <v>234</v>
      </c>
      <c r="I1799" s="40" t="s">
        <v>1281</v>
      </c>
    </row>
    <row r="1800" spans="1:9" x14ac:dyDescent="0.25">
      <c r="A1800" s="40" t="s">
        <v>189</v>
      </c>
      <c r="B1800" s="28">
        <v>2275</v>
      </c>
      <c r="C1800" s="28">
        <v>5635814</v>
      </c>
      <c r="D1800" s="28"/>
      <c r="E1800" s="41">
        <v>46139</v>
      </c>
      <c r="F1800" s="47">
        <v>0.14179398148148148</v>
      </c>
      <c r="G1800" s="44">
        <v>6.3</v>
      </c>
      <c r="H1800" s="43" t="s">
        <v>237</v>
      </c>
      <c r="I1800" s="40" t="s">
        <v>1281</v>
      </c>
    </row>
    <row r="1801" spans="1:9" x14ac:dyDescent="0.25">
      <c r="A1801" s="40" t="s">
        <v>189</v>
      </c>
      <c r="B1801" s="28">
        <v>2275</v>
      </c>
      <c r="C1801" s="28">
        <v>5635814</v>
      </c>
      <c r="D1801" s="28"/>
      <c r="E1801" s="41">
        <v>46139</v>
      </c>
      <c r="F1801" s="47">
        <v>0.14744212962962963</v>
      </c>
      <c r="G1801" s="44">
        <v>6.3</v>
      </c>
      <c r="H1801" s="43" t="s">
        <v>234</v>
      </c>
      <c r="I1801" s="40" t="s">
        <v>1281</v>
      </c>
    </row>
    <row r="1802" spans="1:9" x14ac:dyDescent="0.25">
      <c r="A1802" s="40" t="s">
        <v>189</v>
      </c>
      <c r="B1802" s="28">
        <v>2275</v>
      </c>
      <c r="C1802" s="28" t="s">
        <v>659</v>
      </c>
      <c r="D1802" s="28"/>
      <c r="E1802" s="41">
        <v>46140</v>
      </c>
      <c r="F1802" s="47">
        <v>6.1828703703703705E-2</v>
      </c>
      <c r="G1802" s="44">
        <v>6.3</v>
      </c>
      <c r="H1802" s="43" t="s">
        <v>235</v>
      </c>
      <c r="I1802" s="40" t="s">
        <v>1281</v>
      </c>
    </row>
    <row r="1803" spans="1:9" x14ac:dyDescent="0.25">
      <c r="A1803" s="40" t="s">
        <v>189</v>
      </c>
      <c r="B1803" s="28">
        <v>2275</v>
      </c>
      <c r="C1803" s="28" t="s">
        <v>659</v>
      </c>
      <c r="D1803" s="28"/>
      <c r="E1803" s="41">
        <v>46140</v>
      </c>
      <c r="F1803" s="47">
        <v>6.9039351851851852E-2</v>
      </c>
      <c r="G1803" s="44">
        <v>6.3</v>
      </c>
      <c r="H1803" s="43" t="s">
        <v>236</v>
      </c>
      <c r="I1803" s="40" t="s">
        <v>1281</v>
      </c>
    </row>
    <row r="1804" spans="1:9" x14ac:dyDescent="0.25">
      <c r="A1804" s="40" t="s">
        <v>189</v>
      </c>
      <c r="B1804" s="28">
        <v>2275</v>
      </c>
      <c r="C1804" s="28">
        <v>5639565</v>
      </c>
      <c r="D1804" s="28" t="s">
        <v>37</v>
      </c>
      <c r="E1804" s="45">
        <v>46140</v>
      </c>
      <c r="F1804" s="48">
        <v>0.13501157407407408</v>
      </c>
      <c r="G1804" s="44">
        <v>6.3</v>
      </c>
      <c r="H1804" s="43" t="s">
        <v>238</v>
      </c>
      <c r="I1804" s="40" t="s">
        <v>1281</v>
      </c>
    </row>
    <row r="1805" spans="1:9" x14ac:dyDescent="0.25">
      <c r="A1805" s="40" t="s">
        <v>189</v>
      </c>
      <c r="B1805" s="28">
        <v>2275</v>
      </c>
      <c r="C1805" s="28">
        <v>5639565</v>
      </c>
      <c r="D1805" s="28" t="s">
        <v>37</v>
      </c>
      <c r="E1805" s="41">
        <v>46140</v>
      </c>
      <c r="F1805" s="47">
        <v>0.13954861111111111</v>
      </c>
      <c r="G1805" s="44">
        <v>6.3</v>
      </c>
      <c r="H1805" s="43" t="s">
        <v>234</v>
      </c>
      <c r="I1805" s="40" t="s">
        <v>1281</v>
      </c>
    </row>
    <row r="1806" spans="1:9" x14ac:dyDescent="0.25">
      <c r="A1806" s="40" t="s">
        <v>189</v>
      </c>
      <c r="B1806" s="28">
        <v>2275</v>
      </c>
      <c r="C1806" s="28" t="s">
        <v>660</v>
      </c>
      <c r="D1806" s="28"/>
      <c r="E1806" s="41">
        <v>46145</v>
      </c>
      <c r="F1806" s="47">
        <v>0.9231597222222222</v>
      </c>
      <c r="G1806" s="44">
        <v>6.3</v>
      </c>
      <c r="H1806" s="43" t="s">
        <v>235</v>
      </c>
      <c r="I1806" s="40" t="s">
        <v>1282</v>
      </c>
    </row>
    <row r="1807" spans="1:9" x14ac:dyDescent="0.25">
      <c r="A1807" s="40" t="s">
        <v>189</v>
      </c>
      <c r="B1807" s="28">
        <v>2275</v>
      </c>
      <c r="C1807" s="28" t="s">
        <v>660</v>
      </c>
      <c r="D1807" s="28"/>
      <c r="E1807" s="41">
        <v>46145</v>
      </c>
      <c r="F1807" s="47">
        <v>0.92969907407407404</v>
      </c>
      <c r="G1807" s="44">
        <v>6.3</v>
      </c>
      <c r="H1807" s="43" t="s">
        <v>239</v>
      </c>
      <c r="I1807" s="40" t="s">
        <v>1282</v>
      </c>
    </row>
    <row r="1808" spans="1:9" x14ac:dyDescent="0.25">
      <c r="A1808" s="40" t="s">
        <v>125</v>
      </c>
      <c r="B1808" s="28">
        <v>2278</v>
      </c>
      <c r="C1808" s="28" t="s">
        <v>35</v>
      </c>
      <c r="D1808" s="28" t="s">
        <v>38</v>
      </c>
      <c r="E1808" s="41">
        <v>46139</v>
      </c>
      <c r="F1808" s="47">
        <v>0.31657407407407406</v>
      </c>
      <c r="G1808" s="44">
        <v>6.3</v>
      </c>
      <c r="H1808" s="43" t="s">
        <v>242</v>
      </c>
      <c r="I1808" s="40" t="s">
        <v>1281</v>
      </c>
    </row>
    <row r="1809" spans="1:9" x14ac:dyDescent="0.25">
      <c r="A1809" s="40" t="s">
        <v>125</v>
      </c>
      <c r="B1809" s="28">
        <v>2278</v>
      </c>
      <c r="C1809" s="28">
        <v>5637633</v>
      </c>
      <c r="D1809" s="28"/>
      <c r="E1809" s="41">
        <v>46139</v>
      </c>
      <c r="F1809" s="47">
        <v>0.33538194444444447</v>
      </c>
      <c r="G1809" s="44">
        <v>6.3</v>
      </c>
      <c r="H1809" s="43" t="s">
        <v>236</v>
      </c>
      <c r="I1809" s="40" t="s">
        <v>1281</v>
      </c>
    </row>
    <row r="1810" spans="1:9" x14ac:dyDescent="0.25">
      <c r="A1810" s="40" t="s">
        <v>125</v>
      </c>
      <c r="B1810" s="28">
        <v>2278</v>
      </c>
      <c r="C1810" s="28">
        <v>5639499</v>
      </c>
      <c r="D1810" s="28"/>
      <c r="E1810" s="41">
        <v>46140</v>
      </c>
      <c r="F1810" s="47">
        <v>0.24600694444444443</v>
      </c>
      <c r="G1810" s="44">
        <v>6.3</v>
      </c>
      <c r="H1810" s="43" t="s">
        <v>235</v>
      </c>
      <c r="I1810" s="40" t="s">
        <v>1281</v>
      </c>
    </row>
    <row r="1811" spans="1:9" x14ac:dyDescent="0.25">
      <c r="A1811" s="40" t="s">
        <v>125</v>
      </c>
      <c r="B1811" s="28">
        <v>2278</v>
      </c>
      <c r="C1811" s="28" t="s">
        <v>35</v>
      </c>
      <c r="D1811" s="28" t="s">
        <v>38</v>
      </c>
      <c r="E1811" s="41">
        <v>46141</v>
      </c>
      <c r="F1811" s="47">
        <v>0.99619212962962966</v>
      </c>
      <c r="G1811" s="44">
        <v>6.3</v>
      </c>
      <c r="H1811" s="43" t="s">
        <v>235</v>
      </c>
      <c r="I1811" s="40" t="s">
        <v>1281</v>
      </c>
    </row>
    <row r="1812" spans="1:9" x14ac:dyDescent="0.25">
      <c r="A1812" s="40" t="s">
        <v>125</v>
      </c>
      <c r="B1812" s="28">
        <v>2278</v>
      </c>
      <c r="C1812" s="28" t="s">
        <v>35</v>
      </c>
      <c r="D1812" s="28" t="s">
        <v>38</v>
      </c>
      <c r="E1812" s="41">
        <v>46142</v>
      </c>
      <c r="F1812" s="47">
        <v>2.2685185185185187E-3</v>
      </c>
      <c r="G1812" s="44">
        <v>6.3</v>
      </c>
      <c r="H1812" s="43" t="s">
        <v>236</v>
      </c>
      <c r="I1812" s="40" t="s">
        <v>1281</v>
      </c>
    </row>
    <row r="1813" spans="1:9" x14ac:dyDescent="0.25">
      <c r="A1813" s="40" t="s">
        <v>125</v>
      </c>
      <c r="B1813" s="28">
        <v>2278</v>
      </c>
      <c r="C1813" s="28">
        <v>5645978</v>
      </c>
      <c r="D1813" s="28"/>
      <c r="E1813" s="41">
        <v>46143</v>
      </c>
      <c r="F1813" s="47">
        <v>0.11618055555555555</v>
      </c>
      <c r="G1813" s="44">
        <v>6.3</v>
      </c>
      <c r="H1813" s="43" t="s">
        <v>237</v>
      </c>
      <c r="I1813" s="40" t="s">
        <v>1282</v>
      </c>
    </row>
    <row r="1814" spans="1:9" x14ac:dyDescent="0.25">
      <c r="A1814" s="40" t="s">
        <v>125</v>
      </c>
      <c r="B1814" s="28">
        <v>2278</v>
      </c>
      <c r="C1814" s="28">
        <v>5645978</v>
      </c>
      <c r="D1814" s="28"/>
      <c r="E1814" s="41">
        <v>46143</v>
      </c>
      <c r="F1814" s="47">
        <v>0.12129629629629629</v>
      </c>
      <c r="G1814" s="44">
        <v>6.3</v>
      </c>
      <c r="H1814" s="43" t="s">
        <v>234</v>
      </c>
      <c r="I1814" s="40" t="s">
        <v>1282</v>
      </c>
    </row>
    <row r="1815" spans="1:9" x14ac:dyDescent="0.25">
      <c r="A1815" s="40" t="s">
        <v>125</v>
      </c>
      <c r="B1815" s="28">
        <v>2278</v>
      </c>
      <c r="C1815" s="28">
        <v>5646165</v>
      </c>
      <c r="D1815" s="28"/>
      <c r="E1815" s="41">
        <v>46143</v>
      </c>
      <c r="F1815" s="47">
        <v>0.43966435185185188</v>
      </c>
      <c r="G1815" s="44">
        <v>6.3</v>
      </c>
      <c r="H1815" s="43" t="s">
        <v>235</v>
      </c>
      <c r="I1815" s="40" t="s">
        <v>1282</v>
      </c>
    </row>
    <row r="1816" spans="1:9" x14ac:dyDescent="0.25">
      <c r="A1816" s="40" t="s">
        <v>125</v>
      </c>
      <c r="B1816" s="28">
        <v>2278</v>
      </c>
      <c r="C1816" s="28">
        <v>5646165</v>
      </c>
      <c r="D1816" s="28"/>
      <c r="E1816" s="41">
        <v>46143</v>
      </c>
      <c r="F1816" s="47">
        <v>0.44624999999999998</v>
      </c>
      <c r="G1816" s="44">
        <v>6.3</v>
      </c>
      <c r="H1816" s="43" t="s">
        <v>236</v>
      </c>
      <c r="I1816" s="40" t="s">
        <v>1282</v>
      </c>
    </row>
    <row r="1817" spans="1:9" x14ac:dyDescent="0.25">
      <c r="A1817" s="40" t="s">
        <v>125</v>
      </c>
      <c r="B1817" s="28">
        <v>2278</v>
      </c>
      <c r="C1817" s="28" t="s">
        <v>35</v>
      </c>
      <c r="D1817" s="28" t="s">
        <v>38</v>
      </c>
      <c r="E1817" s="41">
        <v>46145</v>
      </c>
      <c r="F1817" s="47">
        <v>0.98195601851851855</v>
      </c>
      <c r="G1817" s="44">
        <v>6.3</v>
      </c>
      <c r="H1817" s="43" t="s">
        <v>237</v>
      </c>
      <c r="I1817" s="40" t="s">
        <v>1282</v>
      </c>
    </row>
    <row r="1818" spans="1:9" x14ac:dyDescent="0.25">
      <c r="A1818" s="40" t="s">
        <v>126</v>
      </c>
      <c r="B1818" s="28">
        <v>2308</v>
      </c>
      <c r="C1818" s="28">
        <v>5648538</v>
      </c>
      <c r="D1818" s="28"/>
      <c r="E1818" s="41">
        <v>46145</v>
      </c>
      <c r="F1818" s="47">
        <v>0.60880787037037032</v>
      </c>
      <c r="G1818" s="44">
        <v>6.3</v>
      </c>
      <c r="H1818" s="43" t="s">
        <v>239</v>
      </c>
      <c r="I1818" s="40" t="s">
        <v>1282</v>
      </c>
    </row>
    <row r="1819" spans="1:9" x14ac:dyDescent="0.25">
      <c r="A1819" s="40" t="s">
        <v>184</v>
      </c>
      <c r="B1819" s="28">
        <v>2349</v>
      </c>
      <c r="C1819" s="28">
        <v>5641579</v>
      </c>
      <c r="D1819" s="28"/>
      <c r="E1819" s="41">
        <v>46140</v>
      </c>
      <c r="F1819" s="47">
        <v>0.98481481481481481</v>
      </c>
      <c r="G1819" s="44">
        <v>6.3</v>
      </c>
      <c r="H1819" s="43" t="s">
        <v>237</v>
      </c>
      <c r="I1819" s="40" t="s">
        <v>1281</v>
      </c>
    </row>
    <row r="1820" spans="1:9" x14ac:dyDescent="0.25">
      <c r="A1820" s="40" t="s">
        <v>184</v>
      </c>
      <c r="B1820" s="28">
        <v>2349</v>
      </c>
      <c r="C1820" s="28">
        <v>5645261</v>
      </c>
      <c r="D1820" s="28"/>
      <c r="E1820" s="41">
        <v>46143</v>
      </c>
      <c r="F1820" s="47">
        <v>0.32674768518518521</v>
      </c>
      <c r="G1820" s="44">
        <v>6.3</v>
      </c>
      <c r="H1820" s="43" t="s">
        <v>237</v>
      </c>
      <c r="I1820" s="40" t="s">
        <v>1282</v>
      </c>
    </row>
    <row r="1821" spans="1:9" x14ac:dyDescent="0.25">
      <c r="A1821" s="40" t="s">
        <v>351</v>
      </c>
      <c r="B1821" s="28">
        <v>2356</v>
      </c>
      <c r="C1821" s="28">
        <v>5637339</v>
      </c>
      <c r="D1821" s="28"/>
      <c r="E1821" s="41">
        <v>46139</v>
      </c>
      <c r="F1821" s="47">
        <v>0.14131944444444444</v>
      </c>
      <c r="G1821" s="44">
        <v>6.3</v>
      </c>
      <c r="H1821" s="43" t="s">
        <v>233</v>
      </c>
      <c r="I1821" s="40" t="s">
        <v>1281</v>
      </c>
    </row>
    <row r="1822" spans="1:9" x14ac:dyDescent="0.25">
      <c r="A1822" s="40" t="s">
        <v>351</v>
      </c>
      <c r="B1822" s="28">
        <v>2356</v>
      </c>
      <c r="C1822" s="28">
        <v>5637339</v>
      </c>
      <c r="D1822" s="28"/>
      <c r="E1822" s="41">
        <v>46139</v>
      </c>
      <c r="F1822" s="47">
        <v>0.1458912037037037</v>
      </c>
      <c r="G1822" s="44">
        <v>6.3</v>
      </c>
      <c r="H1822" s="43" t="s">
        <v>234</v>
      </c>
      <c r="I1822" s="40" t="s">
        <v>1281</v>
      </c>
    </row>
    <row r="1823" spans="1:9" x14ac:dyDescent="0.25">
      <c r="A1823" s="40" t="s">
        <v>351</v>
      </c>
      <c r="B1823" s="28">
        <v>2356</v>
      </c>
      <c r="C1823" s="28">
        <v>5636507</v>
      </c>
      <c r="D1823" s="28"/>
      <c r="E1823" s="45">
        <v>46139</v>
      </c>
      <c r="F1823" s="48">
        <v>0.31078703703703703</v>
      </c>
      <c r="G1823" s="44">
        <v>6.3</v>
      </c>
      <c r="H1823" s="43" t="s">
        <v>237</v>
      </c>
      <c r="I1823" s="40" t="s">
        <v>1281</v>
      </c>
    </row>
    <row r="1824" spans="1:9" x14ac:dyDescent="0.25">
      <c r="A1824" s="40" t="s">
        <v>351</v>
      </c>
      <c r="B1824" s="28">
        <v>2356</v>
      </c>
      <c r="C1824" s="28">
        <v>5636507</v>
      </c>
      <c r="D1824" s="28"/>
      <c r="E1824" s="41">
        <v>46139</v>
      </c>
      <c r="F1824" s="47">
        <v>0.32243055555555555</v>
      </c>
      <c r="G1824" s="42">
        <v>6.3</v>
      </c>
      <c r="H1824" s="40" t="s">
        <v>234</v>
      </c>
      <c r="I1824" s="40" t="s">
        <v>1281</v>
      </c>
    </row>
    <row r="1825" spans="1:9" x14ac:dyDescent="0.25">
      <c r="A1825" s="40" t="s">
        <v>351</v>
      </c>
      <c r="B1825" s="28">
        <v>2356</v>
      </c>
      <c r="C1825" s="28">
        <v>5637951</v>
      </c>
      <c r="D1825" s="28"/>
      <c r="E1825" s="41">
        <v>46139</v>
      </c>
      <c r="F1825" s="47">
        <v>0.38740740740740742</v>
      </c>
      <c r="G1825" s="44">
        <v>6.3</v>
      </c>
      <c r="H1825" s="43" t="s">
        <v>235</v>
      </c>
      <c r="I1825" s="40" t="s">
        <v>1281</v>
      </c>
    </row>
    <row r="1826" spans="1:9" x14ac:dyDescent="0.25">
      <c r="A1826" s="40" t="s">
        <v>351</v>
      </c>
      <c r="B1826" s="28">
        <v>2356</v>
      </c>
      <c r="C1826" s="28" t="s">
        <v>35</v>
      </c>
      <c r="D1826" s="28" t="s">
        <v>38</v>
      </c>
      <c r="E1826" s="45">
        <v>46139</v>
      </c>
      <c r="F1826" s="48">
        <v>0.4052546296296296</v>
      </c>
      <c r="G1826" s="44">
        <v>6.3</v>
      </c>
      <c r="H1826" s="43" t="s">
        <v>236</v>
      </c>
      <c r="I1826" s="40" t="s">
        <v>1281</v>
      </c>
    </row>
    <row r="1827" spans="1:9" x14ac:dyDescent="0.25">
      <c r="A1827" s="40" t="s">
        <v>351</v>
      </c>
      <c r="B1827" s="28">
        <v>2356</v>
      </c>
      <c r="C1827" s="28" t="s">
        <v>35</v>
      </c>
      <c r="D1827" s="28" t="s">
        <v>38</v>
      </c>
      <c r="E1827" s="41">
        <v>46139</v>
      </c>
      <c r="F1827" s="47">
        <v>0.43265046296296295</v>
      </c>
      <c r="G1827" s="44">
        <v>6.3</v>
      </c>
      <c r="H1827" s="43" t="s">
        <v>237</v>
      </c>
      <c r="I1827" s="40" t="s">
        <v>1281</v>
      </c>
    </row>
    <row r="1828" spans="1:9" x14ac:dyDescent="0.25">
      <c r="A1828" s="40" t="s">
        <v>351</v>
      </c>
      <c r="B1828" s="28">
        <v>2356</v>
      </c>
      <c r="C1828" s="28" t="s">
        <v>661</v>
      </c>
      <c r="D1828" s="28"/>
      <c r="E1828" s="45">
        <v>46141</v>
      </c>
      <c r="F1828" s="48">
        <v>0.25969907407407405</v>
      </c>
      <c r="G1828" s="44">
        <v>6.3</v>
      </c>
      <c r="H1828" s="43" t="s">
        <v>235</v>
      </c>
      <c r="I1828" s="40" t="s">
        <v>1281</v>
      </c>
    </row>
    <row r="1829" spans="1:9" x14ac:dyDescent="0.25">
      <c r="A1829" s="40" t="s">
        <v>351</v>
      </c>
      <c r="B1829" s="28">
        <v>2356</v>
      </c>
      <c r="C1829" s="28" t="s">
        <v>661</v>
      </c>
      <c r="D1829" s="28"/>
      <c r="E1829" s="41">
        <v>46141</v>
      </c>
      <c r="F1829" s="47">
        <v>0.26815972222222223</v>
      </c>
      <c r="G1829" s="44">
        <v>6.3</v>
      </c>
      <c r="H1829" s="43" t="s">
        <v>239</v>
      </c>
      <c r="I1829" s="40" t="s">
        <v>1281</v>
      </c>
    </row>
    <row r="1830" spans="1:9" x14ac:dyDescent="0.25">
      <c r="A1830" s="40" t="s">
        <v>351</v>
      </c>
      <c r="B1830" s="28">
        <v>2356</v>
      </c>
      <c r="C1830" s="28">
        <v>5642120</v>
      </c>
      <c r="D1830" s="28" t="s">
        <v>36</v>
      </c>
      <c r="E1830" s="41">
        <v>46141</v>
      </c>
      <c r="F1830" s="47">
        <v>0.37942129629629628</v>
      </c>
      <c r="G1830" s="44">
        <v>6.3</v>
      </c>
      <c r="H1830" s="43" t="s">
        <v>233</v>
      </c>
      <c r="I1830" s="40" t="s">
        <v>1281</v>
      </c>
    </row>
    <row r="1831" spans="1:9" x14ac:dyDescent="0.25">
      <c r="A1831" s="40" t="s">
        <v>351</v>
      </c>
      <c r="B1831" s="28">
        <v>2356</v>
      </c>
      <c r="C1831" s="28">
        <v>5642120</v>
      </c>
      <c r="D1831" s="28" t="s">
        <v>36</v>
      </c>
      <c r="E1831" s="41">
        <v>46141</v>
      </c>
      <c r="F1831" s="47">
        <v>0.39525462962962965</v>
      </c>
      <c r="G1831" s="44">
        <v>6.3</v>
      </c>
      <c r="H1831" s="43" t="s">
        <v>234</v>
      </c>
      <c r="I1831" s="40" t="s">
        <v>1281</v>
      </c>
    </row>
    <row r="1832" spans="1:9" x14ac:dyDescent="0.25">
      <c r="A1832" s="40" t="s">
        <v>351</v>
      </c>
      <c r="B1832" s="28">
        <v>2356</v>
      </c>
      <c r="C1832" s="28" t="s">
        <v>35</v>
      </c>
      <c r="D1832" s="28" t="s">
        <v>38</v>
      </c>
      <c r="E1832" s="41">
        <v>46142</v>
      </c>
      <c r="F1832" s="47">
        <v>0.84498842592592593</v>
      </c>
      <c r="G1832" s="44">
        <v>6.3</v>
      </c>
      <c r="H1832" s="43" t="s">
        <v>235</v>
      </c>
      <c r="I1832" s="40" t="s">
        <v>1281</v>
      </c>
    </row>
    <row r="1833" spans="1:9" x14ac:dyDescent="0.25">
      <c r="A1833" s="40" t="s">
        <v>351</v>
      </c>
      <c r="B1833" s="28">
        <v>2356</v>
      </c>
      <c r="C1833" s="28" t="s">
        <v>35</v>
      </c>
      <c r="D1833" s="28" t="s">
        <v>38</v>
      </c>
      <c r="E1833" s="45">
        <v>46142</v>
      </c>
      <c r="F1833" s="48">
        <v>0.8619444444444444</v>
      </c>
      <c r="G1833" s="44">
        <v>6.3</v>
      </c>
      <c r="H1833" s="43" t="s">
        <v>240</v>
      </c>
      <c r="I1833" s="40" t="s">
        <v>1281</v>
      </c>
    </row>
    <row r="1834" spans="1:9" x14ac:dyDescent="0.25">
      <c r="A1834" s="40" t="s">
        <v>351</v>
      </c>
      <c r="B1834" s="28">
        <v>2356</v>
      </c>
      <c r="C1834" s="28" t="s">
        <v>35</v>
      </c>
      <c r="D1834" s="28" t="s">
        <v>38</v>
      </c>
      <c r="E1834" s="41">
        <v>46142</v>
      </c>
      <c r="F1834" s="47">
        <v>0.93482638888888892</v>
      </c>
      <c r="G1834" s="42">
        <v>6.3</v>
      </c>
      <c r="H1834" s="40" t="s">
        <v>234</v>
      </c>
      <c r="I1834" s="40" t="s">
        <v>1281</v>
      </c>
    </row>
    <row r="1835" spans="1:9" x14ac:dyDescent="0.25">
      <c r="A1835" s="40" t="s">
        <v>351</v>
      </c>
      <c r="B1835" s="28">
        <v>2356</v>
      </c>
      <c r="C1835" s="28" t="s">
        <v>35</v>
      </c>
      <c r="D1835" s="28" t="s">
        <v>38</v>
      </c>
      <c r="E1835" s="41">
        <v>46143</v>
      </c>
      <c r="F1835" s="47">
        <v>2.2743055555555555E-2</v>
      </c>
      <c r="G1835" s="42">
        <v>6.3</v>
      </c>
      <c r="H1835" s="40" t="s">
        <v>235</v>
      </c>
      <c r="I1835" s="40" t="s">
        <v>1282</v>
      </c>
    </row>
    <row r="1836" spans="1:9" x14ac:dyDescent="0.25">
      <c r="A1836" s="40" t="s">
        <v>351</v>
      </c>
      <c r="B1836" s="28">
        <v>2356</v>
      </c>
      <c r="C1836" s="28" t="s">
        <v>35</v>
      </c>
      <c r="D1836" s="28" t="s">
        <v>38</v>
      </c>
      <c r="E1836" s="41">
        <v>46143</v>
      </c>
      <c r="F1836" s="47">
        <v>0.23876157407407408</v>
      </c>
      <c r="G1836" s="42">
        <v>6.3</v>
      </c>
      <c r="H1836" s="40" t="s">
        <v>241</v>
      </c>
      <c r="I1836" s="40" t="s">
        <v>1282</v>
      </c>
    </row>
    <row r="1837" spans="1:9" x14ac:dyDescent="0.25">
      <c r="A1837" s="40" t="s">
        <v>351</v>
      </c>
      <c r="B1837" s="28">
        <v>2356</v>
      </c>
      <c r="C1837" s="28" t="s">
        <v>35</v>
      </c>
      <c r="D1837" s="28" t="s">
        <v>38</v>
      </c>
      <c r="E1837" s="41">
        <v>46143</v>
      </c>
      <c r="F1837" s="47">
        <v>0.2416898148148148</v>
      </c>
      <c r="G1837" s="44">
        <v>6.3</v>
      </c>
      <c r="H1837" s="43" t="s">
        <v>234</v>
      </c>
      <c r="I1837" s="40" t="s">
        <v>1282</v>
      </c>
    </row>
    <row r="1838" spans="1:9" x14ac:dyDescent="0.25">
      <c r="A1838" s="40" t="s">
        <v>351</v>
      </c>
      <c r="B1838" s="28">
        <v>2356</v>
      </c>
      <c r="C1838" s="28">
        <v>5646060</v>
      </c>
      <c r="D1838" s="28"/>
      <c r="E1838" s="41">
        <v>46143</v>
      </c>
      <c r="F1838" s="47">
        <v>0.40021990740740743</v>
      </c>
      <c r="G1838" s="44">
        <v>6.3</v>
      </c>
      <c r="H1838" s="43" t="s">
        <v>235</v>
      </c>
      <c r="I1838" s="40" t="s">
        <v>1282</v>
      </c>
    </row>
    <row r="1839" spans="1:9" x14ac:dyDescent="0.25">
      <c r="A1839" s="40" t="s">
        <v>351</v>
      </c>
      <c r="B1839" s="28">
        <v>2356</v>
      </c>
      <c r="C1839" s="28" t="s">
        <v>662</v>
      </c>
      <c r="D1839" s="28"/>
      <c r="E1839" s="45">
        <v>46143</v>
      </c>
      <c r="F1839" s="48">
        <v>0.51833333333333331</v>
      </c>
      <c r="G1839" s="44">
        <v>6.3</v>
      </c>
      <c r="H1839" s="43" t="s">
        <v>235</v>
      </c>
      <c r="I1839" s="40" t="s">
        <v>1282</v>
      </c>
    </row>
    <row r="1840" spans="1:9" x14ac:dyDescent="0.25">
      <c r="A1840" s="40" t="s">
        <v>351</v>
      </c>
      <c r="B1840" s="28">
        <v>2356</v>
      </c>
      <c r="C1840" s="28" t="s">
        <v>662</v>
      </c>
      <c r="D1840" s="28"/>
      <c r="E1840" s="41">
        <v>46143</v>
      </c>
      <c r="F1840" s="47">
        <v>0.52550925925925929</v>
      </c>
      <c r="G1840" s="44">
        <v>6.3</v>
      </c>
      <c r="H1840" s="43" t="s">
        <v>236</v>
      </c>
      <c r="I1840" s="40" t="s">
        <v>1282</v>
      </c>
    </row>
    <row r="1841" spans="1:9" x14ac:dyDescent="0.25">
      <c r="A1841" s="40" t="s">
        <v>351</v>
      </c>
      <c r="B1841" s="28">
        <v>2356</v>
      </c>
      <c r="C1841" s="28" t="s">
        <v>663</v>
      </c>
      <c r="D1841" s="28"/>
      <c r="E1841" s="41">
        <v>46143</v>
      </c>
      <c r="F1841" s="47">
        <v>0.6454050925925926</v>
      </c>
      <c r="G1841" s="44">
        <v>6.3</v>
      </c>
      <c r="H1841" s="43" t="s">
        <v>235</v>
      </c>
      <c r="I1841" s="40" t="s">
        <v>1282</v>
      </c>
    </row>
    <row r="1842" spans="1:9" x14ac:dyDescent="0.25">
      <c r="A1842" s="40" t="s">
        <v>351</v>
      </c>
      <c r="B1842" s="28">
        <v>2356</v>
      </c>
      <c r="C1842" s="28" t="s">
        <v>663</v>
      </c>
      <c r="D1842" s="28"/>
      <c r="E1842" s="45">
        <v>46143</v>
      </c>
      <c r="F1842" s="48">
        <v>0.65192129629629625</v>
      </c>
      <c r="G1842" s="44">
        <v>6.3</v>
      </c>
      <c r="H1842" s="43" t="s">
        <v>236</v>
      </c>
      <c r="I1842" s="40" t="s">
        <v>1282</v>
      </c>
    </row>
    <row r="1843" spans="1:9" x14ac:dyDescent="0.25">
      <c r="A1843" s="40" t="s">
        <v>351</v>
      </c>
      <c r="B1843" s="28">
        <v>2356</v>
      </c>
      <c r="C1843" s="28" t="s">
        <v>35</v>
      </c>
      <c r="D1843" s="28" t="s">
        <v>38</v>
      </c>
      <c r="E1843" s="41">
        <v>46143</v>
      </c>
      <c r="F1843" s="47">
        <v>0.82819444444444446</v>
      </c>
      <c r="G1843" s="44">
        <v>6.3</v>
      </c>
      <c r="H1843" s="43" t="s">
        <v>235</v>
      </c>
      <c r="I1843" s="40" t="s">
        <v>1282</v>
      </c>
    </row>
    <row r="1844" spans="1:9" x14ac:dyDescent="0.25">
      <c r="A1844" s="40" t="s">
        <v>351</v>
      </c>
      <c r="B1844" s="28">
        <v>2356</v>
      </c>
      <c r="C1844" s="28" t="s">
        <v>35</v>
      </c>
      <c r="D1844" s="28" t="s">
        <v>38</v>
      </c>
      <c r="E1844" s="41">
        <v>46143</v>
      </c>
      <c r="F1844" s="47">
        <v>0.94825231481481487</v>
      </c>
      <c r="G1844" s="44">
        <v>6.3</v>
      </c>
      <c r="H1844" s="43" t="s">
        <v>234</v>
      </c>
      <c r="I1844" s="40" t="s">
        <v>1282</v>
      </c>
    </row>
    <row r="1845" spans="1:9" x14ac:dyDescent="0.25">
      <c r="A1845" s="40" t="s">
        <v>351</v>
      </c>
      <c r="B1845" s="28">
        <v>2356</v>
      </c>
      <c r="C1845" s="28" t="s">
        <v>35</v>
      </c>
      <c r="D1845" s="28" t="s">
        <v>38</v>
      </c>
      <c r="E1845" s="41">
        <v>46144</v>
      </c>
      <c r="F1845" s="47">
        <v>0.82878472222222221</v>
      </c>
      <c r="G1845" s="44">
        <v>6.3</v>
      </c>
      <c r="H1845" s="43" t="s">
        <v>235</v>
      </c>
      <c r="I1845" s="40" t="s">
        <v>1282</v>
      </c>
    </row>
    <row r="1846" spans="1:9" x14ac:dyDescent="0.25">
      <c r="A1846" s="40" t="s">
        <v>351</v>
      </c>
      <c r="B1846" s="28">
        <v>2356</v>
      </c>
      <c r="C1846" s="28" t="s">
        <v>35</v>
      </c>
      <c r="D1846" s="28" t="s">
        <v>38</v>
      </c>
      <c r="E1846" s="41">
        <v>46144</v>
      </c>
      <c r="F1846" s="47">
        <v>0.93390046296296292</v>
      </c>
      <c r="G1846" s="44">
        <v>6.3</v>
      </c>
      <c r="H1846" s="43" t="s">
        <v>233</v>
      </c>
      <c r="I1846" s="40" t="s">
        <v>1282</v>
      </c>
    </row>
    <row r="1847" spans="1:9" x14ac:dyDescent="0.25">
      <c r="A1847" s="40" t="s">
        <v>351</v>
      </c>
      <c r="B1847" s="28">
        <v>2356</v>
      </c>
      <c r="C1847" s="28" t="s">
        <v>35</v>
      </c>
      <c r="D1847" s="28" t="s">
        <v>38</v>
      </c>
      <c r="E1847" s="45">
        <v>46144</v>
      </c>
      <c r="F1847" s="48">
        <v>0.93884259259259262</v>
      </c>
      <c r="G1847" s="44">
        <v>6.3</v>
      </c>
      <c r="H1847" s="43" t="s">
        <v>234</v>
      </c>
      <c r="I1847" s="40" t="s">
        <v>1282</v>
      </c>
    </row>
    <row r="1848" spans="1:9" x14ac:dyDescent="0.25">
      <c r="A1848" s="40" t="s">
        <v>351</v>
      </c>
      <c r="B1848" s="28">
        <v>2356</v>
      </c>
      <c r="C1848" s="28" t="s">
        <v>35</v>
      </c>
      <c r="D1848" s="28" t="s">
        <v>38</v>
      </c>
      <c r="E1848" s="41">
        <v>46145</v>
      </c>
      <c r="F1848" s="47">
        <v>0.14707175925925925</v>
      </c>
      <c r="G1848" s="44">
        <v>6.3</v>
      </c>
      <c r="H1848" s="43" t="s">
        <v>235</v>
      </c>
      <c r="I1848" s="40" t="s">
        <v>1282</v>
      </c>
    </row>
    <row r="1849" spans="1:9" x14ac:dyDescent="0.25">
      <c r="A1849" s="40" t="s">
        <v>351</v>
      </c>
      <c r="B1849" s="28">
        <v>2356</v>
      </c>
      <c r="C1849" s="28" t="s">
        <v>35</v>
      </c>
      <c r="D1849" s="28" t="s">
        <v>38</v>
      </c>
      <c r="E1849" s="41">
        <v>46145</v>
      </c>
      <c r="F1849" s="47">
        <v>0.15156249999999999</v>
      </c>
      <c r="G1849" s="44">
        <v>6.3</v>
      </c>
      <c r="H1849" s="43" t="s">
        <v>240</v>
      </c>
      <c r="I1849" s="40" t="s">
        <v>1282</v>
      </c>
    </row>
    <row r="1850" spans="1:9" x14ac:dyDescent="0.25">
      <c r="A1850" s="40" t="s">
        <v>351</v>
      </c>
      <c r="B1850" s="28">
        <v>2356</v>
      </c>
      <c r="C1850" s="28">
        <v>5647253</v>
      </c>
      <c r="D1850" s="28"/>
      <c r="E1850" s="45">
        <v>46145</v>
      </c>
      <c r="F1850" s="48">
        <v>0.31414351851851852</v>
      </c>
      <c r="G1850" s="44">
        <v>6.3</v>
      </c>
      <c r="H1850" s="43" t="s">
        <v>237</v>
      </c>
      <c r="I1850" s="40" t="s">
        <v>1282</v>
      </c>
    </row>
    <row r="1851" spans="1:9" x14ac:dyDescent="0.25">
      <c r="A1851" s="40" t="s">
        <v>351</v>
      </c>
      <c r="B1851" s="28">
        <v>2356</v>
      </c>
      <c r="C1851" s="28">
        <v>5647253</v>
      </c>
      <c r="D1851" s="28"/>
      <c r="E1851" s="41">
        <v>46145</v>
      </c>
      <c r="F1851" s="47">
        <v>0.31976851851851851</v>
      </c>
      <c r="G1851" s="44">
        <v>6.3</v>
      </c>
      <c r="H1851" s="43" t="s">
        <v>234</v>
      </c>
      <c r="I1851" s="40" t="s">
        <v>1282</v>
      </c>
    </row>
    <row r="1852" spans="1:9" x14ac:dyDescent="0.25">
      <c r="A1852" s="40" t="s">
        <v>351</v>
      </c>
      <c r="B1852" s="28">
        <v>2356</v>
      </c>
      <c r="C1852" s="28" t="s">
        <v>35</v>
      </c>
      <c r="D1852" s="28" t="s">
        <v>38</v>
      </c>
      <c r="E1852" s="41">
        <v>46145</v>
      </c>
      <c r="F1852" s="47">
        <v>0.49542824074074077</v>
      </c>
      <c r="G1852" s="44">
        <v>6.3</v>
      </c>
      <c r="H1852" s="43" t="s">
        <v>235</v>
      </c>
      <c r="I1852" s="40" t="s">
        <v>1282</v>
      </c>
    </row>
    <row r="1853" spans="1:9" x14ac:dyDescent="0.25">
      <c r="A1853" s="40" t="s">
        <v>351</v>
      </c>
      <c r="B1853" s="28">
        <v>2356</v>
      </c>
      <c r="C1853" s="28" t="s">
        <v>35</v>
      </c>
      <c r="D1853" s="28" t="s">
        <v>38</v>
      </c>
      <c r="E1853" s="41">
        <v>46145</v>
      </c>
      <c r="F1853" s="47">
        <v>0.50233796296296296</v>
      </c>
      <c r="G1853" s="44">
        <v>6.3</v>
      </c>
      <c r="H1853" s="43" t="s">
        <v>236</v>
      </c>
      <c r="I1853" s="40" t="s">
        <v>1282</v>
      </c>
    </row>
    <row r="1854" spans="1:9" x14ac:dyDescent="0.25">
      <c r="A1854" s="40" t="s">
        <v>381</v>
      </c>
      <c r="B1854" s="28">
        <v>2394</v>
      </c>
      <c r="C1854" s="28">
        <v>5637707</v>
      </c>
      <c r="D1854" s="28"/>
      <c r="E1854" s="41">
        <v>46139</v>
      </c>
      <c r="F1854" s="47">
        <v>0.36687500000000001</v>
      </c>
      <c r="G1854" s="44">
        <v>6.3</v>
      </c>
      <c r="H1854" s="43" t="s">
        <v>237</v>
      </c>
      <c r="I1854" s="40" t="s">
        <v>1281</v>
      </c>
    </row>
    <row r="1855" spans="1:9" x14ac:dyDescent="0.25">
      <c r="A1855" s="40" t="s">
        <v>381</v>
      </c>
      <c r="B1855" s="28">
        <v>2394</v>
      </c>
      <c r="C1855" s="28">
        <v>5637707</v>
      </c>
      <c r="D1855" s="28"/>
      <c r="E1855" s="45">
        <v>46139</v>
      </c>
      <c r="F1855" s="48">
        <v>0.38018518518518518</v>
      </c>
      <c r="G1855" s="44">
        <v>6.3</v>
      </c>
      <c r="H1855" s="43" t="s">
        <v>234</v>
      </c>
      <c r="I1855" s="40" t="s">
        <v>1281</v>
      </c>
    </row>
    <row r="1856" spans="1:9" x14ac:dyDescent="0.25">
      <c r="A1856" s="40" t="s">
        <v>381</v>
      </c>
      <c r="B1856" s="28">
        <v>2394</v>
      </c>
      <c r="C1856" s="28">
        <v>5638665</v>
      </c>
      <c r="D1856" s="28"/>
      <c r="E1856" s="41">
        <v>46139</v>
      </c>
      <c r="F1856" s="47">
        <v>0.73743055555555559</v>
      </c>
      <c r="G1856" s="44">
        <v>6.3</v>
      </c>
      <c r="H1856" s="43" t="s">
        <v>234</v>
      </c>
      <c r="I1856" s="40" t="s">
        <v>1281</v>
      </c>
    </row>
    <row r="1857" spans="1:9" x14ac:dyDescent="0.25">
      <c r="A1857" s="40" t="s">
        <v>381</v>
      </c>
      <c r="B1857" s="28">
        <v>2394</v>
      </c>
      <c r="C1857" s="28">
        <v>5640713</v>
      </c>
      <c r="D1857" s="28"/>
      <c r="E1857" s="41">
        <v>46140</v>
      </c>
      <c r="F1857" s="47">
        <v>0.70844907407407409</v>
      </c>
      <c r="G1857" s="44">
        <v>6.3</v>
      </c>
      <c r="H1857" s="43" t="s">
        <v>235</v>
      </c>
      <c r="I1857" s="40" t="s">
        <v>1281</v>
      </c>
    </row>
    <row r="1858" spans="1:9" x14ac:dyDescent="0.25">
      <c r="A1858" s="40" t="s">
        <v>381</v>
      </c>
      <c r="B1858" s="28">
        <v>2394</v>
      </c>
      <c r="C1858" s="28" t="s">
        <v>35</v>
      </c>
      <c r="D1858" s="28" t="s">
        <v>38</v>
      </c>
      <c r="E1858" s="41">
        <v>46140</v>
      </c>
      <c r="F1858" s="47">
        <v>0.73576388888888888</v>
      </c>
      <c r="G1858" s="42">
        <v>6.3</v>
      </c>
      <c r="H1858" s="40" t="s">
        <v>233</v>
      </c>
      <c r="I1858" s="40" t="s">
        <v>1281</v>
      </c>
    </row>
    <row r="1859" spans="1:9" x14ac:dyDescent="0.25">
      <c r="A1859" s="40" t="s">
        <v>381</v>
      </c>
      <c r="B1859" s="28">
        <v>2394</v>
      </c>
      <c r="C1859" s="28">
        <v>5641004</v>
      </c>
      <c r="D1859" s="28"/>
      <c r="E1859" s="41">
        <v>46140</v>
      </c>
      <c r="F1859" s="47">
        <v>0.79553240740740738</v>
      </c>
      <c r="G1859" s="42">
        <v>6.3</v>
      </c>
      <c r="H1859" s="40" t="s">
        <v>236</v>
      </c>
      <c r="I1859" s="40" t="s">
        <v>1281</v>
      </c>
    </row>
    <row r="1860" spans="1:9" x14ac:dyDescent="0.25">
      <c r="A1860" s="40" t="s">
        <v>381</v>
      </c>
      <c r="B1860" s="28">
        <v>2394</v>
      </c>
      <c r="C1860" s="28" t="s">
        <v>35</v>
      </c>
      <c r="D1860" s="28" t="s">
        <v>38</v>
      </c>
      <c r="E1860" s="41">
        <v>46140</v>
      </c>
      <c r="F1860" s="47">
        <v>0.87605324074074076</v>
      </c>
      <c r="G1860" s="42">
        <v>6.3</v>
      </c>
      <c r="H1860" s="40" t="s">
        <v>237</v>
      </c>
      <c r="I1860" s="40" t="s">
        <v>1281</v>
      </c>
    </row>
    <row r="1861" spans="1:9" x14ac:dyDescent="0.25">
      <c r="A1861" s="40" t="s">
        <v>381</v>
      </c>
      <c r="B1861" s="28">
        <v>2394</v>
      </c>
      <c r="C1861" s="28" t="s">
        <v>35</v>
      </c>
      <c r="D1861" s="28" t="s">
        <v>38</v>
      </c>
      <c r="E1861" s="41">
        <v>46140</v>
      </c>
      <c r="F1861" s="47">
        <v>0.88736111111111116</v>
      </c>
      <c r="G1861" s="42">
        <v>6.3</v>
      </c>
      <c r="H1861" s="40" t="s">
        <v>234</v>
      </c>
      <c r="I1861" s="40" t="s">
        <v>1281</v>
      </c>
    </row>
    <row r="1862" spans="1:9" x14ac:dyDescent="0.25">
      <c r="A1862" s="40" t="s">
        <v>381</v>
      </c>
      <c r="B1862" s="28">
        <v>2394</v>
      </c>
      <c r="C1862" s="28" t="s">
        <v>35</v>
      </c>
      <c r="D1862" s="28" t="s">
        <v>38</v>
      </c>
      <c r="E1862" s="45">
        <v>46141</v>
      </c>
      <c r="F1862" s="48">
        <v>0.94128472222222226</v>
      </c>
      <c r="G1862" s="44">
        <v>6.3</v>
      </c>
      <c r="H1862" s="43" t="s">
        <v>233</v>
      </c>
      <c r="I1862" s="40" t="s">
        <v>1281</v>
      </c>
    </row>
    <row r="1863" spans="1:9" x14ac:dyDescent="0.25">
      <c r="A1863" s="40" t="s">
        <v>381</v>
      </c>
      <c r="B1863" s="28">
        <v>2394</v>
      </c>
      <c r="C1863" s="28" t="s">
        <v>35</v>
      </c>
      <c r="D1863" s="28" t="s">
        <v>38</v>
      </c>
      <c r="E1863" s="41">
        <v>46142</v>
      </c>
      <c r="F1863" s="47">
        <v>0.44888888888888889</v>
      </c>
      <c r="G1863" s="44">
        <v>6.3</v>
      </c>
      <c r="H1863" s="43" t="s">
        <v>235</v>
      </c>
      <c r="I1863" s="40" t="s">
        <v>1281</v>
      </c>
    </row>
    <row r="1864" spans="1:9" x14ac:dyDescent="0.25">
      <c r="A1864" s="40" t="s">
        <v>381</v>
      </c>
      <c r="B1864" s="28">
        <v>2394</v>
      </c>
      <c r="C1864" s="28">
        <v>5645742</v>
      </c>
      <c r="D1864" s="28" t="s">
        <v>37</v>
      </c>
      <c r="E1864" s="41">
        <v>46142</v>
      </c>
      <c r="F1864" s="47">
        <v>0.93341435185185184</v>
      </c>
      <c r="G1864" s="44">
        <v>6.3</v>
      </c>
      <c r="H1864" s="43" t="s">
        <v>233</v>
      </c>
      <c r="I1864" s="40" t="s">
        <v>1281</v>
      </c>
    </row>
    <row r="1865" spans="1:9" x14ac:dyDescent="0.25">
      <c r="A1865" s="40" t="s">
        <v>381</v>
      </c>
      <c r="B1865" s="28">
        <v>2394</v>
      </c>
      <c r="C1865" s="28" t="s">
        <v>35</v>
      </c>
      <c r="D1865" s="28" t="s">
        <v>38</v>
      </c>
      <c r="E1865" s="41">
        <v>46143</v>
      </c>
      <c r="F1865" s="47">
        <v>0.60722222222222222</v>
      </c>
      <c r="G1865" s="44">
        <v>6.3</v>
      </c>
      <c r="H1865" s="43" t="s">
        <v>238</v>
      </c>
      <c r="I1865" s="40" t="s">
        <v>1282</v>
      </c>
    </row>
    <row r="1866" spans="1:9" x14ac:dyDescent="0.25">
      <c r="A1866" s="40" t="s">
        <v>381</v>
      </c>
      <c r="B1866" s="28">
        <v>2394</v>
      </c>
      <c r="C1866" s="28" t="s">
        <v>35</v>
      </c>
      <c r="D1866" s="28" t="s">
        <v>38</v>
      </c>
      <c r="E1866" s="41">
        <v>46144</v>
      </c>
      <c r="F1866" s="47">
        <v>2.1145833333333332E-2</v>
      </c>
      <c r="G1866" s="44">
        <v>6.3</v>
      </c>
      <c r="H1866" s="43" t="s">
        <v>233</v>
      </c>
      <c r="I1866" s="40" t="s">
        <v>1282</v>
      </c>
    </row>
    <row r="1867" spans="1:9" x14ac:dyDescent="0.25">
      <c r="A1867" s="40" t="s">
        <v>381</v>
      </c>
      <c r="B1867" s="28">
        <v>2394</v>
      </c>
      <c r="C1867" s="28" t="s">
        <v>35</v>
      </c>
      <c r="D1867" s="28" t="s">
        <v>38</v>
      </c>
      <c r="E1867" s="41">
        <v>46145</v>
      </c>
      <c r="F1867" s="47">
        <v>0.50005787037037042</v>
      </c>
      <c r="G1867" s="44">
        <v>6.3</v>
      </c>
      <c r="H1867" s="43" t="s">
        <v>234</v>
      </c>
      <c r="I1867" s="40" t="s">
        <v>1282</v>
      </c>
    </row>
    <row r="1868" spans="1:9" x14ac:dyDescent="0.25">
      <c r="A1868" s="40" t="s">
        <v>381</v>
      </c>
      <c r="B1868" s="28">
        <v>2394</v>
      </c>
      <c r="C1868" s="28" t="s">
        <v>35</v>
      </c>
      <c r="D1868" s="28" t="s">
        <v>38</v>
      </c>
      <c r="E1868" s="41">
        <v>46145</v>
      </c>
      <c r="F1868" s="47">
        <v>0.91223379629629631</v>
      </c>
      <c r="G1868" s="44">
        <v>6.3</v>
      </c>
      <c r="H1868" s="43" t="s">
        <v>237</v>
      </c>
      <c r="I1868" s="40" t="s">
        <v>1282</v>
      </c>
    </row>
    <row r="1869" spans="1:9" x14ac:dyDescent="0.25">
      <c r="A1869" s="40" t="s">
        <v>250</v>
      </c>
      <c r="B1869" s="28">
        <v>2416</v>
      </c>
      <c r="C1869" s="28" t="s">
        <v>35</v>
      </c>
      <c r="D1869" s="28" t="s">
        <v>38</v>
      </c>
      <c r="E1869" s="41">
        <v>46141</v>
      </c>
      <c r="F1869" s="47">
        <v>0.84961805555555558</v>
      </c>
      <c r="G1869" s="44">
        <v>6.3</v>
      </c>
      <c r="H1869" s="43" t="s">
        <v>233</v>
      </c>
      <c r="I1869" s="40" t="s">
        <v>1281</v>
      </c>
    </row>
    <row r="1870" spans="1:9" x14ac:dyDescent="0.25">
      <c r="A1870" s="40" t="s">
        <v>250</v>
      </c>
      <c r="B1870" s="28">
        <v>2416</v>
      </c>
      <c r="C1870" s="28">
        <v>5643922</v>
      </c>
      <c r="D1870" s="28" t="s">
        <v>36</v>
      </c>
      <c r="E1870" s="41">
        <v>46142</v>
      </c>
      <c r="F1870" s="47">
        <v>0.32341435185185186</v>
      </c>
      <c r="G1870" s="44">
        <v>6.3</v>
      </c>
      <c r="H1870" s="43" t="s">
        <v>234</v>
      </c>
      <c r="I1870" s="40" t="s">
        <v>1281</v>
      </c>
    </row>
    <row r="1871" spans="1:9" x14ac:dyDescent="0.25">
      <c r="A1871" s="40" t="s">
        <v>250</v>
      </c>
      <c r="B1871" s="28">
        <v>2416</v>
      </c>
      <c r="C1871" s="28">
        <v>5646938</v>
      </c>
      <c r="D1871" s="28"/>
      <c r="E1871" s="41">
        <v>46144</v>
      </c>
      <c r="F1871" s="47">
        <v>0.26443287037037039</v>
      </c>
      <c r="G1871" s="42">
        <v>6.3</v>
      </c>
      <c r="H1871" s="40" t="s">
        <v>239</v>
      </c>
      <c r="I1871" s="40" t="s">
        <v>1282</v>
      </c>
    </row>
    <row r="1872" spans="1:9" x14ac:dyDescent="0.25">
      <c r="A1872" s="40" t="s">
        <v>664</v>
      </c>
      <c r="B1872" s="28">
        <v>2446</v>
      </c>
      <c r="C1872" s="28">
        <v>5637558</v>
      </c>
      <c r="D1872" s="28"/>
      <c r="E1872" s="41">
        <v>46139</v>
      </c>
      <c r="F1872" s="47">
        <v>0.43217592592592591</v>
      </c>
      <c r="G1872" s="42">
        <v>6.3</v>
      </c>
      <c r="H1872" s="40" t="s">
        <v>237</v>
      </c>
      <c r="I1872" s="40" t="s">
        <v>1281</v>
      </c>
    </row>
    <row r="1873" spans="1:9" x14ac:dyDescent="0.25">
      <c r="A1873" s="40" t="s">
        <v>664</v>
      </c>
      <c r="B1873" s="28">
        <v>2446</v>
      </c>
      <c r="C1873" s="28">
        <v>5640310</v>
      </c>
      <c r="D1873" s="28"/>
      <c r="E1873" s="41">
        <v>46140</v>
      </c>
      <c r="F1873" s="47">
        <v>0.51459490740740743</v>
      </c>
      <c r="G1873" s="42">
        <v>6.3</v>
      </c>
      <c r="H1873" s="40" t="s">
        <v>237</v>
      </c>
      <c r="I1873" s="40" t="s">
        <v>1281</v>
      </c>
    </row>
    <row r="1874" spans="1:9" x14ac:dyDescent="0.25">
      <c r="A1874" s="40" t="s">
        <v>664</v>
      </c>
      <c r="B1874" s="28">
        <v>2446</v>
      </c>
      <c r="C1874" s="28">
        <v>5640310</v>
      </c>
      <c r="D1874" s="28"/>
      <c r="E1874" s="41">
        <v>46140</v>
      </c>
      <c r="F1874" s="47">
        <v>0.52135416666666667</v>
      </c>
      <c r="G1874" s="42">
        <v>6.3</v>
      </c>
      <c r="H1874" s="40" t="s">
        <v>234</v>
      </c>
      <c r="I1874" s="40" t="s">
        <v>1281</v>
      </c>
    </row>
    <row r="1875" spans="1:9" x14ac:dyDescent="0.25">
      <c r="A1875" s="40" t="s">
        <v>127</v>
      </c>
      <c r="B1875" s="28">
        <v>2463</v>
      </c>
      <c r="C1875" s="28">
        <v>5638952</v>
      </c>
      <c r="D1875" s="28"/>
      <c r="E1875" s="41">
        <v>46139</v>
      </c>
      <c r="F1875" s="47">
        <v>0.75532407407407409</v>
      </c>
      <c r="G1875" s="42">
        <v>6.3</v>
      </c>
      <c r="H1875" s="40" t="s">
        <v>235</v>
      </c>
      <c r="I1875" s="40" t="s">
        <v>1281</v>
      </c>
    </row>
    <row r="1876" spans="1:9" x14ac:dyDescent="0.25">
      <c r="A1876" s="40" t="s">
        <v>127</v>
      </c>
      <c r="B1876" s="28">
        <v>2463</v>
      </c>
      <c r="C1876" s="28">
        <v>5638952</v>
      </c>
      <c r="D1876" s="28"/>
      <c r="E1876" s="41">
        <v>46139</v>
      </c>
      <c r="F1876" s="47">
        <v>0.77121527777777776</v>
      </c>
      <c r="G1876" s="44">
        <v>6.3</v>
      </c>
      <c r="H1876" s="43" t="s">
        <v>236</v>
      </c>
      <c r="I1876" s="40" t="s">
        <v>1281</v>
      </c>
    </row>
    <row r="1877" spans="1:9" x14ac:dyDescent="0.25">
      <c r="A1877" s="40" t="s">
        <v>127</v>
      </c>
      <c r="B1877" s="28">
        <v>2463</v>
      </c>
      <c r="C1877" s="28" t="s">
        <v>665</v>
      </c>
      <c r="D1877" s="28"/>
      <c r="E1877" s="41">
        <v>46140</v>
      </c>
      <c r="F1877" s="47">
        <v>2.8564814814814814E-2</v>
      </c>
      <c r="G1877" s="44">
        <v>6.3</v>
      </c>
      <c r="H1877" s="43" t="s">
        <v>235</v>
      </c>
      <c r="I1877" s="40" t="s">
        <v>1281</v>
      </c>
    </row>
    <row r="1878" spans="1:9" x14ac:dyDescent="0.25">
      <c r="A1878" s="40" t="s">
        <v>127</v>
      </c>
      <c r="B1878" s="28">
        <v>2463</v>
      </c>
      <c r="C1878" s="28" t="s">
        <v>666</v>
      </c>
      <c r="D1878" s="28"/>
      <c r="E1878" s="41">
        <v>46141</v>
      </c>
      <c r="F1878" s="47">
        <v>0.45613425925925927</v>
      </c>
      <c r="G1878" s="44">
        <v>6.3</v>
      </c>
      <c r="H1878" s="43" t="s">
        <v>235</v>
      </c>
      <c r="I1878" s="40" t="s">
        <v>1281</v>
      </c>
    </row>
    <row r="1879" spans="1:9" x14ac:dyDescent="0.25">
      <c r="A1879" s="40" t="s">
        <v>127</v>
      </c>
      <c r="B1879" s="28">
        <v>2463</v>
      </c>
      <c r="C1879" s="28" t="s">
        <v>666</v>
      </c>
      <c r="D1879" s="28"/>
      <c r="E1879" s="41">
        <v>46141</v>
      </c>
      <c r="F1879" s="47">
        <v>0.46511574074074075</v>
      </c>
      <c r="G1879" s="44">
        <v>6.3</v>
      </c>
      <c r="H1879" s="43" t="s">
        <v>239</v>
      </c>
      <c r="I1879" s="40" t="s">
        <v>1281</v>
      </c>
    </row>
    <row r="1880" spans="1:9" x14ac:dyDescent="0.25">
      <c r="A1880" s="40" t="s">
        <v>127</v>
      </c>
      <c r="B1880" s="28">
        <v>2463</v>
      </c>
      <c r="C1880" s="28">
        <v>10558936</v>
      </c>
      <c r="D1880" s="28"/>
      <c r="E1880" s="41">
        <v>46141</v>
      </c>
      <c r="F1880" s="47">
        <v>0.52703703703703708</v>
      </c>
      <c r="G1880" s="44">
        <v>6.3</v>
      </c>
      <c r="H1880" s="43" t="s">
        <v>237</v>
      </c>
      <c r="I1880" s="40" t="s">
        <v>1281</v>
      </c>
    </row>
    <row r="1881" spans="1:9" x14ac:dyDescent="0.25">
      <c r="A1881" s="40" t="s">
        <v>127</v>
      </c>
      <c r="B1881" s="28">
        <v>2463</v>
      </c>
      <c r="C1881" s="28">
        <v>10558936</v>
      </c>
      <c r="D1881" s="28"/>
      <c r="E1881" s="41">
        <v>46141</v>
      </c>
      <c r="F1881" s="47">
        <v>0.53554398148148152</v>
      </c>
      <c r="G1881" s="44">
        <v>6.3</v>
      </c>
      <c r="H1881" s="43" t="s">
        <v>234</v>
      </c>
      <c r="I1881" s="40" t="s">
        <v>1281</v>
      </c>
    </row>
    <row r="1882" spans="1:9" x14ac:dyDescent="0.25">
      <c r="A1882" s="40" t="s">
        <v>127</v>
      </c>
      <c r="B1882" s="28">
        <v>2463</v>
      </c>
      <c r="C1882" s="28">
        <v>5642561</v>
      </c>
      <c r="D1882" s="28"/>
      <c r="E1882" s="41">
        <v>46141</v>
      </c>
      <c r="F1882" s="47">
        <v>0.66396990740740736</v>
      </c>
      <c r="G1882" s="44">
        <v>6.3</v>
      </c>
      <c r="H1882" s="43" t="s">
        <v>235</v>
      </c>
      <c r="I1882" s="40" t="s">
        <v>1281</v>
      </c>
    </row>
    <row r="1883" spans="1:9" x14ac:dyDescent="0.25">
      <c r="A1883" s="40" t="s">
        <v>127</v>
      </c>
      <c r="B1883" s="28">
        <v>2463</v>
      </c>
      <c r="C1883" s="28">
        <v>5642561</v>
      </c>
      <c r="D1883" s="28"/>
      <c r="E1883" s="45">
        <v>46141</v>
      </c>
      <c r="F1883" s="48">
        <v>0.67700231481481477</v>
      </c>
      <c r="G1883" s="44">
        <v>6.3</v>
      </c>
      <c r="H1883" s="43" t="s">
        <v>236</v>
      </c>
      <c r="I1883" s="40" t="s">
        <v>1281</v>
      </c>
    </row>
    <row r="1884" spans="1:9" x14ac:dyDescent="0.25">
      <c r="A1884" s="40" t="s">
        <v>127</v>
      </c>
      <c r="B1884" s="28">
        <v>2463</v>
      </c>
      <c r="C1884" s="28" t="s">
        <v>35</v>
      </c>
      <c r="D1884" s="28" t="s">
        <v>38</v>
      </c>
      <c r="E1884" s="45">
        <v>46142</v>
      </c>
      <c r="F1884" s="48">
        <v>0.55549768518518516</v>
      </c>
      <c r="G1884" s="44">
        <v>6.3</v>
      </c>
      <c r="H1884" s="43" t="s">
        <v>235</v>
      </c>
      <c r="I1884" s="40" t="s">
        <v>1281</v>
      </c>
    </row>
    <row r="1885" spans="1:9" x14ac:dyDescent="0.25">
      <c r="A1885" s="40" t="s">
        <v>127</v>
      </c>
      <c r="B1885" s="28">
        <v>2463</v>
      </c>
      <c r="C1885" s="28">
        <v>10566556</v>
      </c>
      <c r="D1885" s="28"/>
      <c r="E1885" s="41">
        <v>46142</v>
      </c>
      <c r="F1885" s="47">
        <v>0.66343750000000001</v>
      </c>
      <c r="G1885" s="44">
        <v>6.3</v>
      </c>
      <c r="H1885" s="43" t="s">
        <v>237</v>
      </c>
      <c r="I1885" s="40" t="s">
        <v>1281</v>
      </c>
    </row>
    <row r="1886" spans="1:9" x14ac:dyDescent="0.25">
      <c r="A1886" s="40" t="s">
        <v>397</v>
      </c>
      <c r="B1886" s="28">
        <v>2467</v>
      </c>
      <c r="C1886" s="28" t="s">
        <v>35</v>
      </c>
      <c r="D1886" s="28" t="s">
        <v>38</v>
      </c>
      <c r="E1886" s="41">
        <v>46139</v>
      </c>
      <c r="F1886" s="47">
        <v>0.62077546296296293</v>
      </c>
      <c r="G1886" s="44">
        <v>6.3</v>
      </c>
      <c r="H1886" s="43" t="s">
        <v>236</v>
      </c>
      <c r="I1886" s="40" t="s">
        <v>1281</v>
      </c>
    </row>
    <row r="1887" spans="1:9" x14ac:dyDescent="0.25">
      <c r="A1887" s="40" t="s">
        <v>397</v>
      </c>
      <c r="B1887" s="28">
        <v>2467</v>
      </c>
      <c r="C1887" s="28" t="s">
        <v>35</v>
      </c>
      <c r="D1887" s="28" t="s">
        <v>38</v>
      </c>
      <c r="E1887" s="41">
        <v>46144</v>
      </c>
      <c r="F1887" s="47">
        <v>0.93387731481481484</v>
      </c>
      <c r="G1887" s="44">
        <v>6.3</v>
      </c>
      <c r="H1887" s="43" t="s">
        <v>237</v>
      </c>
      <c r="I1887" s="40" t="s">
        <v>1282</v>
      </c>
    </row>
    <row r="1888" spans="1:9" x14ac:dyDescent="0.25">
      <c r="A1888" s="40" t="s">
        <v>128</v>
      </c>
      <c r="B1888" s="28">
        <v>2501</v>
      </c>
      <c r="C1888" s="28">
        <v>5637509</v>
      </c>
      <c r="D1888" s="28"/>
      <c r="E1888" s="41">
        <v>46139</v>
      </c>
      <c r="F1888" s="47">
        <v>0.15745370370370371</v>
      </c>
      <c r="G1888" s="44">
        <v>6.3</v>
      </c>
      <c r="H1888" s="43" t="s">
        <v>237</v>
      </c>
      <c r="I1888" s="40" t="s">
        <v>1281</v>
      </c>
    </row>
    <row r="1889" spans="1:9" x14ac:dyDescent="0.25">
      <c r="A1889" s="40" t="s">
        <v>128</v>
      </c>
      <c r="B1889" s="28">
        <v>2501</v>
      </c>
      <c r="C1889" s="28">
        <v>5637509</v>
      </c>
      <c r="D1889" s="28"/>
      <c r="E1889" s="41">
        <v>46139</v>
      </c>
      <c r="F1889" s="47">
        <v>0.16261574074074073</v>
      </c>
      <c r="G1889" s="44">
        <v>6.3</v>
      </c>
      <c r="H1889" s="43" t="s">
        <v>234</v>
      </c>
      <c r="I1889" s="40" t="s">
        <v>1281</v>
      </c>
    </row>
    <row r="1890" spans="1:9" x14ac:dyDescent="0.25">
      <c r="A1890" s="40" t="s">
        <v>128</v>
      </c>
      <c r="B1890" s="28">
        <v>2501</v>
      </c>
      <c r="C1890" s="28">
        <v>5641681</v>
      </c>
      <c r="D1890" s="28"/>
      <c r="E1890" s="41">
        <v>46140</v>
      </c>
      <c r="F1890" s="47">
        <v>0.97753472222222226</v>
      </c>
      <c r="G1890" s="44">
        <v>6.3</v>
      </c>
      <c r="H1890" s="43" t="s">
        <v>235</v>
      </c>
      <c r="I1890" s="40" t="s">
        <v>1281</v>
      </c>
    </row>
    <row r="1891" spans="1:9" x14ac:dyDescent="0.25">
      <c r="A1891" s="40" t="s">
        <v>128</v>
      </c>
      <c r="B1891" s="28">
        <v>2501</v>
      </c>
      <c r="C1891" s="28">
        <v>5643782</v>
      </c>
      <c r="D1891" s="28"/>
      <c r="E1891" s="41">
        <v>46141</v>
      </c>
      <c r="F1891" s="47">
        <v>0.9393055555555555</v>
      </c>
      <c r="G1891" s="44">
        <v>6.3</v>
      </c>
      <c r="H1891" s="43" t="s">
        <v>237</v>
      </c>
      <c r="I1891" s="40" t="s">
        <v>1281</v>
      </c>
    </row>
    <row r="1892" spans="1:9" x14ac:dyDescent="0.25">
      <c r="A1892" s="40" t="s">
        <v>128</v>
      </c>
      <c r="B1892" s="28">
        <v>2501</v>
      </c>
      <c r="C1892" s="28">
        <v>5643782</v>
      </c>
      <c r="D1892" s="28"/>
      <c r="E1892" s="45">
        <v>46141</v>
      </c>
      <c r="F1892" s="48">
        <v>0.9473611111111111</v>
      </c>
      <c r="G1892" s="44">
        <v>6.3</v>
      </c>
      <c r="H1892" s="43" t="s">
        <v>234</v>
      </c>
      <c r="I1892" s="40" t="s">
        <v>1281</v>
      </c>
    </row>
    <row r="1893" spans="1:9" x14ac:dyDescent="0.25">
      <c r="A1893" s="40" t="s">
        <v>128</v>
      </c>
      <c r="B1893" s="28">
        <v>2501</v>
      </c>
      <c r="C1893" s="28">
        <v>5643937</v>
      </c>
      <c r="D1893" s="28"/>
      <c r="E1893" s="41">
        <v>46142</v>
      </c>
      <c r="F1893" s="47">
        <v>2.7696759259259258E-2</v>
      </c>
      <c r="G1893" s="44">
        <v>6.3</v>
      </c>
      <c r="H1893" s="43" t="s">
        <v>235</v>
      </c>
      <c r="I1893" s="40" t="s">
        <v>1281</v>
      </c>
    </row>
    <row r="1894" spans="1:9" x14ac:dyDescent="0.25">
      <c r="A1894" s="40" t="s">
        <v>128</v>
      </c>
      <c r="B1894" s="28">
        <v>2501</v>
      </c>
      <c r="C1894" s="28">
        <v>5643937</v>
      </c>
      <c r="D1894" s="28"/>
      <c r="E1894" s="41">
        <v>46142</v>
      </c>
      <c r="F1894" s="47">
        <v>3.9108796296296294E-2</v>
      </c>
      <c r="G1894" s="44">
        <v>6.3</v>
      </c>
      <c r="H1894" s="43" t="s">
        <v>236</v>
      </c>
      <c r="I1894" s="40" t="s">
        <v>1281</v>
      </c>
    </row>
    <row r="1895" spans="1:9" x14ac:dyDescent="0.25">
      <c r="A1895" s="40" t="s">
        <v>128</v>
      </c>
      <c r="B1895" s="28">
        <v>2501</v>
      </c>
      <c r="C1895" s="28">
        <v>5643897</v>
      </c>
      <c r="D1895" s="28"/>
      <c r="E1895" s="41">
        <v>46142</v>
      </c>
      <c r="F1895" s="47">
        <v>0.15621527777777777</v>
      </c>
      <c r="G1895" s="44">
        <v>6.3</v>
      </c>
      <c r="H1895" s="43" t="s">
        <v>238</v>
      </c>
      <c r="I1895" s="40" t="s">
        <v>1281</v>
      </c>
    </row>
    <row r="1896" spans="1:9" x14ac:dyDescent="0.25">
      <c r="A1896" s="40" t="s">
        <v>128</v>
      </c>
      <c r="B1896" s="28">
        <v>2501</v>
      </c>
      <c r="C1896" s="28">
        <v>5643897</v>
      </c>
      <c r="D1896" s="28"/>
      <c r="E1896" s="41">
        <v>46142</v>
      </c>
      <c r="F1896" s="47">
        <v>0.16107638888888889</v>
      </c>
      <c r="G1896" s="44">
        <v>6.3</v>
      </c>
      <c r="H1896" s="43" t="s">
        <v>234</v>
      </c>
      <c r="I1896" s="40" t="s">
        <v>1281</v>
      </c>
    </row>
    <row r="1897" spans="1:9" x14ac:dyDescent="0.25">
      <c r="A1897" s="40" t="s">
        <v>128</v>
      </c>
      <c r="B1897" s="28">
        <v>2501</v>
      </c>
      <c r="C1897" s="28">
        <v>5647136</v>
      </c>
      <c r="D1897" s="28"/>
      <c r="E1897" s="41">
        <v>46144</v>
      </c>
      <c r="F1897" s="47">
        <v>0.24233796296296295</v>
      </c>
      <c r="G1897" s="44">
        <v>6.3</v>
      </c>
      <c r="H1897" s="43" t="s">
        <v>237</v>
      </c>
      <c r="I1897" s="40" t="s">
        <v>1282</v>
      </c>
    </row>
    <row r="1898" spans="1:9" x14ac:dyDescent="0.25">
      <c r="A1898" s="40" t="s">
        <v>128</v>
      </c>
      <c r="B1898" s="28">
        <v>2501</v>
      </c>
      <c r="C1898" s="28">
        <v>5647136</v>
      </c>
      <c r="D1898" s="28"/>
      <c r="E1898" s="41">
        <v>46144</v>
      </c>
      <c r="F1898" s="47">
        <v>0.24806712962962962</v>
      </c>
      <c r="G1898" s="44">
        <v>6.3</v>
      </c>
      <c r="H1898" s="43" t="s">
        <v>234</v>
      </c>
      <c r="I1898" s="40" t="s">
        <v>1282</v>
      </c>
    </row>
    <row r="1899" spans="1:9" x14ac:dyDescent="0.25">
      <c r="A1899" s="40" t="s">
        <v>128</v>
      </c>
      <c r="B1899" s="28">
        <v>2501</v>
      </c>
      <c r="C1899" s="28">
        <v>5648245</v>
      </c>
      <c r="D1899" s="28"/>
      <c r="E1899" s="41">
        <v>46145</v>
      </c>
      <c r="F1899" s="47">
        <v>0.23655092592592591</v>
      </c>
      <c r="G1899" s="44">
        <v>6.3</v>
      </c>
      <c r="H1899" s="43" t="s">
        <v>237</v>
      </c>
      <c r="I1899" s="40" t="s">
        <v>1282</v>
      </c>
    </row>
    <row r="1900" spans="1:9" x14ac:dyDescent="0.25">
      <c r="A1900" s="40" t="s">
        <v>667</v>
      </c>
      <c r="B1900" s="28">
        <v>2520</v>
      </c>
      <c r="C1900" s="28">
        <v>5641761</v>
      </c>
      <c r="D1900" s="28"/>
      <c r="E1900" s="41">
        <v>46141</v>
      </c>
      <c r="F1900" s="47">
        <v>0.26829861111111108</v>
      </c>
      <c r="G1900" s="44">
        <v>6.3</v>
      </c>
      <c r="H1900" s="43" t="s">
        <v>235</v>
      </c>
      <c r="I1900" s="40" t="s">
        <v>1281</v>
      </c>
    </row>
    <row r="1901" spans="1:9" x14ac:dyDescent="0.25">
      <c r="A1901" s="40" t="s">
        <v>667</v>
      </c>
      <c r="B1901" s="28">
        <v>2520</v>
      </c>
      <c r="C1901" s="28">
        <v>5641761</v>
      </c>
      <c r="D1901" s="28"/>
      <c r="E1901" s="41">
        <v>46141</v>
      </c>
      <c r="F1901" s="47">
        <v>0.27802083333333333</v>
      </c>
      <c r="G1901" s="44">
        <v>6.3</v>
      </c>
      <c r="H1901" s="43" t="s">
        <v>236</v>
      </c>
      <c r="I1901" s="40" t="s">
        <v>1281</v>
      </c>
    </row>
    <row r="1902" spans="1:9" x14ac:dyDescent="0.25">
      <c r="A1902" s="40" t="s">
        <v>667</v>
      </c>
      <c r="B1902" s="28">
        <v>2520</v>
      </c>
      <c r="C1902" s="28">
        <v>5641903</v>
      </c>
      <c r="D1902" s="28"/>
      <c r="E1902" s="41">
        <v>46142</v>
      </c>
      <c r="F1902" s="47">
        <v>0.70322916666666668</v>
      </c>
      <c r="G1902" s="44">
        <v>6.3</v>
      </c>
      <c r="H1902" s="43" t="s">
        <v>235</v>
      </c>
      <c r="I1902" s="40" t="s">
        <v>1281</v>
      </c>
    </row>
    <row r="1903" spans="1:9" x14ac:dyDescent="0.25">
      <c r="A1903" s="40" t="s">
        <v>667</v>
      </c>
      <c r="B1903" s="28">
        <v>2520</v>
      </c>
      <c r="C1903" s="28">
        <v>5641903</v>
      </c>
      <c r="D1903" s="28"/>
      <c r="E1903" s="41">
        <v>46142</v>
      </c>
      <c r="F1903" s="47">
        <v>0.71765046296296298</v>
      </c>
      <c r="G1903" s="44">
        <v>6.3</v>
      </c>
      <c r="H1903" s="43" t="s">
        <v>236</v>
      </c>
      <c r="I1903" s="40" t="s">
        <v>1281</v>
      </c>
    </row>
    <row r="1904" spans="1:9" x14ac:dyDescent="0.25">
      <c r="A1904" s="40" t="s">
        <v>667</v>
      </c>
      <c r="B1904" s="28">
        <v>2520</v>
      </c>
      <c r="C1904" s="28">
        <v>5645277</v>
      </c>
      <c r="D1904" s="28"/>
      <c r="E1904" s="41">
        <v>46142</v>
      </c>
      <c r="F1904" s="47">
        <v>0.75063657407407403</v>
      </c>
      <c r="G1904" s="44">
        <v>6.3</v>
      </c>
      <c r="H1904" s="43" t="s">
        <v>237</v>
      </c>
      <c r="I1904" s="40" t="s">
        <v>1281</v>
      </c>
    </row>
    <row r="1905" spans="1:9" x14ac:dyDescent="0.25">
      <c r="A1905" s="40" t="s">
        <v>667</v>
      </c>
      <c r="B1905" s="28">
        <v>2520</v>
      </c>
      <c r="C1905" s="28">
        <v>5647086</v>
      </c>
      <c r="D1905" s="28"/>
      <c r="E1905" s="41">
        <v>46144</v>
      </c>
      <c r="F1905" s="47">
        <v>0.28546296296296297</v>
      </c>
      <c r="G1905" s="44">
        <v>6.3</v>
      </c>
      <c r="H1905" s="43" t="s">
        <v>236</v>
      </c>
      <c r="I1905" s="40" t="s">
        <v>1282</v>
      </c>
    </row>
    <row r="1906" spans="1:9" x14ac:dyDescent="0.25">
      <c r="A1906" s="40" t="s">
        <v>667</v>
      </c>
      <c r="B1906" s="28">
        <v>2520</v>
      </c>
      <c r="C1906" s="28" t="s">
        <v>35</v>
      </c>
      <c r="D1906" s="28" t="s">
        <v>38</v>
      </c>
      <c r="E1906" s="41">
        <v>46144</v>
      </c>
      <c r="F1906" s="47">
        <v>0.7449189814814815</v>
      </c>
      <c r="G1906" s="44">
        <v>6.3</v>
      </c>
      <c r="H1906" s="43" t="s">
        <v>234</v>
      </c>
      <c r="I1906" s="40" t="s">
        <v>1282</v>
      </c>
    </row>
    <row r="1907" spans="1:9" x14ac:dyDescent="0.25">
      <c r="A1907" s="40" t="s">
        <v>129</v>
      </c>
      <c r="B1907" s="28">
        <v>2547</v>
      </c>
      <c r="C1907" s="28">
        <v>5634048</v>
      </c>
      <c r="D1907" s="28"/>
      <c r="E1907" s="41">
        <v>46139</v>
      </c>
      <c r="F1907" s="47">
        <v>0.47619212962962965</v>
      </c>
      <c r="G1907" s="44">
        <v>6.3</v>
      </c>
      <c r="H1907" s="43" t="s">
        <v>235</v>
      </c>
      <c r="I1907" s="40" t="s">
        <v>1281</v>
      </c>
    </row>
    <row r="1908" spans="1:9" x14ac:dyDescent="0.25">
      <c r="A1908" s="40" t="s">
        <v>129</v>
      </c>
      <c r="B1908" s="28">
        <v>2547</v>
      </c>
      <c r="C1908" s="28">
        <v>5634048</v>
      </c>
      <c r="D1908" s="28"/>
      <c r="E1908" s="41">
        <v>46139</v>
      </c>
      <c r="F1908" s="47">
        <v>0.48503472222222221</v>
      </c>
      <c r="G1908" s="44">
        <v>6.3</v>
      </c>
      <c r="H1908" s="43" t="s">
        <v>236</v>
      </c>
      <c r="I1908" s="40" t="s">
        <v>1281</v>
      </c>
    </row>
    <row r="1909" spans="1:9" x14ac:dyDescent="0.25">
      <c r="A1909" s="40" t="s">
        <v>129</v>
      </c>
      <c r="B1909" s="28">
        <v>2547</v>
      </c>
      <c r="C1909" s="28">
        <v>5638656</v>
      </c>
      <c r="D1909" s="28"/>
      <c r="E1909" s="41">
        <v>46139</v>
      </c>
      <c r="F1909" s="47">
        <v>0.71888888888888891</v>
      </c>
      <c r="G1909" s="44">
        <v>6.3</v>
      </c>
      <c r="H1909" s="43" t="s">
        <v>237</v>
      </c>
      <c r="I1909" s="40" t="s">
        <v>1281</v>
      </c>
    </row>
    <row r="1910" spans="1:9" x14ac:dyDescent="0.25">
      <c r="A1910" s="40" t="s">
        <v>129</v>
      </c>
      <c r="B1910" s="28">
        <v>2547</v>
      </c>
      <c r="C1910" s="28">
        <v>5638945</v>
      </c>
      <c r="D1910" s="28"/>
      <c r="E1910" s="41">
        <v>46139</v>
      </c>
      <c r="F1910" s="47">
        <v>0.84733796296296293</v>
      </c>
      <c r="G1910" s="44">
        <v>6.3</v>
      </c>
      <c r="H1910" s="43" t="s">
        <v>234</v>
      </c>
      <c r="I1910" s="40" t="s">
        <v>1281</v>
      </c>
    </row>
    <row r="1911" spans="1:9" x14ac:dyDescent="0.25">
      <c r="A1911" s="40" t="s">
        <v>129</v>
      </c>
      <c r="B1911" s="28">
        <v>2547</v>
      </c>
      <c r="C1911" s="28">
        <v>5639128</v>
      </c>
      <c r="D1911" s="28"/>
      <c r="E1911" s="41">
        <v>46139</v>
      </c>
      <c r="F1911" s="47">
        <v>0.92069444444444448</v>
      </c>
      <c r="G1911" s="44">
        <v>6.3</v>
      </c>
      <c r="H1911" s="43" t="s">
        <v>235</v>
      </c>
      <c r="I1911" s="40" t="s">
        <v>1281</v>
      </c>
    </row>
    <row r="1912" spans="1:9" x14ac:dyDescent="0.25">
      <c r="A1912" s="40" t="s">
        <v>129</v>
      </c>
      <c r="B1912" s="28">
        <v>2547</v>
      </c>
      <c r="C1912" s="28">
        <v>5639128</v>
      </c>
      <c r="D1912" s="28"/>
      <c r="E1912" s="41">
        <v>46139</v>
      </c>
      <c r="F1912" s="47">
        <v>0.92799768518518522</v>
      </c>
      <c r="G1912" s="44">
        <v>6.3</v>
      </c>
      <c r="H1912" s="43" t="s">
        <v>236</v>
      </c>
      <c r="I1912" s="40" t="s">
        <v>1281</v>
      </c>
    </row>
    <row r="1913" spans="1:9" x14ac:dyDescent="0.25">
      <c r="A1913" s="40" t="s">
        <v>129</v>
      </c>
      <c r="B1913" s="28">
        <v>2547</v>
      </c>
      <c r="C1913" s="28">
        <v>5641100</v>
      </c>
      <c r="D1913" s="28"/>
      <c r="E1913" s="41">
        <v>46140</v>
      </c>
      <c r="F1913" s="47">
        <v>0.73789351851851848</v>
      </c>
      <c r="G1913" s="44">
        <v>6.3</v>
      </c>
      <c r="H1913" s="43" t="s">
        <v>237</v>
      </c>
      <c r="I1913" s="40" t="s">
        <v>1281</v>
      </c>
    </row>
    <row r="1914" spans="1:9" x14ac:dyDescent="0.25">
      <c r="A1914" s="40" t="s">
        <v>129</v>
      </c>
      <c r="B1914" s="28">
        <v>2547</v>
      </c>
      <c r="C1914" s="28" t="s">
        <v>35</v>
      </c>
      <c r="D1914" s="28" t="s">
        <v>38</v>
      </c>
      <c r="E1914" s="41">
        <v>46140</v>
      </c>
      <c r="F1914" s="47">
        <v>0.84967592592592589</v>
      </c>
      <c r="G1914" s="44">
        <v>6.3</v>
      </c>
      <c r="H1914" s="43" t="s">
        <v>235</v>
      </c>
      <c r="I1914" s="40" t="s">
        <v>1281</v>
      </c>
    </row>
    <row r="1915" spans="1:9" x14ac:dyDescent="0.25">
      <c r="A1915" s="40" t="s">
        <v>129</v>
      </c>
      <c r="B1915" s="28">
        <v>2547</v>
      </c>
      <c r="C1915" s="28" t="s">
        <v>35</v>
      </c>
      <c r="D1915" s="28" t="s">
        <v>38</v>
      </c>
      <c r="E1915" s="41">
        <v>46140</v>
      </c>
      <c r="F1915" s="47">
        <v>0.8566435185185185</v>
      </c>
      <c r="G1915" s="44">
        <v>6.3</v>
      </c>
      <c r="H1915" s="43" t="s">
        <v>239</v>
      </c>
      <c r="I1915" s="40" t="s">
        <v>1281</v>
      </c>
    </row>
    <row r="1916" spans="1:9" x14ac:dyDescent="0.25">
      <c r="A1916" s="40" t="s">
        <v>129</v>
      </c>
      <c r="B1916" s="28">
        <v>2547</v>
      </c>
      <c r="C1916" s="28">
        <v>5641963</v>
      </c>
      <c r="D1916" s="28"/>
      <c r="E1916" s="41">
        <v>46141</v>
      </c>
      <c r="F1916" s="47">
        <v>0.37032407407407408</v>
      </c>
      <c r="G1916" s="44">
        <v>6.3</v>
      </c>
      <c r="H1916" s="43" t="s">
        <v>237</v>
      </c>
      <c r="I1916" s="40" t="s">
        <v>1281</v>
      </c>
    </row>
    <row r="1917" spans="1:9" x14ac:dyDescent="0.25">
      <c r="A1917" s="40" t="s">
        <v>129</v>
      </c>
      <c r="B1917" s="28">
        <v>2547</v>
      </c>
      <c r="C1917" s="28">
        <v>5645532</v>
      </c>
      <c r="D1917" s="28"/>
      <c r="E1917" s="41">
        <v>46142</v>
      </c>
      <c r="F1917" s="47">
        <v>0.87789351851851849</v>
      </c>
      <c r="G1917" s="42">
        <v>6.3</v>
      </c>
      <c r="H1917" s="40" t="s">
        <v>234</v>
      </c>
      <c r="I1917" s="40" t="s">
        <v>1281</v>
      </c>
    </row>
    <row r="1918" spans="1:9" x14ac:dyDescent="0.25">
      <c r="A1918" s="40" t="s">
        <v>129</v>
      </c>
      <c r="B1918" s="28">
        <v>2547</v>
      </c>
      <c r="C1918" s="28">
        <v>5645339</v>
      </c>
      <c r="D1918" s="28"/>
      <c r="E1918" s="41">
        <v>46142</v>
      </c>
      <c r="F1918" s="47">
        <v>0.93853009259259257</v>
      </c>
      <c r="G1918" s="42">
        <v>6.3</v>
      </c>
      <c r="H1918" s="40" t="s">
        <v>235</v>
      </c>
      <c r="I1918" s="40" t="s">
        <v>1281</v>
      </c>
    </row>
    <row r="1919" spans="1:9" x14ac:dyDescent="0.25">
      <c r="A1919" s="40" t="s">
        <v>129</v>
      </c>
      <c r="B1919" s="28">
        <v>2547</v>
      </c>
      <c r="C1919" s="28">
        <v>5645339</v>
      </c>
      <c r="D1919" s="28"/>
      <c r="E1919" s="41">
        <v>46142</v>
      </c>
      <c r="F1919" s="47">
        <v>0.94684027777777779</v>
      </c>
      <c r="G1919" s="42">
        <v>6.3</v>
      </c>
      <c r="H1919" s="40" t="s">
        <v>236</v>
      </c>
      <c r="I1919" s="40" t="s">
        <v>1281</v>
      </c>
    </row>
    <row r="1920" spans="1:9" x14ac:dyDescent="0.25">
      <c r="A1920" s="40" t="s">
        <v>129</v>
      </c>
      <c r="B1920" s="28">
        <v>2547</v>
      </c>
      <c r="C1920" s="28">
        <v>5648004</v>
      </c>
      <c r="D1920" s="28"/>
      <c r="E1920" s="41">
        <v>46144</v>
      </c>
      <c r="F1920" s="47">
        <v>0.82237268518518514</v>
      </c>
      <c r="G1920" s="42">
        <v>6.3</v>
      </c>
      <c r="H1920" s="40" t="s">
        <v>237</v>
      </c>
      <c r="I1920" s="40" t="s">
        <v>1282</v>
      </c>
    </row>
    <row r="1921" spans="1:9" x14ac:dyDescent="0.25">
      <c r="A1921" s="40" t="s">
        <v>129</v>
      </c>
      <c r="B1921" s="28">
        <v>2547</v>
      </c>
      <c r="C1921" s="28">
        <v>5648004</v>
      </c>
      <c r="D1921" s="28"/>
      <c r="E1921" s="41">
        <v>46144</v>
      </c>
      <c r="F1921" s="47">
        <v>0.82784722222222218</v>
      </c>
      <c r="G1921" s="42">
        <v>6.3</v>
      </c>
      <c r="H1921" s="40" t="s">
        <v>234</v>
      </c>
      <c r="I1921" s="40" t="s">
        <v>1282</v>
      </c>
    </row>
    <row r="1922" spans="1:9" x14ac:dyDescent="0.25">
      <c r="A1922" s="40" t="s">
        <v>129</v>
      </c>
      <c r="B1922" s="28">
        <v>2547</v>
      </c>
      <c r="C1922" s="28">
        <v>5647912</v>
      </c>
      <c r="D1922" s="28"/>
      <c r="E1922" s="41">
        <v>46144</v>
      </c>
      <c r="F1922" s="47">
        <v>0.92321759259259262</v>
      </c>
      <c r="G1922" s="42">
        <v>6.3</v>
      </c>
      <c r="H1922" s="40" t="s">
        <v>235</v>
      </c>
      <c r="I1922" s="40" t="s">
        <v>1282</v>
      </c>
    </row>
    <row r="1923" spans="1:9" x14ac:dyDescent="0.25">
      <c r="A1923" s="40" t="s">
        <v>129</v>
      </c>
      <c r="B1923" s="28">
        <v>2547</v>
      </c>
      <c r="C1923" s="28">
        <v>5647912</v>
      </c>
      <c r="D1923" s="28"/>
      <c r="E1923" s="41">
        <v>46144</v>
      </c>
      <c r="F1923" s="47">
        <v>0.9299074074074074</v>
      </c>
      <c r="G1923" s="42">
        <v>6.3</v>
      </c>
      <c r="H1923" s="40" t="s">
        <v>236</v>
      </c>
      <c r="I1923" s="40" t="s">
        <v>1282</v>
      </c>
    </row>
    <row r="1924" spans="1:9" x14ac:dyDescent="0.25">
      <c r="A1924" s="40" t="s">
        <v>129</v>
      </c>
      <c r="B1924" s="28">
        <v>2547</v>
      </c>
      <c r="C1924" s="28" t="s">
        <v>35</v>
      </c>
      <c r="D1924" s="28" t="s">
        <v>38</v>
      </c>
      <c r="E1924" s="45">
        <v>46145</v>
      </c>
      <c r="F1924" s="48">
        <v>0.44429398148148147</v>
      </c>
      <c r="G1924" s="42">
        <v>6.3</v>
      </c>
      <c r="H1924" s="40" t="s">
        <v>237</v>
      </c>
      <c r="I1924" s="40" t="s">
        <v>1282</v>
      </c>
    </row>
    <row r="1925" spans="1:9" x14ac:dyDescent="0.25">
      <c r="A1925" s="40" t="s">
        <v>129</v>
      </c>
      <c r="B1925" s="28">
        <v>2547</v>
      </c>
      <c r="C1925" s="28" t="s">
        <v>35</v>
      </c>
      <c r="D1925" s="28" t="s">
        <v>38</v>
      </c>
      <c r="E1925" s="41">
        <v>46145</v>
      </c>
      <c r="F1925" s="47">
        <v>0.50041666666666662</v>
      </c>
      <c r="G1925" s="42">
        <v>6.3</v>
      </c>
      <c r="H1925" s="40" t="s">
        <v>240</v>
      </c>
      <c r="I1925" s="40" t="s">
        <v>1282</v>
      </c>
    </row>
    <row r="1926" spans="1:9" x14ac:dyDescent="0.25">
      <c r="A1926" s="40" t="s">
        <v>129</v>
      </c>
      <c r="B1926" s="28">
        <v>2547</v>
      </c>
      <c r="C1926" s="28" t="s">
        <v>35</v>
      </c>
      <c r="D1926" s="28" t="s">
        <v>38</v>
      </c>
      <c r="E1926" s="41">
        <v>46145</v>
      </c>
      <c r="F1926" s="47">
        <v>0.60803240740740738</v>
      </c>
      <c r="G1926" s="44">
        <v>6.3</v>
      </c>
      <c r="H1926" s="43" t="s">
        <v>241</v>
      </c>
      <c r="I1926" s="40" t="s">
        <v>1282</v>
      </c>
    </row>
    <row r="1927" spans="1:9" x14ac:dyDescent="0.25">
      <c r="A1927" s="40" t="s">
        <v>129</v>
      </c>
      <c r="B1927" s="28">
        <v>2547</v>
      </c>
      <c r="C1927" s="28">
        <v>5648881</v>
      </c>
      <c r="D1927" s="28"/>
      <c r="E1927" s="41">
        <v>46145</v>
      </c>
      <c r="F1927" s="47">
        <v>0.70093749999999999</v>
      </c>
      <c r="G1927" s="44">
        <v>6.3</v>
      </c>
      <c r="H1927" s="43" t="s">
        <v>235</v>
      </c>
      <c r="I1927" s="40" t="s">
        <v>1282</v>
      </c>
    </row>
    <row r="1928" spans="1:9" x14ac:dyDescent="0.25">
      <c r="A1928" s="40" t="s">
        <v>129</v>
      </c>
      <c r="B1928" s="28">
        <v>2547</v>
      </c>
      <c r="C1928" s="28">
        <v>5648881</v>
      </c>
      <c r="D1928" s="28"/>
      <c r="E1928" s="41">
        <v>46145</v>
      </c>
      <c r="F1928" s="47">
        <v>0.70718749999999997</v>
      </c>
      <c r="G1928" s="44">
        <v>6.3</v>
      </c>
      <c r="H1928" s="43" t="s">
        <v>239</v>
      </c>
      <c r="I1928" s="40" t="s">
        <v>1282</v>
      </c>
    </row>
    <row r="1929" spans="1:9" x14ac:dyDescent="0.25">
      <c r="A1929" s="40" t="s">
        <v>136</v>
      </c>
      <c r="B1929" s="28">
        <v>2549</v>
      </c>
      <c r="C1929" s="28">
        <v>5639178</v>
      </c>
      <c r="D1929" s="28"/>
      <c r="E1929" s="41">
        <v>46140</v>
      </c>
      <c r="F1929" s="47">
        <v>0.11497685185185186</v>
      </c>
      <c r="G1929" s="44">
        <v>6.3</v>
      </c>
      <c r="H1929" s="43" t="s">
        <v>237</v>
      </c>
      <c r="I1929" s="40" t="s">
        <v>1281</v>
      </c>
    </row>
    <row r="1930" spans="1:9" x14ac:dyDescent="0.25">
      <c r="A1930" s="40" t="s">
        <v>136</v>
      </c>
      <c r="B1930" s="28">
        <v>2549</v>
      </c>
      <c r="C1930" s="28">
        <v>5639178</v>
      </c>
      <c r="D1930" s="28"/>
      <c r="E1930" s="41">
        <v>46140</v>
      </c>
      <c r="F1930" s="47">
        <v>0.12008101851851852</v>
      </c>
      <c r="G1930" s="44">
        <v>6.3</v>
      </c>
      <c r="H1930" s="43" t="s">
        <v>234</v>
      </c>
      <c r="I1930" s="40" t="s">
        <v>1281</v>
      </c>
    </row>
    <row r="1931" spans="1:9" x14ac:dyDescent="0.25">
      <c r="A1931" s="40" t="s">
        <v>136</v>
      </c>
      <c r="B1931" s="28">
        <v>2549</v>
      </c>
      <c r="C1931" s="28">
        <v>5639868</v>
      </c>
      <c r="D1931" s="28"/>
      <c r="E1931" s="45">
        <v>46140</v>
      </c>
      <c r="F1931" s="48">
        <v>0.28408564814814813</v>
      </c>
      <c r="G1931" s="44">
        <v>6.3</v>
      </c>
      <c r="H1931" s="43" t="s">
        <v>237</v>
      </c>
      <c r="I1931" s="40" t="s">
        <v>1281</v>
      </c>
    </row>
    <row r="1932" spans="1:9" x14ac:dyDescent="0.25">
      <c r="A1932" s="40" t="s">
        <v>136</v>
      </c>
      <c r="B1932" s="28">
        <v>2549</v>
      </c>
      <c r="C1932" s="28">
        <v>5639868</v>
      </c>
      <c r="D1932" s="28"/>
      <c r="E1932" s="41">
        <v>46140</v>
      </c>
      <c r="F1932" s="47">
        <v>0.29032407407407407</v>
      </c>
      <c r="G1932" s="44">
        <v>6.3</v>
      </c>
      <c r="H1932" s="43" t="s">
        <v>234</v>
      </c>
      <c r="I1932" s="40" t="s">
        <v>1281</v>
      </c>
    </row>
    <row r="1933" spans="1:9" x14ac:dyDescent="0.25">
      <c r="A1933" s="40" t="s">
        <v>136</v>
      </c>
      <c r="B1933" s="28">
        <v>2549</v>
      </c>
      <c r="C1933" s="28">
        <v>5642284</v>
      </c>
      <c r="D1933" s="28"/>
      <c r="E1933" s="41">
        <v>46141</v>
      </c>
      <c r="F1933" s="47">
        <v>0.40520833333333334</v>
      </c>
      <c r="G1933" s="44">
        <v>6.3</v>
      </c>
      <c r="H1933" s="43" t="s">
        <v>235</v>
      </c>
      <c r="I1933" s="40" t="s">
        <v>1281</v>
      </c>
    </row>
    <row r="1934" spans="1:9" x14ac:dyDescent="0.25">
      <c r="A1934" s="40" t="s">
        <v>136</v>
      </c>
      <c r="B1934" s="28">
        <v>2549</v>
      </c>
      <c r="C1934" s="28">
        <v>5642284</v>
      </c>
      <c r="D1934" s="28"/>
      <c r="E1934" s="41">
        <v>46141</v>
      </c>
      <c r="F1934" s="47">
        <v>0.41524305555555557</v>
      </c>
      <c r="G1934" s="44">
        <v>6.3</v>
      </c>
      <c r="H1934" s="43" t="s">
        <v>239</v>
      </c>
      <c r="I1934" s="40" t="s">
        <v>1281</v>
      </c>
    </row>
    <row r="1935" spans="1:9" x14ac:dyDescent="0.25">
      <c r="A1935" s="40" t="s">
        <v>136</v>
      </c>
      <c r="B1935" s="28">
        <v>2549</v>
      </c>
      <c r="C1935" s="28" t="s">
        <v>35</v>
      </c>
      <c r="D1935" s="28" t="s">
        <v>38</v>
      </c>
      <c r="E1935" s="45">
        <v>46141</v>
      </c>
      <c r="F1935" s="48">
        <v>0.45760416666666665</v>
      </c>
      <c r="G1935" s="44">
        <v>6.3</v>
      </c>
      <c r="H1935" s="43" t="s">
        <v>233</v>
      </c>
      <c r="I1935" s="40" t="s">
        <v>1281</v>
      </c>
    </row>
    <row r="1936" spans="1:9" x14ac:dyDescent="0.25">
      <c r="A1936" s="40" t="s">
        <v>136</v>
      </c>
      <c r="B1936" s="28">
        <v>2549</v>
      </c>
      <c r="C1936" s="28" t="s">
        <v>35</v>
      </c>
      <c r="D1936" s="28" t="s">
        <v>38</v>
      </c>
      <c r="E1936" s="41">
        <v>46141</v>
      </c>
      <c r="F1936" s="47">
        <v>0.47005787037037039</v>
      </c>
      <c r="G1936" s="44">
        <v>6.3</v>
      </c>
      <c r="H1936" s="43" t="s">
        <v>234</v>
      </c>
      <c r="I1936" s="40" t="s">
        <v>1281</v>
      </c>
    </row>
    <row r="1937" spans="1:9" x14ac:dyDescent="0.25">
      <c r="A1937" s="40" t="s">
        <v>136</v>
      </c>
      <c r="B1937" s="28">
        <v>2549</v>
      </c>
      <c r="C1937" s="28" t="s">
        <v>668</v>
      </c>
      <c r="D1937" s="28"/>
      <c r="E1937" s="41">
        <v>46141</v>
      </c>
      <c r="F1937" s="47">
        <v>0.73814814814814811</v>
      </c>
      <c r="G1937" s="44">
        <v>6.3</v>
      </c>
      <c r="H1937" s="43" t="s">
        <v>235</v>
      </c>
      <c r="I1937" s="40" t="s">
        <v>1281</v>
      </c>
    </row>
    <row r="1938" spans="1:9" x14ac:dyDescent="0.25">
      <c r="A1938" s="40" t="s">
        <v>136</v>
      </c>
      <c r="B1938" s="28">
        <v>2549</v>
      </c>
      <c r="C1938" s="28" t="s">
        <v>668</v>
      </c>
      <c r="D1938" s="28"/>
      <c r="E1938" s="41">
        <v>46141</v>
      </c>
      <c r="F1938" s="47">
        <v>0.75357638888888889</v>
      </c>
      <c r="G1938" s="44">
        <v>6.3</v>
      </c>
      <c r="H1938" s="43" t="s">
        <v>236</v>
      </c>
      <c r="I1938" s="40" t="s">
        <v>1281</v>
      </c>
    </row>
    <row r="1939" spans="1:9" x14ac:dyDescent="0.25">
      <c r="A1939" s="40" t="s">
        <v>669</v>
      </c>
      <c r="B1939" s="28">
        <v>2583</v>
      </c>
      <c r="C1939" s="28">
        <v>5637789</v>
      </c>
      <c r="D1939" s="28"/>
      <c r="E1939" s="41">
        <v>46139</v>
      </c>
      <c r="F1939" s="47">
        <v>0.29814814814814816</v>
      </c>
      <c r="G1939" s="44">
        <v>6.3</v>
      </c>
      <c r="H1939" s="43" t="s">
        <v>233</v>
      </c>
      <c r="I1939" s="40" t="s">
        <v>1281</v>
      </c>
    </row>
    <row r="1940" spans="1:9" x14ac:dyDescent="0.25">
      <c r="A1940" s="40" t="s">
        <v>669</v>
      </c>
      <c r="B1940" s="28">
        <v>2583</v>
      </c>
      <c r="C1940" s="28">
        <v>5637789</v>
      </c>
      <c r="D1940" s="28"/>
      <c r="E1940" s="41">
        <v>46139</v>
      </c>
      <c r="F1940" s="47">
        <v>0.30502314814814813</v>
      </c>
      <c r="G1940" s="44">
        <v>6.3</v>
      </c>
      <c r="H1940" s="43" t="s">
        <v>234</v>
      </c>
      <c r="I1940" s="40" t="s">
        <v>1281</v>
      </c>
    </row>
    <row r="1941" spans="1:9" x14ac:dyDescent="0.25">
      <c r="A1941" s="40" t="s">
        <v>669</v>
      </c>
      <c r="B1941" s="28">
        <v>2583</v>
      </c>
      <c r="C1941" s="28">
        <v>5638961</v>
      </c>
      <c r="D1941" s="28"/>
      <c r="E1941" s="41">
        <v>46139</v>
      </c>
      <c r="F1941" s="47">
        <v>0.77590277777777783</v>
      </c>
      <c r="G1941" s="44">
        <v>6.3</v>
      </c>
      <c r="H1941" s="43" t="s">
        <v>237</v>
      </c>
      <c r="I1941" s="40" t="s">
        <v>1281</v>
      </c>
    </row>
    <row r="1942" spans="1:9" x14ac:dyDescent="0.25">
      <c r="A1942" s="40" t="s">
        <v>669</v>
      </c>
      <c r="B1942" s="28">
        <v>2583</v>
      </c>
      <c r="C1942" s="28">
        <v>5638961</v>
      </c>
      <c r="D1942" s="28"/>
      <c r="E1942" s="41">
        <v>46139</v>
      </c>
      <c r="F1942" s="47">
        <v>0.81420138888888893</v>
      </c>
      <c r="G1942" s="44">
        <v>6.3</v>
      </c>
      <c r="H1942" s="43" t="s">
        <v>234</v>
      </c>
      <c r="I1942" s="40" t="s">
        <v>1281</v>
      </c>
    </row>
    <row r="1943" spans="1:9" x14ac:dyDescent="0.25">
      <c r="A1943" s="40" t="s">
        <v>669</v>
      </c>
      <c r="B1943" s="28">
        <v>2583</v>
      </c>
      <c r="C1943" s="28">
        <v>5639158</v>
      </c>
      <c r="D1943" s="28"/>
      <c r="E1943" s="41">
        <v>46140</v>
      </c>
      <c r="F1943" s="47">
        <v>0.21006944444444445</v>
      </c>
      <c r="G1943" s="44">
        <v>6.3</v>
      </c>
      <c r="H1943" s="43" t="s">
        <v>241</v>
      </c>
      <c r="I1943" s="40" t="s">
        <v>1281</v>
      </c>
    </row>
    <row r="1944" spans="1:9" x14ac:dyDescent="0.25">
      <c r="A1944" s="40" t="s">
        <v>669</v>
      </c>
      <c r="B1944" s="28">
        <v>2583</v>
      </c>
      <c r="C1944" s="28">
        <v>5639158</v>
      </c>
      <c r="D1944" s="28"/>
      <c r="E1944" s="41">
        <v>46140</v>
      </c>
      <c r="F1944" s="47">
        <v>0.21312500000000001</v>
      </c>
      <c r="G1944" s="44">
        <v>6.3</v>
      </c>
      <c r="H1944" s="43" t="s">
        <v>234</v>
      </c>
      <c r="I1944" s="40" t="s">
        <v>1281</v>
      </c>
    </row>
    <row r="1945" spans="1:9" x14ac:dyDescent="0.25">
      <c r="A1945" s="40" t="s">
        <v>669</v>
      </c>
      <c r="B1945" s="28">
        <v>2583</v>
      </c>
      <c r="C1945" s="28" t="s">
        <v>670</v>
      </c>
      <c r="D1945" s="28"/>
      <c r="E1945" s="41">
        <v>46140</v>
      </c>
      <c r="F1945" s="47">
        <v>0.55049768518518516</v>
      </c>
      <c r="G1945" s="42">
        <v>6.3</v>
      </c>
      <c r="H1945" s="40" t="s">
        <v>235</v>
      </c>
      <c r="I1945" s="40" t="s">
        <v>1281</v>
      </c>
    </row>
    <row r="1946" spans="1:9" x14ac:dyDescent="0.25">
      <c r="A1946" s="40" t="s">
        <v>669</v>
      </c>
      <c r="B1946" s="28">
        <v>2583</v>
      </c>
      <c r="C1946" s="28" t="s">
        <v>670</v>
      </c>
      <c r="D1946" s="28"/>
      <c r="E1946" s="45">
        <v>46140</v>
      </c>
      <c r="F1946" s="48">
        <v>0.56134259259259256</v>
      </c>
      <c r="G1946" s="42">
        <v>6.3</v>
      </c>
      <c r="H1946" s="40" t="s">
        <v>236</v>
      </c>
      <c r="I1946" s="40" t="s">
        <v>1281</v>
      </c>
    </row>
    <row r="1947" spans="1:9" x14ac:dyDescent="0.25">
      <c r="A1947" s="40" t="s">
        <v>669</v>
      </c>
      <c r="B1947" s="28">
        <v>2583</v>
      </c>
      <c r="C1947" s="28" t="s">
        <v>35</v>
      </c>
      <c r="D1947" s="28" t="s">
        <v>38</v>
      </c>
      <c r="E1947" s="41">
        <v>46141</v>
      </c>
      <c r="F1947" s="47">
        <v>0.76408564814814817</v>
      </c>
      <c r="G1947" s="44">
        <v>6.3</v>
      </c>
      <c r="H1947" s="43" t="s">
        <v>238</v>
      </c>
      <c r="I1947" s="40" t="s">
        <v>1281</v>
      </c>
    </row>
    <row r="1948" spans="1:9" x14ac:dyDescent="0.25">
      <c r="A1948" s="40" t="s">
        <v>669</v>
      </c>
      <c r="B1948" s="28">
        <v>2583</v>
      </c>
      <c r="C1948" s="28">
        <v>5643350</v>
      </c>
      <c r="D1948" s="28"/>
      <c r="E1948" s="41">
        <v>46141</v>
      </c>
      <c r="F1948" s="47">
        <v>0.82021990740740736</v>
      </c>
      <c r="G1948" s="44">
        <v>6.3</v>
      </c>
      <c r="H1948" s="43" t="s">
        <v>241</v>
      </c>
      <c r="I1948" s="40" t="s">
        <v>1281</v>
      </c>
    </row>
    <row r="1949" spans="1:9" x14ac:dyDescent="0.25">
      <c r="A1949" s="40" t="s">
        <v>669</v>
      </c>
      <c r="B1949" s="28">
        <v>2583</v>
      </c>
      <c r="C1949" s="28">
        <v>5643350</v>
      </c>
      <c r="D1949" s="28"/>
      <c r="E1949" s="41">
        <v>46141</v>
      </c>
      <c r="F1949" s="47">
        <v>0.83292824074074079</v>
      </c>
      <c r="G1949" s="44">
        <v>6.3</v>
      </c>
      <c r="H1949" s="43" t="s">
        <v>234</v>
      </c>
      <c r="I1949" s="40" t="s">
        <v>1281</v>
      </c>
    </row>
    <row r="1950" spans="1:9" x14ac:dyDescent="0.25">
      <c r="A1950" s="40" t="s">
        <v>669</v>
      </c>
      <c r="B1950" s="28">
        <v>2583</v>
      </c>
      <c r="C1950" s="28" t="s">
        <v>671</v>
      </c>
      <c r="D1950" s="28"/>
      <c r="E1950" s="41">
        <v>46141</v>
      </c>
      <c r="F1950" s="47">
        <v>0.9215740740740741</v>
      </c>
      <c r="G1950" s="44">
        <v>6.3</v>
      </c>
      <c r="H1950" s="43" t="s">
        <v>235</v>
      </c>
      <c r="I1950" s="40" t="s">
        <v>1281</v>
      </c>
    </row>
    <row r="1951" spans="1:9" x14ac:dyDescent="0.25">
      <c r="A1951" s="40" t="s">
        <v>669</v>
      </c>
      <c r="B1951" s="28">
        <v>2583</v>
      </c>
      <c r="C1951" s="28" t="s">
        <v>671</v>
      </c>
      <c r="D1951" s="28"/>
      <c r="E1951" s="41">
        <v>46141</v>
      </c>
      <c r="F1951" s="47">
        <v>0.92836805555555557</v>
      </c>
      <c r="G1951" s="44">
        <v>6.3</v>
      </c>
      <c r="H1951" s="43" t="s">
        <v>236</v>
      </c>
      <c r="I1951" s="40" t="s">
        <v>1281</v>
      </c>
    </row>
    <row r="1952" spans="1:9" x14ac:dyDescent="0.25">
      <c r="A1952" s="40" t="s">
        <v>669</v>
      </c>
      <c r="B1952" s="28">
        <v>2583</v>
      </c>
      <c r="C1952" s="28">
        <v>5643982</v>
      </c>
      <c r="D1952" s="28"/>
      <c r="E1952" s="41">
        <v>46142</v>
      </c>
      <c r="F1952" s="47">
        <v>2.6828703703703705E-2</v>
      </c>
      <c r="G1952" s="44">
        <v>6.3</v>
      </c>
      <c r="H1952" s="43" t="s">
        <v>235</v>
      </c>
      <c r="I1952" s="40" t="s">
        <v>1281</v>
      </c>
    </row>
    <row r="1953" spans="1:9" x14ac:dyDescent="0.25">
      <c r="A1953" s="40" t="s">
        <v>669</v>
      </c>
      <c r="B1953" s="28">
        <v>2583</v>
      </c>
      <c r="C1953" s="28">
        <v>5643982</v>
      </c>
      <c r="D1953" s="28"/>
      <c r="E1953" s="41">
        <v>46142</v>
      </c>
      <c r="F1953" s="47">
        <v>3.7951388888888889E-2</v>
      </c>
      <c r="G1953" s="44">
        <v>6.3</v>
      </c>
      <c r="H1953" s="43" t="s">
        <v>236</v>
      </c>
      <c r="I1953" s="40" t="s">
        <v>1281</v>
      </c>
    </row>
    <row r="1954" spans="1:9" x14ac:dyDescent="0.25">
      <c r="A1954" s="40" t="s">
        <v>669</v>
      </c>
      <c r="B1954" s="28">
        <v>2583</v>
      </c>
      <c r="C1954" s="28" t="s">
        <v>672</v>
      </c>
      <c r="D1954" s="28"/>
      <c r="E1954" s="41">
        <v>46142</v>
      </c>
      <c r="F1954" s="47">
        <v>0.26362268518518517</v>
      </c>
      <c r="G1954" s="44">
        <v>6.3</v>
      </c>
      <c r="H1954" s="43" t="s">
        <v>235</v>
      </c>
      <c r="I1954" s="40" t="s">
        <v>1281</v>
      </c>
    </row>
    <row r="1955" spans="1:9" x14ac:dyDescent="0.25">
      <c r="A1955" s="40" t="s">
        <v>669</v>
      </c>
      <c r="B1955" s="28">
        <v>2583</v>
      </c>
      <c r="C1955" s="28" t="s">
        <v>672</v>
      </c>
      <c r="D1955" s="28"/>
      <c r="E1955" s="41">
        <v>46142</v>
      </c>
      <c r="F1955" s="47">
        <v>0.2789699074074074</v>
      </c>
      <c r="G1955" s="44">
        <v>6.3</v>
      </c>
      <c r="H1955" s="43" t="s">
        <v>236</v>
      </c>
      <c r="I1955" s="40" t="s">
        <v>1281</v>
      </c>
    </row>
    <row r="1956" spans="1:9" x14ac:dyDescent="0.25">
      <c r="A1956" s="40" t="s">
        <v>669</v>
      </c>
      <c r="B1956" s="28">
        <v>2583</v>
      </c>
      <c r="C1956" s="28" t="s">
        <v>35</v>
      </c>
      <c r="D1956" s="28" t="s">
        <v>38</v>
      </c>
      <c r="E1956" s="41">
        <v>46143</v>
      </c>
      <c r="F1956" s="47">
        <v>0.33060185185185187</v>
      </c>
      <c r="G1956" s="44">
        <v>6.3</v>
      </c>
      <c r="H1956" s="43" t="s">
        <v>236</v>
      </c>
      <c r="I1956" s="40" t="s">
        <v>1282</v>
      </c>
    </row>
    <row r="1957" spans="1:9" x14ac:dyDescent="0.25">
      <c r="A1957" s="40" t="s">
        <v>669</v>
      </c>
      <c r="B1957" s="28">
        <v>2583</v>
      </c>
      <c r="C1957" s="28" t="s">
        <v>35</v>
      </c>
      <c r="D1957" s="28" t="s">
        <v>38</v>
      </c>
      <c r="E1957" s="41">
        <v>46143</v>
      </c>
      <c r="F1957" s="47">
        <v>0.35427083333333331</v>
      </c>
      <c r="G1957" s="42">
        <v>6.3</v>
      </c>
      <c r="H1957" s="40" t="s">
        <v>237</v>
      </c>
      <c r="I1957" s="40" t="s">
        <v>1282</v>
      </c>
    </row>
    <row r="1958" spans="1:9" x14ac:dyDescent="0.25">
      <c r="A1958" s="40" t="s">
        <v>669</v>
      </c>
      <c r="B1958" s="28">
        <v>2583</v>
      </c>
      <c r="C1958" s="28" t="s">
        <v>35</v>
      </c>
      <c r="D1958" s="28" t="s">
        <v>38</v>
      </c>
      <c r="E1958" s="41">
        <v>46143</v>
      </c>
      <c r="F1958" s="47">
        <v>0.557037037037037</v>
      </c>
      <c r="G1958" s="42">
        <v>6.3</v>
      </c>
      <c r="H1958" s="40" t="s">
        <v>237</v>
      </c>
      <c r="I1958" s="40" t="s">
        <v>1282</v>
      </c>
    </row>
    <row r="1959" spans="1:9" x14ac:dyDescent="0.25">
      <c r="A1959" s="40" t="s">
        <v>669</v>
      </c>
      <c r="B1959" s="28">
        <v>2583</v>
      </c>
      <c r="C1959" s="28" t="s">
        <v>35</v>
      </c>
      <c r="D1959" s="28" t="s">
        <v>38</v>
      </c>
      <c r="E1959" s="41">
        <v>46143</v>
      </c>
      <c r="F1959" s="47">
        <v>0.62472222222222218</v>
      </c>
      <c r="G1959" s="44">
        <v>6.3</v>
      </c>
      <c r="H1959" s="43" t="s">
        <v>238</v>
      </c>
      <c r="I1959" s="40" t="s">
        <v>1282</v>
      </c>
    </row>
    <row r="1960" spans="1:9" x14ac:dyDescent="0.25">
      <c r="A1960" s="40" t="s">
        <v>669</v>
      </c>
      <c r="B1960" s="28">
        <v>2583</v>
      </c>
      <c r="C1960" s="28">
        <v>5646245</v>
      </c>
      <c r="D1960" s="28"/>
      <c r="E1960" s="41">
        <v>46143</v>
      </c>
      <c r="F1960" s="47">
        <v>0.75861111111111112</v>
      </c>
      <c r="G1960" s="44">
        <v>6.3</v>
      </c>
      <c r="H1960" s="43" t="s">
        <v>236</v>
      </c>
      <c r="I1960" s="40" t="s">
        <v>1282</v>
      </c>
    </row>
    <row r="1961" spans="1:9" x14ac:dyDescent="0.25">
      <c r="A1961" s="40" t="s">
        <v>669</v>
      </c>
      <c r="B1961" s="28">
        <v>2583</v>
      </c>
      <c r="C1961" s="28">
        <v>5647395</v>
      </c>
      <c r="D1961" s="28"/>
      <c r="E1961" s="41">
        <v>46144</v>
      </c>
      <c r="F1961" s="47">
        <v>0.73729166666666668</v>
      </c>
      <c r="G1961" s="44">
        <v>6.3</v>
      </c>
      <c r="H1961" s="43" t="s">
        <v>236</v>
      </c>
      <c r="I1961" s="40" t="s">
        <v>1282</v>
      </c>
    </row>
    <row r="1962" spans="1:9" x14ac:dyDescent="0.25">
      <c r="A1962" s="40" t="s">
        <v>669</v>
      </c>
      <c r="B1962" s="28">
        <v>2583</v>
      </c>
      <c r="C1962" s="28">
        <v>5648058</v>
      </c>
      <c r="D1962" s="28"/>
      <c r="E1962" s="41">
        <v>46145</v>
      </c>
      <c r="F1962" s="47">
        <v>3.6064814814814813E-2</v>
      </c>
      <c r="G1962" s="44">
        <v>6.3</v>
      </c>
      <c r="H1962" s="43" t="s">
        <v>235</v>
      </c>
      <c r="I1962" s="40" t="s">
        <v>1282</v>
      </c>
    </row>
    <row r="1963" spans="1:9" x14ac:dyDescent="0.25">
      <c r="A1963" s="40" t="s">
        <v>669</v>
      </c>
      <c r="B1963" s="28">
        <v>2583</v>
      </c>
      <c r="C1963" s="28">
        <v>5648058</v>
      </c>
      <c r="D1963" s="28"/>
      <c r="E1963" s="41">
        <v>46145</v>
      </c>
      <c r="F1963" s="47">
        <v>4.3043981481481482E-2</v>
      </c>
      <c r="G1963" s="44">
        <v>6.3</v>
      </c>
      <c r="H1963" s="43" t="s">
        <v>236</v>
      </c>
      <c r="I1963" s="40" t="s">
        <v>1282</v>
      </c>
    </row>
    <row r="1964" spans="1:9" x14ac:dyDescent="0.25">
      <c r="A1964" s="40" t="s">
        <v>669</v>
      </c>
      <c r="B1964" s="28">
        <v>2583</v>
      </c>
      <c r="C1964" s="28" t="s">
        <v>35</v>
      </c>
      <c r="D1964" s="28" t="s">
        <v>38</v>
      </c>
      <c r="E1964" s="45">
        <v>46145</v>
      </c>
      <c r="F1964" s="48">
        <v>0.13581018518518517</v>
      </c>
      <c r="G1964" s="44">
        <v>6.3</v>
      </c>
      <c r="H1964" s="43" t="s">
        <v>237</v>
      </c>
      <c r="I1964" s="40" t="s">
        <v>1282</v>
      </c>
    </row>
    <row r="1965" spans="1:9" x14ac:dyDescent="0.25">
      <c r="A1965" s="40" t="s">
        <v>669</v>
      </c>
      <c r="B1965" s="28">
        <v>2583</v>
      </c>
      <c r="C1965" s="28">
        <v>5647893</v>
      </c>
      <c r="D1965" s="28"/>
      <c r="E1965" s="41">
        <v>46145</v>
      </c>
      <c r="F1965" s="47">
        <v>0.18753472222222223</v>
      </c>
      <c r="G1965" s="44">
        <v>6.3</v>
      </c>
      <c r="H1965" s="43" t="s">
        <v>241</v>
      </c>
      <c r="I1965" s="40" t="s">
        <v>1282</v>
      </c>
    </row>
    <row r="1966" spans="1:9" x14ac:dyDescent="0.25">
      <c r="A1966" s="40" t="s">
        <v>669</v>
      </c>
      <c r="B1966" s="28">
        <v>2583</v>
      </c>
      <c r="C1966" s="28">
        <v>5647893</v>
      </c>
      <c r="D1966" s="28"/>
      <c r="E1966" s="41">
        <v>46145</v>
      </c>
      <c r="F1966" s="47">
        <v>0.19003472222222223</v>
      </c>
      <c r="G1966" s="44">
        <v>6.3</v>
      </c>
      <c r="H1966" s="43" t="s">
        <v>234</v>
      </c>
      <c r="I1966" s="40" t="s">
        <v>1282</v>
      </c>
    </row>
    <row r="1967" spans="1:9" x14ac:dyDescent="0.25">
      <c r="A1967" s="40" t="s">
        <v>669</v>
      </c>
      <c r="B1967" s="28">
        <v>2583</v>
      </c>
      <c r="C1967" s="28" t="s">
        <v>35</v>
      </c>
      <c r="D1967" s="28" t="s">
        <v>38</v>
      </c>
      <c r="E1967" s="41">
        <v>46145</v>
      </c>
      <c r="F1967" s="47">
        <v>0.74938657407407405</v>
      </c>
      <c r="G1967" s="44">
        <v>6.3</v>
      </c>
      <c r="H1967" s="43" t="s">
        <v>237</v>
      </c>
      <c r="I1967" s="40" t="s">
        <v>1282</v>
      </c>
    </row>
    <row r="1968" spans="1:9" x14ac:dyDescent="0.25">
      <c r="A1968" s="40" t="s">
        <v>669</v>
      </c>
      <c r="B1968" s="28">
        <v>2583</v>
      </c>
      <c r="C1968" s="28" t="s">
        <v>35</v>
      </c>
      <c r="D1968" s="28" t="s">
        <v>38</v>
      </c>
      <c r="E1968" s="41">
        <v>46145</v>
      </c>
      <c r="F1968" s="47">
        <v>0.75398148148148147</v>
      </c>
      <c r="G1968" s="44">
        <v>6.3</v>
      </c>
      <c r="H1968" s="43" t="s">
        <v>234</v>
      </c>
      <c r="I1968" s="40" t="s">
        <v>1282</v>
      </c>
    </row>
    <row r="1969" spans="1:9" x14ac:dyDescent="0.25">
      <c r="A1969" s="40" t="s">
        <v>355</v>
      </c>
      <c r="B1969" s="28">
        <v>2597</v>
      </c>
      <c r="C1969" s="28" t="s">
        <v>673</v>
      </c>
      <c r="D1969" s="28"/>
      <c r="E1969" s="41">
        <v>46140</v>
      </c>
      <c r="F1969" s="47">
        <v>0.33533564814814815</v>
      </c>
      <c r="G1969" s="44">
        <v>6.3</v>
      </c>
      <c r="H1969" s="43" t="s">
        <v>237</v>
      </c>
      <c r="I1969" s="40" t="s">
        <v>1281</v>
      </c>
    </row>
    <row r="1970" spans="1:9" x14ac:dyDescent="0.25">
      <c r="A1970" s="40" t="s">
        <v>355</v>
      </c>
      <c r="B1970" s="28">
        <v>2597</v>
      </c>
      <c r="C1970" s="28" t="s">
        <v>673</v>
      </c>
      <c r="D1970" s="28"/>
      <c r="E1970" s="41">
        <v>46140</v>
      </c>
      <c r="F1970" s="47">
        <v>0.34587962962962965</v>
      </c>
      <c r="G1970" s="44">
        <v>6.3</v>
      </c>
      <c r="H1970" s="43" t="s">
        <v>234</v>
      </c>
      <c r="I1970" s="40" t="s">
        <v>1281</v>
      </c>
    </row>
    <row r="1971" spans="1:9" x14ac:dyDescent="0.25">
      <c r="A1971" s="40" t="s">
        <v>355</v>
      </c>
      <c r="B1971" s="28">
        <v>2597</v>
      </c>
      <c r="C1971" s="28">
        <v>10551868</v>
      </c>
      <c r="D1971" s="28"/>
      <c r="E1971" s="41">
        <v>46140</v>
      </c>
      <c r="F1971" s="47">
        <v>0.59993055555555552</v>
      </c>
      <c r="G1971" s="44">
        <v>6.3</v>
      </c>
      <c r="H1971" s="43" t="s">
        <v>235</v>
      </c>
      <c r="I1971" s="40" t="s">
        <v>1281</v>
      </c>
    </row>
    <row r="1972" spans="1:9" x14ac:dyDescent="0.25">
      <c r="A1972" s="40" t="s">
        <v>355</v>
      </c>
      <c r="B1972" s="28">
        <v>2597</v>
      </c>
      <c r="C1972" s="28">
        <v>10551868</v>
      </c>
      <c r="D1972" s="28"/>
      <c r="E1972" s="45">
        <v>46140</v>
      </c>
      <c r="F1972" s="48">
        <v>0.61108796296296297</v>
      </c>
      <c r="G1972" s="44">
        <v>6.3</v>
      </c>
      <c r="H1972" s="43" t="s">
        <v>236</v>
      </c>
      <c r="I1972" s="40" t="s">
        <v>1281</v>
      </c>
    </row>
    <row r="1973" spans="1:9" x14ac:dyDescent="0.25">
      <c r="A1973" s="40" t="s">
        <v>355</v>
      </c>
      <c r="B1973" s="28">
        <v>2597</v>
      </c>
      <c r="C1973" s="28" t="s">
        <v>35</v>
      </c>
      <c r="D1973" s="28" t="s">
        <v>38</v>
      </c>
      <c r="E1973" s="45">
        <v>46140</v>
      </c>
      <c r="F1973" s="48">
        <v>0.73570601851851847</v>
      </c>
      <c r="G1973" s="44">
        <v>6.3</v>
      </c>
      <c r="H1973" s="43" t="s">
        <v>237</v>
      </c>
      <c r="I1973" s="40" t="s">
        <v>1281</v>
      </c>
    </row>
    <row r="1974" spans="1:9" x14ac:dyDescent="0.25">
      <c r="A1974" s="40" t="s">
        <v>355</v>
      </c>
      <c r="B1974" s="28">
        <v>2597</v>
      </c>
      <c r="C1974" s="28" t="s">
        <v>35</v>
      </c>
      <c r="D1974" s="28" t="s">
        <v>38</v>
      </c>
      <c r="E1974" s="41">
        <v>46141</v>
      </c>
      <c r="F1974" s="47">
        <v>0.72370370370370374</v>
      </c>
      <c r="G1974" s="44">
        <v>6.3</v>
      </c>
      <c r="H1974" s="43" t="s">
        <v>233</v>
      </c>
      <c r="I1974" s="40" t="s">
        <v>1281</v>
      </c>
    </row>
    <row r="1975" spans="1:9" x14ac:dyDescent="0.25">
      <c r="A1975" s="40" t="s">
        <v>355</v>
      </c>
      <c r="B1975" s="28">
        <v>2597</v>
      </c>
      <c r="C1975" s="28">
        <v>10566547</v>
      </c>
      <c r="D1975" s="28"/>
      <c r="E1975" s="45">
        <v>46142</v>
      </c>
      <c r="F1975" s="48">
        <v>0.3492939814814815</v>
      </c>
      <c r="G1975" s="42">
        <v>6.3</v>
      </c>
      <c r="H1975" s="40" t="s">
        <v>237</v>
      </c>
      <c r="I1975" s="40" t="s">
        <v>1281</v>
      </c>
    </row>
    <row r="1976" spans="1:9" x14ac:dyDescent="0.25">
      <c r="A1976" s="40" t="s">
        <v>355</v>
      </c>
      <c r="B1976" s="28">
        <v>2597</v>
      </c>
      <c r="C1976" s="28">
        <v>10566547</v>
      </c>
      <c r="D1976" s="28"/>
      <c r="E1976" s="41">
        <v>46142</v>
      </c>
      <c r="F1976" s="47">
        <v>0.35835648148148147</v>
      </c>
      <c r="G1976" s="42">
        <v>6.3</v>
      </c>
      <c r="H1976" s="40" t="s">
        <v>234</v>
      </c>
      <c r="I1976" s="40" t="s">
        <v>1281</v>
      </c>
    </row>
    <row r="1977" spans="1:9" x14ac:dyDescent="0.25">
      <c r="A1977" s="40" t="s">
        <v>355</v>
      </c>
      <c r="B1977" s="28">
        <v>2597</v>
      </c>
      <c r="C1977" s="28" t="s">
        <v>674</v>
      </c>
      <c r="D1977" s="28"/>
      <c r="E1977" s="41">
        <v>46142</v>
      </c>
      <c r="F1977" s="47">
        <v>0.43300925925925926</v>
      </c>
      <c r="G1977" s="42">
        <v>6.3</v>
      </c>
      <c r="H1977" s="40" t="s">
        <v>235</v>
      </c>
      <c r="I1977" s="40" t="s">
        <v>1281</v>
      </c>
    </row>
    <row r="1978" spans="1:9" x14ac:dyDescent="0.25">
      <c r="A1978" s="40" t="s">
        <v>355</v>
      </c>
      <c r="B1978" s="28">
        <v>2597</v>
      </c>
      <c r="C1978" s="28" t="s">
        <v>674</v>
      </c>
      <c r="D1978" s="28"/>
      <c r="E1978" s="41">
        <v>46142</v>
      </c>
      <c r="F1978" s="47">
        <v>0.45042824074074073</v>
      </c>
      <c r="G1978" s="42">
        <v>6.3</v>
      </c>
      <c r="H1978" s="40" t="s">
        <v>236</v>
      </c>
      <c r="I1978" s="40" t="s">
        <v>1281</v>
      </c>
    </row>
    <row r="1979" spans="1:9" x14ac:dyDescent="0.25">
      <c r="A1979" s="40" t="s">
        <v>355</v>
      </c>
      <c r="B1979" s="28">
        <v>2597</v>
      </c>
      <c r="C1979" s="28">
        <v>10566553</v>
      </c>
      <c r="D1979" s="28"/>
      <c r="E1979" s="41">
        <v>46142</v>
      </c>
      <c r="F1979" s="47">
        <v>0.51605324074074077</v>
      </c>
      <c r="G1979" s="44">
        <v>6.3</v>
      </c>
      <c r="H1979" s="43" t="s">
        <v>233</v>
      </c>
      <c r="I1979" s="40" t="s">
        <v>1281</v>
      </c>
    </row>
    <row r="1980" spans="1:9" x14ac:dyDescent="0.25">
      <c r="A1980" s="40" t="s">
        <v>355</v>
      </c>
      <c r="B1980" s="28">
        <v>2597</v>
      </c>
      <c r="C1980" s="28">
        <v>10566553</v>
      </c>
      <c r="D1980" s="28"/>
      <c r="E1980" s="45">
        <v>46142</v>
      </c>
      <c r="F1980" s="48">
        <v>0.52605324074074078</v>
      </c>
      <c r="G1980" s="44">
        <v>6.3</v>
      </c>
      <c r="H1980" s="43" t="s">
        <v>234</v>
      </c>
      <c r="I1980" s="40" t="s">
        <v>1281</v>
      </c>
    </row>
    <row r="1981" spans="1:9" x14ac:dyDescent="0.25">
      <c r="A1981" s="40" t="s">
        <v>355</v>
      </c>
      <c r="B1981" s="28">
        <v>2597</v>
      </c>
      <c r="C1981" s="28" t="s">
        <v>675</v>
      </c>
      <c r="D1981" s="28"/>
      <c r="E1981" s="45">
        <v>46143</v>
      </c>
      <c r="F1981" s="48">
        <v>0.44711805555555556</v>
      </c>
      <c r="G1981" s="44">
        <v>6.3</v>
      </c>
      <c r="H1981" s="43" t="s">
        <v>235</v>
      </c>
      <c r="I1981" s="40" t="s">
        <v>1282</v>
      </c>
    </row>
    <row r="1982" spans="1:9" x14ac:dyDescent="0.25">
      <c r="A1982" s="40" t="s">
        <v>355</v>
      </c>
      <c r="B1982" s="28">
        <v>2597</v>
      </c>
      <c r="C1982" s="28" t="s">
        <v>675</v>
      </c>
      <c r="D1982" s="28"/>
      <c r="E1982" s="41">
        <v>46143</v>
      </c>
      <c r="F1982" s="47">
        <v>0.45379629629629631</v>
      </c>
      <c r="G1982" s="44">
        <v>6.3</v>
      </c>
      <c r="H1982" s="43" t="s">
        <v>239</v>
      </c>
      <c r="I1982" s="40" t="s">
        <v>1282</v>
      </c>
    </row>
    <row r="1983" spans="1:9" x14ac:dyDescent="0.25">
      <c r="A1983" s="40" t="s">
        <v>355</v>
      </c>
      <c r="B1983" s="28">
        <v>2597</v>
      </c>
      <c r="C1983" s="28">
        <v>10573673</v>
      </c>
      <c r="D1983" s="28"/>
      <c r="E1983" s="41">
        <v>46143</v>
      </c>
      <c r="F1983" s="47">
        <v>0.51890046296296299</v>
      </c>
      <c r="G1983" s="44">
        <v>6.3</v>
      </c>
      <c r="H1983" s="43" t="s">
        <v>233</v>
      </c>
      <c r="I1983" s="40" t="s">
        <v>1282</v>
      </c>
    </row>
    <row r="1984" spans="1:9" x14ac:dyDescent="0.25">
      <c r="A1984" s="40" t="s">
        <v>355</v>
      </c>
      <c r="B1984" s="28">
        <v>2597</v>
      </c>
      <c r="C1984" s="28">
        <v>10573673</v>
      </c>
      <c r="D1984" s="28"/>
      <c r="E1984" s="41">
        <v>46143</v>
      </c>
      <c r="F1984" s="47">
        <v>0.5241203703703704</v>
      </c>
      <c r="G1984" s="44">
        <v>6.3</v>
      </c>
      <c r="H1984" s="43" t="s">
        <v>234</v>
      </c>
      <c r="I1984" s="40" t="s">
        <v>1282</v>
      </c>
    </row>
    <row r="1985" spans="1:9" x14ac:dyDescent="0.25">
      <c r="A1985" s="40" t="s">
        <v>676</v>
      </c>
      <c r="B1985" s="28">
        <v>2609</v>
      </c>
      <c r="C1985" s="28" t="s">
        <v>677</v>
      </c>
      <c r="D1985" s="28"/>
      <c r="E1985" s="41">
        <v>46143</v>
      </c>
      <c r="F1985" s="47">
        <v>0.85144675925925928</v>
      </c>
      <c r="G1985" s="44">
        <v>6.3</v>
      </c>
      <c r="H1985" s="43" t="s">
        <v>235</v>
      </c>
      <c r="I1985" s="40" t="s">
        <v>1282</v>
      </c>
    </row>
    <row r="1986" spans="1:9" x14ac:dyDescent="0.25">
      <c r="A1986" s="40" t="s">
        <v>676</v>
      </c>
      <c r="B1986" s="28">
        <v>2609</v>
      </c>
      <c r="C1986" s="28" t="s">
        <v>677</v>
      </c>
      <c r="D1986" s="28"/>
      <c r="E1986" s="41">
        <v>46143</v>
      </c>
      <c r="F1986" s="47">
        <v>0.85864583333333333</v>
      </c>
      <c r="G1986" s="44">
        <v>6.3</v>
      </c>
      <c r="H1986" s="43" t="s">
        <v>236</v>
      </c>
      <c r="I1986" s="40" t="s">
        <v>1282</v>
      </c>
    </row>
    <row r="1987" spans="1:9" x14ac:dyDescent="0.25">
      <c r="A1987" s="40" t="s">
        <v>676</v>
      </c>
      <c r="B1987" s="28">
        <v>2609</v>
      </c>
      <c r="C1987" s="28" t="s">
        <v>678</v>
      </c>
      <c r="D1987" s="28"/>
      <c r="E1987" s="41">
        <v>46144</v>
      </c>
      <c r="F1987" s="47">
        <v>1.1168981481481481E-2</v>
      </c>
      <c r="G1987" s="44">
        <v>6.3</v>
      </c>
      <c r="H1987" s="43" t="s">
        <v>235</v>
      </c>
      <c r="I1987" s="40" t="s">
        <v>1282</v>
      </c>
    </row>
    <row r="1988" spans="1:9" x14ac:dyDescent="0.25">
      <c r="A1988" s="40" t="s">
        <v>676</v>
      </c>
      <c r="B1988" s="28">
        <v>2609</v>
      </c>
      <c r="C1988" s="28" t="s">
        <v>678</v>
      </c>
      <c r="D1988" s="28"/>
      <c r="E1988" s="41">
        <v>46144</v>
      </c>
      <c r="F1988" s="47">
        <v>1.8344907407407407E-2</v>
      </c>
      <c r="G1988" s="44">
        <v>6.3</v>
      </c>
      <c r="H1988" s="43" t="s">
        <v>236</v>
      </c>
      <c r="I1988" s="40" t="s">
        <v>1282</v>
      </c>
    </row>
    <row r="1989" spans="1:9" x14ac:dyDescent="0.25">
      <c r="A1989" s="40" t="s">
        <v>676</v>
      </c>
      <c r="B1989" s="28">
        <v>2609</v>
      </c>
      <c r="C1989" s="28" t="s">
        <v>679</v>
      </c>
      <c r="D1989" s="28"/>
      <c r="E1989" s="41">
        <v>46145</v>
      </c>
      <c r="F1989" s="47">
        <v>0.92854166666666671</v>
      </c>
      <c r="G1989" s="44">
        <v>6.3</v>
      </c>
      <c r="H1989" s="43" t="s">
        <v>235</v>
      </c>
      <c r="I1989" s="40" t="s">
        <v>1282</v>
      </c>
    </row>
    <row r="1990" spans="1:9" x14ac:dyDescent="0.25">
      <c r="A1990" s="40" t="s">
        <v>676</v>
      </c>
      <c r="B1990" s="28">
        <v>2609</v>
      </c>
      <c r="C1990" s="28" t="s">
        <v>679</v>
      </c>
      <c r="D1990" s="28"/>
      <c r="E1990" s="41">
        <v>46145</v>
      </c>
      <c r="F1990" s="47">
        <v>0.93998842592592591</v>
      </c>
      <c r="G1990" s="42">
        <v>6.3</v>
      </c>
      <c r="H1990" s="40" t="s">
        <v>236</v>
      </c>
      <c r="I1990" s="40" t="s">
        <v>1282</v>
      </c>
    </row>
    <row r="1991" spans="1:9" x14ac:dyDescent="0.25">
      <c r="A1991" s="40" t="s">
        <v>676</v>
      </c>
      <c r="B1991" s="28">
        <v>2609</v>
      </c>
      <c r="C1991" s="28" t="s">
        <v>35</v>
      </c>
      <c r="D1991" s="28" t="s">
        <v>38</v>
      </c>
      <c r="E1991" s="41">
        <v>46145</v>
      </c>
      <c r="F1991" s="47">
        <v>0.9651967592592593</v>
      </c>
      <c r="G1991" s="42">
        <v>6.3</v>
      </c>
      <c r="H1991" s="40" t="s">
        <v>237</v>
      </c>
      <c r="I1991" s="40" t="s">
        <v>1282</v>
      </c>
    </row>
    <row r="1992" spans="1:9" x14ac:dyDescent="0.25">
      <c r="A1992" s="40" t="s">
        <v>676</v>
      </c>
      <c r="B1992" s="28">
        <v>2609</v>
      </c>
      <c r="C1992" s="28" t="s">
        <v>35</v>
      </c>
      <c r="D1992" s="28" t="s">
        <v>38</v>
      </c>
      <c r="E1992" s="41">
        <v>46145</v>
      </c>
      <c r="F1992" s="47">
        <v>0.97016203703703707</v>
      </c>
      <c r="G1992" s="42">
        <v>6.3</v>
      </c>
      <c r="H1992" s="40" t="s">
        <v>234</v>
      </c>
      <c r="I1992" s="40" t="s">
        <v>1282</v>
      </c>
    </row>
    <row r="1993" spans="1:9" x14ac:dyDescent="0.25">
      <c r="A1993" s="40" t="s">
        <v>324</v>
      </c>
      <c r="B1993" s="28">
        <v>2653</v>
      </c>
      <c r="C1993" s="28">
        <v>5636363</v>
      </c>
      <c r="D1993" s="28"/>
      <c r="E1993" s="41">
        <v>46139</v>
      </c>
      <c r="F1993" s="47">
        <v>0.16984953703703703</v>
      </c>
      <c r="G1993" s="42">
        <v>6.3</v>
      </c>
      <c r="H1993" s="40" t="s">
        <v>233</v>
      </c>
      <c r="I1993" s="40" t="s">
        <v>1281</v>
      </c>
    </row>
    <row r="1994" spans="1:9" x14ac:dyDescent="0.25">
      <c r="A1994" s="40" t="s">
        <v>324</v>
      </c>
      <c r="B1994" s="28">
        <v>2653</v>
      </c>
      <c r="C1994" s="28">
        <v>5636363</v>
      </c>
      <c r="D1994" s="28"/>
      <c r="E1994" s="41">
        <v>46139</v>
      </c>
      <c r="F1994" s="47">
        <v>0.17484953703703704</v>
      </c>
      <c r="G1994" s="42">
        <v>6.3</v>
      </c>
      <c r="H1994" s="40" t="s">
        <v>234</v>
      </c>
      <c r="I1994" s="40" t="s">
        <v>1281</v>
      </c>
    </row>
    <row r="1995" spans="1:9" x14ac:dyDescent="0.25">
      <c r="A1995" s="40" t="s">
        <v>324</v>
      </c>
      <c r="B1995" s="28">
        <v>2653</v>
      </c>
      <c r="C1995" s="28">
        <v>5636541</v>
      </c>
      <c r="D1995" s="28"/>
      <c r="E1995" s="45">
        <v>46139</v>
      </c>
      <c r="F1995" s="48">
        <v>0.30106481481481484</v>
      </c>
      <c r="G1995" s="42">
        <v>6.3</v>
      </c>
      <c r="H1995" s="40" t="s">
        <v>237</v>
      </c>
      <c r="I1995" s="40" t="s">
        <v>1281</v>
      </c>
    </row>
    <row r="1996" spans="1:9" x14ac:dyDescent="0.25">
      <c r="A1996" s="40" t="s">
        <v>324</v>
      </c>
      <c r="B1996" s="28">
        <v>2653</v>
      </c>
      <c r="C1996" s="28">
        <v>5636541</v>
      </c>
      <c r="D1996" s="28"/>
      <c r="E1996" s="41">
        <v>46139</v>
      </c>
      <c r="F1996" s="47">
        <v>0.31138888888888888</v>
      </c>
      <c r="G1996" s="42">
        <v>6.3</v>
      </c>
      <c r="H1996" s="40" t="s">
        <v>234</v>
      </c>
      <c r="I1996" s="40" t="s">
        <v>1281</v>
      </c>
    </row>
    <row r="1997" spans="1:9" x14ac:dyDescent="0.25">
      <c r="A1997" s="40" t="s">
        <v>324</v>
      </c>
      <c r="B1997" s="28">
        <v>2653</v>
      </c>
      <c r="C1997" s="28">
        <v>5638552</v>
      </c>
      <c r="D1997" s="28"/>
      <c r="E1997" s="41">
        <v>46139</v>
      </c>
      <c r="F1997" s="47">
        <v>0.65965277777777775</v>
      </c>
      <c r="G1997" s="42">
        <v>6.3</v>
      </c>
      <c r="H1997" s="40" t="s">
        <v>235</v>
      </c>
      <c r="I1997" s="40" t="s">
        <v>1281</v>
      </c>
    </row>
    <row r="1998" spans="1:9" x14ac:dyDescent="0.25">
      <c r="A1998" s="40" t="s">
        <v>324</v>
      </c>
      <c r="B1998" s="28">
        <v>2653</v>
      </c>
      <c r="C1998" s="28">
        <v>5638552</v>
      </c>
      <c r="D1998" s="28"/>
      <c r="E1998" s="41">
        <v>46139</v>
      </c>
      <c r="F1998" s="47">
        <v>0.67125000000000001</v>
      </c>
      <c r="G1998" s="44">
        <v>6.3</v>
      </c>
      <c r="H1998" s="43" t="s">
        <v>239</v>
      </c>
      <c r="I1998" s="40" t="s">
        <v>1281</v>
      </c>
    </row>
    <row r="1999" spans="1:9" x14ac:dyDescent="0.25">
      <c r="A1999" s="40" t="s">
        <v>324</v>
      </c>
      <c r="B1999" s="28">
        <v>2653</v>
      </c>
      <c r="C1999" s="28" t="s">
        <v>35</v>
      </c>
      <c r="D1999" s="28" t="s">
        <v>38</v>
      </c>
      <c r="E1999" s="41">
        <v>46139</v>
      </c>
      <c r="F1999" s="47">
        <v>0.76372685185185185</v>
      </c>
      <c r="G1999" s="44">
        <v>6.3</v>
      </c>
      <c r="H1999" s="43" t="s">
        <v>237</v>
      </c>
      <c r="I1999" s="40" t="s">
        <v>1281</v>
      </c>
    </row>
    <row r="2000" spans="1:9" x14ac:dyDescent="0.25">
      <c r="A2000" s="40" t="s">
        <v>324</v>
      </c>
      <c r="B2000" s="28">
        <v>2653</v>
      </c>
      <c r="C2000" s="28" t="s">
        <v>35</v>
      </c>
      <c r="D2000" s="28" t="s">
        <v>38</v>
      </c>
      <c r="E2000" s="41">
        <v>46139</v>
      </c>
      <c r="F2000" s="47">
        <v>0.80039351851851848</v>
      </c>
      <c r="G2000" s="44">
        <v>6.3</v>
      </c>
      <c r="H2000" s="43" t="s">
        <v>234</v>
      </c>
      <c r="I2000" s="40" t="s">
        <v>1281</v>
      </c>
    </row>
    <row r="2001" spans="1:9" x14ac:dyDescent="0.25">
      <c r="A2001" s="40" t="s">
        <v>324</v>
      </c>
      <c r="B2001" s="28">
        <v>2653</v>
      </c>
      <c r="C2001" s="28">
        <v>5639405</v>
      </c>
      <c r="D2001" s="28"/>
      <c r="E2001" s="41">
        <v>46139</v>
      </c>
      <c r="F2001" s="47">
        <v>0.87746527777777783</v>
      </c>
      <c r="G2001" s="44">
        <v>6.3</v>
      </c>
      <c r="H2001" s="43" t="s">
        <v>235</v>
      </c>
      <c r="I2001" s="40" t="s">
        <v>1281</v>
      </c>
    </row>
    <row r="2002" spans="1:9" x14ac:dyDescent="0.25">
      <c r="A2002" s="40" t="s">
        <v>324</v>
      </c>
      <c r="B2002" s="28">
        <v>2653</v>
      </c>
      <c r="C2002" s="28">
        <v>5638544</v>
      </c>
      <c r="D2002" s="28"/>
      <c r="E2002" s="41">
        <v>46140</v>
      </c>
      <c r="F2002" s="47">
        <v>0.20804398148148148</v>
      </c>
      <c r="G2002" s="44">
        <v>6.3</v>
      </c>
      <c r="H2002" s="43" t="s">
        <v>241</v>
      </c>
      <c r="I2002" s="40" t="s">
        <v>1281</v>
      </c>
    </row>
    <row r="2003" spans="1:9" x14ac:dyDescent="0.25">
      <c r="A2003" s="40" t="s">
        <v>324</v>
      </c>
      <c r="B2003" s="28">
        <v>2653</v>
      </c>
      <c r="C2003" s="28">
        <v>5638544</v>
      </c>
      <c r="D2003" s="28"/>
      <c r="E2003" s="41">
        <v>46140</v>
      </c>
      <c r="F2003" s="47">
        <v>0.21078703703703705</v>
      </c>
      <c r="G2003" s="44">
        <v>6.3</v>
      </c>
      <c r="H2003" s="43" t="s">
        <v>234</v>
      </c>
      <c r="I2003" s="40" t="s">
        <v>1281</v>
      </c>
    </row>
    <row r="2004" spans="1:9" x14ac:dyDescent="0.25">
      <c r="A2004" s="40" t="s">
        <v>324</v>
      </c>
      <c r="B2004" s="28">
        <v>2653</v>
      </c>
      <c r="C2004" s="28" t="s">
        <v>35</v>
      </c>
      <c r="D2004" s="28" t="s">
        <v>38</v>
      </c>
      <c r="E2004" s="41">
        <v>46140</v>
      </c>
      <c r="F2004" s="47">
        <v>0.94887731481481485</v>
      </c>
      <c r="G2004" s="44">
        <v>6.3</v>
      </c>
      <c r="H2004" s="43" t="s">
        <v>234</v>
      </c>
      <c r="I2004" s="40" t="s">
        <v>1281</v>
      </c>
    </row>
    <row r="2005" spans="1:9" x14ac:dyDescent="0.25">
      <c r="A2005" s="40" t="s">
        <v>324</v>
      </c>
      <c r="B2005" s="28">
        <v>2653</v>
      </c>
      <c r="C2005" s="28" t="s">
        <v>35</v>
      </c>
      <c r="D2005" s="28" t="s">
        <v>38</v>
      </c>
      <c r="E2005" s="45">
        <v>46141</v>
      </c>
      <c r="F2005" s="48">
        <v>0.27273148148148146</v>
      </c>
      <c r="G2005" s="44">
        <v>6.3</v>
      </c>
      <c r="H2005" s="43" t="s">
        <v>237</v>
      </c>
      <c r="I2005" s="40" t="s">
        <v>1281</v>
      </c>
    </row>
    <row r="2006" spans="1:9" x14ac:dyDescent="0.25">
      <c r="A2006" s="40" t="s">
        <v>324</v>
      </c>
      <c r="B2006" s="28">
        <v>2653</v>
      </c>
      <c r="C2006" s="28" t="s">
        <v>35</v>
      </c>
      <c r="D2006" s="28" t="s">
        <v>38</v>
      </c>
      <c r="E2006" s="45">
        <v>46141</v>
      </c>
      <c r="F2006" s="48">
        <v>0.27876157407407409</v>
      </c>
      <c r="G2006" s="44">
        <v>6.3</v>
      </c>
      <c r="H2006" s="43" t="s">
        <v>234</v>
      </c>
      <c r="I2006" s="40" t="s">
        <v>1281</v>
      </c>
    </row>
    <row r="2007" spans="1:9" x14ac:dyDescent="0.25">
      <c r="A2007" s="40" t="s">
        <v>324</v>
      </c>
      <c r="B2007" s="28">
        <v>2653</v>
      </c>
      <c r="C2007" s="28">
        <v>5643562</v>
      </c>
      <c r="D2007" s="28"/>
      <c r="E2007" s="41">
        <v>46142</v>
      </c>
      <c r="F2007" s="47">
        <v>0.16699074074074075</v>
      </c>
      <c r="G2007" s="44">
        <v>6.3</v>
      </c>
      <c r="H2007" s="43" t="s">
        <v>233</v>
      </c>
      <c r="I2007" s="40" t="s">
        <v>1281</v>
      </c>
    </row>
    <row r="2008" spans="1:9" x14ac:dyDescent="0.25">
      <c r="A2008" s="40" t="s">
        <v>324</v>
      </c>
      <c r="B2008" s="28">
        <v>2653</v>
      </c>
      <c r="C2008" s="28">
        <v>5643562</v>
      </c>
      <c r="D2008" s="28"/>
      <c r="E2008" s="41">
        <v>46142</v>
      </c>
      <c r="F2008" s="47">
        <v>0.17266203703703703</v>
      </c>
      <c r="G2008" s="44">
        <v>6.3</v>
      </c>
      <c r="H2008" s="43" t="s">
        <v>234</v>
      </c>
      <c r="I2008" s="40" t="s">
        <v>1281</v>
      </c>
    </row>
    <row r="2009" spans="1:9" x14ac:dyDescent="0.25">
      <c r="A2009" s="40" t="s">
        <v>324</v>
      </c>
      <c r="B2009" s="28">
        <v>2653</v>
      </c>
      <c r="C2009" s="28">
        <v>5644183</v>
      </c>
      <c r="D2009" s="28" t="s">
        <v>36</v>
      </c>
      <c r="E2009" s="41">
        <v>46142</v>
      </c>
      <c r="F2009" s="47">
        <v>0.35682870370370373</v>
      </c>
      <c r="G2009" s="44">
        <v>6.3</v>
      </c>
      <c r="H2009" s="43" t="s">
        <v>237</v>
      </c>
      <c r="I2009" s="40" t="s">
        <v>1281</v>
      </c>
    </row>
    <row r="2010" spans="1:9" x14ac:dyDescent="0.25">
      <c r="A2010" s="40" t="s">
        <v>324</v>
      </c>
      <c r="B2010" s="28">
        <v>2653</v>
      </c>
      <c r="C2010" s="28">
        <v>5644183</v>
      </c>
      <c r="D2010" s="28" t="s">
        <v>36</v>
      </c>
      <c r="E2010" s="45">
        <v>46142</v>
      </c>
      <c r="F2010" s="48">
        <v>0.36489583333333331</v>
      </c>
      <c r="G2010" s="44">
        <v>6.3</v>
      </c>
      <c r="H2010" s="43" t="s">
        <v>234</v>
      </c>
      <c r="I2010" s="40" t="s">
        <v>1281</v>
      </c>
    </row>
    <row r="2011" spans="1:9" x14ac:dyDescent="0.25">
      <c r="A2011" s="40" t="s">
        <v>324</v>
      </c>
      <c r="B2011" s="28">
        <v>2653</v>
      </c>
      <c r="C2011" s="28">
        <v>5644343</v>
      </c>
      <c r="D2011" s="28"/>
      <c r="E2011" s="41">
        <v>46142</v>
      </c>
      <c r="F2011" s="47">
        <v>0.43840277777777775</v>
      </c>
      <c r="G2011" s="44">
        <v>6.3</v>
      </c>
      <c r="H2011" s="43" t="s">
        <v>235</v>
      </c>
      <c r="I2011" s="40" t="s">
        <v>1281</v>
      </c>
    </row>
    <row r="2012" spans="1:9" x14ac:dyDescent="0.25">
      <c r="A2012" s="40" t="s">
        <v>324</v>
      </c>
      <c r="B2012" s="28">
        <v>2653</v>
      </c>
      <c r="C2012" s="28">
        <v>5644343</v>
      </c>
      <c r="D2012" s="28"/>
      <c r="E2012" s="41">
        <v>46142</v>
      </c>
      <c r="F2012" s="47">
        <v>0.45457175925925924</v>
      </c>
      <c r="G2012" s="44">
        <v>6.3</v>
      </c>
      <c r="H2012" s="43" t="s">
        <v>236</v>
      </c>
      <c r="I2012" s="40" t="s">
        <v>1281</v>
      </c>
    </row>
    <row r="2013" spans="1:9" x14ac:dyDescent="0.25">
      <c r="A2013" s="40" t="s">
        <v>324</v>
      </c>
      <c r="B2013" s="28">
        <v>2653</v>
      </c>
      <c r="C2013" s="28" t="s">
        <v>35</v>
      </c>
      <c r="D2013" s="28" t="s">
        <v>38</v>
      </c>
      <c r="E2013" s="41">
        <v>46142</v>
      </c>
      <c r="F2013" s="47">
        <v>0.52356481481481476</v>
      </c>
      <c r="G2013" s="44">
        <v>6.3</v>
      </c>
      <c r="H2013" s="43" t="s">
        <v>237</v>
      </c>
      <c r="I2013" s="40" t="s">
        <v>1281</v>
      </c>
    </row>
    <row r="2014" spans="1:9" x14ac:dyDescent="0.25">
      <c r="A2014" s="40" t="s">
        <v>324</v>
      </c>
      <c r="B2014" s="28">
        <v>2653</v>
      </c>
      <c r="C2014" s="28" t="s">
        <v>35</v>
      </c>
      <c r="D2014" s="28" t="s">
        <v>38</v>
      </c>
      <c r="E2014" s="41">
        <v>46142</v>
      </c>
      <c r="F2014" s="47">
        <v>0.53190972222222221</v>
      </c>
      <c r="G2014" s="44">
        <v>6.3</v>
      </c>
      <c r="H2014" s="43" t="s">
        <v>234</v>
      </c>
      <c r="I2014" s="40" t="s">
        <v>1281</v>
      </c>
    </row>
    <row r="2015" spans="1:9" x14ac:dyDescent="0.25">
      <c r="A2015" s="40" t="s">
        <v>324</v>
      </c>
      <c r="B2015" s="28">
        <v>2653</v>
      </c>
      <c r="C2015" s="28" t="s">
        <v>35</v>
      </c>
      <c r="D2015" s="28" t="s">
        <v>38</v>
      </c>
      <c r="E2015" s="45">
        <v>46142</v>
      </c>
      <c r="F2015" s="48">
        <v>0.7061574074074074</v>
      </c>
      <c r="G2015" s="44">
        <v>6.3</v>
      </c>
      <c r="H2015" s="43" t="s">
        <v>235</v>
      </c>
      <c r="I2015" s="40" t="s">
        <v>1281</v>
      </c>
    </row>
    <row r="2016" spans="1:9" x14ac:dyDescent="0.25">
      <c r="A2016" s="40" t="s">
        <v>324</v>
      </c>
      <c r="B2016" s="28">
        <v>2653</v>
      </c>
      <c r="C2016" s="28" t="s">
        <v>35</v>
      </c>
      <c r="D2016" s="28" t="s">
        <v>38</v>
      </c>
      <c r="E2016" s="41">
        <v>46142</v>
      </c>
      <c r="F2016" s="47">
        <v>0.73446759259259264</v>
      </c>
      <c r="G2016" s="44">
        <v>6.3</v>
      </c>
      <c r="H2016" s="43" t="s">
        <v>236</v>
      </c>
      <c r="I2016" s="40" t="s">
        <v>1281</v>
      </c>
    </row>
    <row r="2017" spans="1:9" x14ac:dyDescent="0.25">
      <c r="A2017" s="40" t="s">
        <v>324</v>
      </c>
      <c r="B2017" s="28">
        <v>2653</v>
      </c>
      <c r="C2017" s="28" t="s">
        <v>35</v>
      </c>
      <c r="D2017" s="28" t="s">
        <v>38</v>
      </c>
      <c r="E2017" s="41">
        <v>46143</v>
      </c>
      <c r="F2017" s="47">
        <v>0.51346064814814818</v>
      </c>
      <c r="G2017" s="44">
        <v>6.3</v>
      </c>
      <c r="H2017" s="43" t="s">
        <v>235</v>
      </c>
      <c r="I2017" s="40" t="s">
        <v>1282</v>
      </c>
    </row>
    <row r="2018" spans="1:9" x14ac:dyDescent="0.25">
      <c r="A2018" s="40" t="s">
        <v>324</v>
      </c>
      <c r="B2018" s="28">
        <v>2653</v>
      </c>
      <c r="C2018" s="28">
        <v>5648290</v>
      </c>
      <c r="D2018" s="28"/>
      <c r="E2018" s="41">
        <v>46145</v>
      </c>
      <c r="F2018" s="47">
        <v>0.34894675925925928</v>
      </c>
      <c r="G2018" s="44">
        <v>6.3</v>
      </c>
      <c r="H2018" s="43" t="s">
        <v>233</v>
      </c>
      <c r="I2018" s="40" t="s">
        <v>1282</v>
      </c>
    </row>
    <row r="2019" spans="1:9" x14ac:dyDescent="0.25">
      <c r="A2019" s="40" t="s">
        <v>324</v>
      </c>
      <c r="B2019" s="28">
        <v>2653</v>
      </c>
      <c r="C2019" s="28">
        <v>5648290</v>
      </c>
      <c r="D2019" s="28"/>
      <c r="E2019" s="41">
        <v>46145</v>
      </c>
      <c r="F2019" s="47">
        <v>0.35368055555555555</v>
      </c>
      <c r="G2019" s="44">
        <v>6.3</v>
      </c>
      <c r="H2019" s="43" t="s">
        <v>234</v>
      </c>
      <c r="I2019" s="40" t="s">
        <v>1282</v>
      </c>
    </row>
    <row r="2020" spans="1:9" x14ac:dyDescent="0.25">
      <c r="A2020" s="40" t="s">
        <v>92</v>
      </c>
      <c r="B2020" s="28">
        <v>9045</v>
      </c>
      <c r="C2020" s="28">
        <v>10551904</v>
      </c>
      <c r="D2020" s="28" t="s">
        <v>36</v>
      </c>
      <c r="E2020" s="45">
        <v>46140</v>
      </c>
      <c r="F2020" s="48">
        <v>0.5798726851851852</v>
      </c>
      <c r="G2020" s="44">
        <v>6.3</v>
      </c>
      <c r="H2020" s="43" t="s">
        <v>235</v>
      </c>
      <c r="I2020" s="40" t="s">
        <v>1281</v>
      </c>
    </row>
    <row r="2021" spans="1:9" x14ac:dyDescent="0.25">
      <c r="A2021" s="40" t="s">
        <v>92</v>
      </c>
      <c r="B2021" s="28">
        <v>9045</v>
      </c>
      <c r="C2021" s="28">
        <v>10551904</v>
      </c>
      <c r="D2021" s="28" t="s">
        <v>36</v>
      </c>
      <c r="E2021" s="41">
        <v>46140</v>
      </c>
      <c r="F2021" s="47">
        <v>0.58916666666666662</v>
      </c>
      <c r="G2021" s="44">
        <v>6.3</v>
      </c>
      <c r="H2021" s="43" t="s">
        <v>236</v>
      </c>
      <c r="I2021" s="40" t="s">
        <v>1281</v>
      </c>
    </row>
    <row r="2022" spans="1:9" x14ac:dyDescent="0.25">
      <c r="A2022" s="40" t="s">
        <v>92</v>
      </c>
      <c r="B2022" s="28">
        <v>9045</v>
      </c>
      <c r="C2022" s="28">
        <v>10551969</v>
      </c>
      <c r="D2022" s="28"/>
      <c r="E2022" s="41">
        <v>46140</v>
      </c>
      <c r="F2022" s="47">
        <v>0.66387731481481482</v>
      </c>
      <c r="G2022" s="44">
        <v>6.3</v>
      </c>
      <c r="H2022" s="43" t="s">
        <v>233</v>
      </c>
      <c r="I2022" s="40" t="s">
        <v>1281</v>
      </c>
    </row>
    <row r="2023" spans="1:9" x14ac:dyDescent="0.25">
      <c r="A2023" s="40" t="s">
        <v>92</v>
      </c>
      <c r="B2023" s="28">
        <v>9045</v>
      </c>
      <c r="C2023" s="28">
        <v>10551969</v>
      </c>
      <c r="D2023" s="28"/>
      <c r="E2023" s="41">
        <v>46140</v>
      </c>
      <c r="F2023" s="47">
        <v>0.67510416666666662</v>
      </c>
      <c r="G2023" s="44">
        <v>6.3</v>
      </c>
      <c r="H2023" s="43" t="s">
        <v>234</v>
      </c>
      <c r="I2023" s="40" t="s">
        <v>1281</v>
      </c>
    </row>
    <row r="2024" spans="1:9" x14ac:dyDescent="0.25">
      <c r="A2024" s="40" t="s">
        <v>92</v>
      </c>
      <c r="B2024" s="28">
        <v>2674</v>
      </c>
      <c r="C2024" s="28">
        <v>10566515</v>
      </c>
      <c r="D2024" s="28"/>
      <c r="E2024" s="41">
        <v>46142</v>
      </c>
      <c r="F2024" s="47">
        <v>0.17883101851851851</v>
      </c>
      <c r="G2024" s="44">
        <v>6.3</v>
      </c>
      <c r="H2024" s="43" t="s">
        <v>237</v>
      </c>
      <c r="I2024" s="40" t="s">
        <v>1281</v>
      </c>
    </row>
    <row r="2025" spans="1:9" x14ac:dyDescent="0.25">
      <c r="A2025" s="40" t="s">
        <v>92</v>
      </c>
      <c r="B2025" s="28">
        <v>2674</v>
      </c>
      <c r="C2025" s="28">
        <v>10566515</v>
      </c>
      <c r="D2025" s="28"/>
      <c r="E2025" s="41">
        <v>46142</v>
      </c>
      <c r="F2025" s="47">
        <v>0.18475694444444443</v>
      </c>
      <c r="G2025" s="44">
        <v>6.3</v>
      </c>
      <c r="H2025" s="43" t="s">
        <v>234</v>
      </c>
      <c r="I2025" s="40" t="s">
        <v>1281</v>
      </c>
    </row>
    <row r="2026" spans="1:9" x14ac:dyDescent="0.25">
      <c r="A2026" s="40" t="s">
        <v>92</v>
      </c>
      <c r="B2026" s="28">
        <v>2674</v>
      </c>
      <c r="C2026" s="28">
        <v>10566429</v>
      </c>
      <c r="D2026" s="28"/>
      <c r="E2026" s="41">
        <v>46142</v>
      </c>
      <c r="F2026" s="47">
        <v>0.97391203703703699</v>
      </c>
      <c r="G2026" s="44">
        <v>6.3</v>
      </c>
      <c r="H2026" s="43" t="s">
        <v>235</v>
      </c>
      <c r="I2026" s="40" t="s">
        <v>1282</v>
      </c>
    </row>
    <row r="2027" spans="1:9" x14ac:dyDescent="0.25">
      <c r="A2027" s="40" t="s">
        <v>92</v>
      </c>
      <c r="B2027" s="28">
        <v>2674</v>
      </c>
      <c r="C2027" s="28">
        <v>10566429</v>
      </c>
      <c r="D2027" s="28"/>
      <c r="E2027" s="41">
        <v>46142</v>
      </c>
      <c r="F2027" s="47">
        <v>0.97994212962962968</v>
      </c>
      <c r="G2027" s="44">
        <v>6.3</v>
      </c>
      <c r="H2027" s="43" t="s">
        <v>236</v>
      </c>
      <c r="I2027" s="40" t="s">
        <v>1282</v>
      </c>
    </row>
    <row r="2028" spans="1:9" x14ac:dyDescent="0.25">
      <c r="A2028" s="40" t="s">
        <v>92</v>
      </c>
      <c r="B2028" s="28">
        <v>2674</v>
      </c>
      <c r="C2028" s="28">
        <v>10573245</v>
      </c>
      <c r="D2028" s="28"/>
      <c r="E2028" s="41">
        <v>46143</v>
      </c>
      <c r="F2028" s="47">
        <v>9.689814814814815E-2</v>
      </c>
      <c r="G2028" s="44">
        <v>6.3</v>
      </c>
      <c r="H2028" s="43" t="s">
        <v>241</v>
      </c>
      <c r="I2028" s="40" t="s">
        <v>1282</v>
      </c>
    </row>
    <row r="2029" spans="1:9" x14ac:dyDescent="0.25">
      <c r="A2029" s="40" t="s">
        <v>92</v>
      </c>
      <c r="B2029" s="28">
        <v>2674</v>
      </c>
      <c r="C2029" s="28">
        <v>10573245</v>
      </c>
      <c r="D2029" s="28"/>
      <c r="E2029" s="41">
        <v>46143</v>
      </c>
      <c r="F2029" s="47">
        <v>9.9270833333333336E-2</v>
      </c>
      <c r="G2029" s="44">
        <v>6.3</v>
      </c>
      <c r="H2029" s="43" t="s">
        <v>234</v>
      </c>
      <c r="I2029" s="40" t="s">
        <v>1282</v>
      </c>
    </row>
    <row r="2030" spans="1:9" x14ac:dyDescent="0.25">
      <c r="A2030" s="40" t="s">
        <v>92</v>
      </c>
      <c r="B2030" s="28">
        <v>9045</v>
      </c>
      <c r="C2030" s="28">
        <v>10579993</v>
      </c>
      <c r="D2030" s="28"/>
      <c r="E2030" s="41">
        <v>46144</v>
      </c>
      <c r="F2030" s="47">
        <v>0.6235532407407407</v>
      </c>
      <c r="G2030" s="44">
        <v>6.3</v>
      </c>
      <c r="H2030" s="43" t="s">
        <v>235</v>
      </c>
      <c r="I2030" s="40" t="s">
        <v>1282</v>
      </c>
    </row>
    <row r="2031" spans="1:9" x14ac:dyDescent="0.25">
      <c r="A2031" s="40" t="s">
        <v>92</v>
      </c>
      <c r="B2031" s="28">
        <v>9045</v>
      </c>
      <c r="C2031" s="28">
        <v>10579993</v>
      </c>
      <c r="D2031" s="28"/>
      <c r="E2031" s="45">
        <v>46144</v>
      </c>
      <c r="F2031" s="48">
        <v>0.63487268518518514</v>
      </c>
      <c r="G2031" s="44">
        <v>6.3</v>
      </c>
      <c r="H2031" s="43" t="s">
        <v>236</v>
      </c>
      <c r="I2031" s="40" t="s">
        <v>1282</v>
      </c>
    </row>
    <row r="2032" spans="1:9" x14ac:dyDescent="0.25">
      <c r="A2032" s="40" t="s">
        <v>259</v>
      </c>
      <c r="B2032" s="28">
        <v>2722</v>
      </c>
      <c r="C2032" s="28">
        <v>5645945</v>
      </c>
      <c r="D2032" s="28"/>
      <c r="E2032" s="41">
        <v>46143</v>
      </c>
      <c r="F2032" s="47">
        <v>0.17895833333333333</v>
      </c>
      <c r="G2032" s="44">
        <v>6.3</v>
      </c>
      <c r="H2032" s="43" t="s">
        <v>237</v>
      </c>
      <c r="I2032" s="40" t="s">
        <v>1282</v>
      </c>
    </row>
    <row r="2033" spans="1:9" x14ac:dyDescent="0.25">
      <c r="A2033" s="40" t="s">
        <v>259</v>
      </c>
      <c r="B2033" s="28">
        <v>2722</v>
      </c>
      <c r="C2033" s="28">
        <v>5645945</v>
      </c>
      <c r="D2033" s="28"/>
      <c r="E2033" s="41">
        <v>46143</v>
      </c>
      <c r="F2033" s="47">
        <v>0.18546296296296297</v>
      </c>
      <c r="G2033" s="42">
        <v>6.3</v>
      </c>
      <c r="H2033" s="40" t="s">
        <v>234</v>
      </c>
      <c r="I2033" s="40" t="s">
        <v>1282</v>
      </c>
    </row>
    <row r="2034" spans="1:9" x14ac:dyDescent="0.25">
      <c r="A2034" s="40" t="s">
        <v>259</v>
      </c>
      <c r="B2034" s="28">
        <v>2722</v>
      </c>
      <c r="C2034" s="28">
        <v>5646130</v>
      </c>
      <c r="D2034" s="28"/>
      <c r="E2034" s="41">
        <v>46143</v>
      </c>
      <c r="F2034" s="47">
        <v>0.38543981481481482</v>
      </c>
      <c r="G2034" s="42">
        <v>6.3</v>
      </c>
      <c r="H2034" s="40" t="s">
        <v>235</v>
      </c>
      <c r="I2034" s="40" t="s">
        <v>1282</v>
      </c>
    </row>
    <row r="2035" spans="1:9" x14ac:dyDescent="0.25">
      <c r="A2035" s="40" t="s">
        <v>259</v>
      </c>
      <c r="B2035" s="28">
        <v>2722</v>
      </c>
      <c r="C2035" s="28">
        <v>5647313</v>
      </c>
      <c r="D2035" s="28"/>
      <c r="E2035" s="41">
        <v>46144</v>
      </c>
      <c r="F2035" s="47">
        <v>0.40395833333333331</v>
      </c>
      <c r="G2035" s="42">
        <v>6.3</v>
      </c>
      <c r="H2035" s="40" t="s">
        <v>235</v>
      </c>
      <c r="I2035" s="40" t="s">
        <v>1282</v>
      </c>
    </row>
    <row r="2036" spans="1:9" x14ac:dyDescent="0.25">
      <c r="A2036" s="40" t="s">
        <v>259</v>
      </c>
      <c r="B2036" s="28">
        <v>2722</v>
      </c>
      <c r="C2036" s="28">
        <v>5647313</v>
      </c>
      <c r="D2036" s="28"/>
      <c r="E2036" s="41">
        <v>46144</v>
      </c>
      <c r="F2036" s="47">
        <v>0.41135416666666669</v>
      </c>
      <c r="G2036" s="42">
        <v>6.3</v>
      </c>
      <c r="H2036" s="40" t="s">
        <v>236</v>
      </c>
      <c r="I2036" s="40" t="s">
        <v>1282</v>
      </c>
    </row>
    <row r="2037" spans="1:9" x14ac:dyDescent="0.25">
      <c r="A2037" s="40" t="s">
        <v>163</v>
      </c>
      <c r="B2037" s="28">
        <v>2736</v>
      </c>
      <c r="C2037" s="28" t="s">
        <v>680</v>
      </c>
      <c r="D2037" s="28"/>
      <c r="E2037" s="41">
        <v>46142</v>
      </c>
      <c r="F2037" s="47">
        <v>0.29019675925925925</v>
      </c>
      <c r="G2037" s="44">
        <v>6.3</v>
      </c>
      <c r="H2037" s="43" t="s">
        <v>237</v>
      </c>
      <c r="I2037" s="40" t="s">
        <v>1281</v>
      </c>
    </row>
    <row r="2038" spans="1:9" x14ac:dyDescent="0.25">
      <c r="A2038" s="40" t="s">
        <v>163</v>
      </c>
      <c r="B2038" s="28">
        <v>2736</v>
      </c>
      <c r="C2038" s="28" t="s">
        <v>680</v>
      </c>
      <c r="D2038" s="28"/>
      <c r="E2038" s="41">
        <v>46142</v>
      </c>
      <c r="F2038" s="47">
        <v>0.30084490740740738</v>
      </c>
      <c r="G2038" s="44">
        <v>6.3</v>
      </c>
      <c r="H2038" s="43" t="s">
        <v>234</v>
      </c>
      <c r="I2038" s="40" t="s">
        <v>1281</v>
      </c>
    </row>
    <row r="2039" spans="1:9" x14ac:dyDescent="0.25">
      <c r="A2039" s="40" t="s">
        <v>163</v>
      </c>
      <c r="B2039" s="28">
        <v>2736</v>
      </c>
      <c r="C2039" s="28" t="s">
        <v>681</v>
      </c>
      <c r="D2039" s="28"/>
      <c r="E2039" s="41">
        <v>46142</v>
      </c>
      <c r="F2039" s="47">
        <v>0.40774305555555557</v>
      </c>
      <c r="G2039" s="44">
        <v>6.3</v>
      </c>
      <c r="H2039" s="43" t="s">
        <v>235</v>
      </c>
      <c r="I2039" s="40" t="s">
        <v>1281</v>
      </c>
    </row>
    <row r="2040" spans="1:9" x14ac:dyDescent="0.25">
      <c r="A2040" s="40" t="s">
        <v>163</v>
      </c>
      <c r="B2040" s="28">
        <v>2736</v>
      </c>
      <c r="C2040" s="28" t="s">
        <v>681</v>
      </c>
      <c r="D2040" s="28"/>
      <c r="E2040" s="45">
        <v>46142</v>
      </c>
      <c r="F2040" s="48">
        <v>0.42179398148148151</v>
      </c>
      <c r="G2040" s="44">
        <v>6.3</v>
      </c>
      <c r="H2040" s="43" t="s">
        <v>240</v>
      </c>
      <c r="I2040" s="40" t="s">
        <v>1281</v>
      </c>
    </row>
    <row r="2041" spans="1:9" x14ac:dyDescent="0.25">
      <c r="A2041" s="40" t="s">
        <v>163</v>
      </c>
      <c r="B2041" s="28">
        <v>2736</v>
      </c>
      <c r="C2041" s="28" t="s">
        <v>35</v>
      </c>
      <c r="D2041" s="28" t="s">
        <v>38</v>
      </c>
      <c r="E2041" s="41">
        <v>46143</v>
      </c>
      <c r="F2041" s="47">
        <v>0.91041666666666665</v>
      </c>
      <c r="G2041" s="44">
        <v>6.3</v>
      </c>
      <c r="H2041" s="43" t="s">
        <v>236</v>
      </c>
      <c r="I2041" s="40" t="s">
        <v>1282</v>
      </c>
    </row>
    <row r="2042" spans="1:9" x14ac:dyDescent="0.25">
      <c r="A2042" s="40" t="s">
        <v>377</v>
      </c>
      <c r="B2042" s="28">
        <v>2746</v>
      </c>
      <c r="C2042" s="28">
        <v>5638877</v>
      </c>
      <c r="D2042" s="28"/>
      <c r="E2042" s="41">
        <v>46139</v>
      </c>
      <c r="F2042" s="47">
        <v>0.76361111111111113</v>
      </c>
      <c r="G2042" s="44">
        <v>6.3</v>
      </c>
      <c r="H2042" s="43" t="s">
        <v>234</v>
      </c>
      <c r="I2042" s="40" t="s">
        <v>1281</v>
      </c>
    </row>
    <row r="2043" spans="1:9" x14ac:dyDescent="0.25">
      <c r="A2043" s="40" t="s">
        <v>377</v>
      </c>
      <c r="B2043" s="28">
        <v>2746</v>
      </c>
      <c r="C2043" s="28">
        <v>5638831</v>
      </c>
      <c r="D2043" s="28"/>
      <c r="E2043" s="41">
        <v>46139</v>
      </c>
      <c r="F2043" s="47">
        <v>0.92594907407407412</v>
      </c>
      <c r="G2043" s="44">
        <v>6.3</v>
      </c>
      <c r="H2043" s="43" t="s">
        <v>237</v>
      </c>
      <c r="I2043" s="40" t="s">
        <v>1281</v>
      </c>
    </row>
    <row r="2044" spans="1:9" x14ac:dyDescent="0.25">
      <c r="A2044" s="40" t="s">
        <v>377</v>
      </c>
      <c r="B2044" s="28">
        <v>2746</v>
      </c>
      <c r="C2044" s="28" t="s">
        <v>35</v>
      </c>
      <c r="D2044" s="28" t="s">
        <v>38</v>
      </c>
      <c r="E2044" s="41">
        <v>46143</v>
      </c>
      <c r="F2044" s="47">
        <v>0.49971064814814814</v>
      </c>
      <c r="G2044" s="44">
        <v>6.3</v>
      </c>
      <c r="H2044" s="43" t="s">
        <v>236</v>
      </c>
      <c r="I2044" s="40" t="s">
        <v>1282</v>
      </c>
    </row>
    <row r="2045" spans="1:9" x14ac:dyDescent="0.25">
      <c r="A2045" s="40" t="s">
        <v>377</v>
      </c>
      <c r="B2045" s="28">
        <v>2746</v>
      </c>
      <c r="C2045" s="28">
        <v>5647380</v>
      </c>
      <c r="D2045" s="28"/>
      <c r="E2045" s="41">
        <v>46145</v>
      </c>
      <c r="F2045" s="47">
        <v>0.30320601851851853</v>
      </c>
      <c r="G2045" s="44">
        <v>6.3</v>
      </c>
      <c r="H2045" s="43" t="s">
        <v>235</v>
      </c>
      <c r="I2045" s="40" t="s">
        <v>1282</v>
      </c>
    </row>
    <row r="2046" spans="1:9" x14ac:dyDescent="0.25">
      <c r="A2046" s="40" t="s">
        <v>377</v>
      </c>
      <c r="B2046" s="28">
        <v>2746</v>
      </c>
      <c r="C2046" s="28">
        <v>5647380</v>
      </c>
      <c r="D2046" s="28"/>
      <c r="E2046" s="41">
        <v>46145</v>
      </c>
      <c r="F2046" s="47">
        <v>0.30827546296296299</v>
      </c>
      <c r="G2046" s="44">
        <v>6.3</v>
      </c>
      <c r="H2046" s="43" t="s">
        <v>239</v>
      </c>
      <c r="I2046" s="40" t="s">
        <v>1282</v>
      </c>
    </row>
    <row r="2047" spans="1:9" x14ac:dyDescent="0.25">
      <c r="A2047" s="40" t="s">
        <v>352</v>
      </c>
      <c r="B2047" s="28">
        <v>2755</v>
      </c>
      <c r="C2047" s="28">
        <v>5643493</v>
      </c>
      <c r="D2047" s="28"/>
      <c r="E2047" s="41">
        <v>46142</v>
      </c>
      <c r="F2047" s="47">
        <v>9.7337962962962959E-3</v>
      </c>
      <c r="G2047" s="44">
        <v>6.3</v>
      </c>
      <c r="H2047" s="43" t="s">
        <v>235</v>
      </c>
      <c r="I2047" s="40" t="s">
        <v>1281</v>
      </c>
    </row>
    <row r="2048" spans="1:9" x14ac:dyDescent="0.25">
      <c r="A2048" s="40" t="s">
        <v>352</v>
      </c>
      <c r="B2048" s="28">
        <v>2755</v>
      </c>
      <c r="C2048" s="28">
        <v>5643493</v>
      </c>
      <c r="D2048" s="28"/>
      <c r="E2048" s="41">
        <v>46142</v>
      </c>
      <c r="F2048" s="47">
        <v>1.773148148148148E-2</v>
      </c>
      <c r="G2048" s="44">
        <v>6.3</v>
      </c>
      <c r="H2048" s="43" t="s">
        <v>236</v>
      </c>
      <c r="I2048" s="40" t="s">
        <v>1281</v>
      </c>
    </row>
    <row r="2049" spans="1:9" x14ac:dyDescent="0.25">
      <c r="A2049" s="40" t="s">
        <v>352</v>
      </c>
      <c r="B2049" s="28">
        <v>2755</v>
      </c>
      <c r="C2049" s="28" t="s">
        <v>35</v>
      </c>
      <c r="D2049" s="28" t="s">
        <v>38</v>
      </c>
      <c r="E2049" s="41">
        <v>46142</v>
      </c>
      <c r="F2049" s="47">
        <v>6.2164351851851853E-2</v>
      </c>
      <c r="G2049" s="44">
        <v>6.3</v>
      </c>
      <c r="H2049" s="43" t="s">
        <v>238</v>
      </c>
      <c r="I2049" s="40" t="s">
        <v>1281</v>
      </c>
    </row>
    <row r="2050" spans="1:9" x14ac:dyDescent="0.25">
      <c r="A2050" s="40" t="s">
        <v>352</v>
      </c>
      <c r="B2050" s="28">
        <v>2755</v>
      </c>
      <c r="C2050" s="28">
        <v>5647052</v>
      </c>
      <c r="D2050" s="28"/>
      <c r="E2050" s="41">
        <v>46143</v>
      </c>
      <c r="F2050" s="47">
        <v>0.98769675925925926</v>
      </c>
      <c r="G2050" s="44">
        <v>6.3</v>
      </c>
      <c r="H2050" s="43" t="s">
        <v>235</v>
      </c>
      <c r="I2050" s="40" t="s">
        <v>1282</v>
      </c>
    </row>
    <row r="2051" spans="1:9" x14ac:dyDescent="0.25">
      <c r="A2051" s="40" t="s">
        <v>352</v>
      </c>
      <c r="B2051" s="28">
        <v>2755</v>
      </c>
      <c r="C2051" s="28">
        <v>5647052</v>
      </c>
      <c r="D2051" s="28"/>
      <c r="E2051" s="41">
        <v>46143</v>
      </c>
      <c r="F2051" s="47">
        <v>0.99586805555555558</v>
      </c>
      <c r="G2051" s="44">
        <v>6.3</v>
      </c>
      <c r="H2051" s="43" t="s">
        <v>236</v>
      </c>
      <c r="I2051" s="40" t="s">
        <v>1282</v>
      </c>
    </row>
    <row r="2052" spans="1:9" x14ac:dyDescent="0.25">
      <c r="A2052" s="40" t="s">
        <v>352</v>
      </c>
      <c r="B2052" s="28">
        <v>2755</v>
      </c>
      <c r="C2052" s="28">
        <v>5649145</v>
      </c>
      <c r="D2052" s="28"/>
      <c r="E2052" s="41">
        <v>46145</v>
      </c>
      <c r="F2052" s="47">
        <v>0.94079861111111107</v>
      </c>
      <c r="G2052" s="44">
        <v>6.3</v>
      </c>
      <c r="H2052" s="43" t="s">
        <v>235</v>
      </c>
      <c r="I2052" s="40" t="s">
        <v>1282</v>
      </c>
    </row>
    <row r="2053" spans="1:9" x14ac:dyDescent="0.25">
      <c r="A2053" s="40" t="s">
        <v>352</v>
      </c>
      <c r="B2053" s="28">
        <v>2755</v>
      </c>
      <c r="C2053" s="28">
        <v>5649145</v>
      </c>
      <c r="D2053" s="28"/>
      <c r="E2053" s="41">
        <v>46145</v>
      </c>
      <c r="F2053" s="47">
        <v>0.94765046296296296</v>
      </c>
      <c r="G2053" s="44">
        <v>6.3</v>
      </c>
      <c r="H2053" s="43" t="s">
        <v>236</v>
      </c>
      <c r="I2053" s="40" t="s">
        <v>1282</v>
      </c>
    </row>
    <row r="2054" spans="1:9" x14ac:dyDescent="0.25">
      <c r="A2054" s="40" t="s">
        <v>376</v>
      </c>
      <c r="B2054" s="28">
        <v>2777</v>
      </c>
      <c r="C2054" s="28" t="s">
        <v>682</v>
      </c>
      <c r="D2054" s="28"/>
      <c r="E2054" s="41">
        <v>46140</v>
      </c>
      <c r="F2054" s="47">
        <v>0.37768518518518518</v>
      </c>
      <c r="G2054" s="44">
        <v>6.3</v>
      </c>
      <c r="H2054" s="43" t="s">
        <v>235</v>
      </c>
      <c r="I2054" s="40" t="s">
        <v>1281</v>
      </c>
    </row>
    <row r="2055" spans="1:9" x14ac:dyDescent="0.25">
      <c r="A2055" s="40" t="s">
        <v>376</v>
      </c>
      <c r="B2055" s="28">
        <v>2777</v>
      </c>
      <c r="C2055" s="28" t="s">
        <v>682</v>
      </c>
      <c r="D2055" s="28"/>
      <c r="E2055" s="41">
        <v>46140</v>
      </c>
      <c r="F2055" s="47">
        <v>0.39850694444444446</v>
      </c>
      <c r="G2055" s="44">
        <v>6.3</v>
      </c>
      <c r="H2055" s="43" t="s">
        <v>236</v>
      </c>
      <c r="I2055" s="40" t="s">
        <v>1281</v>
      </c>
    </row>
    <row r="2056" spans="1:9" x14ac:dyDescent="0.25">
      <c r="A2056" s="40" t="s">
        <v>376</v>
      </c>
      <c r="B2056" s="28">
        <v>2777</v>
      </c>
      <c r="C2056" s="28" t="s">
        <v>683</v>
      </c>
      <c r="D2056" s="28"/>
      <c r="E2056" s="41">
        <v>46140</v>
      </c>
      <c r="F2056" s="47">
        <v>0.49320601851851853</v>
      </c>
      <c r="G2056" s="44">
        <v>6.3</v>
      </c>
      <c r="H2056" s="43" t="s">
        <v>237</v>
      </c>
      <c r="I2056" s="40" t="s">
        <v>1281</v>
      </c>
    </row>
    <row r="2057" spans="1:9" x14ac:dyDescent="0.25">
      <c r="A2057" s="40" t="s">
        <v>376</v>
      </c>
      <c r="B2057" s="28">
        <v>2777</v>
      </c>
      <c r="C2057" s="28" t="s">
        <v>683</v>
      </c>
      <c r="D2057" s="28"/>
      <c r="E2057" s="45">
        <v>46140</v>
      </c>
      <c r="F2057" s="48">
        <v>0.50065972222222221</v>
      </c>
      <c r="G2057" s="44">
        <v>6.3</v>
      </c>
      <c r="H2057" s="43" t="s">
        <v>234</v>
      </c>
      <c r="I2057" s="40" t="s">
        <v>1281</v>
      </c>
    </row>
    <row r="2058" spans="1:9" x14ac:dyDescent="0.25">
      <c r="A2058" s="40" t="s">
        <v>376</v>
      </c>
      <c r="B2058" s="28">
        <v>2777</v>
      </c>
      <c r="C2058" s="28" t="s">
        <v>684</v>
      </c>
      <c r="D2058" s="28"/>
      <c r="E2058" s="41">
        <v>46141</v>
      </c>
      <c r="F2058" s="47">
        <v>0.40672453703703704</v>
      </c>
      <c r="G2058" s="42">
        <v>6.3</v>
      </c>
      <c r="H2058" s="40" t="s">
        <v>235</v>
      </c>
      <c r="I2058" s="40" t="s">
        <v>1281</v>
      </c>
    </row>
    <row r="2059" spans="1:9" x14ac:dyDescent="0.25">
      <c r="A2059" s="40" t="s">
        <v>376</v>
      </c>
      <c r="B2059" s="28">
        <v>2777</v>
      </c>
      <c r="C2059" s="28" t="s">
        <v>684</v>
      </c>
      <c r="D2059" s="28"/>
      <c r="E2059" s="41">
        <v>46141</v>
      </c>
      <c r="F2059" s="47">
        <v>0.42141203703703706</v>
      </c>
      <c r="G2059" s="42">
        <v>6.3</v>
      </c>
      <c r="H2059" s="40" t="s">
        <v>236</v>
      </c>
      <c r="I2059" s="40" t="s">
        <v>1281</v>
      </c>
    </row>
    <row r="2060" spans="1:9" x14ac:dyDescent="0.25">
      <c r="A2060" s="40" t="s">
        <v>376</v>
      </c>
      <c r="B2060" s="28">
        <v>2777</v>
      </c>
      <c r="C2060" s="28" t="s">
        <v>685</v>
      </c>
      <c r="D2060" s="28"/>
      <c r="E2060" s="41">
        <v>46142</v>
      </c>
      <c r="F2060" s="47">
        <v>0.13438657407407406</v>
      </c>
      <c r="G2060" s="44">
        <v>6.3</v>
      </c>
      <c r="H2060" s="43" t="s">
        <v>235</v>
      </c>
      <c r="I2060" s="40" t="s">
        <v>1281</v>
      </c>
    </row>
    <row r="2061" spans="1:9" x14ac:dyDescent="0.25">
      <c r="A2061" s="40" t="s">
        <v>376</v>
      </c>
      <c r="B2061" s="28">
        <v>2777</v>
      </c>
      <c r="C2061" s="28" t="s">
        <v>685</v>
      </c>
      <c r="D2061" s="28"/>
      <c r="E2061" s="41">
        <v>46142</v>
      </c>
      <c r="F2061" s="47">
        <v>0.14333333333333334</v>
      </c>
      <c r="G2061" s="44">
        <v>6.3</v>
      </c>
      <c r="H2061" s="43" t="s">
        <v>236</v>
      </c>
      <c r="I2061" s="40" t="s">
        <v>1281</v>
      </c>
    </row>
    <row r="2062" spans="1:9" x14ac:dyDescent="0.25">
      <c r="A2062" s="40" t="s">
        <v>376</v>
      </c>
      <c r="B2062" s="28">
        <v>2777</v>
      </c>
      <c r="C2062" s="28" t="s">
        <v>686</v>
      </c>
      <c r="D2062" s="28"/>
      <c r="E2062" s="41">
        <v>46142</v>
      </c>
      <c r="F2062" s="47">
        <v>0.18502314814814816</v>
      </c>
      <c r="G2062" s="44">
        <v>6.3</v>
      </c>
      <c r="H2062" s="43" t="s">
        <v>237</v>
      </c>
      <c r="I2062" s="40" t="s">
        <v>1281</v>
      </c>
    </row>
    <row r="2063" spans="1:9" x14ac:dyDescent="0.25">
      <c r="A2063" s="40" t="s">
        <v>376</v>
      </c>
      <c r="B2063" s="28">
        <v>2777</v>
      </c>
      <c r="C2063" s="28" t="s">
        <v>686</v>
      </c>
      <c r="D2063" s="28"/>
      <c r="E2063" s="41">
        <v>46142</v>
      </c>
      <c r="F2063" s="47">
        <v>0.19136574074074075</v>
      </c>
      <c r="G2063" s="44">
        <v>6.3</v>
      </c>
      <c r="H2063" s="43" t="s">
        <v>234</v>
      </c>
      <c r="I2063" s="40" t="s">
        <v>1281</v>
      </c>
    </row>
    <row r="2064" spans="1:9" x14ac:dyDescent="0.25">
      <c r="A2064" s="40" t="s">
        <v>687</v>
      </c>
      <c r="B2064" s="28">
        <v>2784</v>
      </c>
      <c r="C2064" s="28">
        <v>5643110</v>
      </c>
      <c r="D2064" s="28"/>
      <c r="E2064" s="41">
        <v>46141</v>
      </c>
      <c r="F2064" s="47">
        <v>0.67781250000000004</v>
      </c>
      <c r="G2064" s="44">
        <v>6.3</v>
      </c>
      <c r="H2064" s="43" t="s">
        <v>237</v>
      </c>
      <c r="I2064" s="40" t="s">
        <v>1281</v>
      </c>
    </row>
    <row r="2065" spans="1:9" x14ac:dyDescent="0.25">
      <c r="A2065" s="40" t="s">
        <v>687</v>
      </c>
      <c r="B2065" s="28">
        <v>2784</v>
      </c>
      <c r="C2065" s="28">
        <v>5643110</v>
      </c>
      <c r="D2065" s="28"/>
      <c r="E2065" s="41">
        <v>46141</v>
      </c>
      <c r="F2065" s="47">
        <v>0.68534722222222222</v>
      </c>
      <c r="G2065" s="44">
        <v>6.3</v>
      </c>
      <c r="H2065" s="43" t="s">
        <v>234</v>
      </c>
      <c r="I2065" s="40" t="s">
        <v>1281</v>
      </c>
    </row>
    <row r="2066" spans="1:9" x14ac:dyDescent="0.25">
      <c r="A2066" s="40" t="s">
        <v>687</v>
      </c>
      <c r="B2066" s="28">
        <v>2784</v>
      </c>
      <c r="C2066" s="28">
        <v>5644761</v>
      </c>
      <c r="D2066" s="28"/>
      <c r="E2066" s="41">
        <v>46142</v>
      </c>
      <c r="F2066" s="47">
        <v>0.64325231481481482</v>
      </c>
      <c r="G2066" s="44">
        <v>6.3</v>
      </c>
      <c r="H2066" s="43" t="s">
        <v>237</v>
      </c>
      <c r="I2066" s="40" t="s">
        <v>1281</v>
      </c>
    </row>
    <row r="2067" spans="1:9" x14ac:dyDescent="0.25">
      <c r="A2067" s="40" t="s">
        <v>687</v>
      </c>
      <c r="B2067" s="28">
        <v>2784</v>
      </c>
      <c r="C2067" s="28" t="s">
        <v>35</v>
      </c>
      <c r="D2067" s="28" t="s">
        <v>38</v>
      </c>
      <c r="E2067" s="41">
        <v>46143</v>
      </c>
      <c r="F2067" s="47">
        <v>0.77976851851851847</v>
      </c>
      <c r="G2067" s="44">
        <v>6.3</v>
      </c>
      <c r="H2067" s="43" t="s">
        <v>240</v>
      </c>
      <c r="I2067" s="40" t="s">
        <v>1282</v>
      </c>
    </row>
    <row r="2068" spans="1:9" x14ac:dyDescent="0.25">
      <c r="A2068" s="40" t="s">
        <v>687</v>
      </c>
      <c r="B2068" s="28">
        <v>2784</v>
      </c>
      <c r="C2068" s="28" t="s">
        <v>35</v>
      </c>
      <c r="D2068" s="28" t="s">
        <v>38</v>
      </c>
      <c r="E2068" s="41">
        <v>46145</v>
      </c>
      <c r="F2068" s="47">
        <v>0.93218749999999995</v>
      </c>
      <c r="G2068" s="44">
        <v>6.3</v>
      </c>
      <c r="H2068" s="43" t="s">
        <v>233</v>
      </c>
      <c r="I2068" s="40" t="s">
        <v>1282</v>
      </c>
    </row>
    <row r="2069" spans="1:9" x14ac:dyDescent="0.25">
      <c r="A2069" s="40" t="s">
        <v>199</v>
      </c>
      <c r="B2069" s="28">
        <v>2810</v>
      </c>
      <c r="C2069" s="28">
        <v>5636705</v>
      </c>
      <c r="D2069" s="28"/>
      <c r="E2069" s="45">
        <v>46139</v>
      </c>
      <c r="F2069" s="48">
        <v>0.15648148148148147</v>
      </c>
      <c r="G2069" s="44">
        <v>6.3</v>
      </c>
      <c r="H2069" s="43" t="s">
        <v>234</v>
      </c>
      <c r="I2069" s="40" t="s">
        <v>1281</v>
      </c>
    </row>
    <row r="2070" spans="1:9" x14ac:dyDescent="0.25">
      <c r="A2070" s="40" t="s">
        <v>199</v>
      </c>
      <c r="B2070" s="28">
        <v>2810</v>
      </c>
      <c r="C2070" s="28" t="s">
        <v>35</v>
      </c>
      <c r="D2070" s="28" t="s">
        <v>38</v>
      </c>
      <c r="E2070" s="41">
        <v>46139</v>
      </c>
      <c r="F2070" s="47">
        <v>0.83101851851851849</v>
      </c>
      <c r="G2070" s="44">
        <v>6.3</v>
      </c>
      <c r="H2070" s="43" t="s">
        <v>237</v>
      </c>
      <c r="I2070" s="40" t="s">
        <v>1281</v>
      </c>
    </row>
    <row r="2071" spans="1:9" x14ac:dyDescent="0.25">
      <c r="A2071" s="40" t="s">
        <v>199</v>
      </c>
      <c r="B2071" s="28">
        <v>2810</v>
      </c>
      <c r="C2071" s="28" t="s">
        <v>35</v>
      </c>
      <c r="D2071" s="28" t="s">
        <v>38</v>
      </c>
      <c r="E2071" s="41">
        <v>46139</v>
      </c>
      <c r="F2071" s="47">
        <v>0.85614583333333338</v>
      </c>
      <c r="G2071" s="42">
        <v>6.3</v>
      </c>
      <c r="H2071" s="40" t="s">
        <v>234</v>
      </c>
      <c r="I2071" s="40" t="s">
        <v>1281</v>
      </c>
    </row>
    <row r="2072" spans="1:9" x14ac:dyDescent="0.25">
      <c r="A2072" s="40" t="s">
        <v>199</v>
      </c>
      <c r="B2072" s="28">
        <v>2810</v>
      </c>
      <c r="C2072" s="28" t="s">
        <v>688</v>
      </c>
      <c r="D2072" s="28"/>
      <c r="E2072" s="45">
        <v>46140</v>
      </c>
      <c r="F2072" s="48">
        <v>2.3645833333333335E-2</v>
      </c>
      <c r="G2072" s="42">
        <v>6.3</v>
      </c>
      <c r="H2072" s="40" t="s">
        <v>235</v>
      </c>
      <c r="I2072" s="40" t="s">
        <v>1281</v>
      </c>
    </row>
    <row r="2073" spans="1:9" x14ac:dyDescent="0.25">
      <c r="A2073" s="40" t="s">
        <v>199</v>
      </c>
      <c r="B2073" s="28">
        <v>2810</v>
      </c>
      <c r="C2073" s="28" t="s">
        <v>688</v>
      </c>
      <c r="D2073" s="28"/>
      <c r="E2073" s="41">
        <v>46140</v>
      </c>
      <c r="F2073" s="47">
        <v>3.1226851851851853E-2</v>
      </c>
      <c r="G2073" s="44">
        <v>6.3</v>
      </c>
      <c r="H2073" s="43" t="s">
        <v>236</v>
      </c>
      <c r="I2073" s="40" t="s">
        <v>1281</v>
      </c>
    </row>
    <row r="2074" spans="1:9" x14ac:dyDescent="0.25">
      <c r="A2074" s="40" t="s">
        <v>199</v>
      </c>
      <c r="B2074" s="28">
        <v>2810</v>
      </c>
      <c r="C2074" s="28">
        <v>5638101</v>
      </c>
      <c r="D2074" s="28"/>
      <c r="E2074" s="41">
        <v>46140</v>
      </c>
      <c r="F2074" s="47">
        <v>0.17855324074074075</v>
      </c>
      <c r="G2074" s="44">
        <v>6.3</v>
      </c>
      <c r="H2074" s="43" t="s">
        <v>233</v>
      </c>
      <c r="I2074" s="40" t="s">
        <v>1281</v>
      </c>
    </row>
    <row r="2075" spans="1:9" x14ac:dyDescent="0.25">
      <c r="A2075" s="40" t="s">
        <v>199</v>
      </c>
      <c r="B2075" s="28">
        <v>2810</v>
      </c>
      <c r="C2075" s="28">
        <v>5638101</v>
      </c>
      <c r="D2075" s="28"/>
      <c r="E2075" s="41">
        <v>46140</v>
      </c>
      <c r="F2075" s="47">
        <v>0.18403935185185186</v>
      </c>
      <c r="G2075" s="44">
        <v>6.3</v>
      </c>
      <c r="H2075" s="43" t="s">
        <v>234</v>
      </c>
      <c r="I2075" s="40" t="s">
        <v>1281</v>
      </c>
    </row>
    <row r="2076" spans="1:9" x14ac:dyDescent="0.25">
      <c r="A2076" s="40" t="s">
        <v>199</v>
      </c>
      <c r="B2076" s="28">
        <v>2810</v>
      </c>
      <c r="C2076" s="28" t="s">
        <v>35</v>
      </c>
      <c r="D2076" s="28" t="s">
        <v>38</v>
      </c>
      <c r="E2076" s="41">
        <v>46140</v>
      </c>
      <c r="F2076" s="47">
        <v>0.34296296296296297</v>
      </c>
      <c r="G2076" s="44">
        <v>6.3</v>
      </c>
      <c r="H2076" s="43" t="s">
        <v>235</v>
      </c>
      <c r="I2076" s="40" t="s">
        <v>1281</v>
      </c>
    </row>
    <row r="2077" spans="1:9" x14ac:dyDescent="0.25">
      <c r="A2077" s="40" t="s">
        <v>199</v>
      </c>
      <c r="B2077" s="28">
        <v>2810</v>
      </c>
      <c r="C2077" s="28" t="s">
        <v>35</v>
      </c>
      <c r="D2077" s="28" t="s">
        <v>38</v>
      </c>
      <c r="E2077" s="41">
        <v>46140</v>
      </c>
      <c r="F2077" s="47">
        <v>0.83223379629629635</v>
      </c>
      <c r="G2077" s="44">
        <v>6.3</v>
      </c>
      <c r="H2077" s="43" t="s">
        <v>237</v>
      </c>
      <c r="I2077" s="40" t="s">
        <v>1281</v>
      </c>
    </row>
    <row r="2078" spans="1:9" x14ac:dyDescent="0.25">
      <c r="A2078" s="40" t="s">
        <v>199</v>
      </c>
      <c r="B2078" s="28">
        <v>2810</v>
      </c>
      <c r="C2078" s="28" t="s">
        <v>35</v>
      </c>
      <c r="D2078" s="28" t="s">
        <v>38</v>
      </c>
      <c r="E2078" s="41">
        <v>46140</v>
      </c>
      <c r="F2078" s="47">
        <v>0.85560185185185189</v>
      </c>
      <c r="G2078" s="44">
        <v>6.3</v>
      </c>
      <c r="H2078" s="43" t="s">
        <v>234</v>
      </c>
      <c r="I2078" s="40" t="s">
        <v>1281</v>
      </c>
    </row>
    <row r="2079" spans="1:9" x14ac:dyDescent="0.25">
      <c r="A2079" s="40" t="s">
        <v>199</v>
      </c>
      <c r="B2079" s="28">
        <v>2810</v>
      </c>
      <c r="C2079" s="28">
        <v>5641726</v>
      </c>
      <c r="D2079" s="28" t="s">
        <v>36</v>
      </c>
      <c r="E2079" s="41">
        <v>46140</v>
      </c>
      <c r="F2079" s="47">
        <v>0.90635416666666668</v>
      </c>
      <c r="G2079" s="44">
        <v>6.3</v>
      </c>
      <c r="H2079" s="43" t="s">
        <v>235</v>
      </c>
      <c r="I2079" s="40" t="s">
        <v>1281</v>
      </c>
    </row>
    <row r="2080" spans="1:9" x14ac:dyDescent="0.25">
      <c r="A2080" s="40" t="s">
        <v>199</v>
      </c>
      <c r="B2080" s="28">
        <v>2810</v>
      </c>
      <c r="C2080" s="28">
        <v>5641726</v>
      </c>
      <c r="D2080" s="28" t="s">
        <v>36</v>
      </c>
      <c r="E2080" s="41">
        <v>46140</v>
      </c>
      <c r="F2080" s="47">
        <v>0.91317129629629634</v>
      </c>
      <c r="G2080" s="44">
        <v>6.3</v>
      </c>
      <c r="H2080" s="43" t="s">
        <v>236</v>
      </c>
      <c r="I2080" s="40" t="s">
        <v>1281</v>
      </c>
    </row>
    <row r="2081" spans="1:9" x14ac:dyDescent="0.25">
      <c r="A2081" s="40" t="s">
        <v>199</v>
      </c>
      <c r="B2081" s="28">
        <v>2810</v>
      </c>
      <c r="C2081" s="28" t="s">
        <v>35</v>
      </c>
      <c r="D2081" s="28" t="s">
        <v>38</v>
      </c>
      <c r="E2081" s="41">
        <v>46140</v>
      </c>
      <c r="F2081" s="47">
        <v>0.93906250000000002</v>
      </c>
      <c r="G2081" s="44">
        <v>6.3</v>
      </c>
      <c r="H2081" s="43" t="s">
        <v>237</v>
      </c>
      <c r="I2081" s="40" t="s">
        <v>1281</v>
      </c>
    </row>
    <row r="2082" spans="1:9" x14ac:dyDescent="0.25">
      <c r="A2082" s="40" t="s">
        <v>199</v>
      </c>
      <c r="B2082" s="28">
        <v>2810</v>
      </c>
      <c r="C2082" s="28" t="s">
        <v>35</v>
      </c>
      <c r="D2082" s="28" t="s">
        <v>38</v>
      </c>
      <c r="E2082" s="41">
        <v>46140</v>
      </c>
      <c r="F2082" s="47">
        <v>0.94481481481481477</v>
      </c>
      <c r="G2082" s="44">
        <v>6.3</v>
      </c>
      <c r="H2082" s="43" t="s">
        <v>234</v>
      </c>
      <c r="I2082" s="40" t="s">
        <v>1281</v>
      </c>
    </row>
    <row r="2083" spans="1:9" x14ac:dyDescent="0.25">
      <c r="A2083" s="40" t="s">
        <v>199</v>
      </c>
      <c r="B2083" s="28">
        <v>2810</v>
      </c>
      <c r="C2083" s="28">
        <v>5641587</v>
      </c>
      <c r="D2083" s="28" t="s">
        <v>36</v>
      </c>
      <c r="E2083" s="41">
        <v>46140</v>
      </c>
      <c r="F2083" s="47">
        <v>0.99479166666666663</v>
      </c>
      <c r="G2083" s="44">
        <v>6.3</v>
      </c>
      <c r="H2083" s="43" t="s">
        <v>235</v>
      </c>
      <c r="I2083" s="40" t="s">
        <v>1281</v>
      </c>
    </row>
    <row r="2084" spans="1:9" x14ac:dyDescent="0.25">
      <c r="A2084" s="40" t="s">
        <v>199</v>
      </c>
      <c r="B2084" s="28">
        <v>2810</v>
      </c>
      <c r="C2084" s="28">
        <v>5641587</v>
      </c>
      <c r="D2084" s="28" t="s">
        <v>36</v>
      </c>
      <c r="E2084" s="41">
        <v>46141</v>
      </c>
      <c r="F2084" s="47">
        <v>1.8749999999999999E-3</v>
      </c>
      <c r="G2084" s="44">
        <v>6.3</v>
      </c>
      <c r="H2084" s="43" t="s">
        <v>236</v>
      </c>
      <c r="I2084" s="40" t="s">
        <v>1281</v>
      </c>
    </row>
    <row r="2085" spans="1:9" x14ac:dyDescent="0.25">
      <c r="A2085" s="40" t="s">
        <v>199</v>
      </c>
      <c r="B2085" s="28">
        <v>2810</v>
      </c>
      <c r="C2085" s="28">
        <v>5638789</v>
      </c>
      <c r="D2085" s="28"/>
      <c r="E2085" s="41">
        <v>46141</v>
      </c>
      <c r="F2085" s="47">
        <v>0.84686342592592589</v>
      </c>
      <c r="G2085" s="44">
        <v>6.3</v>
      </c>
      <c r="H2085" s="43" t="s">
        <v>233</v>
      </c>
      <c r="I2085" s="40" t="s">
        <v>1281</v>
      </c>
    </row>
    <row r="2086" spans="1:9" x14ac:dyDescent="0.25">
      <c r="A2086" s="40" t="s">
        <v>199</v>
      </c>
      <c r="B2086" s="28">
        <v>2810</v>
      </c>
      <c r="C2086" s="28">
        <v>5638789</v>
      </c>
      <c r="D2086" s="28"/>
      <c r="E2086" s="45">
        <v>46141</v>
      </c>
      <c r="F2086" s="48">
        <v>0.85975694444444439</v>
      </c>
      <c r="G2086" s="44">
        <v>6.3</v>
      </c>
      <c r="H2086" s="43" t="s">
        <v>234</v>
      </c>
      <c r="I2086" s="40" t="s">
        <v>1281</v>
      </c>
    </row>
    <row r="2087" spans="1:9" x14ac:dyDescent="0.25">
      <c r="A2087" s="40" t="s">
        <v>199</v>
      </c>
      <c r="B2087" s="28">
        <v>2810</v>
      </c>
      <c r="C2087" s="28" t="s">
        <v>35</v>
      </c>
      <c r="D2087" s="28" t="s">
        <v>38</v>
      </c>
      <c r="E2087" s="45">
        <v>46142</v>
      </c>
      <c r="F2087" s="48">
        <v>0.87253472222222217</v>
      </c>
      <c r="G2087" s="44">
        <v>6.3</v>
      </c>
      <c r="H2087" s="43" t="s">
        <v>237</v>
      </c>
      <c r="I2087" s="40" t="s">
        <v>1281</v>
      </c>
    </row>
    <row r="2088" spans="1:9" x14ac:dyDescent="0.25">
      <c r="A2088" s="40" t="s">
        <v>199</v>
      </c>
      <c r="B2088" s="28">
        <v>2810</v>
      </c>
      <c r="C2088" s="28" t="s">
        <v>35</v>
      </c>
      <c r="D2088" s="28" t="s">
        <v>38</v>
      </c>
      <c r="E2088" s="41">
        <v>46142</v>
      </c>
      <c r="F2088" s="47">
        <v>0.89104166666666662</v>
      </c>
      <c r="G2088" s="44">
        <v>6.3</v>
      </c>
      <c r="H2088" s="43" t="s">
        <v>234</v>
      </c>
      <c r="I2088" s="40" t="s">
        <v>1281</v>
      </c>
    </row>
    <row r="2089" spans="1:9" x14ac:dyDescent="0.25">
      <c r="A2089" s="40" t="s">
        <v>199</v>
      </c>
      <c r="B2089" s="28">
        <v>2810</v>
      </c>
      <c r="C2089" s="28">
        <v>5645905</v>
      </c>
      <c r="D2089" s="28"/>
      <c r="E2089" s="41">
        <v>46143</v>
      </c>
      <c r="F2089" s="47">
        <v>3.7175925925925925E-2</v>
      </c>
      <c r="G2089" s="44">
        <v>6.3</v>
      </c>
      <c r="H2089" s="43" t="s">
        <v>235</v>
      </c>
      <c r="I2089" s="40" t="s">
        <v>1282</v>
      </c>
    </row>
    <row r="2090" spans="1:9" x14ac:dyDescent="0.25">
      <c r="A2090" s="40" t="s">
        <v>199</v>
      </c>
      <c r="B2090" s="28">
        <v>2810</v>
      </c>
      <c r="C2090" s="28">
        <v>5645905</v>
      </c>
      <c r="D2090" s="28"/>
      <c r="E2090" s="41">
        <v>46143</v>
      </c>
      <c r="F2090" s="47">
        <v>4.4444444444444446E-2</v>
      </c>
      <c r="G2090" s="44">
        <v>6.3</v>
      </c>
      <c r="H2090" s="43" t="s">
        <v>236</v>
      </c>
      <c r="I2090" s="40" t="s">
        <v>1282</v>
      </c>
    </row>
    <row r="2091" spans="1:9" x14ac:dyDescent="0.25">
      <c r="A2091" s="40" t="s">
        <v>199</v>
      </c>
      <c r="B2091" s="28">
        <v>2810</v>
      </c>
      <c r="C2091" s="28" t="s">
        <v>35</v>
      </c>
      <c r="D2091" s="28" t="s">
        <v>38</v>
      </c>
      <c r="E2091" s="41">
        <v>46143</v>
      </c>
      <c r="F2091" s="47">
        <v>0.83681712962962962</v>
      </c>
      <c r="G2091" s="44">
        <v>6.3</v>
      </c>
      <c r="H2091" s="43" t="s">
        <v>237</v>
      </c>
      <c r="I2091" s="40" t="s">
        <v>1282</v>
      </c>
    </row>
    <row r="2092" spans="1:9" x14ac:dyDescent="0.25">
      <c r="A2092" s="40" t="s">
        <v>199</v>
      </c>
      <c r="B2092" s="28">
        <v>2810</v>
      </c>
      <c r="C2092" s="28" t="s">
        <v>35</v>
      </c>
      <c r="D2092" s="28" t="s">
        <v>38</v>
      </c>
      <c r="E2092" s="41">
        <v>46143</v>
      </c>
      <c r="F2092" s="47">
        <v>0.84275462962962966</v>
      </c>
      <c r="G2092" s="44">
        <v>6.3</v>
      </c>
      <c r="H2092" s="43" t="s">
        <v>234</v>
      </c>
      <c r="I2092" s="40" t="s">
        <v>1282</v>
      </c>
    </row>
    <row r="2093" spans="1:9" x14ac:dyDescent="0.25">
      <c r="A2093" s="40" t="s">
        <v>199</v>
      </c>
      <c r="B2093" s="28">
        <v>2810</v>
      </c>
      <c r="C2093" s="28" t="s">
        <v>35</v>
      </c>
      <c r="D2093" s="28" t="s">
        <v>38</v>
      </c>
      <c r="E2093" s="41">
        <v>46144</v>
      </c>
      <c r="F2093" s="47">
        <v>0.1103587962962963</v>
      </c>
      <c r="G2093" s="44">
        <v>6.3</v>
      </c>
      <c r="H2093" s="43" t="s">
        <v>236</v>
      </c>
      <c r="I2093" s="40" t="s">
        <v>1282</v>
      </c>
    </row>
    <row r="2094" spans="1:9" x14ac:dyDescent="0.25">
      <c r="A2094" s="40" t="s">
        <v>199</v>
      </c>
      <c r="B2094" s="28">
        <v>2810</v>
      </c>
      <c r="C2094" s="28" t="s">
        <v>35</v>
      </c>
      <c r="D2094" s="28" t="s">
        <v>38</v>
      </c>
      <c r="E2094" s="41">
        <v>46145</v>
      </c>
      <c r="F2094" s="47">
        <v>0.83740740740740738</v>
      </c>
      <c r="G2094" s="44">
        <v>6.3</v>
      </c>
      <c r="H2094" s="43" t="s">
        <v>241</v>
      </c>
      <c r="I2094" s="40" t="s">
        <v>1282</v>
      </c>
    </row>
    <row r="2095" spans="1:9" x14ac:dyDescent="0.25">
      <c r="A2095" s="40" t="s">
        <v>199</v>
      </c>
      <c r="B2095" s="28">
        <v>2810</v>
      </c>
      <c r="C2095" s="28" t="s">
        <v>35</v>
      </c>
      <c r="D2095" s="28" t="s">
        <v>38</v>
      </c>
      <c r="E2095" s="41">
        <v>46145</v>
      </c>
      <c r="F2095" s="47">
        <v>0.84069444444444441</v>
      </c>
      <c r="G2095" s="44">
        <v>6.3</v>
      </c>
      <c r="H2095" s="43" t="s">
        <v>234</v>
      </c>
      <c r="I2095" s="40" t="s">
        <v>1282</v>
      </c>
    </row>
    <row r="2096" spans="1:9" x14ac:dyDescent="0.25">
      <c r="A2096" s="40" t="s">
        <v>199</v>
      </c>
      <c r="B2096" s="28">
        <v>2810</v>
      </c>
      <c r="C2096" s="28" t="s">
        <v>689</v>
      </c>
      <c r="D2096" s="28"/>
      <c r="E2096" s="41">
        <v>46145</v>
      </c>
      <c r="F2096" s="47">
        <v>0.90156250000000004</v>
      </c>
      <c r="G2096" s="44">
        <v>6.3</v>
      </c>
      <c r="H2096" s="43" t="s">
        <v>235</v>
      </c>
      <c r="I2096" s="40" t="s">
        <v>1282</v>
      </c>
    </row>
    <row r="2097" spans="1:9" x14ac:dyDescent="0.25">
      <c r="A2097" s="40" t="s">
        <v>199</v>
      </c>
      <c r="B2097" s="28">
        <v>2810</v>
      </c>
      <c r="C2097" s="28" t="s">
        <v>689</v>
      </c>
      <c r="D2097" s="28"/>
      <c r="E2097" s="41">
        <v>46145</v>
      </c>
      <c r="F2097" s="47">
        <v>0.90894675925925927</v>
      </c>
      <c r="G2097" s="44">
        <v>6.3</v>
      </c>
      <c r="H2097" s="43" t="s">
        <v>236</v>
      </c>
      <c r="I2097" s="40" t="s">
        <v>1282</v>
      </c>
    </row>
    <row r="2098" spans="1:9" x14ac:dyDescent="0.25">
      <c r="A2098" s="40" t="s">
        <v>199</v>
      </c>
      <c r="B2098" s="28">
        <v>2810</v>
      </c>
      <c r="C2098" s="28" t="s">
        <v>35</v>
      </c>
      <c r="D2098" s="28" t="s">
        <v>38</v>
      </c>
      <c r="E2098" s="41">
        <v>46145</v>
      </c>
      <c r="F2098" s="47">
        <v>0.92652777777777773</v>
      </c>
      <c r="G2098" s="44">
        <v>6.3</v>
      </c>
      <c r="H2098" s="43" t="s">
        <v>237</v>
      </c>
      <c r="I2098" s="40" t="s">
        <v>1282</v>
      </c>
    </row>
    <row r="2099" spans="1:9" x14ac:dyDescent="0.25">
      <c r="A2099" s="40" t="s">
        <v>199</v>
      </c>
      <c r="B2099" s="28">
        <v>2810</v>
      </c>
      <c r="C2099" s="28" t="s">
        <v>35</v>
      </c>
      <c r="D2099" s="28" t="s">
        <v>38</v>
      </c>
      <c r="E2099" s="41">
        <v>46145</v>
      </c>
      <c r="F2099" s="47">
        <v>0.9322569444444444</v>
      </c>
      <c r="G2099" s="44">
        <v>6.3</v>
      </c>
      <c r="H2099" s="43" t="s">
        <v>234</v>
      </c>
      <c r="I2099" s="40" t="s">
        <v>1282</v>
      </c>
    </row>
    <row r="2100" spans="1:9" x14ac:dyDescent="0.25">
      <c r="A2100" s="40" t="s">
        <v>270</v>
      </c>
      <c r="B2100" s="28">
        <v>2848</v>
      </c>
      <c r="C2100" s="28">
        <v>5642324</v>
      </c>
      <c r="D2100" s="28"/>
      <c r="E2100" s="41">
        <v>46141</v>
      </c>
      <c r="F2100" s="47">
        <v>0.42401620370370369</v>
      </c>
      <c r="G2100" s="44">
        <v>6.3</v>
      </c>
      <c r="H2100" s="43" t="s">
        <v>235</v>
      </c>
      <c r="I2100" s="40" t="s">
        <v>1281</v>
      </c>
    </row>
    <row r="2101" spans="1:9" x14ac:dyDescent="0.25">
      <c r="A2101" s="40" t="s">
        <v>270</v>
      </c>
      <c r="B2101" s="28">
        <v>2848</v>
      </c>
      <c r="C2101" s="28">
        <v>5642440</v>
      </c>
      <c r="D2101" s="28"/>
      <c r="E2101" s="41">
        <v>46141</v>
      </c>
      <c r="F2101" s="47">
        <v>0.48832175925925925</v>
      </c>
      <c r="G2101" s="44">
        <v>6.3</v>
      </c>
      <c r="H2101" s="43" t="s">
        <v>241</v>
      </c>
      <c r="I2101" s="40" t="s">
        <v>1281</v>
      </c>
    </row>
    <row r="2102" spans="1:9" x14ac:dyDescent="0.25">
      <c r="A2102" s="40" t="s">
        <v>270</v>
      </c>
      <c r="B2102" s="28">
        <v>2848</v>
      </c>
      <c r="C2102" s="28">
        <v>5647106</v>
      </c>
      <c r="D2102" s="28"/>
      <c r="E2102" s="41">
        <v>46143</v>
      </c>
      <c r="F2102" s="47">
        <v>0.99891203703703701</v>
      </c>
      <c r="G2102" s="44">
        <v>6.3</v>
      </c>
      <c r="H2102" s="43" t="s">
        <v>235</v>
      </c>
      <c r="I2102" s="40" t="s">
        <v>1282</v>
      </c>
    </row>
    <row r="2103" spans="1:9" x14ac:dyDescent="0.25">
      <c r="A2103" s="40" t="s">
        <v>270</v>
      </c>
      <c r="B2103" s="28">
        <v>2848</v>
      </c>
      <c r="C2103" s="28">
        <v>5647106</v>
      </c>
      <c r="D2103" s="28"/>
      <c r="E2103" s="41">
        <v>46144</v>
      </c>
      <c r="F2103" s="47">
        <v>7.9745370370370369E-3</v>
      </c>
      <c r="G2103" s="44">
        <v>6.3</v>
      </c>
      <c r="H2103" s="43" t="s">
        <v>236</v>
      </c>
      <c r="I2103" s="40" t="s">
        <v>1282</v>
      </c>
    </row>
    <row r="2104" spans="1:9" x14ac:dyDescent="0.25">
      <c r="A2104" s="40" t="s">
        <v>270</v>
      </c>
      <c r="B2104" s="28">
        <v>2848</v>
      </c>
      <c r="C2104" s="28" t="s">
        <v>35</v>
      </c>
      <c r="D2104" s="28" t="s">
        <v>38</v>
      </c>
      <c r="E2104" s="45">
        <v>46144</v>
      </c>
      <c r="F2104" s="48">
        <v>5.392361111111111E-2</v>
      </c>
      <c r="G2104" s="44">
        <v>6.3</v>
      </c>
      <c r="H2104" s="43" t="s">
        <v>237</v>
      </c>
      <c r="I2104" s="40" t="s">
        <v>1282</v>
      </c>
    </row>
    <row r="2105" spans="1:9" x14ac:dyDescent="0.25">
      <c r="A2105" s="40" t="s">
        <v>270</v>
      </c>
      <c r="B2105" s="28">
        <v>2848</v>
      </c>
      <c r="C2105" s="28" t="s">
        <v>690</v>
      </c>
      <c r="D2105" s="28"/>
      <c r="E2105" s="41">
        <v>46144</v>
      </c>
      <c r="F2105" s="47">
        <v>0.8081018518518519</v>
      </c>
      <c r="G2105" s="44">
        <v>6.3</v>
      </c>
      <c r="H2105" s="43" t="s">
        <v>235</v>
      </c>
      <c r="I2105" s="40" t="s">
        <v>1282</v>
      </c>
    </row>
    <row r="2106" spans="1:9" x14ac:dyDescent="0.25">
      <c r="A2106" s="40" t="s">
        <v>270</v>
      </c>
      <c r="B2106" s="28">
        <v>2848</v>
      </c>
      <c r="C2106" s="28" t="s">
        <v>690</v>
      </c>
      <c r="D2106" s="28"/>
      <c r="E2106" s="41">
        <v>46144</v>
      </c>
      <c r="F2106" s="47">
        <v>0.81462962962962959</v>
      </c>
      <c r="G2106" s="44">
        <v>6.3</v>
      </c>
      <c r="H2106" s="43" t="s">
        <v>236</v>
      </c>
      <c r="I2106" s="40" t="s">
        <v>1282</v>
      </c>
    </row>
    <row r="2107" spans="1:9" x14ac:dyDescent="0.25">
      <c r="A2107" s="40" t="s">
        <v>270</v>
      </c>
      <c r="B2107" s="28">
        <v>2848</v>
      </c>
      <c r="C2107" s="28" t="s">
        <v>35</v>
      </c>
      <c r="D2107" s="28" t="s">
        <v>38</v>
      </c>
      <c r="E2107" s="41">
        <v>46145</v>
      </c>
      <c r="F2107" s="47">
        <v>0.96034722222222224</v>
      </c>
      <c r="G2107" s="44">
        <v>6.3</v>
      </c>
      <c r="H2107" s="43" t="s">
        <v>235</v>
      </c>
      <c r="I2107" s="40" t="s">
        <v>1282</v>
      </c>
    </row>
    <row r="2108" spans="1:9" x14ac:dyDescent="0.25">
      <c r="A2108" s="40" t="s">
        <v>270</v>
      </c>
      <c r="B2108" s="28">
        <v>2848</v>
      </c>
      <c r="C2108" s="28" t="s">
        <v>35</v>
      </c>
      <c r="D2108" s="28" t="s">
        <v>38</v>
      </c>
      <c r="E2108" s="41">
        <v>46145</v>
      </c>
      <c r="F2108" s="47">
        <v>0.96679398148148143</v>
      </c>
      <c r="G2108" s="44">
        <v>6.3</v>
      </c>
      <c r="H2108" s="43" t="s">
        <v>236</v>
      </c>
      <c r="I2108" s="40" t="s">
        <v>1282</v>
      </c>
    </row>
    <row r="2109" spans="1:9" x14ac:dyDescent="0.25">
      <c r="A2109" s="40" t="s">
        <v>384</v>
      </c>
      <c r="B2109" s="28">
        <v>2849</v>
      </c>
      <c r="C2109" s="28" t="s">
        <v>35</v>
      </c>
      <c r="D2109" s="28" t="s">
        <v>38</v>
      </c>
      <c r="E2109" s="41">
        <v>46139</v>
      </c>
      <c r="F2109" s="47">
        <v>0.67547453703703708</v>
      </c>
      <c r="G2109" s="42">
        <v>6.3</v>
      </c>
      <c r="H2109" s="40" t="s">
        <v>236</v>
      </c>
      <c r="I2109" s="40" t="s">
        <v>1281</v>
      </c>
    </row>
    <row r="2110" spans="1:9" x14ac:dyDescent="0.25">
      <c r="A2110" s="40" t="s">
        <v>384</v>
      </c>
      <c r="B2110" s="28">
        <v>2849</v>
      </c>
      <c r="C2110" s="28">
        <v>10552817</v>
      </c>
      <c r="D2110" s="28"/>
      <c r="E2110" s="41">
        <v>46140</v>
      </c>
      <c r="F2110" s="47">
        <v>0.25697916666666665</v>
      </c>
      <c r="G2110" s="42">
        <v>6.3</v>
      </c>
      <c r="H2110" s="40" t="s">
        <v>233</v>
      </c>
      <c r="I2110" s="40" t="s">
        <v>1281</v>
      </c>
    </row>
    <row r="2111" spans="1:9" x14ac:dyDescent="0.25">
      <c r="A2111" s="40" t="s">
        <v>384</v>
      </c>
      <c r="B2111" s="28">
        <v>2849</v>
      </c>
      <c r="C2111" s="28">
        <v>10552817</v>
      </c>
      <c r="D2111" s="28"/>
      <c r="E2111" s="41">
        <v>46140</v>
      </c>
      <c r="F2111" s="47">
        <v>0.26212962962962966</v>
      </c>
      <c r="G2111" s="44">
        <v>6.3</v>
      </c>
      <c r="H2111" s="43" t="s">
        <v>234</v>
      </c>
      <c r="I2111" s="40" t="s">
        <v>1281</v>
      </c>
    </row>
    <row r="2112" spans="1:9" x14ac:dyDescent="0.25">
      <c r="A2112" s="40" t="s">
        <v>384</v>
      </c>
      <c r="B2112" s="28">
        <v>2849</v>
      </c>
      <c r="C2112" s="28">
        <v>10552807</v>
      </c>
      <c r="D2112" s="28"/>
      <c r="E2112" s="41">
        <v>46140</v>
      </c>
      <c r="F2112" s="47">
        <v>0.50613425925925926</v>
      </c>
      <c r="G2112" s="44">
        <v>6.3</v>
      </c>
      <c r="H2112" s="43" t="s">
        <v>233</v>
      </c>
      <c r="I2112" s="40" t="s">
        <v>1281</v>
      </c>
    </row>
    <row r="2113" spans="1:9" x14ac:dyDescent="0.25">
      <c r="A2113" s="40" t="s">
        <v>384</v>
      </c>
      <c r="B2113" s="28">
        <v>2849</v>
      </c>
      <c r="C2113" s="28">
        <v>10552807</v>
      </c>
      <c r="D2113" s="28"/>
      <c r="E2113" s="41">
        <v>46140</v>
      </c>
      <c r="F2113" s="47">
        <v>0.51265046296296302</v>
      </c>
      <c r="G2113" s="44">
        <v>6.3</v>
      </c>
      <c r="H2113" s="43" t="s">
        <v>234</v>
      </c>
      <c r="I2113" s="40" t="s">
        <v>1281</v>
      </c>
    </row>
    <row r="2114" spans="1:9" x14ac:dyDescent="0.25">
      <c r="A2114" s="40" t="s">
        <v>384</v>
      </c>
      <c r="B2114" s="28">
        <v>2849</v>
      </c>
      <c r="C2114" s="28" t="s">
        <v>35</v>
      </c>
      <c r="D2114" s="28" t="s">
        <v>38</v>
      </c>
      <c r="E2114" s="41">
        <v>46141</v>
      </c>
      <c r="F2114" s="47">
        <v>0.83489583333333328</v>
      </c>
      <c r="G2114" s="44">
        <v>6.3</v>
      </c>
      <c r="H2114" s="43" t="s">
        <v>235</v>
      </c>
      <c r="I2114" s="40" t="s">
        <v>1281</v>
      </c>
    </row>
    <row r="2115" spans="1:9" x14ac:dyDescent="0.25">
      <c r="A2115" s="40" t="s">
        <v>384</v>
      </c>
      <c r="B2115" s="28">
        <v>2849</v>
      </c>
      <c r="C2115" s="28" t="s">
        <v>35</v>
      </c>
      <c r="D2115" s="28" t="s">
        <v>38</v>
      </c>
      <c r="E2115" s="41">
        <v>46141</v>
      </c>
      <c r="F2115" s="47">
        <v>0.84664351851851849</v>
      </c>
      <c r="G2115" s="44">
        <v>6.3</v>
      </c>
      <c r="H2115" s="43" t="s">
        <v>239</v>
      </c>
      <c r="I2115" s="40" t="s">
        <v>1281</v>
      </c>
    </row>
    <row r="2116" spans="1:9" x14ac:dyDescent="0.25">
      <c r="A2116" s="40" t="s">
        <v>691</v>
      </c>
      <c r="B2116" s="28">
        <v>2850</v>
      </c>
      <c r="C2116" s="28">
        <v>5637755</v>
      </c>
      <c r="D2116" s="28"/>
      <c r="E2116" s="41">
        <v>46139</v>
      </c>
      <c r="F2116" s="47">
        <v>0.34587962962962965</v>
      </c>
      <c r="G2116" s="44">
        <v>6.3</v>
      </c>
      <c r="H2116" s="43" t="s">
        <v>237</v>
      </c>
      <c r="I2116" s="40" t="s">
        <v>1281</v>
      </c>
    </row>
    <row r="2117" spans="1:9" x14ac:dyDescent="0.25">
      <c r="A2117" s="40" t="s">
        <v>691</v>
      </c>
      <c r="B2117" s="28">
        <v>2850</v>
      </c>
      <c r="C2117" s="28">
        <v>5637755</v>
      </c>
      <c r="D2117" s="28"/>
      <c r="E2117" s="45">
        <v>46139</v>
      </c>
      <c r="F2117" s="48">
        <v>0.35780092592592594</v>
      </c>
      <c r="G2117" s="44">
        <v>6.3</v>
      </c>
      <c r="H2117" s="43" t="s">
        <v>234</v>
      </c>
      <c r="I2117" s="40" t="s">
        <v>1281</v>
      </c>
    </row>
    <row r="2118" spans="1:9" x14ac:dyDescent="0.25">
      <c r="A2118" s="40" t="s">
        <v>691</v>
      </c>
      <c r="B2118" s="28">
        <v>2850</v>
      </c>
      <c r="C2118" s="28">
        <v>5638342</v>
      </c>
      <c r="D2118" s="28"/>
      <c r="E2118" s="41">
        <v>46140</v>
      </c>
      <c r="F2118" s="47">
        <v>0.17163194444444443</v>
      </c>
      <c r="G2118" s="44">
        <v>6.3</v>
      </c>
      <c r="H2118" s="43" t="s">
        <v>237</v>
      </c>
      <c r="I2118" s="40" t="s">
        <v>1281</v>
      </c>
    </row>
    <row r="2119" spans="1:9" x14ac:dyDescent="0.25">
      <c r="A2119" s="40" t="s">
        <v>691</v>
      </c>
      <c r="B2119" s="28">
        <v>2850</v>
      </c>
      <c r="C2119" s="28">
        <v>5638342</v>
      </c>
      <c r="D2119" s="28"/>
      <c r="E2119" s="41">
        <v>46140</v>
      </c>
      <c r="F2119" s="47">
        <v>0.17659722222222221</v>
      </c>
      <c r="G2119" s="44">
        <v>6.3</v>
      </c>
      <c r="H2119" s="43" t="s">
        <v>234</v>
      </c>
      <c r="I2119" s="40" t="s">
        <v>1281</v>
      </c>
    </row>
    <row r="2120" spans="1:9" x14ac:dyDescent="0.25">
      <c r="A2120" s="40" t="s">
        <v>691</v>
      </c>
      <c r="B2120" s="28">
        <v>2850</v>
      </c>
      <c r="C2120" s="28">
        <v>5642078</v>
      </c>
      <c r="D2120" s="28"/>
      <c r="E2120" s="41">
        <v>46141</v>
      </c>
      <c r="F2120" s="47">
        <v>0.2242824074074074</v>
      </c>
      <c r="G2120" s="44">
        <v>6.3</v>
      </c>
      <c r="H2120" s="43" t="s">
        <v>237</v>
      </c>
      <c r="I2120" s="40" t="s">
        <v>1281</v>
      </c>
    </row>
    <row r="2121" spans="1:9" x14ac:dyDescent="0.25">
      <c r="A2121" s="40" t="s">
        <v>691</v>
      </c>
      <c r="B2121" s="28">
        <v>2850</v>
      </c>
      <c r="C2121" s="28">
        <v>5642078</v>
      </c>
      <c r="D2121" s="28"/>
      <c r="E2121" s="41">
        <v>46141</v>
      </c>
      <c r="F2121" s="47">
        <v>0.22939814814814816</v>
      </c>
      <c r="G2121" s="44">
        <v>6.3</v>
      </c>
      <c r="H2121" s="43" t="s">
        <v>234</v>
      </c>
      <c r="I2121" s="40" t="s">
        <v>1281</v>
      </c>
    </row>
    <row r="2122" spans="1:9" x14ac:dyDescent="0.25">
      <c r="A2122" s="40" t="s">
        <v>691</v>
      </c>
      <c r="B2122" s="28">
        <v>2850</v>
      </c>
      <c r="C2122" s="28" t="s">
        <v>692</v>
      </c>
      <c r="D2122" s="28"/>
      <c r="E2122" s="41">
        <v>46141</v>
      </c>
      <c r="F2122" s="47">
        <v>0.56712962962962965</v>
      </c>
      <c r="G2122" s="44">
        <v>6.3</v>
      </c>
      <c r="H2122" s="43" t="s">
        <v>235</v>
      </c>
      <c r="I2122" s="40" t="s">
        <v>1281</v>
      </c>
    </row>
    <row r="2123" spans="1:9" x14ac:dyDescent="0.25">
      <c r="A2123" s="40" t="s">
        <v>691</v>
      </c>
      <c r="B2123" s="28">
        <v>2850</v>
      </c>
      <c r="C2123" s="28" t="s">
        <v>692</v>
      </c>
      <c r="D2123" s="28"/>
      <c r="E2123" s="41">
        <v>46141</v>
      </c>
      <c r="F2123" s="47">
        <v>0.5768981481481481</v>
      </c>
      <c r="G2123" s="44">
        <v>6.3</v>
      </c>
      <c r="H2123" s="43" t="s">
        <v>236</v>
      </c>
      <c r="I2123" s="40" t="s">
        <v>1281</v>
      </c>
    </row>
    <row r="2124" spans="1:9" x14ac:dyDescent="0.25">
      <c r="A2124" s="40" t="s">
        <v>691</v>
      </c>
      <c r="B2124" s="28">
        <v>2850</v>
      </c>
      <c r="C2124" s="28">
        <v>5643427</v>
      </c>
      <c r="D2124" s="28"/>
      <c r="E2124" s="45">
        <v>46142</v>
      </c>
      <c r="F2124" s="48">
        <v>0.23425925925925925</v>
      </c>
      <c r="G2124" s="44">
        <v>6.3</v>
      </c>
      <c r="H2124" s="43" t="s">
        <v>234</v>
      </c>
      <c r="I2124" s="40" t="s">
        <v>1281</v>
      </c>
    </row>
    <row r="2125" spans="1:9" x14ac:dyDescent="0.25">
      <c r="A2125" s="40" t="s">
        <v>691</v>
      </c>
      <c r="B2125" s="28">
        <v>2850</v>
      </c>
      <c r="C2125" s="28">
        <v>5644295</v>
      </c>
      <c r="D2125" s="28" t="s">
        <v>36</v>
      </c>
      <c r="E2125" s="41">
        <v>46142</v>
      </c>
      <c r="F2125" s="47">
        <v>0.40467592592592594</v>
      </c>
      <c r="G2125" s="42">
        <v>6.3</v>
      </c>
      <c r="H2125" s="40" t="s">
        <v>235</v>
      </c>
      <c r="I2125" s="40" t="s">
        <v>1281</v>
      </c>
    </row>
    <row r="2126" spans="1:9" x14ac:dyDescent="0.25">
      <c r="A2126" s="40" t="s">
        <v>691</v>
      </c>
      <c r="B2126" s="28">
        <v>2850</v>
      </c>
      <c r="C2126" s="28" t="s">
        <v>35</v>
      </c>
      <c r="D2126" s="28" t="s">
        <v>38</v>
      </c>
      <c r="E2126" s="45">
        <v>46142</v>
      </c>
      <c r="F2126" s="48">
        <v>0.43547453703703703</v>
      </c>
      <c r="G2126" s="42">
        <v>6.3</v>
      </c>
      <c r="H2126" s="40" t="s">
        <v>234</v>
      </c>
      <c r="I2126" s="40" t="s">
        <v>1281</v>
      </c>
    </row>
    <row r="2127" spans="1:9" x14ac:dyDescent="0.25">
      <c r="A2127" s="40" t="s">
        <v>691</v>
      </c>
      <c r="B2127" s="28">
        <v>2850</v>
      </c>
      <c r="C2127" s="28">
        <v>5644643</v>
      </c>
      <c r="D2127" s="28"/>
      <c r="E2127" s="41">
        <v>46142</v>
      </c>
      <c r="F2127" s="47">
        <v>0.68023148148148149</v>
      </c>
      <c r="G2127" s="44">
        <v>6.3</v>
      </c>
      <c r="H2127" s="43" t="s">
        <v>237</v>
      </c>
      <c r="I2127" s="40" t="s">
        <v>1281</v>
      </c>
    </row>
    <row r="2128" spans="1:9" x14ac:dyDescent="0.25">
      <c r="A2128" s="40" t="s">
        <v>691</v>
      </c>
      <c r="B2128" s="28">
        <v>2850</v>
      </c>
      <c r="C2128" s="28">
        <v>5644643</v>
      </c>
      <c r="D2128" s="28"/>
      <c r="E2128" s="41">
        <v>46142</v>
      </c>
      <c r="F2128" s="47">
        <v>0.69520833333333332</v>
      </c>
      <c r="G2128" s="44">
        <v>6.3</v>
      </c>
      <c r="H2128" s="43" t="s">
        <v>234</v>
      </c>
      <c r="I2128" s="40" t="s">
        <v>1281</v>
      </c>
    </row>
    <row r="2129" spans="1:9" x14ac:dyDescent="0.25">
      <c r="A2129" s="40" t="s">
        <v>691</v>
      </c>
      <c r="B2129" s="28">
        <v>2850</v>
      </c>
      <c r="C2129" s="28" t="s">
        <v>693</v>
      </c>
      <c r="D2129" s="28"/>
      <c r="E2129" s="41">
        <v>46142</v>
      </c>
      <c r="F2129" s="47">
        <v>0.74679398148148146</v>
      </c>
      <c r="G2129" s="44">
        <v>6.3</v>
      </c>
      <c r="H2129" s="43" t="s">
        <v>235</v>
      </c>
      <c r="I2129" s="40" t="s">
        <v>1281</v>
      </c>
    </row>
    <row r="2130" spans="1:9" x14ac:dyDescent="0.25">
      <c r="A2130" s="40" t="s">
        <v>691</v>
      </c>
      <c r="B2130" s="28">
        <v>2850</v>
      </c>
      <c r="C2130" s="28" t="s">
        <v>693</v>
      </c>
      <c r="D2130" s="28"/>
      <c r="E2130" s="41">
        <v>46142</v>
      </c>
      <c r="F2130" s="47">
        <v>0.75994212962962959</v>
      </c>
      <c r="G2130" s="44">
        <v>6.3</v>
      </c>
      <c r="H2130" s="43" t="s">
        <v>236</v>
      </c>
      <c r="I2130" s="40" t="s">
        <v>1281</v>
      </c>
    </row>
    <row r="2131" spans="1:9" x14ac:dyDescent="0.25">
      <c r="A2131" s="40" t="s">
        <v>691</v>
      </c>
      <c r="B2131" s="28">
        <v>2850</v>
      </c>
      <c r="C2131" s="28">
        <v>5645939</v>
      </c>
      <c r="D2131" s="28"/>
      <c r="E2131" s="41">
        <v>46143</v>
      </c>
      <c r="F2131" s="47">
        <v>0.30454861111111109</v>
      </c>
      <c r="G2131" s="44">
        <v>6.3</v>
      </c>
      <c r="H2131" s="43" t="s">
        <v>234</v>
      </c>
      <c r="I2131" s="40" t="s">
        <v>1282</v>
      </c>
    </row>
    <row r="2132" spans="1:9" x14ac:dyDescent="0.25">
      <c r="A2132" s="40" t="s">
        <v>691</v>
      </c>
      <c r="B2132" s="28">
        <v>2850</v>
      </c>
      <c r="C2132" s="28">
        <v>5646114</v>
      </c>
      <c r="D2132" s="28"/>
      <c r="E2132" s="41">
        <v>46143</v>
      </c>
      <c r="F2132" s="47">
        <v>0.35651620370370368</v>
      </c>
      <c r="G2132" s="44">
        <v>6.3</v>
      </c>
      <c r="H2132" s="43" t="s">
        <v>235</v>
      </c>
      <c r="I2132" s="40" t="s">
        <v>1282</v>
      </c>
    </row>
    <row r="2133" spans="1:9" x14ac:dyDescent="0.25">
      <c r="A2133" s="40" t="s">
        <v>691</v>
      </c>
      <c r="B2133" s="28">
        <v>2850</v>
      </c>
      <c r="C2133" s="28" t="s">
        <v>35</v>
      </c>
      <c r="D2133" s="28" t="s">
        <v>38</v>
      </c>
      <c r="E2133" s="41">
        <v>46143</v>
      </c>
      <c r="F2133" s="47">
        <v>0.39825231481481482</v>
      </c>
      <c r="G2133" s="42">
        <v>6.3</v>
      </c>
      <c r="H2133" s="40" t="s">
        <v>237</v>
      </c>
      <c r="I2133" s="40" t="s">
        <v>1282</v>
      </c>
    </row>
    <row r="2134" spans="1:9" x14ac:dyDescent="0.25">
      <c r="A2134" s="40" t="s">
        <v>691</v>
      </c>
      <c r="B2134" s="28">
        <v>2850</v>
      </c>
      <c r="C2134" s="28" t="s">
        <v>35</v>
      </c>
      <c r="D2134" s="28" t="s">
        <v>38</v>
      </c>
      <c r="E2134" s="41">
        <v>46143</v>
      </c>
      <c r="F2134" s="47">
        <v>0.40378472222222223</v>
      </c>
      <c r="G2134" s="42">
        <v>6.3</v>
      </c>
      <c r="H2134" s="40" t="s">
        <v>234</v>
      </c>
      <c r="I2134" s="40" t="s">
        <v>1282</v>
      </c>
    </row>
    <row r="2135" spans="1:9" x14ac:dyDescent="0.25">
      <c r="A2135" s="40" t="s">
        <v>691</v>
      </c>
      <c r="B2135" s="28">
        <v>2850</v>
      </c>
      <c r="C2135" s="28" t="s">
        <v>35</v>
      </c>
      <c r="D2135" s="28" t="s">
        <v>38</v>
      </c>
      <c r="E2135" s="41">
        <v>46143</v>
      </c>
      <c r="F2135" s="47">
        <v>0.73609953703703701</v>
      </c>
      <c r="G2135" s="42">
        <v>6.3</v>
      </c>
      <c r="H2135" s="40" t="s">
        <v>234</v>
      </c>
      <c r="I2135" s="40" t="s">
        <v>1282</v>
      </c>
    </row>
    <row r="2136" spans="1:9" x14ac:dyDescent="0.25">
      <c r="A2136" s="40" t="s">
        <v>691</v>
      </c>
      <c r="B2136" s="28">
        <v>2850</v>
      </c>
      <c r="C2136" s="28" t="s">
        <v>694</v>
      </c>
      <c r="D2136" s="28"/>
      <c r="E2136" s="45">
        <v>46144</v>
      </c>
      <c r="F2136" s="48">
        <v>0.48925925925925928</v>
      </c>
      <c r="G2136" s="42">
        <v>6.3</v>
      </c>
      <c r="H2136" s="40" t="s">
        <v>235</v>
      </c>
      <c r="I2136" s="40" t="s">
        <v>1282</v>
      </c>
    </row>
    <row r="2137" spans="1:9" x14ac:dyDescent="0.25">
      <c r="A2137" s="40" t="s">
        <v>691</v>
      </c>
      <c r="B2137" s="28">
        <v>2850</v>
      </c>
      <c r="C2137" s="28" t="s">
        <v>694</v>
      </c>
      <c r="D2137" s="28"/>
      <c r="E2137" s="41">
        <v>46144</v>
      </c>
      <c r="F2137" s="47">
        <v>0.49745370370370373</v>
      </c>
      <c r="G2137" s="44">
        <v>6.3</v>
      </c>
      <c r="H2137" s="43" t="s">
        <v>236</v>
      </c>
      <c r="I2137" s="40" t="s">
        <v>1282</v>
      </c>
    </row>
    <row r="2138" spans="1:9" x14ac:dyDescent="0.25">
      <c r="A2138" s="40" t="s">
        <v>691</v>
      </c>
      <c r="B2138" s="28">
        <v>2850</v>
      </c>
      <c r="C2138" s="28">
        <v>5647953</v>
      </c>
      <c r="D2138" s="28" t="s">
        <v>37</v>
      </c>
      <c r="E2138" s="41">
        <v>46145</v>
      </c>
      <c r="F2138" s="47">
        <v>0.20086805555555556</v>
      </c>
      <c r="G2138" s="44">
        <v>6.3</v>
      </c>
      <c r="H2138" s="43" t="s">
        <v>234</v>
      </c>
      <c r="I2138" s="40" t="s">
        <v>1282</v>
      </c>
    </row>
    <row r="2139" spans="1:9" x14ac:dyDescent="0.25">
      <c r="A2139" s="40" t="s">
        <v>691</v>
      </c>
      <c r="B2139" s="28">
        <v>2850</v>
      </c>
      <c r="C2139" s="28">
        <v>5648618</v>
      </c>
      <c r="D2139" s="28"/>
      <c r="E2139" s="41">
        <v>46145</v>
      </c>
      <c r="F2139" s="47">
        <v>0.67114583333333333</v>
      </c>
      <c r="G2139" s="44">
        <v>6.3</v>
      </c>
      <c r="H2139" s="43" t="s">
        <v>237</v>
      </c>
      <c r="I2139" s="40" t="s">
        <v>1282</v>
      </c>
    </row>
    <row r="2140" spans="1:9" x14ac:dyDescent="0.25">
      <c r="A2140" s="40" t="s">
        <v>691</v>
      </c>
      <c r="B2140" s="28">
        <v>2850</v>
      </c>
      <c r="C2140" s="28">
        <v>5648618</v>
      </c>
      <c r="D2140" s="28"/>
      <c r="E2140" s="45">
        <v>46145</v>
      </c>
      <c r="F2140" s="48">
        <v>0.67629629629629628</v>
      </c>
      <c r="G2140" s="44">
        <v>6.3</v>
      </c>
      <c r="H2140" s="43" t="s">
        <v>234</v>
      </c>
      <c r="I2140" s="40" t="s">
        <v>1282</v>
      </c>
    </row>
    <row r="2141" spans="1:9" x14ac:dyDescent="0.25">
      <c r="A2141" s="40" t="s">
        <v>695</v>
      </c>
      <c r="B2141" s="28">
        <v>2852</v>
      </c>
      <c r="C2141" s="28" t="s">
        <v>35</v>
      </c>
      <c r="D2141" s="28" t="s">
        <v>38</v>
      </c>
      <c r="E2141" s="41">
        <v>46139</v>
      </c>
      <c r="F2141" s="47">
        <v>0.26319444444444445</v>
      </c>
      <c r="G2141" s="44">
        <v>6.3</v>
      </c>
      <c r="H2141" s="43" t="s">
        <v>237</v>
      </c>
      <c r="I2141" s="40" t="s">
        <v>1281</v>
      </c>
    </row>
    <row r="2142" spans="1:9" x14ac:dyDescent="0.25">
      <c r="A2142" s="40" t="s">
        <v>695</v>
      </c>
      <c r="B2142" s="28">
        <v>2852</v>
      </c>
      <c r="C2142" s="28" t="s">
        <v>35</v>
      </c>
      <c r="D2142" s="28" t="s">
        <v>38</v>
      </c>
      <c r="E2142" s="41">
        <v>46139</v>
      </c>
      <c r="F2142" s="47">
        <v>0.26880787037037035</v>
      </c>
      <c r="G2142" s="44">
        <v>6.3</v>
      </c>
      <c r="H2142" s="43" t="s">
        <v>234</v>
      </c>
      <c r="I2142" s="40" t="s">
        <v>1281</v>
      </c>
    </row>
    <row r="2143" spans="1:9" x14ac:dyDescent="0.25">
      <c r="A2143" s="40" t="s">
        <v>695</v>
      </c>
      <c r="B2143" s="28">
        <v>2852</v>
      </c>
      <c r="C2143" s="28">
        <v>5639021</v>
      </c>
      <c r="D2143" s="28"/>
      <c r="E2143" s="41">
        <v>46139</v>
      </c>
      <c r="F2143" s="47">
        <v>0.88844907407407403</v>
      </c>
      <c r="G2143" s="44">
        <v>6.3</v>
      </c>
      <c r="H2143" s="43" t="s">
        <v>235</v>
      </c>
      <c r="I2143" s="40" t="s">
        <v>1281</v>
      </c>
    </row>
    <row r="2144" spans="1:9" x14ac:dyDescent="0.25">
      <c r="A2144" s="40" t="s">
        <v>695</v>
      </c>
      <c r="B2144" s="28">
        <v>2852</v>
      </c>
      <c r="C2144" s="28">
        <v>5639021</v>
      </c>
      <c r="D2144" s="28"/>
      <c r="E2144" s="41">
        <v>46139</v>
      </c>
      <c r="F2144" s="47">
        <v>0.89577546296296295</v>
      </c>
      <c r="G2144" s="44">
        <v>6.3</v>
      </c>
      <c r="H2144" s="43" t="s">
        <v>236</v>
      </c>
      <c r="I2144" s="40" t="s">
        <v>1281</v>
      </c>
    </row>
    <row r="2145" spans="1:9" x14ac:dyDescent="0.25">
      <c r="A2145" s="40" t="s">
        <v>695</v>
      </c>
      <c r="B2145" s="28">
        <v>2852</v>
      </c>
      <c r="C2145" s="28">
        <v>5643420</v>
      </c>
      <c r="D2145" s="28"/>
      <c r="E2145" s="41">
        <v>46141</v>
      </c>
      <c r="F2145" s="47">
        <v>0.81871527777777775</v>
      </c>
      <c r="G2145" s="44">
        <v>6.3</v>
      </c>
      <c r="H2145" s="43" t="s">
        <v>235</v>
      </c>
      <c r="I2145" s="40" t="s">
        <v>1281</v>
      </c>
    </row>
    <row r="2146" spans="1:9" x14ac:dyDescent="0.25">
      <c r="A2146" s="40" t="s">
        <v>695</v>
      </c>
      <c r="B2146" s="28">
        <v>2852</v>
      </c>
      <c r="C2146" s="28">
        <v>5643420</v>
      </c>
      <c r="D2146" s="28"/>
      <c r="E2146" s="45">
        <v>46141</v>
      </c>
      <c r="F2146" s="48">
        <v>0.83591435185185181</v>
      </c>
      <c r="G2146" s="44">
        <v>6.3</v>
      </c>
      <c r="H2146" s="43" t="s">
        <v>236</v>
      </c>
      <c r="I2146" s="40" t="s">
        <v>1281</v>
      </c>
    </row>
    <row r="2147" spans="1:9" x14ac:dyDescent="0.25">
      <c r="A2147" s="40" t="s">
        <v>695</v>
      </c>
      <c r="B2147" s="28">
        <v>2852</v>
      </c>
      <c r="C2147" s="28">
        <v>5645866</v>
      </c>
      <c r="D2147" s="28"/>
      <c r="E2147" s="41">
        <v>46143</v>
      </c>
      <c r="F2147" s="47">
        <v>5.3009259259259259E-3</v>
      </c>
      <c r="G2147" s="44">
        <v>6.3</v>
      </c>
      <c r="H2147" s="43" t="s">
        <v>235</v>
      </c>
      <c r="I2147" s="40" t="s">
        <v>1282</v>
      </c>
    </row>
    <row r="2148" spans="1:9" x14ac:dyDescent="0.25">
      <c r="A2148" s="40" t="s">
        <v>695</v>
      </c>
      <c r="B2148" s="28">
        <v>2852</v>
      </c>
      <c r="C2148" s="28">
        <v>5645866</v>
      </c>
      <c r="D2148" s="28"/>
      <c r="E2148" s="45">
        <v>46143</v>
      </c>
      <c r="F2148" s="48">
        <v>1.9594907407407408E-2</v>
      </c>
      <c r="G2148" s="44">
        <v>6.3</v>
      </c>
      <c r="H2148" s="43" t="s">
        <v>236</v>
      </c>
      <c r="I2148" s="40" t="s">
        <v>1282</v>
      </c>
    </row>
    <row r="2149" spans="1:9" x14ac:dyDescent="0.25">
      <c r="A2149" s="40" t="s">
        <v>277</v>
      </c>
      <c r="B2149" s="28">
        <v>2913</v>
      </c>
      <c r="C2149" s="28">
        <v>5638036</v>
      </c>
      <c r="D2149" s="28"/>
      <c r="E2149" s="45">
        <v>46139</v>
      </c>
      <c r="F2149" s="48">
        <v>0.42863425925925924</v>
      </c>
      <c r="G2149" s="44">
        <v>6.3</v>
      </c>
      <c r="H2149" s="43" t="s">
        <v>240</v>
      </c>
      <c r="I2149" s="40" t="s">
        <v>1281</v>
      </c>
    </row>
    <row r="2150" spans="1:9" x14ac:dyDescent="0.25">
      <c r="A2150" s="40" t="s">
        <v>277</v>
      </c>
      <c r="B2150" s="28">
        <v>2913</v>
      </c>
      <c r="C2150" s="28">
        <v>5638127</v>
      </c>
      <c r="D2150" s="28"/>
      <c r="E2150" s="41">
        <v>46139</v>
      </c>
      <c r="F2150" s="47">
        <v>0.46677083333333336</v>
      </c>
      <c r="G2150" s="44">
        <v>6.3</v>
      </c>
      <c r="H2150" s="43" t="s">
        <v>236</v>
      </c>
      <c r="I2150" s="40" t="s">
        <v>1281</v>
      </c>
    </row>
    <row r="2151" spans="1:9" x14ac:dyDescent="0.25">
      <c r="A2151" s="40" t="s">
        <v>277</v>
      </c>
      <c r="B2151" s="28">
        <v>2913</v>
      </c>
      <c r="C2151" s="28" t="s">
        <v>35</v>
      </c>
      <c r="D2151" s="28" t="s">
        <v>38</v>
      </c>
      <c r="E2151" s="45">
        <v>46141</v>
      </c>
      <c r="F2151" s="48">
        <v>0.58989583333333329</v>
      </c>
      <c r="G2151" s="44">
        <v>6.3</v>
      </c>
      <c r="H2151" s="43" t="s">
        <v>236</v>
      </c>
      <c r="I2151" s="40" t="s">
        <v>1281</v>
      </c>
    </row>
    <row r="2152" spans="1:9" x14ac:dyDescent="0.25">
      <c r="A2152" s="40" t="s">
        <v>277</v>
      </c>
      <c r="B2152" s="28">
        <v>2913</v>
      </c>
      <c r="C2152" s="28">
        <v>5644277</v>
      </c>
      <c r="D2152" s="28" t="s">
        <v>36</v>
      </c>
      <c r="E2152" s="41">
        <v>46142</v>
      </c>
      <c r="F2152" s="47">
        <v>0.61821759259259257</v>
      </c>
      <c r="G2152" s="44">
        <v>6.3</v>
      </c>
      <c r="H2152" s="43" t="s">
        <v>237</v>
      </c>
      <c r="I2152" s="40" t="s">
        <v>1281</v>
      </c>
    </row>
    <row r="2153" spans="1:9" x14ac:dyDescent="0.25">
      <c r="A2153" s="40" t="s">
        <v>277</v>
      </c>
      <c r="B2153" s="28">
        <v>2913</v>
      </c>
      <c r="C2153" s="28" t="s">
        <v>35</v>
      </c>
      <c r="D2153" s="28" t="s">
        <v>38</v>
      </c>
      <c r="E2153" s="41">
        <v>46144</v>
      </c>
      <c r="F2153" s="47">
        <v>0.82598379629629626</v>
      </c>
      <c r="G2153" s="44">
        <v>6.3</v>
      </c>
      <c r="H2153" s="43" t="s">
        <v>237</v>
      </c>
      <c r="I2153" s="40" t="s">
        <v>1282</v>
      </c>
    </row>
    <row r="2154" spans="1:9" x14ac:dyDescent="0.25">
      <c r="A2154" s="40" t="s">
        <v>277</v>
      </c>
      <c r="B2154" s="28">
        <v>2913</v>
      </c>
      <c r="C2154" s="28" t="s">
        <v>35</v>
      </c>
      <c r="D2154" s="28" t="s">
        <v>38</v>
      </c>
      <c r="E2154" s="41">
        <v>46144</v>
      </c>
      <c r="F2154" s="47">
        <v>0.83195601851851853</v>
      </c>
      <c r="G2154" s="44">
        <v>6.3</v>
      </c>
      <c r="H2154" s="43" t="s">
        <v>234</v>
      </c>
      <c r="I2154" s="40" t="s">
        <v>1282</v>
      </c>
    </row>
    <row r="2155" spans="1:9" x14ac:dyDescent="0.25">
      <c r="A2155" s="40" t="s">
        <v>277</v>
      </c>
      <c r="B2155" s="28">
        <v>2913</v>
      </c>
      <c r="C2155" s="28" t="s">
        <v>35</v>
      </c>
      <c r="D2155" s="28" t="s">
        <v>38</v>
      </c>
      <c r="E2155" s="41">
        <v>46144</v>
      </c>
      <c r="F2155" s="47">
        <v>0.8586921296296296</v>
      </c>
      <c r="G2155" s="44">
        <v>6.3</v>
      </c>
      <c r="H2155" s="43" t="s">
        <v>235</v>
      </c>
      <c r="I2155" s="40" t="s">
        <v>1282</v>
      </c>
    </row>
    <row r="2156" spans="1:9" x14ac:dyDescent="0.25">
      <c r="A2156" s="40" t="s">
        <v>696</v>
      </c>
      <c r="B2156" s="28">
        <v>2961</v>
      </c>
      <c r="C2156" s="28">
        <v>5637224</v>
      </c>
      <c r="D2156" s="28"/>
      <c r="E2156" s="41">
        <v>46139</v>
      </c>
      <c r="F2156" s="47">
        <v>0.75605324074074076</v>
      </c>
      <c r="G2156" s="44">
        <v>6.3</v>
      </c>
      <c r="H2156" s="43" t="s">
        <v>237</v>
      </c>
      <c r="I2156" s="40" t="s">
        <v>1281</v>
      </c>
    </row>
    <row r="2157" spans="1:9" x14ac:dyDescent="0.25">
      <c r="A2157" s="40" t="s">
        <v>696</v>
      </c>
      <c r="B2157" s="28">
        <v>2961</v>
      </c>
      <c r="C2157" s="28">
        <v>5637224</v>
      </c>
      <c r="D2157" s="28"/>
      <c r="E2157" s="41">
        <v>46139</v>
      </c>
      <c r="F2157" s="47">
        <v>0.78818287037037038</v>
      </c>
      <c r="G2157" s="44">
        <v>6.3</v>
      </c>
      <c r="H2157" s="43" t="s">
        <v>234</v>
      </c>
      <c r="I2157" s="40" t="s">
        <v>1281</v>
      </c>
    </row>
    <row r="2158" spans="1:9" x14ac:dyDescent="0.25">
      <c r="A2158" s="40" t="s">
        <v>696</v>
      </c>
      <c r="B2158" s="28">
        <v>2961</v>
      </c>
      <c r="C2158" s="28">
        <v>5636765</v>
      </c>
      <c r="D2158" s="28"/>
      <c r="E2158" s="41">
        <v>46139</v>
      </c>
      <c r="F2158" s="47">
        <v>0.96693287037037035</v>
      </c>
      <c r="G2158" s="44">
        <v>6.3</v>
      </c>
      <c r="H2158" s="43" t="s">
        <v>235</v>
      </c>
      <c r="I2158" s="40" t="s">
        <v>1281</v>
      </c>
    </row>
    <row r="2159" spans="1:9" x14ac:dyDescent="0.25">
      <c r="A2159" s="40" t="s">
        <v>696</v>
      </c>
      <c r="B2159" s="28">
        <v>2961</v>
      </c>
      <c r="C2159" s="28">
        <v>5636765</v>
      </c>
      <c r="D2159" s="28"/>
      <c r="E2159" s="41">
        <v>46139</v>
      </c>
      <c r="F2159" s="47">
        <v>0.97380787037037042</v>
      </c>
      <c r="G2159" s="44">
        <v>6.3</v>
      </c>
      <c r="H2159" s="43" t="s">
        <v>236</v>
      </c>
      <c r="I2159" s="40" t="s">
        <v>1281</v>
      </c>
    </row>
    <row r="2160" spans="1:9" x14ac:dyDescent="0.25">
      <c r="A2160" s="40" t="s">
        <v>696</v>
      </c>
      <c r="B2160" s="28">
        <v>2961</v>
      </c>
      <c r="C2160" s="28">
        <v>5638065</v>
      </c>
      <c r="D2160" s="28"/>
      <c r="E2160" s="45">
        <v>46140</v>
      </c>
      <c r="F2160" s="48">
        <v>5.0428240740740739E-2</v>
      </c>
      <c r="G2160" s="44">
        <v>6.3</v>
      </c>
      <c r="H2160" s="43" t="s">
        <v>235</v>
      </c>
      <c r="I2160" s="40" t="s">
        <v>1281</v>
      </c>
    </row>
    <row r="2161" spans="1:9" x14ac:dyDescent="0.25">
      <c r="A2161" s="40" t="s">
        <v>696</v>
      </c>
      <c r="B2161" s="28">
        <v>2961</v>
      </c>
      <c r="C2161" s="28">
        <v>5638065</v>
      </c>
      <c r="D2161" s="28"/>
      <c r="E2161" s="41">
        <v>46140</v>
      </c>
      <c r="F2161" s="47">
        <v>5.7418981481481481E-2</v>
      </c>
      <c r="G2161" s="44">
        <v>6.3</v>
      </c>
      <c r="H2161" s="43" t="s">
        <v>236</v>
      </c>
      <c r="I2161" s="40" t="s">
        <v>1281</v>
      </c>
    </row>
    <row r="2162" spans="1:9" x14ac:dyDescent="0.25">
      <c r="A2162" s="40" t="s">
        <v>696</v>
      </c>
      <c r="B2162" s="28">
        <v>2961</v>
      </c>
      <c r="C2162" s="28">
        <v>5640771</v>
      </c>
      <c r="D2162" s="28"/>
      <c r="E2162" s="41">
        <v>46141</v>
      </c>
      <c r="F2162" s="47">
        <v>0.5496875</v>
      </c>
      <c r="G2162" s="44">
        <v>6.3</v>
      </c>
      <c r="H2162" s="43" t="s">
        <v>235</v>
      </c>
      <c r="I2162" s="40" t="s">
        <v>1281</v>
      </c>
    </row>
    <row r="2163" spans="1:9" x14ac:dyDescent="0.25">
      <c r="A2163" s="40" t="s">
        <v>696</v>
      </c>
      <c r="B2163" s="28">
        <v>2961</v>
      </c>
      <c r="C2163" s="28">
        <v>5640771</v>
      </c>
      <c r="D2163" s="28"/>
      <c r="E2163" s="41">
        <v>46141</v>
      </c>
      <c r="F2163" s="47">
        <v>0.56104166666666666</v>
      </c>
      <c r="G2163" s="44">
        <v>6.3</v>
      </c>
      <c r="H2163" s="43" t="s">
        <v>236</v>
      </c>
      <c r="I2163" s="40" t="s">
        <v>1281</v>
      </c>
    </row>
    <row r="2164" spans="1:9" x14ac:dyDescent="0.25">
      <c r="A2164" s="40" t="s">
        <v>696</v>
      </c>
      <c r="B2164" s="28">
        <v>2961</v>
      </c>
      <c r="C2164" s="28">
        <v>5640580</v>
      </c>
      <c r="D2164" s="28" t="s">
        <v>37</v>
      </c>
      <c r="E2164" s="45">
        <v>46141</v>
      </c>
      <c r="F2164" s="48">
        <v>0.77567129629629628</v>
      </c>
      <c r="G2164" s="44">
        <v>6.3</v>
      </c>
      <c r="H2164" s="43" t="s">
        <v>237</v>
      </c>
      <c r="I2164" s="40" t="s">
        <v>1281</v>
      </c>
    </row>
    <row r="2165" spans="1:9" x14ac:dyDescent="0.25">
      <c r="A2165" s="40" t="s">
        <v>696</v>
      </c>
      <c r="B2165" s="28">
        <v>2961</v>
      </c>
      <c r="C2165" s="28">
        <v>5640580</v>
      </c>
      <c r="D2165" s="28" t="s">
        <v>37</v>
      </c>
      <c r="E2165" s="41">
        <v>46141</v>
      </c>
      <c r="F2165" s="47">
        <v>0.79067129629629629</v>
      </c>
      <c r="G2165" s="42">
        <v>6.3</v>
      </c>
      <c r="H2165" s="40" t="s">
        <v>234</v>
      </c>
      <c r="I2165" s="40" t="s">
        <v>1281</v>
      </c>
    </row>
    <row r="2166" spans="1:9" x14ac:dyDescent="0.25">
      <c r="A2166" s="40" t="s">
        <v>696</v>
      </c>
      <c r="B2166" s="28">
        <v>2961</v>
      </c>
      <c r="C2166" s="28">
        <v>5642615</v>
      </c>
      <c r="D2166" s="28"/>
      <c r="E2166" s="45">
        <v>46142</v>
      </c>
      <c r="F2166" s="48">
        <v>0.48712962962962963</v>
      </c>
      <c r="G2166" s="42">
        <v>6.3</v>
      </c>
      <c r="H2166" s="40" t="s">
        <v>238</v>
      </c>
      <c r="I2166" s="40" t="s">
        <v>1281</v>
      </c>
    </row>
    <row r="2167" spans="1:9" x14ac:dyDescent="0.25">
      <c r="A2167" s="40" t="s">
        <v>696</v>
      </c>
      <c r="B2167" s="28">
        <v>2961</v>
      </c>
      <c r="C2167" s="28">
        <v>5642615</v>
      </c>
      <c r="D2167" s="28"/>
      <c r="E2167" s="45">
        <v>46142</v>
      </c>
      <c r="F2167" s="48">
        <v>0.50160879629629629</v>
      </c>
      <c r="G2167" s="42">
        <v>6.3</v>
      </c>
      <c r="H2167" s="40" t="s">
        <v>234</v>
      </c>
      <c r="I2167" s="40" t="s">
        <v>1281</v>
      </c>
    </row>
    <row r="2168" spans="1:9" x14ac:dyDescent="0.25">
      <c r="A2168" s="40" t="s">
        <v>696</v>
      </c>
      <c r="B2168" s="28">
        <v>2961</v>
      </c>
      <c r="C2168" s="28">
        <v>5642717</v>
      </c>
      <c r="D2168" s="28"/>
      <c r="E2168" s="41">
        <v>46142</v>
      </c>
      <c r="F2168" s="47">
        <v>0.66636574074074073</v>
      </c>
      <c r="G2168" s="44">
        <v>6.3</v>
      </c>
      <c r="H2168" s="43" t="s">
        <v>235</v>
      </c>
      <c r="I2168" s="40" t="s">
        <v>1281</v>
      </c>
    </row>
    <row r="2169" spans="1:9" x14ac:dyDescent="0.25">
      <c r="A2169" s="40" t="s">
        <v>696</v>
      </c>
      <c r="B2169" s="28">
        <v>2961</v>
      </c>
      <c r="C2169" s="28">
        <v>5642717</v>
      </c>
      <c r="D2169" s="28"/>
      <c r="E2169" s="41">
        <v>46142</v>
      </c>
      <c r="F2169" s="47">
        <v>0.68188657407407405</v>
      </c>
      <c r="G2169" s="44">
        <v>6.3</v>
      </c>
      <c r="H2169" s="43" t="s">
        <v>236</v>
      </c>
      <c r="I2169" s="40" t="s">
        <v>1281</v>
      </c>
    </row>
    <row r="2170" spans="1:9" x14ac:dyDescent="0.25">
      <c r="A2170" s="40" t="s">
        <v>696</v>
      </c>
      <c r="B2170" s="28">
        <v>2961</v>
      </c>
      <c r="C2170" s="28">
        <v>5644875</v>
      </c>
      <c r="D2170" s="28"/>
      <c r="E2170" s="41">
        <v>46143</v>
      </c>
      <c r="F2170" s="47">
        <v>0.60469907407407408</v>
      </c>
      <c r="G2170" s="44">
        <v>6.3</v>
      </c>
      <c r="H2170" s="43" t="s">
        <v>235</v>
      </c>
      <c r="I2170" s="40" t="s">
        <v>1282</v>
      </c>
    </row>
    <row r="2171" spans="1:9" x14ac:dyDescent="0.25">
      <c r="A2171" s="40" t="s">
        <v>696</v>
      </c>
      <c r="B2171" s="28">
        <v>2961</v>
      </c>
      <c r="C2171" s="28">
        <v>5644875</v>
      </c>
      <c r="D2171" s="28"/>
      <c r="E2171" s="41">
        <v>46143</v>
      </c>
      <c r="F2171" s="47">
        <v>0.61178240740740741</v>
      </c>
      <c r="G2171" s="44">
        <v>6.3</v>
      </c>
      <c r="H2171" s="43" t="s">
        <v>236</v>
      </c>
      <c r="I2171" s="40" t="s">
        <v>1282</v>
      </c>
    </row>
    <row r="2172" spans="1:9" x14ac:dyDescent="0.25">
      <c r="A2172" s="40" t="s">
        <v>696</v>
      </c>
      <c r="B2172" s="28">
        <v>2961</v>
      </c>
      <c r="C2172" s="28">
        <v>5645388</v>
      </c>
      <c r="D2172" s="28"/>
      <c r="E2172" s="41">
        <v>46143</v>
      </c>
      <c r="F2172" s="47">
        <v>0.69571759259259258</v>
      </c>
      <c r="G2172" s="44">
        <v>6.3</v>
      </c>
      <c r="H2172" s="43" t="s">
        <v>237</v>
      </c>
      <c r="I2172" s="40" t="s">
        <v>1282</v>
      </c>
    </row>
    <row r="2173" spans="1:9" x14ac:dyDescent="0.25">
      <c r="A2173" s="40" t="s">
        <v>696</v>
      </c>
      <c r="B2173" s="28">
        <v>2961</v>
      </c>
      <c r="C2173" s="28">
        <v>5645388</v>
      </c>
      <c r="D2173" s="28"/>
      <c r="E2173" s="41">
        <v>46143</v>
      </c>
      <c r="F2173" s="47">
        <v>0.700775462962963</v>
      </c>
      <c r="G2173" s="44">
        <v>6.3</v>
      </c>
      <c r="H2173" s="43" t="s">
        <v>234</v>
      </c>
      <c r="I2173" s="40" t="s">
        <v>1282</v>
      </c>
    </row>
    <row r="2174" spans="1:9" x14ac:dyDescent="0.25">
      <c r="A2174" s="40" t="s">
        <v>358</v>
      </c>
      <c r="B2174" s="28">
        <v>2974</v>
      </c>
      <c r="C2174" s="28">
        <v>5637930</v>
      </c>
      <c r="D2174" s="28"/>
      <c r="E2174" s="41">
        <v>46139</v>
      </c>
      <c r="F2174" s="47">
        <v>0.58165509259259263</v>
      </c>
      <c r="G2174" s="44">
        <v>6.3</v>
      </c>
      <c r="H2174" s="43" t="s">
        <v>237</v>
      </c>
      <c r="I2174" s="40" t="s">
        <v>1281</v>
      </c>
    </row>
    <row r="2175" spans="1:9" x14ac:dyDescent="0.25">
      <c r="A2175" s="40" t="s">
        <v>358</v>
      </c>
      <c r="B2175" s="28">
        <v>2974</v>
      </c>
      <c r="C2175" s="28">
        <v>5637930</v>
      </c>
      <c r="D2175" s="28"/>
      <c r="E2175" s="41">
        <v>46139</v>
      </c>
      <c r="F2175" s="47">
        <v>0.58841435185185187</v>
      </c>
      <c r="G2175" s="44">
        <v>6.3</v>
      </c>
      <c r="H2175" s="43" t="s">
        <v>234</v>
      </c>
      <c r="I2175" s="40" t="s">
        <v>1281</v>
      </c>
    </row>
    <row r="2176" spans="1:9" x14ac:dyDescent="0.25">
      <c r="A2176" s="40" t="s">
        <v>358</v>
      </c>
      <c r="B2176" s="28">
        <v>2976</v>
      </c>
      <c r="C2176" s="28" t="s">
        <v>35</v>
      </c>
      <c r="D2176" s="28" t="s">
        <v>38</v>
      </c>
      <c r="E2176" s="41">
        <v>46139</v>
      </c>
      <c r="F2176" s="47">
        <v>0.74870370370370365</v>
      </c>
      <c r="G2176" s="44">
        <v>6.3</v>
      </c>
      <c r="H2176" s="43" t="s">
        <v>235</v>
      </c>
      <c r="I2176" s="40" t="s">
        <v>1281</v>
      </c>
    </row>
    <row r="2177" spans="1:9" x14ac:dyDescent="0.25">
      <c r="A2177" s="40" t="s">
        <v>358</v>
      </c>
      <c r="B2177" s="28">
        <v>2976</v>
      </c>
      <c r="C2177" s="28" t="s">
        <v>35</v>
      </c>
      <c r="D2177" s="28" t="s">
        <v>38</v>
      </c>
      <c r="E2177" s="41">
        <v>46139</v>
      </c>
      <c r="F2177" s="47">
        <v>0.76715277777777779</v>
      </c>
      <c r="G2177" s="44">
        <v>6.3</v>
      </c>
      <c r="H2177" s="43" t="s">
        <v>236</v>
      </c>
      <c r="I2177" s="40" t="s">
        <v>1281</v>
      </c>
    </row>
    <row r="2178" spans="1:9" x14ac:dyDescent="0.25">
      <c r="A2178" s="40" t="s">
        <v>358</v>
      </c>
      <c r="B2178" s="28">
        <v>2976</v>
      </c>
      <c r="C2178" s="28">
        <v>5638146</v>
      </c>
      <c r="D2178" s="28"/>
      <c r="E2178" s="41">
        <v>46139</v>
      </c>
      <c r="F2178" s="47">
        <v>0.84336805555555561</v>
      </c>
      <c r="G2178" s="44">
        <v>6.3</v>
      </c>
      <c r="H2178" s="43" t="s">
        <v>233</v>
      </c>
      <c r="I2178" s="40" t="s">
        <v>1281</v>
      </c>
    </row>
    <row r="2179" spans="1:9" x14ac:dyDescent="0.25">
      <c r="A2179" s="40" t="s">
        <v>358</v>
      </c>
      <c r="B2179" s="28">
        <v>2976</v>
      </c>
      <c r="C2179" s="28">
        <v>5638146</v>
      </c>
      <c r="D2179" s="28"/>
      <c r="E2179" s="41">
        <v>46139</v>
      </c>
      <c r="F2179" s="47">
        <v>0.86791666666666667</v>
      </c>
      <c r="G2179" s="44">
        <v>6.3</v>
      </c>
      <c r="H2179" s="43" t="s">
        <v>234</v>
      </c>
      <c r="I2179" s="40" t="s">
        <v>1281</v>
      </c>
    </row>
    <row r="2180" spans="1:9" x14ac:dyDescent="0.25">
      <c r="A2180" s="40" t="s">
        <v>358</v>
      </c>
      <c r="B2180" s="28">
        <v>2976</v>
      </c>
      <c r="C2180" s="28" t="s">
        <v>35</v>
      </c>
      <c r="D2180" s="28" t="s">
        <v>38</v>
      </c>
      <c r="E2180" s="41">
        <v>46140</v>
      </c>
      <c r="F2180" s="47">
        <v>0.26247685185185188</v>
      </c>
      <c r="G2180" s="44">
        <v>6.3</v>
      </c>
      <c r="H2180" s="43" t="s">
        <v>235</v>
      </c>
      <c r="I2180" s="40" t="s">
        <v>1281</v>
      </c>
    </row>
    <row r="2181" spans="1:9" x14ac:dyDescent="0.25">
      <c r="A2181" s="40" t="s">
        <v>358</v>
      </c>
      <c r="B2181" s="28">
        <v>2976</v>
      </c>
      <c r="C2181" s="28" t="s">
        <v>35</v>
      </c>
      <c r="D2181" s="28" t="s">
        <v>38</v>
      </c>
      <c r="E2181" s="41">
        <v>46140</v>
      </c>
      <c r="F2181" s="47">
        <v>0.27671296296296294</v>
      </c>
      <c r="G2181" s="44">
        <v>6.3</v>
      </c>
      <c r="H2181" s="43" t="s">
        <v>236</v>
      </c>
      <c r="I2181" s="40" t="s">
        <v>1281</v>
      </c>
    </row>
    <row r="2182" spans="1:9" x14ac:dyDescent="0.25">
      <c r="A2182" s="40" t="s">
        <v>358</v>
      </c>
      <c r="B2182" s="28">
        <v>2974</v>
      </c>
      <c r="C2182" s="28">
        <v>5639173</v>
      </c>
      <c r="D2182" s="28"/>
      <c r="E2182" s="45">
        <v>46140</v>
      </c>
      <c r="F2182" s="48">
        <v>0.34325231481481483</v>
      </c>
      <c r="G2182" s="42">
        <v>6.3</v>
      </c>
      <c r="H2182" s="40" t="s">
        <v>237</v>
      </c>
      <c r="I2182" s="40" t="s">
        <v>1281</v>
      </c>
    </row>
    <row r="2183" spans="1:9" x14ac:dyDescent="0.25">
      <c r="A2183" s="40" t="s">
        <v>358</v>
      </c>
      <c r="B2183" s="28">
        <v>2974</v>
      </c>
      <c r="C2183" s="28">
        <v>5639173</v>
      </c>
      <c r="D2183" s="28"/>
      <c r="E2183" s="41">
        <v>46140</v>
      </c>
      <c r="F2183" s="47">
        <v>0.3553587962962963</v>
      </c>
      <c r="G2183" s="44">
        <v>6.3</v>
      </c>
      <c r="H2183" s="43" t="s">
        <v>234</v>
      </c>
      <c r="I2183" s="40" t="s">
        <v>1281</v>
      </c>
    </row>
    <row r="2184" spans="1:9" x14ac:dyDescent="0.25">
      <c r="A2184" s="40" t="s">
        <v>358</v>
      </c>
      <c r="B2184" s="28">
        <v>2974</v>
      </c>
      <c r="C2184" s="28" t="s">
        <v>35</v>
      </c>
      <c r="D2184" s="28" t="s">
        <v>38</v>
      </c>
      <c r="E2184" s="41">
        <v>46140</v>
      </c>
      <c r="F2184" s="47">
        <v>0.48777777777777775</v>
      </c>
      <c r="G2184" s="44">
        <v>6.3</v>
      </c>
      <c r="H2184" s="43" t="s">
        <v>240</v>
      </c>
      <c r="I2184" s="40" t="s">
        <v>1281</v>
      </c>
    </row>
    <row r="2185" spans="1:9" x14ac:dyDescent="0.25">
      <c r="A2185" s="40" t="s">
        <v>358</v>
      </c>
      <c r="B2185" s="28">
        <v>2974</v>
      </c>
      <c r="C2185" s="28">
        <v>5639403</v>
      </c>
      <c r="D2185" s="28"/>
      <c r="E2185" s="41">
        <v>46140</v>
      </c>
      <c r="F2185" s="47">
        <v>0.53722222222222227</v>
      </c>
      <c r="G2185" s="44">
        <v>6.3</v>
      </c>
      <c r="H2185" s="43" t="s">
        <v>241</v>
      </c>
      <c r="I2185" s="40" t="s">
        <v>1281</v>
      </c>
    </row>
    <row r="2186" spans="1:9" x14ac:dyDescent="0.25">
      <c r="A2186" s="40" t="s">
        <v>358</v>
      </c>
      <c r="B2186" s="28">
        <v>2974</v>
      </c>
      <c r="C2186" s="28">
        <v>5639403</v>
      </c>
      <c r="D2186" s="28"/>
      <c r="E2186" s="41">
        <v>46140</v>
      </c>
      <c r="F2186" s="47">
        <v>0.54109953703703706</v>
      </c>
      <c r="G2186" s="44">
        <v>6.3</v>
      </c>
      <c r="H2186" s="43" t="s">
        <v>234</v>
      </c>
      <c r="I2186" s="40" t="s">
        <v>1281</v>
      </c>
    </row>
    <row r="2187" spans="1:9" x14ac:dyDescent="0.25">
      <c r="A2187" s="40" t="s">
        <v>358</v>
      </c>
      <c r="B2187" s="28">
        <v>2976</v>
      </c>
      <c r="C2187" s="28">
        <v>5641598</v>
      </c>
      <c r="D2187" s="28"/>
      <c r="E2187" s="41">
        <v>46140</v>
      </c>
      <c r="F2187" s="47">
        <v>0.8611226851851852</v>
      </c>
      <c r="G2187" s="44">
        <v>6.3</v>
      </c>
      <c r="H2187" s="43" t="s">
        <v>235</v>
      </c>
      <c r="I2187" s="40" t="s">
        <v>1281</v>
      </c>
    </row>
    <row r="2188" spans="1:9" x14ac:dyDescent="0.25">
      <c r="A2188" s="40" t="s">
        <v>358</v>
      </c>
      <c r="B2188" s="28">
        <v>2976</v>
      </c>
      <c r="C2188" s="28" t="s">
        <v>35</v>
      </c>
      <c r="D2188" s="28" t="s">
        <v>38</v>
      </c>
      <c r="E2188" s="41">
        <v>46140</v>
      </c>
      <c r="F2188" s="47">
        <v>0.89491898148148152</v>
      </c>
      <c r="G2188" s="44">
        <v>6.3</v>
      </c>
      <c r="H2188" s="43" t="s">
        <v>236</v>
      </c>
      <c r="I2188" s="40" t="s">
        <v>1281</v>
      </c>
    </row>
    <row r="2189" spans="1:9" x14ac:dyDescent="0.25">
      <c r="A2189" s="40" t="s">
        <v>358</v>
      </c>
      <c r="B2189" s="28">
        <v>2976</v>
      </c>
      <c r="C2189" s="28" t="s">
        <v>35</v>
      </c>
      <c r="D2189" s="28" t="s">
        <v>38</v>
      </c>
      <c r="E2189" s="41">
        <v>46141</v>
      </c>
      <c r="F2189" s="47">
        <v>0.10906250000000001</v>
      </c>
      <c r="G2189" s="44">
        <v>6.3</v>
      </c>
      <c r="H2189" s="43" t="s">
        <v>235</v>
      </c>
      <c r="I2189" s="40" t="s">
        <v>1281</v>
      </c>
    </row>
    <row r="2190" spans="1:9" x14ac:dyDescent="0.25">
      <c r="A2190" s="40" t="s">
        <v>358</v>
      </c>
      <c r="B2190" s="28">
        <v>2976</v>
      </c>
      <c r="C2190" s="28" t="s">
        <v>35</v>
      </c>
      <c r="D2190" s="28" t="s">
        <v>38</v>
      </c>
      <c r="E2190" s="45">
        <v>46141</v>
      </c>
      <c r="F2190" s="48">
        <v>0.11594907407407408</v>
      </c>
      <c r="G2190" s="44">
        <v>6.3</v>
      </c>
      <c r="H2190" s="43" t="s">
        <v>236</v>
      </c>
      <c r="I2190" s="40" t="s">
        <v>1281</v>
      </c>
    </row>
    <row r="2191" spans="1:9" x14ac:dyDescent="0.25">
      <c r="A2191" s="40" t="s">
        <v>358</v>
      </c>
      <c r="B2191" s="28">
        <v>2974</v>
      </c>
      <c r="C2191" s="28">
        <v>5642851</v>
      </c>
      <c r="D2191" s="28" t="s">
        <v>37</v>
      </c>
      <c r="E2191" s="41">
        <v>46141</v>
      </c>
      <c r="F2191" s="47">
        <v>0.6753703703703704</v>
      </c>
      <c r="G2191" s="44">
        <v>6.3</v>
      </c>
      <c r="H2191" s="43" t="s">
        <v>237</v>
      </c>
      <c r="I2191" s="40" t="s">
        <v>1281</v>
      </c>
    </row>
    <row r="2192" spans="1:9" x14ac:dyDescent="0.25">
      <c r="A2192" s="40" t="s">
        <v>358</v>
      </c>
      <c r="B2192" s="28">
        <v>2974</v>
      </c>
      <c r="C2192" s="28">
        <v>5642851</v>
      </c>
      <c r="D2192" s="28" t="s">
        <v>37</v>
      </c>
      <c r="E2192" s="41">
        <v>46141</v>
      </c>
      <c r="F2192" s="47">
        <v>0.68207175925925922</v>
      </c>
      <c r="G2192" s="44">
        <v>6.3</v>
      </c>
      <c r="H2192" s="43" t="s">
        <v>234</v>
      </c>
      <c r="I2192" s="40" t="s">
        <v>1281</v>
      </c>
    </row>
    <row r="2193" spans="1:9" x14ac:dyDescent="0.25">
      <c r="A2193" s="40" t="s">
        <v>358</v>
      </c>
      <c r="B2193" s="28">
        <v>2976</v>
      </c>
      <c r="C2193" s="28">
        <v>5629729</v>
      </c>
      <c r="D2193" s="28"/>
      <c r="E2193" s="45">
        <v>46141</v>
      </c>
      <c r="F2193" s="48">
        <v>0.91459490740740745</v>
      </c>
      <c r="G2193" s="44">
        <v>6.3</v>
      </c>
      <c r="H2193" s="43" t="s">
        <v>235</v>
      </c>
      <c r="I2193" s="40" t="s">
        <v>1281</v>
      </c>
    </row>
    <row r="2194" spans="1:9" x14ac:dyDescent="0.25">
      <c r="A2194" s="40" t="s">
        <v>358</v>
      </c>
      <c r="B2194" s="28">
        <v>2976</v>
      </c>
      <c r="C2194" s="28">
        <v>5629729</v>
      </c>
      <c r="D2194" s="28"/>
      <c r="E2194" s="41">
        <v>46141</v>
      </c>
      <c r="F2194" s="47">
        <v>0.9215740740740741</v>
      </c>
      <c r="G2194" s="44">
        <v>6.3</v>
      </c>
      <c r="H2194" s="43" t="s">
        <v>236</v>
      </c>
      <c r="I2194" s="40" t="s">
        <v>1281</v>
      </c>
    </row>
    <row r="2195" spans="1:9" x14ac:dyDescent="0.25">
      <c r="A2195" s="40" t="s">
        <v>358</v>
      </c>
      <c r="B2195" s="28">
        <v>2976</v>
      </c>
      <c r="C2195" s="28" t="s">
        <v>35</v>
      </c>
      <c r="D2195" s="28" t="s">
        <v>38</v>
      </c>
      <c r="E2195" s="41">
        <v>46142</v>
      </c>
      <c r="F2195" s="47">
        <v>4.6400462962962963E-2</v>
      </c>
      <c r="G2195" s="44">
        <v>6.3</v>
      </c>
      <c r="H2195" s="43" t="s">
        <v>235</v>
      </c>
      <c r="I2195" s="40" t="s">
        <v>1281</v>
      </c>
    </row>
    <row r="2196" spans="1:9" x14ac:dyDescent="0.25">
      <c r="A2196" s="40" t="s">
        <v>358</v>
      </c>
      <c r="B2196" s="28">
        <v>2976</v>
      </c>
      <c r="C2196" s="28" t="s">
        <v>35</v>
      </c>
      <c r="D2196" s="28" t="s">
        <v>38</v>
      </c>
      <c r="E2196" s="41">
        <v>46142</v>
      </c>
      <c r="F2196" s="47">
        <v>6.1724537037037036E-2</v>
      </c>
      <c r="G2196" s="44">
        <v>6.3</v>
      </c>
      <c r="H2196" s="43" t="s">
        <v>236</v>
      </c>
      <c r="I2196" s="40" t="s">
        <v>1281</v>
      </c>
    </row>
    <row r="2197" spans="1:9" x14ac:dyDescent="0.25">
      <c r="A2197" s="40" t="s">
        <v>358</v>
      </c>
      <c r="B2197" s="28">
        <v>2976</v>
      </c>
      <c r="C2197" s="28">
        <v>5643850</v>
      </c>
      <c r="D2197" s="28" t="s">
        <v>37</v>
      </c>
      <c r="E2197" s="41">
        <v>46142</v>
      </c>
      <c r="F2197" s="47">
        <v>0.14108796296296297</v>
      </c>
      <c r="G2197" s="44">
        <v>6.3</v>
      </c>
      <c r="H2197" s="43" t="s">
        <v>233</v>
      </c>
      <c r="I2197" s="40" t="s">
        <v>1281</v>
      </c>
    </row>
    <row r="2198" spans="1:9" x14ac:dyDescent="0.25">
      <c r="A2198" s="40" t="s">
        <v>358</v>
      </c>
      <c r="B2198" s="28">
        <v>2976</v>
      </c>
      <c r="C2198" s="28">
        <v>5643850</v>
      </c>
      <c r="D2198" s="28" t="s">
        <v>37</v>
      </c>
      <c r="E2198" s="45">
        <v>46142</v>
      </c>
      <c r="F2198" s="48">
        <v>0.14594907407407406</v>
      </c>
      <c r="G2198" s="44">
        <v>6.3</v>
      </c>
      <c r="H2198" s="43" t="s">
        <v>234</v>
      </c>
      <c r="I2198" s="40" t="s">
        <v>1281</v>
      </c>
    </row>
    <row r="2199" spans="1:9" x14ac:dyDescent="0.25">
      <c r="A2199" s="40" t="s">
        <v>358</v>
      </c>
      <c r="B2199" s="28">
        <v>2974</v>
      </c>
      <c r="C2199" s="28">
        <v>5644119</v>
      </c>
      <c r="D2199" s="28"/>
      <c r="E2199" s="41">
        <v>46142</v>
      </c>
      <c r="F2199" s="47">
        <v>0.24623842592592593</v>
      </c>
      <c r="G2199" s="44">
        <v>6.3</v>
      </c>
      <c r="H2199" s="43" t="s">
        <v>235</v>
      </c>
      <c r="I2199" s="40" t="s">
        <v>1281</v>
      </c>
    </row>
    <row r="2200" spans="1:9" x14ac:dyDescent="0.25">
      <c r="A2200" s="40" t="s">
        <v>358</v>
      </c>
      <c r="B2200" s="28">
        <v>2974</v>
      </c>
      <c r="C2200" s="28">
        <v>5644119</v>
      </c>
      <c r="D2200" s="28"/>
      <c r="E2200" s="41">
        <v>46142</v>
      </c>
      <c r="F2200" s="47">
        <v>0.25968750000000002</v>
      </c>
      <c r="G2200" s="44">
        <v>6.3</v>
      </c>
      <c r="H2200" s="43" t="s">
        <v>236</v>
      </c>
      <c r="I2200" s="40" t="s">
        <v>1281</v>
      </c>
    </row>
    <row r="2201" spans="1:9" x14ac:dyDescent="0.25">
      <c r="A2201" s="40" t="s">
        <v>358</v>
      </c>
      <c r="B2201" s="28">
        <v>2974</v>
      </c>
      <c r="C2201" s="28">
        <v>5644800</v>
      </c>
      <c r="D2201" s="28"/>
      <c r="E2201" s="41">
        <v>46142</v>
      </c>
      <c r="F2201" s="47">
        <v>0.62100694444444449</v>
      </c>
      <c r="G2201" s="44">
        <v>6.3</v>
      </c>
      <c r="H2201" s="43" t="s">
        <v>235</v>
      </c>
      <c r="I2201" s="40" t="s">
        <v>1281</v>
      </c>
    </row>
    <row r="2202" spans="1:9" x14ac:dyDescent="0.25">
      <c r="A2202" s="40" t="s">
        <v>358</v>
      </c>
      <c r="B2202" s="28">
        <v>2974</v>
      </c>
      <c r="C2202" s="28">
        <v>5644800</v>
      </c>
      <c r="D2202" s="28"/>
      <c r="E2202" s="41">
        <v>46142</v>
      </c>
      <c r="F2202" s="47">
        <v>0.63083333333333336</v>
      </c>
      <c r="G2202" s="44">
        <v>6.3</v>
      </c>
      <c r="H2202" s="43" t="s">
        <v>236</v>
      </c>
      <c r="I2202" s="40" t="s">
        <v>1281</v>
      </c>
    </row>
    <row r="2203" spans="1:9" x14ac:dyDescent="0.25">
      <c r="A2203" s="40" t="s">
        <v>358</v>
      </c>
      <c r="B2203" s="28">
        <v>2974</v>
      </c>
      <c r="C2203" s="28" t="s">
        <v>35</v>
      </c>
      <c r="D2203" s="28" t="s">
        <v>38</v>
      </c>
      <c r="E2203" s="41">
        <v>46142</v>
      </c>
      <c r="F2203" s="47">
        <v>0.69664351851851847</v>
      </c>
      <c r="G2203" s="44">
        <v>6.3</v>
      </c>
      <c r="H2203" s="43" t="s">
        <v>237</v>
      </c>
      <c r="I2203" s="40" t="s">
        <v>1281</v>
      </c>
    </row>
    <row r="2204" spans="1:9" x14ac:dyDescent="0.25">
      <c r="A2204" s="40" t="s">
        <v>358</v>
      </c>
      <c r="B2204" s="28">
        <v>2974</v>
      </c>
      <c r="C2204" s="28" t="s">
        <v>35</v>
      </c>
      <c r="D2204" s="28" t="s">
        <v>38</v>
      </c>
      <c r="E2204" s="41">
        <v>46142</v>
      </c>
      <c r="F2204" s="47">
        <v>0.71262731481481478</v>
      </c>
      <c r="G2204" s="44">
        <v>6.3</v>
      </c>
      <c r="H2204" s="43" t="s">
        <v>234</v>
      </c>
      <c r="I2204" s="40" t="s">
        <v>1281</v>
      </c>
    </row>
    <row r="2205" spans="1:9" x14ac:dyDescent="0.25">
      <c r="A2205" s="40" t="s">
        <v>358</v>
      </c>
      <c r="B2205" s="28">
        <v>2976</v>
      </c>
      <c r="C2205" s="28">
        <v>5644947</v>
      </c>
      <c r="D2205" s="28"/>
      <c r="E2205" s="41">
        <v>46143</v>
      </c>
      <c r="F2205" s="47">
        <v>0.16118055555555555</v>
      </c>
      <c r="G2205" s="42">
        <v>6.3</v>
      </c>
      <c r="H2205" s="40" t="s">
        <v>233</v>
      </c>
      <c r="I2205" s="40" t="s">
        <v>1282</v>
      </c>
    </row>
    <row r="2206" spans="1:9" x14ac:dyDescent="0.25">
      <c r="A2206" s="40" t="s">
        <v>358</v>
      </c>
      <c r="B2206" s="28">
        <v>2976</v>
      </c>
      <c r="C2206" s="28">
        <v>5644947</v>
      </c>
      <c r="D2206" s="28"/>
      <c r="E2206" s="45">
        <v>46143</v>
      </c>
      <c r="F2206" s="48">
        <v>0.16570601851851852</v>
      </c>
      <c r="G2206" s="42">
        <v>6.3</v>
      </c>
      <c r="H2206" s="40" t="s">
        <v>234</v>
      </c>
      <c r="I2206" s="40" t="s">
        <v>1282</v>
      </c>
    </row>
    <row r="2207" spans="1:9" x14ac:dyDescent="0.25">
      <c r="A2207" s="40" t="s">
        <v>358</v>
      </c>
      <c r="B2207" s="28">
        <v>2974</v>
      </c>
      <c r="C2207" s="28">
        <v>5646132</v>
      </c>
      <c r="D2207" s="28"/>
      <c r="E2207" s="45">
        <v>46144</v>
      </c>
      <c r="F2207" s="48">
        <v>0.24752314814814816</v>
      </c>
      <c r="G2207" s="44">
        <v>6.3</v>
      </c>
      <c r="H2207" s="43" t="s">
        <v>235</v>
      </c>
      <c r="I2207" s="40" t="s">
        <v>1282</v>
      </c>
    </row>
    <row r="2208" spans="1:9" x14ac:dyDescent="0.25">
      <c r="A2208" s="40" t="s">
        <v>358</v>
      </c>
      <c r="B2208" s="28">
        <v>2974</v>
      </c>
      <c r="C2208" s="28">
        <v>5646132</v>
      </c>
      <c r="D2208" s="28"/>
      <c r="E2208" s="45">
        <v>46144</v>
      </c>
      <c r="F2208" s="48">
        <v>0.25510416666666669</v>
      </c>
      <c r="G2208" s="44">
        <v>6.3</v>
      </c>
      <c r="H2208" s="43" t="s">
        <v>236</v>
      </c>
      <c r="I2208" s="40" t="s">
        <v>1282</v>
      </c>
    </row>
    <row r="2209" spans="1:9" x14ac:dyDescent="0.25">
      <c r="A2209" s="40" t="s">
        <v>358</v>
      </c>
      <c r="B2209" s="28">
        <v>2974</v>
      </c>
      <c r="C2209" s="28">
        <v>5646157</v>
      </c>
      <c r="D2209" s="28"/>
      <c r="E2209" s="41">
        <v>46144</v>
      </c>
      <c r="F2209" s="47">
        <v>0.34836805555555556</v>
      </c>
      <c r="G2209" s="44">
        <v>6.3</v>
      </c>
      <c r="H2209" s="43" t="s">
        <v>237</v>
      </c>
      <c r="I2209" s="40" t="s">
        <v>1282</v>
      </c>
    </row>
    <row r="2210" spans="1:9" x14ac:dyDescent="0.25">
      <c r="A2210" s="40" t="s">
        <v>358</v>
      </c>
      <c r="B2210" s="28">
        <v>2974</v>
      </c>
      <c r="C2210" s="28">
        <v>5646157</v>
      </c>
      <c r="D2210" s="28"/>
      <c r="E2210" s="41">
        <v>46144</v>
      </c>
      <c r="F2210" s="47">
        <v>0.35386574074074073</v>
      </c>
      <c r="G2210" s="44">
        <v>6.3</v>
      </c>
      <c r="H2210" s="43" t="s">
        <v>234</v>
      </c>
      <c r="I2210" s="40" t="s">
        <v>1282</v>
      </c>
    </row>
    <row r="2211" spans="1:9" x14ac:dyDescent="0.25">
      <c r="A2211" s="40" t="s">
        <v>358</v>
      </c>
      <c r="B2211" s="28">
        <v>2974</v>
      </c>
      <c r="C2211" s="28">
        <v>5647776</v>
      </c>
      <c r="D2211" s="28"/>
      <c r="E2211" s="41">
        <v>46144</v>
      </c>
      <c r="F2211" s="47">
        <v>0.61300925925925931</v>
      </c>
      <c r="G2211" s="42">
        <v>6.3</v>
      </c>
      <c r="H2211" s="40" t="s">
        <v>235</v>
      </c>
      <c r="I2211" s="40" t="s">
        <v>1282</v>
      </c>
    </row>
    <row r="2212" spans="1:9" x14ac:dyDescent="0.25">
      <c r="A2212" s="40" t="s">
        <v>358</v>
      </c>
      <c r="B2212" s="28">
        <v>2974</v>
      </c>
      <c r="C2212" s="28">
        <v>5647776</v>
      </c>
      <c r="D2212" s="28"/>
      <c r="E2212" s="45">
        <v>46144</v>
      </c>
      <c r="F2212" s="48">
        <v>0.62048611111111107</v>
      </c>
      <c r="G2212" s="42">
        <v>6.3</v>
      </c>
      <c r="H2212" s="40" t="s">
        <v>236</v>
      </c>
      <c r="I2212" s="40" t="s">
        <v>1282</v>
      </c>
    </row>
    <row r="2213" spans="1:9" x14ac:dyDescent="0.25">
      <c r="A2213" s="40" t="s">
        <v>358</v>
      </c>
      <c r="B2213" s="28">
        <v>2974</v>
      </c>
      <c r="C2213" s="28" t="s">
        <v>35</v>
      </c>
      <c r="D2213" s="28" t="s">
        <v>38</v>
      </c>
      <c r="E2213" s="45">
        <v>46144</v>
      </c>
      <c r="F2213" s="48">
        <v>0.65008101851851852</v>
      </c>
      <c r="G2213" s="42">
        <v>6.3</v>
      </c>
      <c r="H2213" s="40" t="s">
        <v>237</v>
      </c>
      <c r="I2213" s="40" t="s">
        <v>1282</v>
      </c>
    </row>
    <row r="2214" spans="1:9" x14ac:dyDescent="0.25">
      <c r="A2214" s="40" t="s">
        <v>358</v>
      </c>
      <c r="B2214" s="28">
        <v>2974</v>
      </c>
      <c r="C2214" s="28" t="s">
        <v>35</v>
      </c>
      <c r="D2214" s="28" t="s">
        <v>38</v>
      </c>
      <c r="E2214" s="41">
        <v>46144</v>
      </c>
      <c r="F2214" s="47">
        <v>0.65628472222222223</v>
      </c>
      <c r="G2214" s="44">
        <v>6.3</v>
      </c>
      <c r="H2214" s="43" t="s">
        <v>234</v>
      </c>
      <c r="I2214" s="40" t="s">
        <v>1282</v>
      </c>
    </row>
    <row r="2215" spans="1:9" x14ac:dyDescent="0.25">
      <c r="A2215" s="40" t="s">
        <v>335</v>
      </c>
      <c r="B2215" s="28">
        <v>2979</v>
      </c>
      <c r="C2215" s="28">
        <v>5636682</v>
      </c>
      <c r="D2215" s="28" t="s">
        <v>37</v>
      </c>
      <c r="E2215" s="41">
        <v>46139</v>
      </c>
      <c r="F2215" s="47">
        <v>0.32921296296296299</v>
      </c>
      <c r="G2215" s="44">
        <v>6.3</v>
      </c>
      <c r="H2215" s="43" t="s">
        <v>237</v>
      </c>
      <c r="I2215" s="40" t="s">
        <v>1281</v>
      </c>
    </row>
    <row r="2216" spans="1:9" x14ac:dyDescent="0.25">
      <c r="A2216" s="40" t="s">
        <v>335</v>
      </c>
      <c r="B2216" s="28">
        <v>2979</v>
      </c>
      <c r="C2216" s="28">
        <v>5636682</v>
      </c>
      <c r="D2216" s="28" t="s">
        <v>37</v>
      </c>
      <c r="E2216" s="41">
        <v>46139</v>
      </c>
      <c r="F2216" s="47">
        <v>0.34337962962962965</v>
      </c>
      <c r="G2216" s="44">
        <v>6.3</v>
      </c>
      <c r="H2216" s="43" t="s">
        <v>234</v>
      </c>
      <c r="I2216" s="40" t="s">
        <v>1281</v>
      </c>
    </row>
    <row r="2217" spans="1:9" x14ac:dyDescent="0.25">
      <c r="A2217" s="40" t="s">
        <v>335</v>
      </c>
      <c r="B2217" s="28">
        <v>2979</v>
      </c>
      <c r="C2217" s="28">
        <v>5636931</v>
      </c>
      <c r="D2217" s="28"/>
      <c r="E2217" s="41">
        <v>46139</v>
      </c>
      <c r="F2217" s="47">
        <v>0.55445601851851856</v>
      </c>
      <c r="G2217" s="44">
        <v>6.3</v>
      </c>
      <c r="H2217" s="43" t="s">
        <v>237</v>
      </c>
      <c r="I2217" s="40" t="s">
        <v>1281</v>
      </c>
    </row>
    <row r="2218" spans="1:9" x14ac:dyDescent="0.25">
      <c r="A2218" s="40" t="s">
        <v>335</v>
      </c>
      <c r="B2218" s="28">
        <v>2979</v>
      </c>
      <c r="C2218" s="28">
        <v>5636931</v>
      </c>
      <c r="D2218" s="28"/>
      <c r="E2218" s="41">
        <v>46139</v>
      </c>
      <c r="F2218" s="47">
        <v>0.56054398148148143</v>
      </c>
      <c r="G2218" s="44">
        <v>6.3</v>
      </c>
      <c r="H2218" s="43" t="s">
        <v>234</v>
      </c>
      <c r="I2218" s="40" t="s">
        <v>1281</v>
      </c>
    </row>
    <row r="2219" spans="1:9" x14ac:dyDescent="0.25">
      <c r="A2219" s="40" t="s">
        <v>335</v>
      </c>
      <c r="B2219" s="28">
        <v>2979</v>
      </c>
      <c r="C2219" s="28">
        <v>5638619</v>
      </c>
      <c r="D2219" s="28"/>
      <c r="E2219" s="41">
        <v>46139</v>
      </c>
      <c r="F2219" s="47">
        <v>0.61626157407407411</v>
      </c>
      <c r="G2219" s="44">
        <v>6.3</v>
      </c>
      <c r="H2219" s="43" t="s">
        <v>235</v>
      </c>
      <c r="I2219" s="40" t="s">
        <v>1281</v>
      </c>
    </row>
    <row r="2220" spans="1:9" x14ac:dyDescent="0.25">
      <c r="A2220" s="40" t="s">
        <v>335</v>
      </c>
      <c r="B2220" s="28">
        <v>2979</v>
      </c>
      <c r="C2220" s="28">
        <v>5638619</v>
      </c>
      <c r="D2220" s="28"/>
      <c r="E2220" s="45">
        <v>46139</v>
      </c>
      <c r="F2220" s="48">
        <v>0.62637731481481485</v>
      </c>
      <c r="G2220" s="44">
        <v>6.3</v>
      </c>
      <c r="H2220" s="43" t="s">
        <v>236</v>
      </c>
      <c r="I2220" s="40" t="s">
        <v>1281</v>
      </c>
    </row>
    <row r="2221" spans="1:9" x14ac:dyDescent="0.25">
      <c r="A2221" s="40" t="s">
        <v>335</v>
      </c>
      <c r="B2221" s="28">
        <v>2979</v>
      </c>
      <c r="C2221" s="28" t="s">
        <v>35</v>
      </c>
      <c r="D2221" s="28" t="s">
        <v>38</v>
      </c>
      <c r="E2221" s="41">
        <v>46139</v>
      </c>
      <c r="F2221" s="47">
        <v>0.64431712962962961</v>
      </c>
      <c r="G2221" s="44">
        <v>6.3</v>
      </c>
      <c r="H2221" s="43" t="s">
        <v>237</v>
      </c>
      <c r="I2221" s="40" t="s">
        <v>1281</v>
      </c>
    </row>
    <row r="2222" spans="1:9" x14ac:dyDescent="0.25">
      <c r="A2222" s="40" t="s">
        <v>335</v>
      </c>
      <c r="B2222" s="28">
        <v>2979</v>
      </c>
      <c r="C2222" s="28" t="s">
        <v>35</v>
      </c>
      <c r="D2222" s="28" t="s">
        <v>38</v>
      </c>
      <c r="E2222" s="41">
        <v>46139</v>
      </c>
      <c r="F2222" s="47">
        <v>0.65010416666666671</v>
      </c>
      <c r="G2222" s="44">
        <v>6.3</v>
      </c>
      <c r="H2222" s="43" t="s">
        <v>234</v>
      </c>
      <c r="I2222" s="40" t="s">
        <v>1281</v>
      </c>
    </row>
    <row r="2223" spans="1:9" x14ac:dyDescent="0.25">
      <c r="A2223" s="40" t="s">
        <v>335</v>
      </c>
      <c r="B2223" s="28">
        <v>2979</v>
      </c>
      <c r="C2223" s="28">
        <v>5640056</v>
      </c>
      <c r="D2223" s="28"/>
      <c r="E2223" s="41">
        <v>46140</v>
      </c>
      <c r="F2223" s="47">
        <v>0.60690972222222217</v>
      </c>
      <c r="G2223" s="44">
        <v>6.3</v>
      </c>
      <c r="H2223" s="43" t="s">
        <v>233</v>
      </c>
      <c r="I2223" s="40" t="s">
        <v>1281</v>
      </c>
    </row>
    <row r="2224" spans="1:9" x14ac:dyDescent="0.25">
      <c r="A2224" s="40" t="s">
        <v>335</v>
      </c>
      <c r="B2224" s="28">
        <v>2979</v>
      </c>
      <c r="C2224" s="28">
        <v>5640056</v>
      </c>
      <c r="D2224" s="28"/>
      <c r="E2224" s="41">
        <v>46140</v>
      </c>
      <c r="F2224" s="47">
        <v>0.61246527777777782</v>
      </c>
      <c r="G2224" s="44">
        <v>6.3</v>
      </c>
      <c r="H2224" s="43" t="s">
        <v>234</v>
      </c>
      <c r="I2224" s="40" t="s">
        <v>1281</v>
      </c>
    </row>
    <row r="2225" spans="1:9" x14ac:dyDescent="0.25">
      <c r="A2225" s="40" t="s">
        <v>335</v>
      </c>
      <c r="B2225" s="28">
        <v>2979</v>
      </c>
      <c r="C2225" s="28">
        <v>5641733</v>
      </c>
      <c r="D2225" s="28"/>
      <c r="E2225" s="41">
        <v>46141</v>
      </c>
      <c r="F2225" s="47">
        <v>0.40945601851851854</v>
      </c>
      <c r="G2225" s="44">
        <v>6.3</v>
      </c>
      <c r="H2225" s="43" t="s">
        <v>235</v>
      </c>
      <c r="I2225" s="40" t="s">
        <v>1281</v>
      </c>
    </row>
    <row r="2226" spans="1:9" x14ac:dyDescent="0.25">
      <c r="A2226" s="40" t="s">
        <v>335</v>
      </c>
      <c r="B2226" s="28">
        <v>2979</v>
      </c>
      <c r="C2226" s="28" t="s">
        <v>35</v>
      </c>
      <c r="D2226" s="28" t="s">
        <v>38</v>
      </c>
      <c r="E2226" s="45">
        <v>46141</v>
      </c>
      <c r="F2226" s="48">
        <v>0.45740740740740743</v>
      </c>
      <c r="G2226" s="44">
        <v>6.3</v>
      </c>
      <c r="H2226" s="43" t="s">
        <v>233</v>
      </c>
      <c r="I2226" s="40" t="s">
        <v>1281</v>
      </c>
    </row>
    <row r="2227" spans="1:9" x14ac:dyDescent="0.25">
      <c r="A2227" s="40" t="s">
        <v>335</v>
      </c>
      <c r="B2227" s="28">
        <v>2979</v>
      </c>
      <c r="C2227" s="28" t="s">
        <v>35</v>
      </c>
      <c r="D2227" s="28" t="s">
        <v>38</v>
      </c>
      <c r="E2227" s="41">
        <v>46141</v>
      </c>
      <c r="F2227" s="47">
        <v>0.47084490740740742</v>
      </c>
      <c r="G2227" s="44">
        <v>6.3</v>
      </c>
      <c r="H2227" s="43" t="s">
        <v>234</v>
      </c>
      <c r="I2227" s="40" t="s">
        <v>1281</v>
      </c>
    </row>
    <row r="2228" spans="1:9" x14ac:dyDescent="0.25">
      <c r="A2228" s="40" t="s">
        <v>335</v>
      </c>
      <c r="B2228" s="28">
        <v>2979</v>
      </c>
      <c r="C2228" s="28">
        <v>5642850</v>
      </c>
      <c r="D2228" s="28"/>
      <c r="E2228" s="41">
        <v>46141</v>
      </c>
      <c r="F2228" s="47">
        <v>0.66303240740740743</v>
      </c>
      <c r="G2228" s="42">
        <v>6.3</v>
      </c>
      <c r="H2228" s="40" t="s">
        <v>237</v>
      </c>
      <c r="I2228" s="40" t="s">
        <v>1281</v>
      </c>
    </row>
    <row r="2229" spans="1:9" x14ac:dyDescent="0.25">
      <c r="A2229" s="40" t="s">
        <v>335</v>
      </c>
      <c r="B2229" s="28">
        <v>2979</v>
      </c>
      <c r="C2229" s="28">
        <v>5642850</v>
      </c>
      <c r="D2229" s="28"/>
      <c r="E2229" s="41">
        <v>46141</v>
      </c>
      <c r="F2229" s="47">
        <v>0.66943287037037036</v>
      </c>
      <c r="G2229" s="42">
        <v>6.3</v>
      </c>
      <c r="H2229" s="40" t="s">
        <v>234</v>
      </c>
      <c r="I2229" s="40" t="s">
        <v>1281</v>
      </c>
    </row>
    <row r="2230" spans="1:9" x14ac:dyDescent="0.25">
      <c r="A2230" s="40" t="s">
        <v>335</v>
      </c>
      <c r="B2230" s="28">
        <v>2979</v>
      </c>
      <c r="C2230" s="28">
        <v>5637837</v>
      </c>
      <c r="D2230" s="28"/>
      <c r="E2230" s="41">
        <v>46142</v>
      </c>
      <c r="F2230" s="47">
        <v>0.37287037037037035</v>
      </c>
      <c r="G2230" s="44">
        <v>6.3</v>
      </c>
      <c r="H2230" s="43" t="s">
        <v>237</v>
      </c>
      <c r="I2230" s="40" t="s">
        <v>1281</v>
      </c>
    </row>
    <row r="2231" spans="1:9" x14ac:dyDescent="0.25">
      <c r="A2231" s="40" t="s">
        <v>335</v>
      </c>
      <c r="B2231" s="28">
        <v>2979</v>
      </c>
      <c r="C2231" s="28">
        <v>5637837</v>
      </c>
      <c r="D2231" s="28"/>
      <c r="E2231" s="45">
        <v>46142</v>
      </c>
      <c r="F2231" s="48">
        <v>0.38163194444444443</v>
      </c>
      <c r="G2231" s="44">
        <v>6.3</v>
      </c>
      <c r="H2231" s="43" t="s">
        <v>234</v>
      </c>
      <c r="I2231" s="40" t="s">
        <v>1281</v>
      </c>
    </row>
    <row r="2232" spans="1:9" x14ac:dyDescent="0.25">
      <c r="A2232" s="40" t="s">
        <v>335</v>
      </c>
      <c r="B2232" s="28">
        <v>2979</v>
      </c>
      <c r="C2232" s="28" t="s">
        <v>35</v>
      </c>
      <c r="D2232" s="28" t="s">
        <v>38</v>
      </c>
      <c r="E2232" s="45">
        <v>46142</v>
      </c>
      <c r="F2232" s="48">
        <v>0.56473379629629628</v>
      </c>
      <c r="G2232" s="44">
        <v>6.3</v>
      </c>
      <c r="H2232" s="43" t="s">
        <v>237</v>
      </c>
      <c r="I2232" s="40" t="s">
        <v>1281</v>
      </c>
    </row>
    <row r="2233" spans="1:9" x14ac:dyDescent="0.25">
      <c r="A2233" s="40" t="s">
        <v>335</v>
      </c>
      <c r="B2233" s="28">
        <v>2979</v>
      </c>
      <c r="C2233" s="28">
        <v>5644493</v>
      </c>
      <c r="D2233" s="28" t="s">
        <v>37</v>
      </c>
      <c r="E2233" s="41">
        <v>46142</v>
      </c>
      <c r="F2233" s="47">
        <v>0.57538194444444446</v>
      </c>
      <c r="G2233" s="44">
        <v>6.3</v>
      </c>
      <c r="H2233" s="43" t="s">
        <v>234</v>
      </c>
      <c r="I2233" s="40" t="s">
        <v>1281</v>
      </c>
    </row>
    <row r="2234" spans="1:9" x14ac:dyDescent="0.25">
      <c r="A2234" s="40" t="s">
        <v>335</v>
      </c>
      <c r="B2234" s="28">
        <v>2979</v>
      </c>
      <c r="C2234" s="28">
        <v>5648081</v>
      </c>
      <c r="D2234" s="28"/>
      <c r="E2234" s="41">
        <v>46145</v>
      </c>
      <c r="F2234" s="47">
        <v>0.51034722222222217</v>
      </c>
      <c r="G2234" s="44">
        <v>6.3</v>
      </c>
      <c r="H2234" s="43" t="s">
        <v>233</v>
      </c>
      <c r="I2234" s="40" t="s">
        <v>1282</v>
      </c>
    </row>
    <row r="2235" spans="1:9" x14ac:dyDescent="0.25">
      <c r="A2235" s="40" t="s">
        <v>335</v>
      </c>
      <c r="B2235" s="28">
        <v>2979</v>
      </c>
      <c r="C2235" s="28">
        <v>5648081</v>
      </c>
      <c r="D2235" s="28"/>
      <c r="E2235" s="41">
        <v>46145</v>
      </c>
      <c r="F2235" s="47">
        <v>0.51568287037037042</v>
      </c>
      <c r="G2235" s="44">
        <v>6.3</v>
      </c>
      <c r="H2235" s="43" t="s">
        <v>234</v>
      </c>
      <c r="I2235" s="40" t="s">
        <v>1282</v>
      </c>
    </row>
    <row r="2236" spans="1:9" x14ac:dyDescent="0.25">
      <c r="A2236" s="40" t="s">
        <v>247</v>
      </c>
      <c r="B2236" s="28">
        <v>2980</v>
      </c>
      <c r="C2236" s="28">
        <v>5644132</v>
      </c>
      <c r="D2236" s="28" t="s">
        <v>36</v>
      </c>
      <c r="E2236" s="41">
        <v>46142</v>
      </c>
      <c r="F2236" s="47">
        <v>0.28010416666666665</v>
      </c>
      <c r="G2236" s="44">
        <v>6.3</v>
      </c>
      <c r="H2236" s="43" t="s">
        <v>235</v>
      </c>
      <c r="I2236" s="40" t="s">
        <v>1281</v>
      </c>
    </row>
    <row r="2237" spans="1:9" x14ac:dyDescent="0.25">
      <c r="A2237" s="40" t="s">
        <v>247</v>
      </c>
      <c r="B2237" s="28">
        <v>2980</v>
      </c>
      <c r="C2237" s="28">
        <v>5644132</v>
      </c>
      <c r="D2237" s="28" t="s">
        <v>36</v>
      </c>
      <c r="E2237" s="41">
        <v>46142</v>
      </c>
      <c r="F2237" s="47">
        <v>0.29545138888888889</v>
      </c>
      <c r="G2237" s="44">
        <v>6.3</v>
      </c>
      <c r="H2237" s="43" t="s">
        <v>236</v>
      </c>
      <c r="I2237" s="40" t="s">
        <v>1281</v>
      </c>
    </row>
    <row r="2238" spans="1:9" x14ac:dyDescent="0.25">
      <c r="A2238" s="40" t="s">
        <v>247</v>
      </c>
      <c r="B2238" s="28">
        <v>2980</v>
      </c>
      <c r="C2238" s="28">
        <v>5641703</v>
      </c>
      <c r="D2238" s="28" t="s">
        <v>37</v>
      </c>
      <c r="E2238" s="41">
        <v>46143</v>
      </c>
      <c r="F2238" s="47">
        <v>0.34755787037037039</v>
      </c>
      <c r="G2238" s="44">
        <v>6.3</v>
      </c>
      <c r="H2238" s="43" t="s">
        <v>237</v>
      </c>
      <c r="I2238" s="40" t="s">
        <v>1282</v>
      </c>
    </row>
    <row r="2239" spans="1:9" x14ac:dyDescent="0.25">
      <c r="A2239" s="40" t="s">
        <v>247</v>
      </c>
      <c r="B2239" s="28">
        <v>2980</v>
      </c>
      <c r="C2239" s="28">
        <v>5641703</v>
      </c>
      <c r="D2239" s="28" t="s">
        <v>37</v>
      </c>
      <c r="E2239" s="41">
        <v>46143</v>
      </c>
      <c r="F2239" s="47">
        <v>0.35377314814814814</v>
      </c>
      <c r="G2239" s="44">
        <v>6.3</v>
      </c>
      <c r="H2239" s="43" t="s">
        <v>234</v>
      </c>
      <c r="I2239" s="40" t="s">
        <v>1282</v>
      </c>
    </row>
    <row r="2240" spans="1:9" x14ac:dyDescent="0.25">
      <c r="A2240" s="40" t="s">
        <v>247</v>
      </c>
      <c r="B2240" s="28">
        <v>2980</v>
      </c>
      <c r="C2240" s="28">
        <v>5646163</v>
      </c>
      <c r="D2240" s="28" t="s">
        <v>37</v>
      </c>
      <c r="E2240" s="41">
        <v>46143</v>
      </c>
      <c r="F2240" s="47">
        <v>0.63880787037037035</v>
      </c>
      <c r="G2240" s="44">
        <v>6.3</v>
      </c>
      <c r="H2240" s="43" t="s">
        <v>233</v>
      </c>
      <c r="I2240" s="40" t="s">
        <v>1282</v>
      </c>
    </row>
    <row r="2241" spans="1:9" x14ac:dyDescent="0.25">
      <c r="A2241" s="40" t="s">
        <v>247</v>
      </c>
      <c r="B2241" s="28">
        <v>2980</v>
      </c>
      <c r="C2241" s="28">
        <v>5646163</v>
      </c>
      <c r="D2241" s="28" t="s">
        <v>37</v>
      </c>
      <c r="E2241" s="41">
        <v>46143</v>
      </c>
      <c r="F2241" s="47">
        <v>0.64429398148148154</v>
      </c>
      <c r="G2241" s="44">
        <v>6.3</v>
      </c>
      <c r="H2241" s="43" t="s">
        <v>234</v>
      </c>
      <c r="I2241" s="40" t="s">
        <v>1282</v>
      </c>
    </row>
    <row r="2242" spans="1:9" x14ac:dyDescent="0.25">
      <c r="A2242" s="40" t="s">
        <v>247</v>
      </c>
      <c r="B2242" s="28">
        <v>2980</v>
      </c>
      <c r="C2242" s="28">
        <v>5647103</v>
      </c>
      <c r="D2242" s="28" t="s">
        <v>37</v>
      </c>
      <c r="E2242" s="41">
        <v>46144</v>
      </c>
      <c r="F2242" s="47">
        <v>0.38608796296296294</v>
      </c>
      <c r="G2242" s="44">
        <v>6.3</v>
      </c>
      <c r="H2242" s="43" t="s">
        <v>237</v>
      </c>
      <c r="I2242" s="40" t="s">
        <v>1282</v>
      </c>
    </row>
    <row r="2243" spans="1:9" x14ac:dyDescent="0.25">
      <c r="A2243" s="40" t="s">
        <v>247</v>
      </c>
      <c r="B2243" s="28">
        <v>2980</v>
      </c>
      <c r="C2243" s="28">
        <v>5647103</v>
      </c>
      <c r="D2243" s="28" t="s">
        <v>37</v>
      </c>
      <c r="E2243" s="45">
        <v>46144</v>
      </c>
      <c r="F2243" s="48">
        <v>0.39212962962962961</v>
      </c>
      <c r="G2243" s="44">
        <v>6.3</v>
      </c>
      <c r="H2243" s="43" t="s">
        <v>234</v>
      </c>
      <c r="I2243" s="40" t="s">
        <v>1282</v>
      </c>
    </row>
    <row r="2244" spans="1:9" x14ac:dyDescent="0.25">
      <c r="A2244" s="40" t="s">
        <v>246</v>
      </c>
      <c r="B2244" s="28">
        <v>2983</v>
      </c>
      <c r="C2244" s="28">
        <v>5637996</v>
      </c>
      <c r="D2244" s="28"/>
      <c r="E2244" s="41">
        <v>46139</v>
      </c>
      <c r="F2244" s="47">
        <v>0.40155092592592595</v>
      </c>
      <c r="G2244" s="44">
        <v>6.3</v>
      </c>
      <c r="H2244" s="43" t="s">
        <v>235</v>
      </c>
      <c r="I2244" s="40" t="s">
        <v>1281</v>
      </c>
    </row>
    <row r="2245" spans="1:9" x14ac:dyDescent="0.25">
      <c r="A2245" s="40" t="s">
        <v>246</v>
      </c>
      <c r="B2245" s="28">
        <v>2983</v>
      </c>
      <c r="C2245" s="28">
        <v>5637996</v>
      </c>
      <c r="D2245" s="28"/>
      <c r="E2245" s="41">
        <v>46139</v>
      </c>
      <c r="F2245" s="47">
        <v>0.41099537037037037</v>
      </c>
      <c r="G2245" s="44">
        <v>6.3</v>
      </c>
      <c r="H2245" s="43" t="s">
        <v>239</v>
      </c>
      <c r="I2245" s="40" t="s">
        <v>1281</v>
      </c>
    </row>
    <row r="2246" spans="1:9" x14ac:dyDescent="0.25">
      <c r="A2246" s="40" t="s">
        <v>246</v>
      </c>
      <c r="B2246" s="28">
        <v>2983</v>
      </c>
      <c r="C2246" s="28">
        <v>5637776</v>
      </c>
      <c r="D2246" s="28"/>
      <c r="E2246" s="41">
        <v>46139</v>
      </c>
      <c r="F2246" s="47">
        <v>0.48682870370370368</v>
      </c>
      <c r="G2246" s="44">
        <v>6.3</v>
      </c>
      <c r="H2246" s="43" t="s">
        <v>237</v>
      </c>
      <c r="I2246" s="40" t="s">
        <v>1281</v>
      </c>
    </row>
    <row r="2247" spans="1:9" x14ac:dyDescent="0.25">
      <c r="A2247" s="40" t="s">
        <v>246</v>
      </c>
      <c r="B2247" s="28">
        <v>2983</v>
      </c>
      <c r="C2247" s="28">
        <v>5637776</v>
      </c>
      <c r="D2247" s="28"/>
      <c r="E2247" s="41">
        <v>46139</v>
      </c>
      <c r="F2247" s="47">
        <v>0.49464120370370368</v>
      </c>
      <c r="G2247" s="44">
        <v>6.3</v>
      </c>
      <c r="H2247" s="43" t="s">
        <v>234</v>
      </c>
      <c r="I2247" s="40" t="s">
        <v>1281</v>
      </c>
    </row>
    <row r="2248" spans="1:9" x14ac:dyDescent="0.25">
      <c r="A2248" s="40" t="s">
        <v>246</v>
      </c>
      <c r="B2248" s="28">
        <v>2983</v>
      </c>
      <c r="C2248" s="28">
        <v>5638234</v>
      </c>
      <c r="D2248" s="28"/>
      <c r="E2248" s="41">
        <v>46139</v>
      </c>
      <c r="F2248" s="47">
        <v>0.56934027777777774</v>
      </c>
      <c r="G2248" s="44">
        <v>6.3</v>
      </c>
      <c r="H2248" s="43" t="s">
        <v>235</v>
      </c>
      <c r="I2248" s="40" t="s">
        <v>1281</v>
      </c>
    </row>
    <row r="2249" spans="1:9" x14ac:dyDescent="0.25">
      <c r="A2249" s="40" t="s">
        <v>246</v>
      </c>
      <c r="B2249" s="28">
        <v>2983</v>
      </c>
      <c r="C2249" s="28">
        <v>5638234</v>
      </c>
      <c r="D2249" s="28"/>
      <c r="E2249" s="45">
        <v>46139</v>
      </c>
      <c r="F2249" s="48">
        <v>0.57793981481481482</v>
      </c>
      <c r="G2249" s="44">
        <v>6.3</v>
      </c>
      <c r="H2249" s="43" t="s">
        <v>236</v>
      </c>
      <c r="I2249" s="40" t="s">
        <v>1281</v>
      </c>
    </row>
    <row r="2250" spans="1:9" x14ac:dyDescent="0.25">
      <c r="A2250" s="40" t="s">
        <v>246</v>
      </c>
      <c r="B2250" s="28">
        <v>2983</v>
      </c>
      <c r="C2250" s="28" t="s">
        <v>35</v>
      </c>
      <c r="D2250" s="28" t="s">
        <v>38</v>
      </c>
      <c r="E2250" s="45">
        <v>46139</v>
      </c>
      <c r="F2250" s="48">
        <v>0.59181712962962962</v>
      </c>
      <c r="G2250" s="44">
        <v>6.3</v>
      </c>
      <c r="H2250" s="43" t="s">
        <v>237</v>
      </c>
      <c r="I2250" s="40" t="s">
        <v>1281</v>
      </c>
    </row>
    <row r="2251" spans="1:9" x14ac:dyDescent="0.25">
      <c r="A2251" s="40" t="s">
        <v>246</v>
      </c>
      <c r="B2251" s="28">
        <v>2983</v>
      </c>
      <c r="C2251" s="28" t="s">
        <v>35</v>
      </c>
      <c r="D2251" s="28" t="s">
        <v>38</v>
      </c>
      <c r="E2251" s="41">
        <v>46139</v>
      </c>
      <c r="F2251" s="47">
        <v>0.59689814814814812</v>
      </c>
      <c r="G2251" s="44">
        <v>6.3</v>
      </c>
      <c r="H2251" s="43" t="s">
        <v>234</v>
      </c>
      <c r="I2251" s="40" t="s">
        <v>1281</v>
      </c>
    </row>
    <row r="2252" spans="1:9" x14ac:dyDescent="0.25">
      <c r="A2252" s="40" t="s">
        <v>246</v>
      </c>
      <c r="B2252" s="28">
        <v>4217</v>
      </c>
      <c r="C2252" s="28">
        <v>5639896</v>
      </c>
      <c r="D2252" s="28"/>
      <c r="E2252" s="45">
        <v>46140</v>
      </c>
      <c r="F2252" s="48">
        <v>5.0208333333333334E-2</v>
      </c>
      <c r="G2252" s="44">
        <v>6.3</v>
      </c>
      <c r="H2252" s="43" t="s">
        <v>235</v>
      </c>
      <c r="I2252" s="40" t="s">
        <v>1281</v>
      </c>
    </row>
    <row r="2253" spans="1:9" x14ac:dyDescent="0.25">
      <c r="A2253" s="40" t="s">
        <v>246</v>
      </c>
      <c r="B2253" s="28">
        <v>4217</v>
      </c>
      <c r="C2253" s="28">
        <v>5639896</v>
      </c>
      <c r="D2253" s="28"/>
      <c r="E2253" s="41">
        <v>46140</v>
      </c>
      <c r="F2253" s="47">
        <v>6.2384259259259257E-2</v>
      </c>
      <c r="G2253" s="44">
        <v>6.3</v>
      </c>
      <c r="H2253" s="43" t="s">
        <v>236</v>
      </c>
      <c r="I2253" s="40" t="s">
        <v>1281</v>
      </c>
    </row>
    <row r="2254" spans="1:9" x14ac:dyDescent="0.25">
      <c r="A2254" s="40" t="s">
        <v>246</v>
      </c>
      <c r="B2254" s="28">
        <v>4217</v>
      </c>
      <c r="C2254" s="28">
        <v>5639353</v>
      </c>
      <c r="D2254" s="28" t="s">
        <v>36</v>
      </c>
      <c r="E2254" s="41">
        <v>46140</v>
      </c>
      <c r="F2254" s="47">
        <v>0.12211805555555555</v>
      </c>
      <c r="G2254" s="44">
        <v>6.3</v>
      </c>
      <c r="H2254" s="43" t="s">
        <v>237</v>
      </c>
      <c r="I2254" s="40" t="s">
        <v>1281</v>
      </c>
    </row>
    <row r="2255" spans="1:9" x14ac:dyDescent="0.25">
      <c r="A2255" s="40" t="s">
        <v>246</v>
      </c>
      <c r="B2255" s="28">
        <v>4217</v>
      </c>
      <c r="C2255" s="28">
        <v>5639353</v>
      </c>
      <c r="D2255" s="28" t="s">
        <v>36</v>
      </c>
      <c r="E2255" s="41">
        <v>46140</v>
      </c>
      <c r="F2255" s="47">
        <v>0.12759259259259259</v>
      </c>
      <c r="G2255" s="44">
        <v>6.3</v>
      </c>
      <c r="H2255" s="43" t="s">
        <v>234</v>
      </c>
      <c r="I2255" s="40" t="s">
        <v>1281</v>
      </c>
    </row>
    <row r="2256" spans="1:9" x14ac:dyDescent="0.25">
      <c r="A2256" s="40" t="s">
        <v>246</v>
      </c>
      <c r="B2256" s="28">
        <v>2983</v>
      </c>
      <c r="C2256" s="28">
        <v>5642158</v>
      </c>
      <c r="D2256" s="28"/>
      <c r="E2256" s="41">
        <v>46141</v>
      </c>
      <c r="F2256" s="47">
        <v>0.42223379629629632</v>
      </c>
      <c r="G2256" s="44">
        <v>6.3</v>
      </c>
      <c r="H2256" s="43" t="s">
        <v>235</v>
      </c>
      <c r="I2256" s="40" t="s">
        <v>1281</v>
      </c>
    </row>
    <row r="2257" spans="1:9" x14ac:dyDescent="0.25">
      <c r="A2257" s="40" t="s">
        <v>246</v>
      </c>
      <c r="B2257" s="28">
        <v>4217</v>
      </c>
      <c r="C2257" s="28" t="s">
        <v>35</v>
      </c>
      <c r="D2257" s="28" t="s">
        <v>38</v>
      </c>
      <c r="E2257" s="41">
        <v>46142</v>
      </c>
      <c r="F2257" s="47">
        <v>0.17952546296296296</v>
      </c>
      <c r="G2257" s="44">
        <v>6.3</v>
      </c>
      <c r="H2257" s="43" t="s">
        <v>235</v>
      </c>
      <c r="I2257" s="40" t="s">
        <v>1281</v>
      </c>
    </row>
    <row r="2258" spans="1:9" x14ac:dyDescent="0.25">
      <c r="A2258" s="40" t="s">
        <v>246</v>
      </c>
      <c r="B2258" s="28">
        <v>4217</v>
      </c>
      <c r="C2258" s="28" t="s">
        <v>35</v>
      </c>
      <c r="D2258" s="28" t="s">
        <v>38</v>
      </c>
      <c r="E2258" s="41">
        <v>46142</v>
      </c>
      <c r="F2258" s="47">
        <v>0.18777777777777777</v>
      </c>
      <c r="G2258" s="44">
        <v>6.3</v>
      </c>
      <c r="H2258" s="43" t="s">
        <v>236</v>
      </c>
      <c r="I2258" s="40" t="s">
        <v>1281</v>
      </c>
    </row>
    <row r="2259" spans="1:9" x14ac:dyDescent="0.25">
      <c r="A2259" s="40" t="s">
        <v>246</v>
      </c>
      <c r="B2259" s="28">
        <v>4217</v>
      </c>
      <c r="C2259" s="28">
        <v>5642018</v>
      </c>
      <c r="D2259" s="28" t="s">
        <v>37</v>
      </c>
      <c r="E2259" s="41">
        <v>46142</v>
      </c>
      <c r="F2259" s="47">
        <v>0.2087037037037037</v>
      </c>
      <c r="G2259" s="44">
        <v>6.3</v>
      </c>
      <c r="H2259" s="43" t="s">
        <v>237</v>
      </c>
      <c r="I2259" s="40" t="s">
        <v>1281</v>
      </c>
    </row>
    <row r="2260" spans="1:9" x14ac:dyDescent="0.25">
      <c r="A2260" s="40" t="s">
        <v>246</v>
      </c>
      <c r="B2260" s="28">
        <v>4217</v>
      </c>
      <c r="C2260" s="28">
        <v>5642018</v>
      </c>
      <c r="D2260" s="28" t="s">
        <v>37</v>
      </c>
      <c r="E2260" s="41">
        <v>46142</v>
      </c>
      <c r="F2260" s="47">
        <v>0.21387731481481481</v>
      </c>
      <c r="G2260" s="44">
        <v>6.3</v>
      </c>
      <c r="H2260" s="43" t="s">
        <v>234</v>
      </c>
      <c r="I2260" s="40" t="s">
        <v>1281</v>
      </c>
    </row>
    <row r="2261" spans="1:9" x14ac:dyDescent="0.25">
      <c r="A2261" s="40" t="s">
        <v>246</v>
      </c>
      <c r="B2261" s="28">
        <v>2983</v>
      </c>
      <c r="C2261" s="28">
        <v>5644773</v>
      </c>
      <c r="D2261" s="28"/>
      <c r="E2261" s="41">
        <v>46142</v>
      </c>
      <c r="F2261" s="47">
        <v>0.60304398148148153</v>
      </c>
      <c r="G2261" s="44">
        <v>6.3</v>
      </c>
      <c r="H2261" s="43" t="s">
        <v>235</v>
      </c>
      <c r="I2261" s="40" t="s">
        <v>1281</v>
      </c>
    </row>
    <row r="2262" spans="1:9" x14ac:dyDescent="0.25">
      <c r="A2262" s="40" t="s">
        <v>246</v>
      </c>
      <c r="B2262" s="28">
        <v>2983</v>
      </c>
      <c r="C2262" s="28">
        <v>5644636</v>
      </c>
      <c r="D2262" s="28"/>
      <c r="E2262" s="41">
        <v>46142</v>
      </c>
      <c r="F2262" s="47">
        <v>0.68785879629629632</v>
      </c>
      <c r="G2262" s="44">
        <v>6.3</v>
      </c>
      <c r="H2262" s="43" t="s">
        <v>237</v>
      </c>
      <c r="I2262" s="40" t="s">
        <v>1281</v>
      </c>
    </row>
    <row r="2263" spans="1:9" x14ac:dyDescent="0.25">
      <c r="A2263" s="40" t="s">
        <v>246</v>
      </c>
      <c r="B2263" s="28">
        <v>2983</v>
      </c>
      <c r="C2263" s="28">
        <v>5644636</v>
      </c>
      <c r="D2263" s="28"/>
      <c r="E2263" s="41">
        <v>46142</v>
      </c>
      <c r="F2263" s="47">
        <v>0.70552083333333337</v>
      </c>
      <c r="G2263" s="44">
        <v>6.3</v>
      </c>
      <c r="H2263" s="43" t="s">
        <v>234</v>
      </c>
      <c r="I2263" s="40" t="s">
        <v>1281</v>
      </c>
    </row>
    <row r="2264" spans="1:9" x14ac:dyDescent="0.25">
      <c r="A2264" s="40" t="s">
        <v>246</v>
      </c>
      <c r="B2264" s="28">
        <v>4217</v>
      </c>
      <c r="C2264" s="28">
        <v>5645846</v>
      </c>
      <c r="D2264" s="28" t="s">
        <v>36</v>
      </c>
      <c r="E2264" s="45">
        <v>46143</v>
      </c>
      <c r="F2264" s="48">
        <v>4.5717592592592589E-3</v>
      </c>
      <c r="G2264" s="44">
        <v>6.3</v>
      </c>
      <c r="H2264" s="43" t="s">
        <v>235</v>
      </c>
      <c r="I2264" s="40" t="s">
        <v>1282</v>
      </c>
    </row>
    <row r="2265" spans="1:9" x14ac:dyDescent="0.25">
      <c r="A2265" s="40" t="s">
        <v>246</v>
      </c>
      <c r="B2265" s="28">
        <v>2983</v>
      </c>
      <c r="C2265" s="28">
        <v>5646059</v>
      </c>
      <c r="D2265" s="28"/>
      <c r="E2265" s="41">
        <v>46143</v>
      </c>
      <c r="F2265" s="47">
        <v>0.36734953703703704</v>
      </c>
      <c r="G2265" s="44">
        <v>6.3</v>
      </c>
      <c r="H2265" s="43" t="s">
        <v>235</v>
      </c>
      <c r="I2265" s="40" t="s">
        <v>1282</v>
      </c>
    </row>
    <row r="2266" spans="1:9" x14ac:dyDescent="0.25">
      <c r="A2266" s="40" t="s">
        <v>246</v>
      </c>
      <c r="B2266" s="28">
        <v>2983</v>
      </c>
      <c r="C2266" s="28">
        <v>5646059</v>
      </c>
      <c r="D2266" s="28"/>
      <c r="E2266" s="41">
        <v>46143</v>
      </c>
      <c r="F2266" s="47">
        <v>0.37317129629629631</v>
      </c>
      <c r="G2266" s="42">
        <v>6.3</v>
      </c>
      <c r="H2266" s="40" t="s">
        <v>239</v>
      </c>
      <c r="I2266" s="40" t="s">
        <v>1282</v>
      </c>
    </row>
    <row r="2267" spans="1:9" x14ac:dyDescent="0.25">
      <c r="A2267" s="40" t="s">
        <v>246</v>
      </c>
      <c r="B2267" s="28">
        <v>2983</v>
      </c>
      <c r="C2267" s="28">
        <v>5646138</v>
      </c>
      <c r="D2267" s="28" t="s">
        <v>37</v>
      </c>
      <c r="E2267" s="41">
        <v>46143</v>
      </c>
      <c r="F2267" s="47">
        <v>0.51520833333333338</v>
      </c>
      <c r="G2267" s="42">
        <v>6.3</v>
      </c>
      <c r="H2267" s="40" t="s">
        <v>237</v>
      </c>
      <c r="I2267" s="40" t="s">
        <v>1282</v>
      </c>
    </row>
    <row r="2268" spans="1:9" x14ac:dyDescent="0.25">
      <c r="A2268" s="40" t="s">
        <v>246</v>
      </c>
      <c r="B2268" s="28">
        <v>2983</v>
      </c>
      <c r="C2268" s="28">
        <v>5646138</v>
      </c>
      <c r="D2268" s="28" t="s">
        <v>37</v>
      </c>
      <c r="E2268" s="41">
        <v>46143</v>
      </c>
      <c r="F2268" s="47">
        <v>0.52041666666666664</v>
      </c>
      <c r="G2268" s="42">
        <v>6.3</v>
      </c>
      <c r="H2268" s="40" t="s">
        <v>234</v>
      </c>
      <c r="I2268" s="40" t="s">
        <v>1282</v>
      </c>
    </row>
    <row r="2269" spans="1:9" x14ac:dyDescent="0.25">
      <c r="A2269" s="40" t="s">
        <v>246</v>
      </c>
      <c r="B2269" s="28">
        <v>2983</v>
      </c>
      <c r="C2269" s="28">
        <v>5646466</v>
      </c>
      <c r="D2269" s="28"/>
      <c r="E2269" s="45">
        <v>46143</v>
      </c>
      <c r="F2269" s="48">
        <v>0.75017361111111114</v>
      </c>
      <c r="G2269" s="42">
        <v>6.3</v>
      </c>
      <c r="H2269" s="40" t="s">
        <v>235</v>
      </c>
      <c r="I2269" s="40" t="s">
        <v>1282</v>
      </c>
    </row>
    <row r="2270" spans="1:9" x14ac:dyDescent="0.25">
      <c r="A2270" s="40" t="s">
        <v>246</v>
      </c>
      <c r="B2270" s="28">
        <v>2983</v>
      </c>
      <c r="C2270" s="28">
        <v>5646466</v>
      </c>
      <c r="D2270" s="28"/>
      <c r="E2270" s="41">
        <v>46143</v>
      </c>
      <c r="F2270" s="47">
        <v>0.75699074074074069</v>
      </c>
      <c r="G2270" s="44">
        <v>6.3</v>
      </c>
      <c r="H2270" s="43" t="s">
        <v>236</v>
      </c>
      <c r="I2270" s="40" t="s">
        <v>1282</v>
      </c>
    </row>
    <row r="2271" spans="1:9" x14ac:dyDescent="0.25">
      <c r="A2271" s="40" t="s">
        <v>246</v>
      </c>
      <c r="B2271" s="28">
        <v>2983</v>
      </c>
      <c r="C2271" s="28">
        <v>5647301</v>
      </c>
      <c r="D2271" s="28"/>
      <c r="E2271" s="41">
        <v>46144</v>
      </c>
      <c r="F2271" s="47">
        <v>0.48489583333333336</v>
      </c>
      <c r="G2271" s="44">
        <v>6.3</v>
      </c>
      <c r="H2271" s="43" t="s">
        <v>237</v>
      </c>
      <c r="I2271" s="40" t="s">
        <v>1282</v>
      </c>
    </row>
    <row r="2272" spans="1:9" x14ac:dyDescent="0.25">
      <c r="A2272" s="40" t="s">
        <v>246</v>
      </c>
      <c r="B2272" s="28">
        <v>2983</v>
      </c>
      <c r="C2272" s="28">
        <v>5647301</v>
      </c>
      <c r="D2272" s="28"/>
      <c r="E2272" s="41">
        <v>46144</v>
      </c>
      <c r="F2272" s="47">
        <v>0.49081018518518521</v>
      </c>
      <c r="G2272" s="44">
        <v>6.3</v>
      </c>
      <c r="H2272" s="43" t="s">
        <v>234</v>
      </c>
      <c r="I2272" s="40" t="s">
        <v>1282</v>
      </c>
    </row>
    <row r="2273" spans="1:9" x14ac:dyDescent="0.25">
      <c r="A2273" s="40" t="s">
        <v>246</v>
      </c>
      <c r="B2273" s="28">
        <v>2983</v>
      </c>
      <c r="C2273" s="28">
        <v>5648042</v>
      </c>
      <c r="D2273" s="28"/>
      <c r="E2273" s="41">
        <v>46144</v>
      </c>
      <c r="F2273" s="47">
        <v>0.8147685185185185</v>
      </c>
      <c r="G2273" s="44">
        <v>6.3</v>
      </c>
      <c r="H2273" s="43" t="s">
        <v>235</v>
      </c>
      <c r="I2273" s="40" t="s">
        <v>1282</v>
      </c>
    </row>
    <row r="2274" spans="1:9" x14ac:dyDescent="0.25">
      <c r="A2274" s="40" t="s">
        <v>246</v>
      </c>
      <c r="B2274" s="28">
        <v>2983</v>
      </c>
      <c r="C2274" s="28" t="s">
        <v>35</v>
      </c>
      <c r="D2274" s="28" t="s">
        <v>38</v>
      </c>
      <c r="E2274" s="41">
        <v>46144</v>
      </c>
      <c r="F2274" s="47">
        <v>0.88746527777777773</v>
      </c>
      <c r="G2274" s="44">
        <v>6.3</v>
      </c>
      <c r="H2274" s="43" t="s">
        <v>234</v>
      </c>
      <c r="I2274" s="40" t="s">
        <v>1282</v>
      </c>
    </row>
    <row r="2275" spans="1:9" x14ac:dyDescent="0.25">
      <c r="A2275" s="40" t="s">
        <v>246</v>
      </c>
      <c r="B2275" s="28">
        <v>2983</v>
      </c>
      <c r="C2275" s="28">
        <v>5574344</v>
      </c>
      <c r="D2275" s="28"/>
      <c r="E2275" s="41">
        <v>46145</v>
      </c>
      <c r="F2275" s="47">
        <v>0.36410879629629628</v>
      </c>
      <c r="G2275" s="44">
        <v>6.3</v>
      </c>
      <c r="H2275" s="43" t="s">
        <v>235</v>
      </c>
      <c r="I2275" s="40" t="s">
        <v>1282</v>
      </c>
    </row>
    <row r="2276" spans="1:9" x14ac:dyDescent="0.25">
      <c r="A2276" s="40" t="s">
        <v>246</v>
      </c>
      <c r="B2276" s="28">
        <v>2983</v>
      </c>
      <c r="C2276" s="28">
        <v>5574344</v>
      </c>
      <c r="D2276" s="28"/>
      <c r="E2276" s="41">
        <v>46145</v>
      </c>
      <c r="F2276" s="47">
        <v>0.37204861111111109</v>
      </c>
      <c r="G2276" s="44">
        <v>6.3</v>
      </c>
      <c r="H2276" s="43" t="s">
        <v>236</v>
      </c>
      <c r="I2276" s="40" t="s">
        <v>1282</v>
      </c>
    </row>
    <row r="2277" spans="1:9" x14ac:dyDescent="0.25">
      <c r="A2277" s="40" t="s">
        <v>246</v>
      </c>
      <c r="B2277" s="28">
        <v>2983</v>
      </c>
      <c r="C2277" s="28">
        <v>5648394</v>
      </c>
      <c r="D2277" s="28"/>
      <c r="E2277" s="41">
        <v>46145</v>
      </c>
      <c r="F2277" s="47">
        <v>0.48752314814814812</v>
      </c>
      <c r="G2277" s="44">
        <v>6.3</v>
      </c>
      <c r="H2277" s="43" t="s">
        <v>237</v>
      </c>
      <c r="I2277" s="40" t="s">
        <v>1282</v>
      </c>
    </row>
    <row r="2278" spans="1:9" x14ac:dyDescent="0.25">
      <c r="A2278" s="40" t="s">
        <v>246</v>
      </c>
      <c r="B2278" s="28">
        <v>2983</v>
      </c>
      <c r="C2278" s="28">
        <v>5648394</v>
      </c>
      <c r="D2278" s="28"/>
      <c r="E2278" s="41">
        <v>46145</v>
      </c>
      <c r="F2278" s="47">
        <v>0.49223379629629632</v>
      </c>
      <c r="G2278" s="44">
        <v>6.3</v>
      </c>
      <c r="H2278" s="43" t="s">
        <v>234</v>
      </c>
      <c r="I2278" s="40" t="s">
        <v>1282</v>
      </c>
    </row>
    <row r="2279" spans="1:9" x14ac:dyDescent="0.25">
      <c r="A2279" s="40" t="s">
        <v>246</v>
      </c>
      <c r="B2279" s="28">
        <v>2983</v>
      </c>
      <c r="C2279" s="28">
        <v>5648581</v>
      </c>
      <c r="D2279" s="28"/>
      <c r="E2279" s="45">
        <v>46145</v>
      </c>
      <c r="F2279" s="48">
        <v>0.59577546296296291</v>
      </c>
      <c r="G2279" s="44">
        <v>6.3</v>
      </c>
      <c r="H2279" s="43" t="s">
        <v>234</v>
      </c>
      <c r="I2279" s="40" t="s">
        <v>1282</v>
      </c>
    </row>
    <row r="2280" spans="1:9" x14ac:dyDescent="0.25">
      <c r="A2280" s="40" t="s">
        <v>246</v>
      </c>
      <c r="B2280" s="28">
        <v>2983</v>
      </c>
      <c r="C2280" s="28">
        <v>5648863</v>
      </c>
      <c r="D2280" s="28"/>
      <c r="E2280" s="41">
        <v>46145</v>
      </c>
      <c r="F2280" s="47">
        <v>0.75096064814814811</v>
      </c>
      <c r="G2280" s="44">
        <v>6.3</v>
      </c>
      <c r="H2280" s="43" t="s">
        <v>235</v>
      </c>
      <c r="I2280" s="40" t="s">
        <v>1282</v>
      </c>
    </row>
    <row r="2281" spans="1:9" x14ac:dyDescent="0.25">
      <c r="A2281" s="40" t="s">
        <v>246</v>
      </c>
      <c r="B2281" s="28">
        <v>2983</v>
      </c>
      <c r="C2281" s="28">
        <v>5648863</v>
      </c>
      <c r="D2281" s="28"/>
      <c r="E2281" s="45">
        <v>46145</v>
      </c>
      <c r="F2281" s="48">
        <v>0.75819444444444439</v>
      </c>
      <c r="G2281" s="44">
        <v>6.3</v>
      </c>
      <c r="H2281" s="43" t="s">
        <v>236</v>
      </c>
      <c r="I2281" s="40" t="s">
        <v>1282</v>
      </c>
    </row>
    <row r="2282" spans="1:9" x14ac:dyDescent="0.25">
      <c r="A2282" s="40" t="s">
        <v>246</v>
      </c>
      <c r="B2282" s="28">
        <v>2983</v>
      </c>
      <c r="C2282" s="28" t="s">
        <v>35</v>
      </c>
      <c r="D2282" s="28" t="s">
        <v>38</v>
      </c>
      <c r="E2282" s="41">
        <v>46145</v>
      </c>
      <c r="F2282" s="47">
        <v>0.77493055555555557</v>
      </c>
      <c r="G2282" s="44">
        <v>6.3</v>
      </c>
      <c r="H2282" s="43" t="s">
        <v>237</v>
      </c>
      <c r="I2282" s="40" t="s">
        <v>1282</v>
      </c>
    </row>
    <row r="2283" spans="1:9" x14ac:dyDescent="0.25">
      <c r="A2283" s="40" t="s">
        <v>246</v>
      </c>
      <c r="B2283" s="28">
        <v>2983</v>
      </c>
      <c r="C2283" s="28" t="s">
        <v>35</v>
      </c>
      <c r="D2283" s="28" t="s">
        <v>38</v>
      </c>
      <c r="E2283" s="41">
        <v>46145</v>
      </c>
      <c r="F2283" s="47">
        <v>0.78062500000000001</v>
      </c>
      <c r="G2283" s="44">
        <v>6.3</v>
      </c>
      <c r="H2283" s="43" t="s">
        <v>234</v>
      </c>
      <c r="I2283" s="40" t="s">
        <v>1282</v>
      </c>
    </row>
    <row r="2284" spans="1:9" x14ac:dyDescent="0.25">
      <c r="A2284" s="40" t="s">
        <v>246</v>
      </c>
      <c r="B2284" s="28">
        <v>4217</v>
      </c>
      <c r="C2284" s="28">
        <v>5648986</v>
      </c>
      <c r="D2284" s="28"/>
      <c r="E2284" s="41">
        <v>46145</v>
      </c>
      <c r="F2284" s="47">
        <v>0.9927893518518518</v>
      </c>
      <c r="G2284" s="44">
        <v>6.3</v>
      </c>
      <c r="H2284" s="43" t="s">
        <v>238</v>
      </c>
      <c r="I2284" s="40" t="s">
        <v>1282</v>
      </c>
    </row>
    <row r="2285" spans="1:9" x14ac:dyDescent="0.25">
      <c r="A2285" s="40" t="s">
        <v>246</v>
      </c>
      <c r="B2285" s="28">
        <v>4217</v>
      </c>
      <c r="C2285" s="28">
        <v>5648986</v>
      </c>
      <c r="D2285" s="28"/>
      <c r="E2285" s="41">
        <v>46145</v>
      </c>
      <c r="F2285" s="47">
        <v>0.99761574074074078</v>
      </c>
      <c r="G2285" s="44">
        <v>6.3</v>
      </c>
      <c r="H2285" s="43" t="s">
        <v>234</v>
      </c>
      <c r="I2285" s="40" t="s">
        <v>1282</v>
      </c>
    </row>
    <row r="2286" spans="1:9" x14ac:dyDescent="0.25">
      <c r="A2286" s="40" t="s">
        <v>357</v>
      </c>
      <c r="B2286" s="28">
        <v>4215</v>
      </c>
      <c r="C2286" s="28">
        <v>5639790</v>
      </c>
      <c r="D2286" s="28"/>
      <c r="E2286" s="45">
        <v>46140</v>
      </c>
      <c r="F2286" s="48">
        <v>0.20765046296296297</v>
      </c>
      <c r="G2286" s="42">
        <v>6.3</v>
      </c>
      <c r="H2286" s="40" t="s">
        <v>237</v>
      </c>
      <c r="I2286" s="40" t="s">
        <v>1281</v>
      </c>
    </row>
    <row r="2287" spans="1:9" x14ac:dyDescent="0.25">
      <c r="A2287" s="40" t="s">
        <v>357</v>
      </c>
      <c r="B2287" s="28">
        <v>4215</v>
      </c>
      <c r="C2287" s="28">
        <v>5639790</v>
      </c>
      <c r="D2287" s="28"/>
      <c r="E2287" s="45">
        <v>46140</v>
      </c>
      <c r="F2287" s="48">
        <v>0.21319444444444444</v>
      </c>
      <c r="G2287" s="42">
        <v>6.3</v>
      </c>
      <c r="H2287" s="40" t="s">
        <v>234</v>
      </c>
      <c r="I2287" s="40" t="s">
        <v>1281</v>
      </c>
    </row>
    <row r="2288" spans="1:9" x14ac:dyDescent="0.25">
      <c r="A2288" s="40" t="s">
        <v>357</v>
      </c>
      <c r="B2288" s="28">
        <v>4215</v>
      </c>
      <c r="C2288" s="28" t="s">
        <v>35</v>
      </c>
      <c r="D2288" s="28" t="s">
        <v>38</v>
      </c>
      <c r="E2288" s="45">
        <v>46140</v>
      </c>
      <c r="F2288" s="48">
        <v>0.23874999999999999</v>
      </c>
      <c r="G2288" s="44">
        <v>6.3</v>
      </c>
      <c r="H2288" s="43" t="s">
        <v>235</v>
      </c>
      <c r="I2288" s="40" t="s">
        <v>1281</v>
      </c>
    </row>
    <row r="2289" spans="1:9" x14ac:dyDescent="0.25">
      <c r="A2289" s="40" t="s">
        <v>357</v>
      </c>
      <c r="B2289" s="28">
        <v>4215</v>
      </c>
      <c r="C2289" s="28" t="s">
        <v>35</v>
      </c>
      <c r="D2289" s="28" t="s">
        <v>38</v>
      </c>
      <c r="E2289" s="41">
        <v>46140</v>
      </c>
      <c r="F2289" s="47">
        <v>0.24607638888888889</v>
      </c>
      <c r="G2289" s="44">
        <v>6.3</v>
      </c>
      <c r="H2289" s="43" t="s">
        <v>239</v>
      </c>
      <c r="I2289" s="40" t="s">
        <v>1281</v>
      </c>
    </row>
    <row r="2290" spans="1:9" x14ac:dyDescent="0.25">
      <c r="A2290" s="40" t="s">
        <v>357</v>
      </c>
      <c r="B2290" s="28">
        <v>4215</v>
      </c>
      <c r="C2290" s="28">
        <v>5639427</v>
      </c>
      <c r="D2290" s="28"/>
      <c r="E2290" s="45">
        <v>46140</v>
      </c>
      <c r="F2290" s="48">
        <v>0.28244212962962961</v>
      </c>
      <c r="G2290" s="44">
        <v>6.3</v>
      </c>
      <c r="H2290" s="43" t="s">
        <v>233</v>
      </c>
      <c r="I2290" s="40" t="s">
        <v>1281</v>
      </c>
    </row>
    <row r="2291" spans="1:9" x14ac:dyDescent="0.25">
      <c r="A2291" s="40" t="s">
        <v>357</v>
      </c>
      <c r="B2291" s="28">
        <v>4215</v>
      </c>
      <c r="C2291" s="28">
        <v>5639427</v>
      </c>
      <c r="D2291" s="28"/>
      <c r="E2291" s="41">
        <v>46140</v>
      </c>
      <c r="F2291" s="47">
        <v>0.28898148148148151</v>
      </c>
      <c r="G2291" s="44">
        <v>6.3</v>
      </c>
      <c r="H2291" s="43" t="s">
        <v>234</v>
      </c>
      <c r="I2291" s="40" t="s">
        <v>1281</v>
      </c>
    </row>
    <row r="2292" spans="1:9" x14ac:dyDescent="0.25">
      <c r="A2292" s="40" t="s">
        <v>357</v>
      </c>
      <c r="B2292" s="28">
        <v>4215</v>
      </c>
      <c r="C2292" s="28" t="s">
        <v>35</v>
      </c>
      <c r="D2292" s="28" t="s">
        <v>38</v>
      </c>
      <c r="E2292" s="45">
        <v>46142</v>
      </c>
      <c r="F2292" s="48">
        <v>0.19928240740740741</v>
      </c>
      <c r="G2292" s="44">
        <v>6.3</v>
      </c>
      <c r="H2292" s="43" t="s">
        <v>235</v>
      </c>
      <c r="I2292" s="40" t="s">
        <v>1281</v>
      </c>
    </row>
    <row r="2293" spans="1:9" x14ac:dyDescent="0.25">
      <c r="A2293" s="40" t="s">
        <v>357</v>
      </c>
      <c r="B2293" s="28">
        <v>4215</v>
      </c>
      <c r="C2293" s="28" t="s">
        <v>35</v>
      </c>
      <c r="D2293" s="28" t="s">
        <v>38</v>
      </c>
      <c r="E2293" s="41">
        <v>46142</v>
      </c>
      <c r="F2293" s="47">
        <v>0.20564814814814814</v>
      </c>
      <c r="G2293" s="44">
        <v>6.3</v>
      </c>
      <c r="H2293" s="43" t="s">
        <v>240</v>
      </c>
      <c r="I2293" s="40" t="s">
        <v>1281</v>
      </c>
    </row>
    <row r="2294" spans="1:9" x14ac:dyDescent="0.25">
      <c r="A2294" s="40" t="s">
        <v>357</v>
      </c>
      <c r="B2294" s="28">
        <v>4215</v>
      </c>
      <c r="C2294" s="28" t="s">
        <v>35</v>
      </c>
      <c r="D2294" s="28" t="s">
        <v>38</v>
      </c>
      <c r="E2294" s="45">
        <v>46142</v>
      </c>
      <c r="F2294" s="48">
        <v>0.3024074074074074</v>
      </c>
      <c r="G2294" s="44">
        <v>6.3</v>
      </c>
      <c r="H2294" s="43" t="s">
        <v>241</v>
      </c>
      <c r="I2294" s="40" t="s">
        <v>1281</v>
      </c>
    </row>
    <row r="2295" spans="1:9" x14ac:dyDescent="0.25">
      <c r="A2295" s="40" t="s">
        <v>357</v>
      </c>
      <c r="B2295" s="28">
        <v>4215</v>
      </c>
      <c r="C2295" s="28" t="s">
        <v>35</v>
      </c>
      <c r="D2295" s="28" t="s">
        <v>38</v>
      </c>
      <c r="E2295" s="41">
        <v>46142</v>
      </c>
      <c r="F2295" s="47">
        <v>0.30818287037037034</v>
      </c>
      <c r="G2295" s="44">
        <v>6.3</v>
      </c>
      <c r="H2295" s="43" t="s">
        <v>234</v>
      </c>
      <c r="I2295" s="40" t="s">
        <v>1281</v>
      </c>
    </row>
    <row r="2296" spans="1:9" x14ac:dyDescent="0.25">
      <c r="A2296" s="40" t="s">
        <v>357</v>
      </c>
      <c r="B2296" s="28">
        <v>2987</v>
      </c>
      <c r="C2296" s="28">
        <v>5643837</v>
      </c>
      <c r="D2296" s="28"/>
      <c r="E2296" s="41">
        <v>46142</v>
      </c>
      <c r="F2296" s="47">
        <v>0.56431712962962965</v>
      </c>
      <c r="G2296" s="42">
        <v>6.3</v>
      </c>
      <c r="H2296" s="40" t="s">
        <v>237</v>
      </c>
      <c r="I2296" s="40" t="s">
        <v>1281</v>
      </c>
    </row>
    <row r="2297" spans="1:9" x14ac:dyDescent="0.25">
      <c r="A2297" s="40" t="s">
        <v>357</v>
      </c>
      <c r="B2297" s="28">
        <v>2987</v>
      </c>
      <c r="C2297" s="28">
        <v>5643837</v>
      </c>
      <c r="D2297" s="28"/>
      <c r="E2297" s="41">
        <v>46142</v>
      </c>
      <c r="F2297" s="47">
        <v>0.57495370370370369</v>
      </c>
      <c r="G2297" s="42">
        <v>6.3</v>
      </c>
      <c r="H2297" s="40" t="s">
        <v>234</v>
      </c>
      <c r="I2297" s="40" t="s">
        <v>1281</v>
      </c>
    </row>
    <row r="2298" spans="1:9" x14ac:dyDescent="0.25">
      <c r="A2298" s="40" t="s">
        <v>357</v>
      </c>
      <c r="B2298" s="28">
        <v>4215</v>
      </c>
      <c r="C2298" s="28">
        <v>5640193</v>
      </c>
      <c r="D2298" s="28" t="s">
        <v>37</v>
      </c>
      <c r="E2298" s="45">
        <v>46143</v>
      </c>
      <c r="F2298" s="48">
        <v>0.18715277777777778</v>
      </c>
      <c r="G2298" s="44">
        <v>6.3</v>
      </c>
      <c r="H2298" s="43" t="s">
        <v>237</v>
      </c>
      <c r="I2298" s="40" t="s">
        <v>1282</v>
      </c>
    </row>
    <row r="2299" spans="1:9" x14ac:dyDescent="0.25">
      <c r="A2299" s="40" t="s">
        <v>357</v>
      </c>
      <c r="B2299" s="28">
        <v>4215</v>
      </c>
      <c r="C2299" s="28">
        <v>5640193</v>
      </c>
      <c r="D2299" s="28" t="s">
        <v>37</v>
      </c>
      <c r="E2299" s="41">
        <v>46143</v>
      </c>
      <c r="F2299" s="47">
        <v>0.19381944444444443</v>
      </c>
      <c r="G2299" s="44">
        <v>6.3</v>
      </c>
      <c r="H2299" s="43" t="s">
        <v>234</v>
      </c>
      <c r="I2299" s="40" t="s">
        <v>1282</v>
      </c>
    </row>
    <row r="2300" spans="1:9" x14ac:dyDescent="0.25">
      <c r="A2300" s="40" t="s">
        <v>357</v>
      </c>
      <c r="B2300" s="28">
        <v>4215</v>
      </c>
      <c r="C2300" s="28">
        <v>5640016</v>
      </c>
      <c r="D2300" s="28"/>
      <c r="E2300" s="41">
        <v>46143</v>
      </c>
      <c r="F2300" s="47">
        <v>0.25653935185185184</v>
      </c>
      <c r="G2300" s="44">
        <v>6.3</v>
      </c>
      <c r="H2300" s="43" t="s">
        <v>237</v>
      </c>
      <c r="I2300" s="40" t="s">
        <v>1282</v>
      </c>
    </row>
    <row r="2301" spans="1:9" x14ac:dyDescent="0.25">
      <c r="A2301" s="40" t="s">
        <v>357</v>
      </c>
      <c r="B2301" s="28">
        <v>4215</v>
      </c>
      <c r="C2301" s="28">
        <v>5640016</v>
      </c>
      <c r="D2301" s="28"/>
      <c r="E2301" s="41">
        <v>46143</v>
      </c>
      <c r="F2301" s="47">
        <v>0.26148148148148148</v>
      </c>
      <c r="G2301" s="44">
        <v>6.3</v>
      </c>
      <c r="H2301" s="43" t="s">
        <v>234</v>
      </c>
      <c r="I2301" s="40" t="s">
        <v>1282</v>
      </c>
    </row>
    <row r="2302" spans="1:9" x14ac:dyDescent="0.25">
      <c r="A2302" s="40" t="s">
        <v>357</v>
      </c>
      <c r="B2302" s="28">
        <v>2987</v>
      </c>
      <c r="C2302" s="28">
        <v>5597229</v>
      </c>
      <c r="D2302" s="28"/>
      <c r="E2302" s="41">
        <v>46143</v>
      </c>
      <c r="F2302" s="47">
        <v>0.68278935185185186</v>
      </c>
      <c r="G2302" s="44">
        <v>6.3</v>
      </c>
      <c r="H2302" s="43" t="s">
        <v>233</v>
      </c>
      <c r="I2302" s="40" t="s">
        <v>1282</v>
      </c>
    </row>
    <row r="2303" spans="1:9" x14ac:dyDescent="0.25">
      <c r="A2303" s="40" t="s">
        <v>357</v>
      </c>
      <c r="B2303" s="28">
        <v>2987</v>
      </c>
      <c r="C2303" s="28">
        <v>5597229</v>
      </c>
      <c r="D2303" s="28"/>
      <c r="E2303" s="41">
        <v>46143</v>
      </c>
      <c r="F2303" s="47">
        <v>0.68877314814814816</v>
      </c>
      <c r="G2303" s="44">
        <v>6.3</v>
      </c>
      <c r="H2303" s="43" t="s">
        <v>234</v>
      </c>
      <c r="I2303" s="40" t="s">
        <v>1282</v>
      </c>
    </row>
    <row r="2304" spans="1:9" x14ac:dyDescent="0.25">
      <c r="A2304" s="40" t="s">
        <v>357</v>
      </c>
      <c r="B2304" s="28">
        <v>4215</v>
      </c>
      <c r="C2304" s="28">
        <v>5646746</v>
      </c>
      <c r="D2304" s="28" t="s">
        <v>36</v>
      </c>
      <c r="E2304" s="41">
        <v>46144</v>
      </c>
      <c r="F2304" s="47">
        <v>0.1159375</v>
      </c>
      <c r="G2304" s="44">
        <v>6.3</v>
      </c>
      <c r="H2304" s="43" t="s">
        <v>235</v>
      </c>
      <c r="I2304" s="40" t="s">
        <v>1282</v>
      </c>
    </row>
    <row r="2305" spans="1:9" x14ac:dyDescent="0.25">
      <c r="A2305" s="40" t="s">
        <v>357</v>
      </c>
      <c r="B2305" s="28">
        <v>2987</v>
      </c>
      <c r="C2305" s="28">
        <v>5647960</v>
      </c>
      <c r="D2305" s="28"/>
      <c r="E2305" s="41">
        <v>46144</v>
      </c>
      <c r="F2305" s="47">
        <v>0.75666666666666671</v>
      </c>
      <c r="G2305" s="44">
        <v>6.3</v>
      </c>
      <c r="H2305" s="43" t="s">
        <v>235</v>
      </c>
      <c r="I2305" s="40" t="s">
        <v>1282</v>
      </c>
    </row>
    <row r="2306" spans="1:9" x14ac:dyDescent="0.25">
      <c r="A2306" s="40" t="s">
        <v>357</v>
      </c>
      <c r="B2306" s="28">
        <v>2987</v>
      </c>
      <c r="C2306" s="28">
        <v>5647960</v>
      </c>
      <c r="D2306" s="28"/>
      <c r="E2306" s="41">
        <v>46144</v>
      </c>
      <c r="F2306" s="47">
        <v>0.76686342592592593</v>
      </c>
      <c r="G2306" s="42">
        <v>6.3</v>
      </c>
      <c r="H2306" s="40" t="s">
        <v>236</v>
      </c>
      <c r="I2306" s="40" t="s">
        <v>1282</v>
      </c>
    </row>
    <row r="2307" spans="1:9" x14ac:dyDescent="0.25">
      <c r="A2307" s="40" t="s">
        <v>357</v>
      </c>
      <c r="B2307" s="28">
        <v>2987</v>
      </c>
      <c r="C2307" s="28" t="s">
        <v>35</v>
      </c>
      <c r="D2307" s="28" t="s">
        <v>38</v>
      </c>
      <c r="E2307" s="41">
        <v>46144</v>
      </c>
      <c r="F2307" s="47">
        <v>0.7982407407407407</v>
      </c>
      <c r="G2307" s="42">
        <v>6.3</v>
      </c>
      <c r="H2307" s="40" t="s">
        <v>237</v>
      </c>
      <c r="I2307" s="40" t="s">
        <v>1282</v>
      </c>
    </row>
    <row r="2308" spans="1:9" x14ac:dyDescent="0.25">
      <c r="A2308" s="40" t="s">
        <v>357</v>
      </c>
      <c r="B2308" s="28">
        <v>2987</v>
      </c>
      <c r="C2308" s="28" t="s">
        <v>35</v>
      </c>
      <c r="D2308" s="28" t="s">
        <v>38</v>
      </c>
      <c r="E2308" s="41">
        <v>46144</v>
      </c>
      <c r="F2308" s="47">
        <v>0.8049074074074074</v>
      </c>
      <c r="G2308" s="42">
        <v>6.3</v>
      </c>
      <c r="H2308" s="40" t="s">
        <v>234</v>
      </c>
      <c r="I2308" s="40" t="s">
        <v>1282</v>
      </c>
    </row>
    <row r="2309" spans="1:9" x14ac:dyDescent="0.25">
      <c r="A2309" s="40" t="s">
        <v>357</v>
      </c>
      <c r="B2309" s="28">
        <v>4215</v>
      </c>
      <c r="C2309" s="28">
        <v>5647297</v>
      </c>
      <c r="D2309" s="28"/>
      <c r="E2309" s="41">
        <v>46144</v>
      </c>
      <c r="F2309" s="47">
        <v>0.89975694444444443</v>
      </c>
      <c r="G2309" s="44">
        <v>6.3</v>
      </c>
      <c r="H2309" s="43" t="s">
        <v>237</v>
      </c>
      <c r="I2309" s="40" t="s">
        <v>1282</v>
      </c>
    </row>
    <row r="2310" spans="1:9" x14ac:dyDescent="0.25">
      <c r="A2310" s="40" t="s">
        <v>357</v>
      </c>
      <c r="B2310" s="28">
        <v>4215</v>
      </c>
      <c r="C2310" s="28">
        <v>5647297</v>
      </c>
      <c r="D2310" s="28"/>
      <c r="E2310" s="41">
        <v>46144</v>
      </c>
      <c r="F2310" s="47">
        <v>0.90535879629629634</v>
      </c>
      <c r="G2310" s="44">
        <v>6.3</v>
      </c>
      <c r="H2310" s="43" t="s">
        <v>234</v>
      </c>
      <c r="I2310" s="40" t="s">
        <v>1282</v>
      </c>
    </row>
    <row r="2311" spans="1:9" x14ac:dyDescent="0.25">
      <c r="A2311" s="40" t="s">
        <v>357</v>
      </c>
      <c r="B2311" s="28">
        <v>4215</v>
      </c>
      <c r="C2311" s="28">
        <v>5646166</v>
      </c>
      <c r="D2311" s="28" t="s">
        <v>37</v>
      </c>
      <c r="E2311" s="41">
        <v>46145</v>
      </c>
      <c r="F2311" s="47">
        <v>9.9270833333333336E-2</v>
      </c>
      <c r="G2311" s="44">
        <v>6.3</v>
      </c>
      <c r="H2311" s="43" t="s">
        <v>235</v>
      </c>
      <c r="I2311" s="40" t="s">
        <v>1282</v>
      </c>
    </row>
    <row r="2312" spans="1:9" x14ac:dyDescent="0.25">
      <c r="A2312" s="40" t="s">
        <v>357</v>
      </c>
      <c r="B2312" s="28">
        <v>4215</v>
      </c>
      <c r="C2312" s="28">
        <v>5646166</v>
      </c>
      <c r="D2312" s="28" t="s">
        <v>37</v>
      </c>
      <c r="E2312" s="41">
        <v>46145</v>
      </c>
      <c r="F2312" s="47">
        <v>0.10685185185185185</v>
      </c>
      <c r="G2312" s="44">
        <v>6.3</v>
      </c>
      <c r="H2312" s="43" t="s">
        <v>236</v>
      </c>
      <c r="I2312" s="40" t="s">
        <v>1282</v>
      </c>
    </row>
    <row r="2313" spans="1:9" x14ac:dyDescent="0.25">
      <c r="A2313" s="40" t="s">
        <v>357</v>
      </c>
      <c r="B2313" s="28">
        <v>4215</v>
      </c>
      <c r="C2313" s="28">
        <v>5648214</v>
      </c>
      <c r="D2313" s="28" t="s">
        <v>37</v>
      </c>
      <c r="E2313" s="41">
        <v>46145</v>
      </c>
      <c r="F2313" s="47">
        <v>0.1517013888888889</v>
      </c>
      <c r="G2313" s="44">
        <v>6.3</v>
      </c>
      <c r="H2313" s="43" t="s">
        <v>237</v>
      </c>
      <c r="I2313" s="40" t="s">
        <v>1282</v>
      </c>
    </row>
    <row r="2314" spans="1:9" x14ac:dyDescent="0.25">
      <c r="A2314" s="40" t="s">
        <v>357</v>
      </c>
      <c r="B2314" s="28">
        <v>4215</v>
      </c>
      <c r="C2314" s="28">
        <v>5648214</v>
      </c>
      <c r="D2314" s="28" t="s">
        <v>37</v>
      </c>
      <c r="E2314" s="41">
        <v>46145</v>
      </c>
      <c r="F2314" s="47">
        <v>0.15692129629629631</v>
      </c>
      <c r="G2314" s="44">
        <v>6.3</v>
      </c>
      <c r="H2314" s="43" t="s">
        <v>234</v>
      </c>
      <c r="I2314" s="40" t="s">
        <v>1282</v>
      </c>
    </row>
    <row r="2315" spans="1:9" x14ac:dyDescent="0.25">
      <c r="A2315" s="40" t="s">
        <v>357</v>
      </c>
      <c r="B2315" s="28">
        <v>2987</v>
      </c>
      <c r="C2315" s="28" t="s">
        <v>35</v>
      </c>
      <c r="D2315" s="28" t="s">
        <v>38</v>
      </c>
      <c r="E2315" s="41">
        <v>46145</v>
      </c>
      <c r="F2315" s="47">
        <v>0.81180555555555556</v>
      </c>
      <c r="G2315" s="44">
        <v>6.3</v>
      </c>
      <c r="H2315" s="43" t="s">
        <v>237</v>
      </c>
      <c r="I2315" s="40" t="s">
        <v>1282</v>
      </c>
    </row>
    <row r="2316" spans="1:9" x14ac:dyDescent="0.25">
      <c r="A2316" s="40" t="s">
        <v>357</v>
      </c>
      <c r="B2316" s="28">
        <v>2987</v>
      </c>
      <c r="C2316" s="28" t="s">
        <v>35</v>
      </c>
      <c r="D2316" s="28" t="s">
        <v>38</v>
      </c>
      <c r="E2316" s="41">
        <v>46145</v>
      </c>
      <c r="F2316" s="47">
        <v>0.81763888888888892</v>
      </c>
      <c r="G2316" s="44">
        <v>6.3</v>
      </c>
      <c r="H2316" s="43" t="s">
        <v>234</v>
      </c>
      <c r="I2316" s="40" t="s">
        <v>1282</v>
      </c>
    </row>
    <row r="2317" spans="1:9" x14ac:dyDescent="0.25">
      <c r="A2317" s="40" t="s">
        <v>697</v>
      </c>
      <c r="B2317" s="28">
        <v>3003</v>
      </c>
      <c r="C2317" s="28" t="s">
        <v>35</v>
      </c>
      <c r="D2317" s="28" t="s">
        <v>38</v>
      </c>
      <c r="E2317" s="41">
        <v>46141</v>
      </c>
      <c r="F2317" s="47">
        <v>0.54819444444444443</v>
      </c>
      <c r="G2317" s="44">
        <v>6.3</v>
      </c>
      <c r="H2317" s="43" t="s">
        <v>236</v>
      </c>
      <c r="I2317" s="40" t="s">
        <v>1281</v>
      </c>
    </row>
    <row r="2318" spans="1:9" x14ac:dyDescent="0.25">
      <c r="A2318" s="40" t="s">
        <v>207</v>
      </c>
      <c r="B2318" s="28">
        <v>3006</v>
      </c>
      <c r="C2318" s="28" t="s">
        <v>698</v>
      </c>
      <c r="D2318" s="28"/>
      <c r="E2318" s="41">
        <v>46139</v>
      </c>
      <c r="F2318" s="47">
        <v>0.10151620370370371</v>
      </c>
      <c r="G2318" s="44">
        <v>6.3</v>
      </c>
      <c r="H2318" s="43" t="s">
        <v>237</v>
      </c>
      <c r="I2318" s="40" t="s">
        <v>1281</v>
      </c>
    </row>
    <row r="2319" spans="1:9" x14ac:dyDescent="0.25">
      <c r="A2319" s="40" t="s">
        <v>207</v>
      </c>
      <c r="B2319" s="28">
        <v>3006</v>
      </c>
      <c r="C2319" s="28" t="s">
        <v>698</v>
      </c>
      <c r="D2319" s="28"/>
      <c r="E2319" s="41">
        <v>46139</v>
      </c>
      <c r="F2319" s="47">
        <v>0.10681712962962962</v>
      </c>
      <c r="G2319" s="44">
        <v>6.3</v>
      </c>
      <c r="H2319" s="43" t="s">
        <v>234</v>
      </c>
      <c r="I2319" s="40" t="s">
        <v>1281</v>
      </c>
    </row>
    <row r="2320" spans="1:9" x14ac:dyDescent="0.25">
      <c r="A2320" s="40" t="s">
        <v>207</v>
      </c>
      <c r="B2320" s="28">
        <v>3006</v>
      </c>
      <c r="C2320" s="28" t="s">
        <v>699</v>
      </c>
      <c r="D2320" s="28"/>
      <c r="E2320" s="41">
        <v>46139</v>
      </c>
      <c r="F2320" s="47">
        <v>0.75521990740740741</v>
      </c>
      <c r="G2320" s="44">
        <v>6.3</v>
      </c>
      <c r="H2320" s="43" t="s">
        <v>235</v>
      </c>
      <c r="I2320" s="40" t="s">
        <v>1281</v>
      </c>
    </row>
    <row r="2321" spans="1:9" x14ac:dyDescent="0.25">
      <c r="A2321" s="40" t="s">
        <v>207</v>
      </c>
      <c r="B2321" s="28">
        <v>3006</v>
      </c>
      <c r="C2321" s="28" t="s">
        <v>699</v>
      </c>
      <c r="D2321" s="28"/>
      <c r="E2321" s="41">
        <v>46139</v>
      </c>
      <c r="F2321" s="47">
        <v>0.7731365740740741</v>
      </c>
      <c r="G2321" s="44">
        <v>6.3</v>
      </c>
      <c r="H2321" s="43" t="s">
        <v>236</v>
      </c>
      <c r="I2321" s="40" t="s">
        <v>1281</v>
      </c>
    </row>
    <row r="2322" spans="1:9" x14ac:dyDescent="0.25">
      <c r="A2322" s="40" t="s">
        <v>207</v>
      </c>
      <c r="B2322" s="28">
        <v>3006</v>
      </c>
      <c r="C2322" s="28" t="s">
        <v>700</v>
      </c>
      <c r="D2322" s="28"/>
      <c r="E2322" s="45">
        <v>46140</v>
      </c>
      <c r="F2322" s="48">
        <v>0.98690972222222217</v>
      </c>
      <c r="G2322" s="44">
        <v>6.3</v>
      </c>
      <c r="H2322" s="43" t="s">
        <v>235</v>
      </c>
      <c r="I2322" s="40" t="s">
        <v>1281</v>
      </c>
    </row>
    <row r="2323" spans="1:9" x14ac:dyDescent="0.25">
      <c r="A2323" s="40" t="s">
        <v>207</v>
      </c>
      <c r="B2323" s="28">
        <v>3006</v>
      </c>
      <c r="C2323" s="28" t="s">
        <v>700</v>
      </c>
      <c r="D2323" s="28"/>
      <c r="E2323" s="41">
        <v>46140</v>
      </c>
      <c r="F2323" s="47">
        <v>0.99405092592592592</v>
      </c>
      <c r="G2323" s="44">
        <v>6.3</v>
      </c>
      <c r="H2323" s="43" t="s">
        <v>236</v>
      </c>
      <c r="I2323" s="40" t="s">
        <v>1281</v>
      </c>
    </row>
    <row r="2324" spans="1:9" x14ac:dyDescent="0.25">
      <c r="A2324" s="40" t="s">
        <v>207</v>
      </c>
      <c r="B2324" s="28">
        <v>3006</v>
      </c>
      <c r="C2324" s="28" t="s">
        <v>701</v>
      </c>
      <c r="D2324" s="28"/>
      <c r="E2324" s="41">
        <v>46141</v>
      </c>
      <c r="F2324" s="47">
        <v>0.84375</v>
      </c>
      <c r="G2324" s="44">
        <v>6.3</v>
      </c>
      <c r="H2324" s="43" t="s">
        <v>235</v>
      </c>
      <c r="I2324" s="40" t="s">
        <v>1281</v>
      </c>
    </row>
    <row r="2325" spans="1:9" x14ac:dyDescent="0.25">
      <c r="A2325" s="40" t="s">
        <v>207</v>
      </c>
      <c r="B2325" s="28">
        <v>3006</v>
      </c>
      <c r="C2325" s="28" t="s">
        <v>701</v>
      </c>
      <c r="D2325" s="28"/>
      <c r="E2325" s="41">
        <v>46141</v>
      </c>
      <c r="F2325" s="47">
        <v>0.86004629629629625</v>
      </c>
      <c r="G2325" s="44">
        <v>6.3</v>
      </c>
      <c r="H2325" s="43" t="s">
        <v>236</v>
      </c>
      <c r="I2325" s="40" t="s">
        <v>1281</v>
      </c>
    </row>
    <row r="2326" spans="1:9" x14ac:dyDescent="0.25">
      <c r="A2326" s="40" t="s">
        <v>207</v>
      </c>
      <c r="B2326" s="28">
        <v>3006</v>
      </c>
      <c r="C2326" s="28" t="s">
        <v>702</v>
      </c>
      <c r="D2326" s="28"/>
      <c r="E2326" s="41">
        <v>46141</v>
      </c>
      <c r="F2326" s="47">
        <v>0.9079976851851852</v>
      </c>
      <c r="G2326" s="44">
        <v>6.3</v>
      </c>
      <c r="H2326" s="43" t="s">
        <v>237</v>
      </c>
      <c r="I2326" s="40" t="s">
        <v>1281</v>
      </c>
    </row>
    <row r="2327" spans="1:9" x14ac:dyDescent="0.25">
      <c r="A2327" s="40" t="s">
        <v>207</v>
      </c>
      <c r="B2327" s="28">
        <v>3006</v>
      </c>
      <c r="C2327" s="28" t="s">
        <v>702</v>
      </c>
      <c r="D2327" s="28"/>
      <c r="E2327" s="41">
        <v>46141</v>
      </c>
      <c r="F2327" s="47">
        <v>0.91362268518518519</v>
      </c>
      <c r="G2327" s="44">
        <v>6.3</v>
      </c>
      <c r="H2327" s="43" t="s">
        <v>234</v>
      </c>
      <c r="I2327" s="40" t="s">
        <v>1281</v>
      </c>
    </row>
    <row r="2328" spans="1:9" x14ac:dyDescent="0.25">
      <c r="A2328" s="40" t="s">
        <v>207</v>
      </c>
      <c r="B2328" s="28">
        <v>3006</v>
      </c>
      <c r="C2328" s="28" t="s">
        <v>703</v>
      </c>
      <c r="D2328" s="28"/>
      <c r="E2328" s="41">
        <v>46141</v>
      </c>
      <c r="F2328" s="47">
        <v>0.97215277777777775</v>
      </c>
      <c r="G2328" s="44">
        <v>6.3</v>
      </c>
      <c r="H2328" s="43" t="s">
        <v>235</v>
      </c>
      <c r="I2328" s="40" t="s">
        <v>1281</v>
      </c>
    </row>
    <row r="2329" spans="1:9" x14ac:dyDescent="0.25">
      <c r="A2329" s="40" t="s">
        <v>207</v>
      </c>
      <c r="B2329" s="28">
        <v>3006</v>
      </c>
      <c r="C2329" s="28" t="s">
        <v>703</v>
      </c>
      <c r="D2329" s="28"/>
      <c r="E2329" s="41">
        <v>46141</v>
      </c>
      <c r="F2329" s="47">
        <v>0.97912037037037036</v>
      </c>
      <c r="G2329" s="44">
        <v>6.3</v>
      </c>
      <c r="H2329" s="43" t="s">
        <v>239</v>
      </c>
      <c r="I2329" s="40" t="s">
        <v>1281</v>
      </c>
    </row>
    <row r="2330" spans="1:9" x14ac:dyDescent="0.25">
      <c r="A2330" s="40" t="s">
        <v>207</v>
      </c>
      <c r="B2330" s="28">
        <v>3006</v>
      </c>
      <c r="C2330" s="28" t="s">
        <v>704</v>
      </c>
      <c r="D2330" s="28"/>
      <c r="E2330" s="41">
        <v>46142</v>
      </c>
      <c r="F2330" s="47">
        <v>0.12355324074074074</v>
      </c>
      <c r="G2330" s="44">
        <v>6.3</v>
      </c>
      <c r="H2330" s="43" t="s">
        <v>235</v>
      </c>
      <c r="I2330" s="40" t="s">
        <v>1281</v>
      </c>
    </row>
    <row r="2331" spans="1:9" x14ac:dyDescent="0.25">
      <c r="A2331" s="40" t="s">
        <v>207</v>
      </c>
      <c r="B2331" s="28">
        <v>3006</v>
      </c>
      <c r="C2331" s="28" t="s">
        <v>704</v>
      </c>
      <c r="D2331" s="28"/>
      <c r="E2331" s="41">
        <v>46142</v>
      </c>
      <c r="F2331" s="47">
        <v>0.13394675925925925</v>
      </c>
      <c r="G2331" s="44">
        <v>6.3</v>
      </c>
      <c r="H2331" s="43" t="s">
        <v>236</v>
      </c>
      <c r="I2331" s="40" t="s">
        <v>1281</v>
      </c>
    </row>
    <row r="2332" spans="1:9" x14ac:dyDescent="0.25">
      <c r="A2332" s="40" t="s">
        <v>207</v>
      </c>
      <c r="B2332" s="28">
        <v>3006</v>
      </c>
      <c r="C2332" s="28">
        <v>5642729</v>
      </c>
      <c r="D2332" s="28"/>
      <c r="E2332" s="41">
        <v>46142</v>
      </c>
      <c r="F2332" s="47">
        <v>0.8034027777777778</v>
      </c>
      <c r="G2332" s="44">
        <v>6.3</v>
      </c>
      <c r="H2332" s="43" t="s">
        <v>235</v>
      </c>
      <c r="I2332" s="40" t="s">
        <v>1281</v>
      </c>
    </row>
    <row r="2333" spans="1:9" x14ac:dyDescent="0.25">
      <c r="A2333" s="40" t="s">
        <v>207</v>
      </c>
      <c r="B2333" s="28">
        <v>3006</v>
      </c>
      <c r="C2333" s="28">
        <v>5642729</v>
      </c>
      <c r="D2333" s="28"/>
      <c r="E2333" s="45">
        <v>46142</v>
      </c>
      <c r="F2333" s="48">
        <v>0.81366898148148148</v>
      </c>
      <c r="G2333" s="44">
        <v>6.3</v>
      </c>
      <c r="H2333" s="43" t="s">
        <v>236</v>
      </c>
      <c r="I2333" s="40" t="s">
        <v>1281</v>
      </c>
    </row>
    <row r="2334" spans="1:9" x14ac:dyDescent="0.25">
      <c r="A2334" s="40" t="s">
        <v>207</v>
      </c>
      <c r="B2334" s="28">
        <v>3006</v>
      </c>
      <c r="C2334" s="28">
        <v>5645493</v>
      </c>
      <c r="D2334" s="28"/>
      <c r="E2334" s="41">
        <v>46142</v>
      </c>
      <c r="F2334" s="47">
        <v>0.94096064814814817</v>
      </c>
      <c r="G2334" s="44">
        <v>6.3</v>
      </c>
      <c r="H2334" s="43" t="s">
        <v>237</v>
      </c>
      <c r="I2334" s="40" t="s">
        <v>1281</v>
      </c>
    </row>
    <row r="2335" spans="1:9" x14ac:dyDescent="0.25">
      <c r="A2335" s="40" t="s">
        <v>207</v>
      </c>
      <c r="B2335" s="28">
        <v>3006</v>
      </c>
      <c r="C2335" s="28">
        <v>5645493</v>
      </c>
      <c r="D2335" s="28"/>
      <c r="E2335" s="41">
        <v>46142</v>
      </c>
      <c r="F2335" s="47">
        <v>0.95243055555555556</v>
      </c>
      <c r="G2335" s="44">
        <v>6.3</v>
      </c>
      <c r="H2335" s="43" t="s">
        <v>234</v>
      </c>
      <c r="I2335" s="40" t="s">
        <v>1282</v>
      </c>
    </row>
    <row r="2336" spans="1:9" x14ac:dyDescent="0.25">
      <c r="A2336" s="40" t="s">
        <v>207</v>
      </c>
      <c r="B2336" s="28">
        <v>3006</v>
      </c>
      <c r="C2336" s="28" t="s">
        <v>705</v>
      </c>
      <c r="D2336" s="28"/>
      <c r="E2336" s="41">
        <v>46143</v>
      </c>
      <c r="F2336" s="47">
        <v>0.20636574074074074</v>
      </c>
      <c r="G2336" s="42">
        <v>6.3</v>
      </c>
      <c r="H2336" s="40" t="s">
        <v>237</v>
      </c>
      <c r="I2336" s="40" t="s">
        <v>1282</v>
      </c>
    </row>
    <row r="2337" spans="1:9" x14ac:dyDescent="0.25">
      <c r="A2337" s="40" t="s">
        <v>207</v>
      </c>
      <c r="B2337" s="28">
        <v>3006</v>
      </c>
      <c r="C2337" s="28" t="s">
        <v>705</v>
      </c>
      <c r="D2337" s="28"/>
      <c r="E2337" s="41">
        <v>46143</v>
      </c>
      <c r="F2337" s="47">
        <v>0.21199074074074073</v>
      </c>
      <c r="G2337" s="42">
        <v>6.3</v>
      </c>
      <c r="H2337" s="40" t="s">
        <v>234</v>
      </c>
      <c r="I2337" s="40" t="s">
        <v>1282</v>
      </c>
    </row>
    <row r="2338" spans="1:9" x14ac:dyDescent="0.25">
      <c r="A2338" s="40" t="s">
        <v>706</v>
      </c>
      <c r="B2338" s="28">
        <v>3014</v>
      </c>
      <c r="C2338" s="28">
        <v>5644686</v>
      </c>
      <c r="D2338" s="28" t="s">
        <v>37</v>
      </c>
      <c r="E2338" s="41">
        <v>46143</v>
      </c>
      <c r="F2338" s="47">
        <v>0.18418981481481481</v>
      </c>
      <c r="G2338" s="42">
        <v>6.3</v>
      </c>
      <c r="H2338" s="40" t="s">
        <v>233</v>
      </c>
      <c r="I2338" s="40" t="s">
        <v>1282</v>
      </c>
    </row>
    <row r="2339" spans="1:9" x14ac:dyDescent="0.25">
      <c r="A2339" s="40" t="s">
        <v>706</v>
      </c>
      <c r="B2339" s="28">
        <v>3014</v>
      </c>
      <c r="C2339" s="28">
        <v>5644686</v>
      </c>
      <c r="D2339" s="28" t="s">
        <v>37</v>
      </c>
      <c r="E2339" s="41">
        <v>46143</v>
      </c>
      <c r="F2339" s="47">
        <v>0.19211805555555556</v>
      </c>
      <c r="G2339" s="42">
        <v>6.3</v>
      </c>
      <c r="H2339" s="40" t="s">
        <v>234</v>
      </c>
      <c r="I2339" s="40" t="s">
        <v>1282</v>
      </c>
    </row>
    <row r="2340" spans="1:9" x14ac:dyDescent="0.25">
      <c r="A2340" s="40" t="s">
        <v>706</v>
      </c>
      <c r="B2340" s="28">
        <v>3014</v>
      </c>
      <c r="C2340" s="28" t="s">
        <v>35</v>
      </c>
      <c r="D2340" s="28" t="s">
        <v>38</v>
      </c>
      <c r="E2340" s="41">
        <v>46145</v>
      </c>
      <c r="F2340" s="47">
        <v>0.36680555555555555</v>
      </c>
      <c r="G2340" s="42">
        <v>6.3</v>
      </c>
      <c r="H2340" s="40" t="s">
        <v>239</v>
      </c>
      <c r="I2340" s="40" t="s">
        <v>1282</v>
      </c>
    </row>
    <row r="2341" spans="1:9" x14ac:dyDescent="0.25">
      <c r="A2341" s="40" t="s">
        <v>706</v>
      </c>
      <c r="B2341" s="28">
        <v>3014</v>
      </c>
      <c r="C2341" s="28" t="s">
        <v>35</v>
      </c>
      <c r="D2341" s="28" t="s">
        <v>38</v>
      </c>
      <c r="E2341" s="41">
        <v>46145</v>
      </c>
      <c r="F2341" s="47">
        <v>0.75952546296296297</v>
      </c>
      <c r="G2341" s="42">
        <v>6.3</v>
      </c>
      <c r="H2341" s="40" t="s">
        <v>233</v>
      </c>
      <c r="I2341" s="40" t="s">
        <v>1282</v>
      </c>
    </row>
    <row r="2342" spans="1:9" x14ac:dyDescent="0.25">
      <c r="A2342" s="40" t="s">
        <v>706</v>
      </c>
      <c r="B2342" s="28">
        <v>3014</v>
      </c>
      <c r="C2342" s="28" t="s">
        <v>35</v>
      </c>
      <c r="D2342" s="28" t="s">
        <v>38</v>
      </c>
      <c r="E2342" s="41">
        <v>46145</v>
      </c>
      <c r="F2342" s="47">
        <v>0.76512731481481477</v>
      </c>
      <c r="G2342" s="44">
        <v>6.3</v>
      </c>
      <c r="H2342" s="43" t="s">
        <v>234</v>
      </c>
      <c r="I2342" s="40" t="s">
        <v>1282</v>
      </c>
    </row>
    <row r="2343" spans="1:9" x14ac:dyDescent="0.25">
      <c r="A2343" s="40" t="s">
        <v>93</v>
      </c>
      <c r="B2343" s="28">
        <v>3038</v>
      </c>
      <c r="C2343" s="28" t="s">
        <v>707</v>
      </c>
      <c r="D2343" s="28"/>
      <c r="E2343" s="41">
        <v>46139</v>
      </c>
      <c r="F2343" s="47">
        <v>0.1615625</v>
      </c>
      <c r="G2343" s="44">
        <v>6.3</v>
      </c>
      <c r="H2343" s="43" t="s">
        <v>237</v>
      </c>
      <c r="I2343" s="40" t="s">
        <v>1281</v>
      </c>
    </row>
    <row r="2344" spans="1:9" x14ac:dyDescent="0.25">
      <c r="A2344" s="40" t="s">
        <v>93</v>
      </c>
      <c r="B2344" s="28">
        <v>3038</v>
      </c>
      <c r="C2344" s="28" t="s">
        <v>707</v>
      </c>
      <c r="D2344" s="28"/>
      <c r="E2344" s="41">
        <v>46139</v>
      </c>
      <c r="F2344" s="47">
        <v>0.16726851851851851</v>
      </c>
      <c r="G2344" s="44">
        <v>6.3</v>
      </c>
      <c r="H2344" s="43" t="s">
        <v>234</v>
      </c>
      <c r="I2344" s="40" t="s">
        <v>1281</v>
      </c>
    </row>
    <row r="2345" spans="1:9" x14ac:dyDescent="0.25">
      <c r="A2345" s="40" t="s">
        <v>93</v>
      </c>
      <c r="B2345" s="28">
        <v>3038</v>
      </c>
      <c r="C2345" s="28" t="s">
        <v>708</v>
      </c>
      <c r="D2345" s="28"/>
      <c r="E2345" s="45">
        <v>46139</v>
      </c>
      <c r="F2345" s="48">
        <v>0.2575925925925926</v>
      </c>
      <c r="G2345" s="44">
        <v>6.3</v>
      </c>
      <c r="H2345" s="43" t="s">
        <v>235</v>
      </c>
      <c r="I2345" s="40" t="s">
        <v>1281</v>
      </c>
    </row>
    <row r="2346" spans="1:9" x14ac:dyDescent="0.25">
      <c r="A2346" s="40" t="s">
        <v>93</v>
      </c>
      <c r="B2346" s="28">
        <v>3038</v>
      </c>
      <c r="C2346" s="28" t="s">
        <v>708</v>
      </c>
      <c r="D2346" s="28"/>
      <c r="E2346" s="41">
        <v>46139</v>
      </c>
      <c r="F2346" s="47">
        <v>0.26693287037037039</v>
      </c>
      <c r="G2346" s="44">
        <v>6.3</v>
      </c>
      <c r="H2346" s="43" t="s">
        <v>239</v>
      </c>
      <c r="I2346" s="40" t="s">
        <v>1281</v>
      </c>
    </row>
    <row r="2347" spans="1:9" x14ac:dyDescent="0.25">
      <c r="A2347" s="40" t="s">
        <v>93</v>
      </c>
      <c r="B2347" s="28">
        <v>3038</v>
      </c>
      <c r="C2347" s="28" t="s">
        <v>709</v>
      </c>
      <c r="D2347" s="28"/>
      <c r="E2347" s="41">
        <v>46139</v>
      </c>
      <c r="F2347" s="47">
        <v>0.33689814814814817</v>
      </c>
      <c r="G2347" s="44">
        <v>6.3</v>
      </c>
      <c r="H2347" s="43" t="s">
        <v>233</v>
      </c>
      <c r="I2347" s="40" t="s">
        <v>1281</v>
      </c>
    </row>
    <row r="2348" spans="1:9" x14ac:dyDescent="0.25">
      <c r="A2348" s="40" t="s">
        <v>93</v>
      </c>
      <c r="B2348" s="28">
        <v>3038</v>
      </c>
      <c r="C2348" s="28" t="s">
        <v>709</v>
      </c>
      <c r="D2348" s="28"/>
      <c r="E2348" s="41">
        <v>46139</v>
      </c>
      <c r="F2348" s="47">
        <v>0.35393518518518519</v>
      </c>
      <c r="G2348" s="44">
        <v>6.3</v>
      </c>
      <c r="H2348" s="43" t="s">
        <v>234</v>
      </c>
      <c r="I2348" s="40" t="s">
        <v>1281</v>
      </c>
    </row>
    <row r="2349" spans="1:9" x14ac:dyDescent="0.25">
      <c r="A2349" s="40" t="s">
        <v>93</v>
      </c>
      <c r="B2349" s="28">
        <v>3038</v>
      </c>
      <c r="C2349" s="28" t="s">
        <v>710</v>
      </c>
      <c r="D2349" s="28"/>
      <c r="E2349" s="41">
        <v>46139</v>
      </c>
      <c r="F2349" s="47">
        <v>0.39133101851851854</v>
      </c>
      <c r="G2349" s="42">
        <v>6.3</v>
      </c>
      <c r="H2349" s="40" t="s">
        <v>235</v>
      </c>
      <c r="I2349" s="40" t="s">
        <v>1281</v>
      </c>
    </row>
    <row r="2350" spans="1:9" x14ac:dyDescent="0.25">
      <c r="A2350" s="40" t="s">
        <v>93</v>
      </c>
      <c r="B2350" s="28">
        <v>3038</v>
      </c>
      <c r="C2350" s="28" t="s">
        <v>710</v>
      </c>
      <c r="D2350" s="28"/>
      <c r="E2350" s="41">
        <v>46139</v>
      </c>
      <c r="F2350" s="47">
        <v>0.40841435185185188</v>
      </c>
      <c r="G2350" s="42">
        <v>6.3</v>
      </c>
      <c r="H2350" s="40" t="s">
        <v>236</v>
      </c>
      <c r="I2350" s="40" t="s">
        <v>1281</v>
      </c>
    </row>
    <row r="2351" spans="1:9" x14ac:dyDescent="0.25">
      <c r="A2351" s="40" t="s">
        <v>93</v>
      </c>
      <c r="B2351" s="28">
        <v>3038</v>
      </c>
      <c r="C2351" s="28" t="s">
        <v>711</v>
      </c>
      <c r="D2351" s="28"/>
      <c r="E2351" s="41">
        <v>46139</v>
      </c>
      <c r="F2351" s="47">
        <v>0.49258101851851854</v>
      </c>
      <c r="G2351" s="42">
        <v>6.3</v>
      </c>
      <c r="H2351" s="40" t="s">
        <v>237</v>
      </c>
      <c r="I2351" s="40" t="s">
        <v>1281</v>
      </c>
    </row>
    <row r="2352" spans="1:9" x14ac:dyDescent="0.25">
      <c r="A2352" s="40" t="s">
        <v>93</v>
      </c>
      <c r="B2352" s="28">
        <v>3038</v>
      </c>
      <c r="C2352" s="28" t="s">
        <v>711</v>
      </c>
      <c r="D2352" s="28"/>
      <c r="E2352" s="45">
        <v>46139</v>
      </c>
      <c r="F2352" s="48">
        <v>0.50109953703703702</v>
      </c>
      <c r="G2352" s="42">
        <v>6.3</v>
      </c>
      <c r="H2352" s="40" t="s">
        <v>234</v>
      </c>
      <c r="I2352" s="40" t="s">
        <v>1281</v>
      </c>
    </row>
    <row r="2353" spans="1:9" x14ac:dyDescent="0.25">
      <c r="A2353" s="40" t="s">
        <v>93</v>
      </c>
      <c r="B2353" s="28">
        <v>3038</v>
      </c>
      <c r="C2353" s="28" t="s">
        <v>712</v>
      </c>
      <c r="D2353" s="28"/>
      <c r="E2353" s="41">
        <v>46139</v>
      </c>
      <c r="F2353" s="47">
        <v>0.58071759259259259</v>
      </c>
      <c r="G2353" s="42">
        <v>6.3</v>
      </c>
      <c r="H2353" s="40" t="s">
        <v>235</v>
      </c>
      <c r="I2353" s="40" t="s">
        <v>1281</v>
      </c>
    </row>
    <row r="2354" spans="1:9" x14ac:dyDescent="0.25">
      <c r="A2354" s="40" t="s">
        <v>93</v>
      </c>
      <c r="B2354" s="28">
        <v>3038</v>
      </c>
      <c r="C2354" s="28" t="s">
        <v>712</v>
      </c>
      <c r="D2354" s="28"/>
      <c r="E2354" s="41">
        <v>46139</v>
      </c>
      <c r="F2354" s="47">
        <v>0.5886689814814815</v>
      </c>
      <c r="G2354" s="42">
        <v>6.3</v>
      </c>
      <c r="H2354" s="40" t="s">
        <v>236</v>
      </c>
      <c r="I2354" s="40" t="s">
        <v>1281</v>
      </c>
    </row>
    <row r="2355" spans="1:9" x14ac:dyDescent="0.25">
      <c r="A2355" s="40" t="s">
        <v>93</v>
      </c>
      <c r="B2355" s="28">
        <v>3038</v>
      </c>
      <c r="C2355" s="28" t="s">
        <v>713</v>
      </c>
      <c r="D2355" s="28"/>
      <c r="E2355" s="41">
        <v>46140</v>
      </c>
      <c r="F2355" s="47">
        <v>0.18031249999999999</v>
      </c>
      <c r="G2355" s="44">
        <v>6.3</v>
      </c>
      <c r="H2355" s="43" t="s">
        <v>233</v>
      </c>
      <c r="I2355" s="40" t="s">
        <v>1281</v>
      </c>
    </row>
    <row r="2356" spans="1:9" x14ac:dyDescent="0.25">
      <c r="A2356" s="40" t="s">
        <v>93</v>
      </c>
      <c r="B2356" s="28">
        <v>3038</v>
      </c>
      <c r="C2356" s="28" t="s">
        <v>713</v>
      </c>
      <c r="D2356" s="28"/>
      <c r="E2356" s="41">
        <v>46140</v>
      </c>
      <c r="F2356" s="47">
        <v>0.18587962962962962</v>
      </c>
      <c r="G2356" s="44">
        <v>6.3</v>
      </c>
      <c r="H2356" s="43" t="s">
        <v>234</v>
      </c>
      <c r="I2356" s="40" t="s">
        <v>1281</v>
      </c>
    </row>
    <row r="2357" spans="1:9" x14ac:dyDescent="0.25">
      <c r="A2357" s="40" t="s">
        <v>93</v>
      </c>
      <c r="B2357" s="28">
        <v>3038</v>
      </c>
      <c r="C2357" s="28" t="s">
        <v>714</v>
      </c>
      <c r="D2357" s="28"/>
      <c r="E2357" s="41">
        <v>46140</v>
      </c>
      <c r="F2357" s="47">
        <v>0.24512731481481481</v>
      </c>
      <c r="G2357" s="44">
        <v>6.3</v>
      </c>
      <c r="H2357" s="43" t="s">
        <v>235</v>
      </c>
      <c r="I2357" s="40" t="s">
        <v>1281</v>
      </c>
    </row>
    <row r="2358" spans="1:9" x14ac:dyDescent="0.25">
      <c r="A2358" s="40" t="s">
        <v>93</v>
      </c>
      <c r="B2358" s="28">
        <v>3038</v>
      </c>
      <c r="C2358" s="28" t="s">
        <v>714</v>
      </c>
      <c r="D2358" s="28"/>
      <c r="E2358" s="41">
        <v>46140</v>
      </c>
      <c r="F2358" s="47">
        <v>0.25457175925925923</v>
      </c>
      <c r="G2358" s="44">
        <v>6.3</v>
      </c>
      <c r="H2358" s="43" t="s">
        <v>239</v>
      </c>
      <c r="I2358" s="40" t="s">
        <v>1281</v>
      </c>
    </row>
    <row r="2359" spans="1:9" x14ac:dyDescent="0.25">
      <c r="A2359" s="40" t="s">
        <v>93</v>
      </c>
      <c r="B2359" s="28">
        <v>3038</v>
      </c>
      <c r="C2359" s="28" t="s">
        <v>715</v>
      </c>
      <c r="D2359" s="28"/>
      <c r="E2359" s="41">
        <v>46140</v>
      </c>
      <c r="F2359" s="47">
        <v>0.29768518518518516</v>
      </c>
      <c r="G2359" s="44">
        <v>6.3</v>
      </c>
      <c r="H2359" s="43" t="s">
        <v>237</v>
      </c>
      <c r="I2359" s="40" t="s">
        <v>1281</v>
      </c>
    </row>
    <row r="2360" spans="1:9" x14ac:dyDescent="0.25">
      <c r="A2360" s="40" t="s">
        <v>93</v>
      </c>
      <c r="B2360" s="28">
        <v>3038</v>
      </c>
      <c r="C2360" s="28" t="s">
        <v>715</v>
      </c>
      <c r="D2360" s="28"/>
      <c r="E2360" s="45">
        <v>46140</v>
      </c>
      <c r="F2360" s="48">
        <v>0.30489583333333331</v>
      </c>
      <c r="G2360" s="44">
        <v>6.3</v>
      </c>
      <c r="H2360" s="43" t="s">
        <v>234</v>
      </c>
      <c r="I2360" s="40" t="s">
        <v>1281</v>
      </c>
    </row>
    <row r="2361" spans="1:9" x14ac:dyDescent="0.25">
      <c r="A2361" s="40" t="s">
        <v>93</v>
      </c>
      <c r="B2361" s="28">
        <v>3038</v>
      </c>
      <c r="C2361" s="28" t="s">
        <v>716</v>
      </c>
      <c r="D2361" s="28"/>
      <c r="E2361" s="41">
        <v>46140</v>
      </c>
      <c r="F2361" s="47">
        <v>0.43452546296296296</v>
      </c>
      <c r="G2361" s="42">
        <v>6.3</v>
      </c>
      <c r="H2361" s="40" t="s">
        <v>235</v>
      </c>
      <c r="I2361" s="40" t="s">
        <v>1281</v>
      </c>
    </row>
    <row r="2362" spans="1:9" x14ac:dyDescent="0.25">
      <c r="A2362" s="40" t="s">
        <v>93</v>
      </c>
      <c r="B2362" s="28">
        <v>3038</v>
      </c>
      <c r="C2362" s="28" t="s">
        <v>716</v>
      </c>
      <c r="D2362" s="28"/>
      <c r="E2362" s="41">
        <v>46140</v>
      </c>
      <c r="F2362" s="47">
        <v>0.44586805555555553</v>
      </c>
      <c r="G2362" s="42">
        <v>6.3</v>
      </c>
      <c r="H2362" s="40" t="s">
        <v>236</v>
      </c>
      <c r="I2362" s="40" t="s">
        <v>1281</v>
      </c>
    </row>
    <row r="2363" spans="1:9" x14ac:dyDescent="0.25">
      <c r="A2363" s="40" t="s">
        <v>93</v>
      </c>
      <c r="B2363" s="28">
        <v>3038</v>
      </c>
      <c r="C2363" s="28" t="s">
        <v>717</v>
      </c>
      <c r="D2363" s="28"/>
      <c r="E2363" s="45">
        <v>46140</v>
      </c>
      <c r="F2363" s="48">
        <v>0.52510416666666671</v>
      </c>
      <c r="G2363" s="42">
        <v>6.3</v>
      </c>
      <c r="H2363" s="40" t="s">
        <v>237</v>
      </c>
      <c r="I2363" s="40" t="s">
        <v>1281</v>
      </c>
    </row>
    <row r="2364" spans="1:9" x14ac:dyDescent="0.25">
      <c r="A2364" s="40" t="s">
        <v>93</v>
      </c>
      <c r="B2364" s="28">
        <v>3038</v>
      </c>
      <c r="C2364" s="28" t="s">
        <v>717</v>
      </c>
      <c r="D2364" s="28"/>
      <c r="E2364" s="45">
        <v>46140</v>
      </c>
      <c r="F2364" s="48">
        <v>0.53256944444444443</v>
      </c>
      <c r="G2364" s="42">
        <v>6.3</v>
      </c>
      <c r="H2364" s="40" t="s">
        <v>234</v>
      </c>
      <c r="I2364" s="40" t="s">
        <v>1281</v>
      </c>
    </row>
    <row r="2365" spans="1:9" x14ac:dyDescent="0.25">
      <c r="A2365" s="40" t="s">
        <v>93</v>
      </c>
      <c r="B2365" s="28">
        <v>3038</v>
      </c>
      <c r="C2365" s="28" t="s">
        <v>718</v>
      </c>
      <c r="D2365" s="28"/>
      <c r="E2365" s="41">
        <v>46140</v>
      </c>
      <c r="F2365" s="47">
        <v>0.58383101851851849</v>
      </c>
      <c r="G2365" s="42">
        <v>6.3</v>
      </c>
      <c r="H2365" s="40" t="s">
        <v>235</v>
      </c>
      <c r="I2365" s="40" t="s">
        <v>1281</v>
      </c>
    </row>
    <row r="2366" spans="1:9" x14ac:dyDescent="0.25">
      <c r="A2366" s="40" t="s">
        <v>93</v>
      </c>
      <c r="B2366" s="28">
        <v>3038</v>
      </c>
      <c r="C2366" s="28" t="s">
        <v>718</v>
      </c>
      <c r="D2366" s="28"/>
      <c r="E2366" s="45">
        <v>46140</v>
      </c>
      <c r="F2366" s="48">
        <v>0.59284722222222219</v>
      </c>
      <c r="G2366" s="42">
        <v>6.3</v>
      </c>
      <c r="H2366" s="40" t="s">
        <v>236</v>
      </c>
      <c r="I2366" s="40" t="s">
        <v>1281</v>
      </c>
    </row>
    <row r="2367" spans="1:9" x14ac:dyDescent="0.25">
      <c r="A2367" s="40" t="s">
        <v>93</v>
      </c>
      <c r="B2367" s="28">
        <v>3038</v>
      </c>
      <c r="C2367" s="28" t="s">
        <v>719</v>
      </c>
      <c r="D2367" s="28"/>
      <c r="E2367" s="41">
        <v>46141</v>
      </c>
      <c r="F2367" s="47">
        <v>0.17486111111111111</v>
      </c>
      <c r="G2367" s="44">
        <v>6.3</v>
      </c>
      <c r="H2367" s="43" t="s">
        <v>237</v>
      </c>
      <c r="I2367" s="40" t="s">
        <v>1281</v>
      </c>
    </row>
    <row r="2368" spans="1:9" x14ac:dyDescent="0.25">
      <c r="A2368" s="40" t="s">
        <v>93</v>
      </c>
      <c r="B2368" s="28">
        <v>3038</v>
      </c>
      <c r="C2368" s="28" t="s">
        <v>719</v>
      </c>
      <c r="D2368" s="28"/>
      <c r="E2368" s="45">
        <v>46141</v>
      </c>
      <c r="F2368" s="48">
        <v>0.18084490740740741</v>
      </c>
      <c r="G2368" s="44">
        <v>6.3</v>
      </c>
      <c r="H2368" s="43" t="s">
        <v>234</v>
      </c>
      <c r="I2368" s="40" t="s">
        <v>1281</v>
      </c>
    </row>
    <row r="2369" spans="1:9" x14ac:dyDescent="0.25">
      <c r="A2369" s="40" t="s">
        <v>93</v>
      </c>
      <c r="B2369" s="28">
        <v>3038</v>
      </c>
      <c r="C2369" s="28" t="s">
        <v>720</v>
      </c>
      <c r="D2369" s="28"/>
      <c r="E2369" s="45">
        <v>46141</v>
      </c>
      <c r="F2369" s="48">
        <v>0.35270833333333335</v>
      </c>
      <c r="G2369" s="44">
        <v>6.3</v>
      </c>
      <c r="H2369" s="43" t="s">
        <v>235</v>
      </c>
      <c r="I2369" s="40" t="s">
        <v>1281</v>
      </c>
    </row>
    <row r="2370" spans="1:9" x14ac:dyDescent="0.25">
      <c r="A2370" s="40" t="s">
        <v>93</v>
      </c>
      <c r="B2370" s="28">
        <v>3038</v>
      </c>
      <c r="C2370" s="28" t="s">
        <v>720</v>
      </c>
      <c r="D2370" s="28"/>
      <c r="E2370" s="41">
        <v>46141</v>
      </c>
      <c r="F2370" s="47">
        <v>0.36765046296296294</v>
      </c>
      <c r="G2370" s="44">
        <v>6.3</v>
      </c>
      <c r="H2370" s="43" t="s">
        <v>236</v>
      </c>
      <c r="I2370" s="40" t="s">
        <v>1281</v>
      </c>
    </row>
    <row r="2371" spans="1:9" x14ac:dyDescent="0.25">
      <c r="A2371" s="40" t="s">
        <v>93</v>
      </c>
      <c r="B2371" s="28">
        <v>3038</v>
      </c>
      <c r="C2371" s="28" t="s">
        <v>721</v>
      </c>
      <c r="D2371" s="28"/>
      <c r="E2371" s="41">
        <v>46142</v>
      </c>
      <c r="F2371" s="47">
        <v>0.14354166666666668</v>
      </c>
      <c r="G2371" s="44">
        <v>6.3</v>
      </c>
      <c r="H2371" s="43" t="s">
        <v>237</v>
      </c>
      <c r="I2371" s="40" t="s">
        <v>1281</v>
      </c>
    </row>
    <row r="2372" spans="1:9" x14ac:dyDescent="0.25">
      <c r="A2372" s="40" t="s">
        <v>93</v>
      </c>
      <c r="B2372" s="28">
        <v>3038</v>
      </c>
      <c r="C2372" s="28" t="s">
        <v>721</v>
      </c>
      <c r="D2372" s="28"/>
      <c r="E2372" s="41">
        <v>46142</v>
      </c>
      <c r="F2372" s="47">
        <v>0.14947916666666666</v>
      </c>
      <c r="G2372" s="44">
        <v>6.3</v>
      </c>
      <c r="H2372" s="43" t="s">
        <v>234</v>
      </c>
      <c r="I2372" s="40" t="s">
        <v>1281</v>
      </c>
    </row>
    <row r="2373" spans="1:9" x14ac:dyDescent="0.25">
      <c r="A2373" s="40" t="s">
        <v>93</v>
      </c>
      <c r="B2373" s="28">
        <v>3038</v>
      </c>
      <c r="C2373" s="28" t="s">
        <v>722</v>
      </c>
      <c r="D2373" s="28"/>
      <c r="E2373" s="41">
        <v>46142</v>
      </c>
      <c r="F2373" s="47">
        <v>0.24361111111111111</v>
      </c>
      <c r="G2373" s="44">
        <v>6.3</v>
      </c>
      <c r="H2373" s="43" t="s">
        <v>238</v>
      </c>
      <c r="I2373" s="40" t="s">
        <v>1281</v>
      </c>
    </row>
    <row r="2374" spans="1:9" x14ac:dyDescent="0.25">
      <c r="A2374" s="40" t="s">
        <v>93</v>
      </c>
      <c r="B2374" s="28">
        <v>3038</v>
      </c>
      <c r="C2374" s="28" t="s">
        <v>722</v>
      </c>
      <c r="D2374" s="28"/>
      <c r="E2374" s="41">
        <v>46142</v>
      </c>
      <c r="F2374" s="47">
        <v>0.24831018518518519</v>
      </c>
      <c r="G2374" s="44">
        <v>6.3</v>
      </c>
      <c r="H2374" s="43" t="s">
        <v>234</v>
      </c>
      <c r="I2374" s="40" t="s">
        <v>1281</v>
      </c>
    </row>
    <row r="2375" spans="1:9" x14ac:dyDescent="0.25">
      <c r="A2375" s="40" t="s">
        <v>93</v>
      </c>
      <c r="B2375" s="28">
        <v>3038</v>
      </c>
      <c r="C2375" s="28" t="s">
        <v>723</v>
      </c>
      <c r="D2375" s="28"/>
      <c r="E2375" s="41">
        <v>46143</v>
      </c>
      <c r="F2375" s="47">
        <v>0.23466435185185186</v>
      </c>
      <c r="G2375" s="44">
        <v>6.3</v>
      </c>
      <c r="H2375" s="43" t="s">
        <v>237</v>
      </c>
      <c r="I2375" s="40" t="s">
        <v>1282</v>
      </c>
    </row>
    <row r="2376" spans="1:9" x14ac:dyDescent="0.25">
      <c r="A2376" s="40" t="s">
        <v>93</v>
      </c>
      <c r="B2376" s="28">
        <v>3038</v>
      </c>
      <c r="C2376" s="28" t="s">
        <v>723</v>
      </c>
      <c r="D2376" s="28"/>
      <c r="E2376" s="41">
        <v>46143</v>
      </c>
      <c r="F2376" s="47">
        <v>0.24048611111111112</v>
      </c>
      <c r="G2376" s="44">
        <v>6.3</v>
      </c>
      <c r="H2376" s="43" t="s">
        <v>234</v>
      </c>
      <c r="I2376" s="40" t="s">
        <v>1282</v>
      </c>
    </row>
    <row r="2377" spans="1:9" x14ac:dyDescent="0.25">
      <c r="A2377" s="40" t="s">
        <v>93</v>
      </c>
      <c r="B2377" s="28">
        <v>3038</v>
      </c>
      <c r="C2377" s="28" t="s">
        <v>724</v>
      </c>
      <c r="D2377" s="28"/>
      <c r="E2377" s="41">
        <v>46143</v>
      </c>
      <c r="F2377" s="47">
        <v>0.32340277777777776</v>
      </c>
      <c r="G2377" s="44">
        <v>6.3</v>
      </c>
      <c r="H2377" s="43" t="s">
        <v>235</v>
      </c>
      <c r="I2377" s="40" t="s">
        <v>1282</v>
      </c>
    </row>
    <row r="2378" spans="1:9" x14ac:dyDescent="0.25">
      <c r="A2378" s="40" t="s">
        <v>93</v>
      </c>
      <c r="B2378" s="28">
        <v>3038</v>
      </c>
      <c r="C2378" s="28" t="s">
        <v>724</v>
      </c>
      <c r="D2378" s="28"/>
      <c r="E2378" s="41">
        <v>46143</v>
      </c>
      <c r="F2378" s="47">
        <v>0.33041666666666669</v>
      </c>
      <c r="G2378" s="44">
        <v>6.3</v>
      </c>
      <c r="H2378" s="43" t="s">
        <v>239</v>
      </c>
      <c r="I2378" s="40" t="s">
        <v>1282</v>
      </c>
    </row>
    <row r="2379" spans="1:9" x14ac:dyDescent="0.25">
      <c r="A2379" s="40" t="s">
        <v>93</v>
      </c>
      <c r="B2379" s="28">
        <v>3038</v>
      </c>
      <c r="C2379" s="28" t="s">
        <v>725</v>
      </c>
      <c r="D2379" s="28"/>
      <c r="E2379" s="41">
        <v>46144</v>
      </c>
      <c r="F2379" s="47">
        <v>0.32837962962962963</v>
      </c>
      <c r="G2379" s="44">
        <v>6.3</v>
      </c>
      <c r="H2379" s="43" t="s">
        <v>235</v>
      </c>
      <c r="I2379" s="40" t="s">
        <v>1282</v>
      </c>
    </row>
    <row r="2380" spans="1:9" x14ac:dyDescent="0.25">
      <c r="A2380" s="40" t="s">
        <v>93</v>
      </c>
      <c r="B2380" s="28">
        <v>3038</v>
      </c>
      <c r="C2380" s="28" t="s">
        <v>725</v>
      </c>
      <c r="D2380" s="28"/>
      <c r="E2380" s="41">
        <v>46144</v>
      </c>
      <c r="F2380" s="47">
        <v>0.33796296296296297</v>
      </c>
      <c r="G2380" s="44">
        <v>6.3</v>
      </c>
      <c r="H2380" s="43" t="s">
        <v>236</v>
      </c>
      <c r="I2380" s="40" t="s">
        <v>1282</v>
      </c>
    </row>
    <row r="2381" spans="1:9" x14ac:dyDescent="0.25">
      <c r="A2381" s="40" t="s">
        <v>93</v>
      </c>
      <c r="B2381" s="28">
        <v>3038</v>
      </c>
      <c r="C2381" s="28" t="s">
        <v>726</v>
      </c>
      <c r="D2381" s="28"/>
      <c r="E2381" s="41">
        <v>46144</v>
      </c>
      <c r="F2381" s="47">
        <v>0.38785879629629627</v>
      </c>
      <c r="G2381" s="44">
        <v>6.3</v>
      </c>
      <c r="H2381" s="43" t="s">
        <v>237</v>
      </c>
      <c r="I2381" s="40" t="s">
        <v>1282</v>
      </c>
    </row>
    <row r="2382" spans="1:9" x14ac:dyDescent="0.25">
      <c r="A2382" s="40" t="s">
        <v>93</v>
      </c>
      <c r="B2382" s="28">
        <v>3038</v>
      </c>
      <c r="C2382" s="28" t="s">
        <v>726</v>
      </c>
      <c r="D2382" s="28"/>
      <c r="E2382" s="41">
        <v>46144</v>
      </c>
      <c r="F2382" s="47">
        <v>0.39401620370370372</v>
      </c>
      <c r="G2382" s="44">
        <v>6.3</v>
      </c>
      <c r="H2382" s="43" t="s">
        <v>234</v>
      </c>
      <c r="I2382" s="40" t="s">
        <v>1282</v>
      </c>
    </row>
    <row r="2383" spans="1:9" x14ac:dyDescent="0.25">
      <c r="A2383" s="40" t="s">
        <v>93</v>
      </c>
      <c r="B2383" s="28">
        <v>3038</v>
      </c>
      <c r="C2383" s="28">
        <v>5646054</v>
      </c>
      <c r="D2383" s="28"/>
      <c r="E2383" s="41">
        <v>46144</v>
      </c>
      <c r="F2383" s="47">
        <v>0.51288194444444446</v>
      </c>
      <c r="G2383" s="44">
        <v>6.3</v>
      </c>
      <c r="H2383" s="43" t="s">
        <v>235</v>
      </c>
      <c r="I2383" s="40" t="s">
        <v>1282</v>
      </c>
    </row>
    <row r="2384" spans="1:9" x14ac:dyDescent="0.25">
      <c r="A2384" s="40" t="s">
        <v>93</v>
      </c>
      <c r="B2384" s="28">
        <v>3038</v>
      </c>
      <c r="C2384" s="28" t="s">
        <v>727</v>
      </c>
      <c r="D2384" s="28"/>
      <c r="E2384" s="41">
        <v>46145</v>
      </c>
      <c r="F2384" s="47">
        <v>0.14528935185185185</v>
      </c>
      <c r="G2384" s="44">
        <v>6.3</v>
      </c>
      <c r="H2384" s="43" t="s">
        <v>233</v>
      </c>
      <c r="I2384" s="40" t="s">
        <v>1282</v>
      </c>
    </row>
    <row r="2385" spans="1:9" x14ac:dyDescent="0.25">
      <c r="A2385" s="40" t="s">
        <v>93</v>
      </c>
      <c r="B2385" s="28">
        <v>3038</v>
      </c>
      <c r="C2385" s="28" t="s">
        <v>727</v>
      </c>
      <c r="D2385" s="28"/>
      <c r="E2385" s="41">
        <v>46145</v>
      </c>
      <c r="F2385" s="47">
        <v>0.15063657407407408</v>
      </c>
      <c r="G2385" s="44">
        <v>6.3</v>
      </c>
      <c r="H2385" s="43" t="s">
        <v>234</v>
      </c>
      <c r="I2385" s="40" t="s">
        <v>1282</v>
      </c>
    </row>
    <row r="2386" spans="1:9" x14ac:dyDescent="0.25">
      <c r="A2386" s="40" t="s">
        <v>93</v>
      </c>
      <c r="B2386" s="28">
        <v>3038</v>
      </c>
      <c r="C2386" s="28" t="s">
        <v>728</v>
      </c>
      <c r="D2386" s="28"/>
      <c r="E2386" s="45">
        <v>46145</v>
      </c>
      <c r="F2386" s="48">
        <v>0.17538194444444444</v>
      </c>
      <c r="G2386" s="44">
        <v>6.3</v>
      </c>
      <c r="H2386" s="43" t="s">
        <v>235</v>
      </c>
      <c r="I2386" s="40" t="s">
        <v>1282</v>
      </c>
    </row>
    <row r="2387" spans="1:9" x14ac:dyDescent="0.25">
      <c r="A2387" s="40" t="s">
        <v>93</v>
      </c>
      <c r="B2387" s="28">
        <v>3038</v>
      </c>
      <c r="C2387" s="28" t="s">
        <v>728</v>
      </c>
      <c r="D2387" s="28"/>
      <c r="E2387" s="41">
        <v>46145</v>
      </c>
      <c r="F2387" s="47">
        <v>0.18228009259259259</v>
      </c>
      <c r="G2387" s="44">
        <v>6.3</v>
      </c>
      <c r="H2387" s="43" t="s">
        <v>239</v>
      </c>
      <c r="I2387" s="40" t="s">
        <v>1282</v>
      </c>
    </row>
    <row r="2388" spans="1:9" x14ac:dyDescent="0.25">
      <c r="A2388" s="40" t="s">
        <v>93</v>
      </c>
      <c r="B2388" s="28">
        <v>3038</v>
      </c>
      <c r="C2388" s="28" t="s">
        <v>728</v>
      </c>
      <c r="D2388" s="28"/>
      <c r="E2388" s="41">
        <v>46145</v>
      </c>
      <c r="F2388" s="47">
        <v>0.19771990740740741</v>
      </c>
      <c r="G2388" s="44">
        <v>6.3</v>
      </c>
      <c r="H2388" s="43" t="s">
        <v>233</v>
      </c>
      <c r="I2388" s="40" t="s">
        <v>1282</v>
      </c>
    </row>
    <row r="2389" spans="1:9" x14ac:dyDescent="0.25">
      <c r="A2389" s="40" t="s">
        <v>93</v>
      </c>
      <c r="B2389" s="28">
        <v>3038</v>
      </c>
      <c r="C2389" s="28" t="s">
        <v>728</v>
      </c>
      <c r="D2389" s="28"/>
      <c r="E2389" s="45">
        <v>46145</v>
      </c>
      <c r="F2389" s="48">
        <v>0.20336805555555557</v>
      </c>
      <c r="G2389" s="44">
        <v>6.3</v>
      </c>
      <c r="H2389" s="43" t="s">
        <v>234</v>
      </c>
      <c r="I2389" s="40" t="s">
        <v>1282</v>
      </c>
    </row>
    <row r="2390" spans="1:9" x14ac:dyDescent="0.25">
      <c r="A2390" s="40" t="s">
        <v>93</v>
      </c>
      <c r="B2390" s="28">
        <v>3038</v>
      </c>
      <c r="C2390" s="28" t="s">
        <v>729</v>
      </c>
      <c r="D2390" s="28"/>
      <c r="E2390" s="45">
        <v>46145</v>
      </c>
      <c r="F2390" s="48">
        <v>0.47562500000000002</v>
      </c>
      <c r="G2390" s="44">
        <v>6.3</v>
      </c>
      <c r="H2390" s="43" t="s">
        <v>235</v>
      </c>
      <c r="I2390" s="40" t="s">
        <v>1282</v>
      </c>
    </row>
    <row r="2391" spans="1:9" x14ac:dyDescent="0.25">
      <c r="A2391" s="40" t="s">
        <v>93</v>
      </c>
      <c r="B2391" s="28">
        <v>3038</v>
      </c>
      <c r="C2391" s="28" t="s">
        <v>729</v>
      </c>
      <c r="D2391" s="28"/>
      <c r="E2391" s="45">
        <v>46145</v>
      </c>
      <c r="F2391" s="48">
        <v>0.48444444444444446</v>
      </c>
      <c r="G2391" s="44">
        <v>6.3</v>
      </c>
      <c r="H2391" s="43" t="s">
        <v>236</v>
      </c>
      <c r="I2391" s="40" t="s">
        <v>1282</v>
      </c>
    </row>
    <row r="2392" spans="1:9" x14ac:dyDescent="0.25">
      <c r="A2392" s="40" t="s">
        <v>93</v>
      </c>
      <c r="B2392" s="28">
        <v>3038</v>
      </c>
      <c r="C2392" s="28">
        <v>5647678</v>
      </c>
      <c r="D2392" s="28"/>
      <c r="E2392" s="41">
        <v>46145</v>
      </c>
      <c r="F2392" s="47">
        <v>0.51880787037037035</v>
      </c>
      <c r="G2392" s="44">
        <v>6.3</v>
      </c>
      <c r="H2392" s="43" t="s">
        <v>237</v>
      </c>
      <c r="I2392" s="40" t="s">
        <v>1282</v>
      </c>
    </row>
    <row r="2393" spans="1:9" x14ac:dyDescent="0.25">
      <c r="A2393" s="40" t="s">
        <v>93</v>
      </c>
      <c r="B2393" s="28">
        <v>3038</v>
      </c>
      <c r="C2393" s="28">
        <v>5647678</v>
      </c>
      <c r="D2393" s="28"/>
      <c r="E2393" s="45">
        <v>46145</v>
      </c>
      <c r="F2393" s="48">
        <v>0.52432870370370366</v>
      </c>
      <c r="G2393" s="44">
        <v>6.3</v>
      </c>
      <c r="H2393" s="43" t="s">
        <v>234</v>
      </c>
      <c r="I2393" s="40" t="s">
        <v>1282</v>
      </c>
    </row>
    <row r="2394" spans="1:9" x14ac:dyDescent="0.25">
      <c r="A2394" s="40" t="s">
        <v>205</v>
      </c>
      <c r="B2394" s="28">
        <v>3041</v>
      </c>
      <c r="C2394" s="28" t="s">
        <v>730</v>
      </c>
      <c r="D2394" s="28"/>
      <c r="E2394" s="41">
        <v>46139</v>
      </c>
      <c r="F2394" s="47">
        <v>0.93935185185185188</v>
      </c>
      <c r="G2394" s="44">
        <v>6.3</v>
      </c>
      <c r="H2394" s="43" t="s">
        <v>235</v>
      </c>
      <c r="I2394" s="40" t="s">
        <v>1281</v>
      </c>
    </row>
    <row r="2395" spans="1:9" x14ac:dyDescent="0.25">
      <c r="A2395" s="40" t="s">
        <v>205</v>
      </c>
      <c r="B2395" s="28">
        <v>3041</v>
      </c>
      <c r="C2395" s="28" t="s">
        <v>730</v>
      </c>
      <c r="D2395" s="28"/>
      <c r="E2395" s="41">
        <v>46139</v>
      </c>
      <c r="F2395" s="47">
        <v>0.94721064814814815</v>
      </c>
      <c r="G2395" s="44">
        <v>6.3</v>
      </c>
      <c r="H2395" s="43" t="s">
        <v>236</v>
      </c>
      <c r="I2395" s="40" t="s">
        <v>1281</v>
      </c>
    </row>
    <row r="2396" spans="1:9" x14ac:dyDescent="0.25">
      <c r="A2396" s="40" t="s">
        <v>205</v>
      </c>
      <c r="B2396" s="28">
        <v>3041</v>
      </c>
      <c r="C2396" s="28" t="s">
        <v>35</v>
      </c>
      <c r="D2396" s="28" t="s">
        <v>38</v>
      </c>
      <c r="E2396" s="41">
        <v>46139</v>
      </c>
      <c r="F2396" s="47">
        <v>0.97113425925925922</v>
      </c>
      <c r="G2396" s="44">
        <v>6.3</v>
      </c>
      <c r="H2396" s="43" t="s">
        <v>237</v>
      </c>
      <c r="I2396" s="40" t="s">
        <v>1281</v>
      </c>
    </row>
    <row r="2397" spans="1:9" x14ac:dyDescent="0.25">
      <c r="A2397" s="40" t="s">
        <v>205</v>
      </c>
      <c r="B2397" s="28">
        <v>3041</v>
      </c>
      <c r="C2397" s="28">
        <v>10557443</v>
      </c>
      <c r="D2397" s="28"/>
      <c r="E2397" s="41">
        <v>46140</v>
      </c>
      <c r="F2397" s="47">
        <v>0.43700231481481483</v>
      </c>
      <c r="G2397" s="44">
        <v>6.3</v>
      </c>
      <c r="H2397" s="43" t="s">
        <v>235</v>
      </c>
      <c r="I2397" s="40" t="s">
        <v>1281</v>
      </c>
    </row>
    <row r="2398" spans="1:9" x14ac:dyDescent="0.25">
      <c r="A2398" s="40" t="s">
        <v>205</v>
      </c>
      <c r="B2398" s="28">
        <v>3041</v>
      </c>
      <c r="C2398" s="28">
        <v>10557443</v>
      </c>
      <c r="D2398" s="28"/>
      <c r="E2398" s="41">
        <v>46140</v>
      </c>
      <c r="F2398" s="47">
        <v>0.44797453703703705</v>
      </c>
      <c r="G2398" s="44">
        <v>6.3</v>
      </c>
      <c r="H2398" s="43" t="s">
        <v>236</v>
      </c>
      <c r="I2398" s="40" t="s">
        <v>1281</v>
      </c>
    </row>
    <row r="2399" spans="1:9" x14ac:dyDescent="0.25">
      <c r="A2399" s="40" t="s">
        <v>205</v>
      </c>
      <c r="B2399" s="28">
        <v>3041</v>
      </c>
      <c r="C2399" s="28" t="s">
        <v>731</v>
      </c>
      <c r="D2399" s="28"/>
      <c r="E2399" s="45">
        <v>46141</v>
      </c>
      <c r="F2399" s="48">
        <v>0.39725694444444443</v>
      </c>
      <c r="G2399" s="44">
        <v>6.3</v>
      </c>
      <c r="H2399" s="43" t="s">
        <v>235</v>
      </c>
      <c r="I2399" s="40" t="s">
        <v>1281</v>
      </c>
    </row>
    <row r="2400" spans="1:9" x14ac:dyDescent="0.25">
      <c r="A2400" s="40" t="s">
        <v>205</v>
      </c>
      <c r="B2400" s="28">
        <v>3041</v>
      </c>
      <c r="C2400" s="28">
        <v>10560257</v>
      </c>
      <c r="D2400" s="28"/>
      <c r="E2400" s="45">
        <v>46141</v>
      </c>
      <c r="F2400" s="48">
        <v>0.51603009259259258</v>
      </c>
      <c r="G2400" s="44">
        <v>6.3</v>
      </c>
      <c r="H2400" s="43" t="s">
        <v>233</v>
      </c>
      <c r="I2400" s="40" t="s">
        <v>1281</v>
      </c>
    </row>
    <row r="2401" spans="1:9" x14ac:dyDescent="0.25">
      <c r="A2401" s="40" t="s">
        <v>205</v>
      </c>
      <c r="B2401" s="28">
        <v>3041</v>
      </c>
      <c r="C2401" s="28">
        <v>10560257</v>
      </c>
      <c r="D2401" s="28"/>
      <c r="E2401" s="41">
        <v>46141</v>
      </c>
      <c r="F2401" s="47">
        <v>0.52181712962962967</v>
      </c>
      <c r="G2401" s="44">
        <v>6.3</v>
      </c>
      <c r="H2401" s="43" t="s">
        <v>234</v>
      </c>
      <c r="I2401" s="40" t="s">
        <v>1281</v>
      </c>
    </row>
    <row r="2402" spans="1:9" x14ac:dyDescent="0.25">
      <c r="A2402" s="40" t="s">
        <v>205</v>
      </c>
      <c r="B2402" s="28">
        <v>3041</v>
      </c>
      <c r="C2402" s="28" t="s">
        <v>35</v>
      </c>
      <c r="D2402" s="28" t="s">
        <v>38</v>
      </c>
      <c r="E2402" s="41">
        <v>46141</v>
      </c>
      <c r="F2402" s="47">
        <v>0.82543981481481477</v>
      </c>
      <c r="G2402" s="42">
        <v>6.3</v>
      </c>
      <c r="H2402" s="40" t="s">
        <v>235</v>
      </c>
      <c r="I2402" s="40" t="s">
        <v>1281</v>
      </c>
    </row>
    <row r="2403" spans="1:9" x14ac:dyDescent="0.25">
      <c r="A2403" s="40" t="s">
        <v>205</v>
      </c>
      <c r="B2403" s="28">
        <v>3041</v>
      </c>
      <c r="C2403" s="28" t="s">
        <v>35</v>
      </c>
      <c r="D2403" s="28" t="s">
        <v>38</v>
      </c>
      <c r="E2403" s="41">
        <v>46141</v>
      </c>
      <c r="F2403" s="47">
        <v>0.84159722222222222</v>
      </c>
      <c r="G2403" s="42">
        <v>6.3</v>
      </c>
      <c r="H2403" s="40" t="s">
        <v>236</v>
      </c>
      <c r="I2403" s="40" t="s">
        <v>1281</v>
      </c>
    </row>
    <row r="2404" spans="1:9" x14ac:dyDescent="0.25">
      <c r="A2404" s="40" t="s">
        <v>205</v>
      </c>
      <c r="B2404" s="28">
        <v>3041</v>
      </c>
      <c r="C2404" s="28" t="s">
        <v>35</v>
      </c>
      <c r="D2404" s="28" t="s">
        <v>38</v>
      </c>
      <c r="E2404" s="41">
        <v>46141</v>
      </c>
      <c r="F2404" s="47">
        <v>0.93535879629629626</v>
      </c>
      <c r="G2404" s="42">
        <v>6.3</v>
      </c>
      <c r="H2404" s="40" t="s">
        <v>237</v>
      </c>
      <c r="I2404" s="40" t="s">
        <v>1281</v>
      </c>
    </row>
    <row r="2405" spans="1:9" x14ac:dyDescent="0.25">
      <c r="A2405" s="40" t="s">
        <v>205</v>
      </c>
      <c r="B2405" s="28">
        <v>3041</v>
      </c>
      <c r="C2405" s="28" t="s">
        <v>732</v>
      </c>
      <c r="D2405" s="28"/>
      <c r="E2405" s="41">
        <v>46144</v>
      </c>
      <c r="F2405" s="47">
        <v>0.42226851851851854</v>
      </c>
      <c r="G2405" s="42">
        <v>6.3</v>
      </c>
      <c r="H2405" s="40" t="s">
        <v>235</v>
      </c>
      <c r="I2405" s="40" t="s">
        <v>1282</v>
      </c>
    </row>
    <row r="2406" spans="1:9" x14ac:dyDescent="0.25">
      <c r="A2406" s="40" t="s">
        <v>205</v>
      </c>
      <c r="B2406" s="28">
        <v>3041</v>
      </c>
      <c r="C2406" s="28" t="s">
        <v>732</v>
      </c>
      <c r="D2406" s="28"/>
      <c r="E2406" s="41">
        <v>46144</v>
      </c>
      <c r="F2406" s="47">
        <v>0.43156250000000002</v>
      </c>
      <c r="G2406" s="44">
        <v>6.3</v>
      </c>
      <c r="H2406" s="43" t="s">
        <v>236</v>
      </c>
      <c r="I2406" s="40" t="s">
        <v>1282</v>
      </c>
    </row>
    <row r="2407" spans="1:9" x14ac:dyDescent="0.25">
      <c r="A2407" s="40" t="s">
        <v>94</v>
      </c>
      <c r="B2407" s="28">
        <v>3047</v>
      </c>
      <c r="C2407" s="28">
        <v>10544424</v>
      </c>
      <c r="D2407" s="28"/>
      <c r="E2407" s="41">
        <v>46139</v>
      </c>
      <c r="F2407" s="47">
        <v>0.3580902777777778</v>
      </c>
      <c r="G2407" s="44">
        <v>6.3</v>
      </c>
      <c r="H2407" s="43" t="s">
        <v>235</v>
      </c>
      <c r="I2407" s="40" t="s">
        <v>1281</v>
      </c>
    </row>
    <row r="2408" spans="1:9" x14ac:dyDescent="0.25">
      <c r="A2408" s="40" t="s">
        <v>94</v>
      </c>
      <c r="B2408" s="28">
        <v>3047</v>
      </c>
      <c r="C2408" s="28">
        <v>10544424</v>
      </c>
      <c r="D2408" s="28"/>
      <c r="E2408" s="41">
        <v>46139</v>
      </c>
      <c r="F2408" s="47">
        <v>0.37064814814814817</v>
      </c>
      <c r="G2408" s="44">
        <v>6.3</v>
      </c>
      <c r="H2408" s="43" t="s">
        <v>239</v>
      </c>
      <c r="I2408" s="40" t="s">
        <v>1281</v>
      </c>
    </row>
    <row r="2409" spans="1:9" x14ac:dyDescent="0.25">
      <c r="A2409" s="40" t="s">
        <v>94</v>
      </c>
      <c r="B2409" s="28">
        <v>3047</v>
      </c>
      <c r="C2409" s="28">
        <v>10544378</v>
      </c>
      <c r="D2409" s="28"/>
      <c r="E2409" s="41">
        <v>46139</v>
      </c>
      <c r="F2409" s="47">
        <v>0.49243055555555554</v>
      </c>
      <c r="G2409" s="44">
        <v>6.3</v>
      </c>
      <c r="H2409" s="43" t="s">
        <v>233</v>
      </c>
      <c r="I2409" s="40" t="s">
        <v>1281</v>
      </c>
    </row>
    <row r="2410" spans="1:9" x14ac:dyDescent="0.25">
      <c r="A2410" s="40" t="s">
        <v>94</v>
      </c>
      <c r="B2410" s="28">
        <v>3047</v>
      </c>
      <c r="C2410" s="28">
        <v>10544378</v>
      </c>
      <c r="D2410" s="28"/>
      <c r="E2410" s="41">
        <v>46139</v>
      </c>
      <c r="F2410" s="47">
        <v>0.50071759259259263</v>
      </c>
      <c r="G2410" s="44">
        <v>6.3</v>
      </c>
      <c r="H2410" s="43" t="s">
        <v>234</v>
      </c>
      <c r="I2410" s="40" t="s">
        <v>1281</v>
      </c>
    </row>
    <row r="2411" spans="1:9" x14ac:dyDescent="0.25">
      <c r="A2411" s="40" t="s">
        <v>94</v>
      </c>
      <c r="B2411" s="28">
        <v>3047</v>
      </c>
      <c r="C2411" s="28">
        <v>10551975</v>
      </c>
      <c r="D2411" s="28"/>
      <c r="E2411" s="41">
        <v>46140</v>
      </c>
      <c r="F2411" s="47">
        <v>0.52290509259259255</v>
      </c>
      <c r="G2411" s="44">
        <v>6.3</v>
      </c>
      <c r="H2411" s="43" t="s">
        <v>237</v>
      </c>
      <c r="I2411" s="40" t="s">
        <v>1281</v>
      </c>
    </row>
    <row r="2412" spans="1:9" x14ac:dyDescent="0.25">
      <c r="A2412" s="40" t="s">
        <v>94</v>
      </c>
      <c r="B2412" s="28">
        <v>3047</v>
      </c>
      <c r="C2412" s="28">
        <v>10551975</v>
      </c>
      <c r="D2412" s="28"/>
      <c r="E2412" s="45">
        <v>46140</v>
      </c>
      <c r="F2412" s="48">
        <v>0.53067129629629628</v>
      </c>
      <c r="G2412" s="44">
        <v>6.3</v>
      </c>
      <c r="H2412" s="43" t="s">
        <v>234</v>
      </c>
      <c r="I2412" s="40" t="s">
        <v>1281</v>
      </c>
    </row>
    <row r="2413" spans="1:9" x14ac:dyDescent="0.25">
      <c r="A2413" s="40" t="s">
        <v>94</v>
      </c>
      <c r="B2413" s="28">
        <v>3047</v>
      </c>
      <c r="C2413" s="28">
        <v>10559189</v>
      </c>
      <c r="D2413" s="28"/>
      <c r="E2413" s="41">
        <v>46141</v>
      </c>
      <c r="F2413" s="47">
        <v>0.36881944444444442</v>
      </c>
      <c r="G2413" s="44">
        <v>6.3</v>
      </c>
      <c r="H2413" s="43" t="s">
        <v>235</v>
      </c>
      <c r="I2413" s="40" t="s">
        <v>1281</v>
      </c>
    </row>
    <row r="2414" spans="1:9" x14ac:dyDescent="0.25">
      <c r="A2414" s="40" t="s">
        <v>94</v>
      </c>
      <c r="B2414" s="28">
        <v>3047</v>
      </c>
      <c r="C2414" s="28">
        <v>10559189</v>
      </c>
      <c r="D2414" s="28"/>
      <c r="E2414" s="41">
        <v>46141</v>
      </c>
      <c r="F2414" s="47">
        <v>0.38291666666666668</v>
      </c>
      <c r="G2414" s="44">
        <v>6.3</v>
      </c>
      <c r="H2414" s="43" t="s">
        <v>239</v>
      </c>
      <c r="I2414" s="40" t="s">
        <v>1281</v>
      </c>
    </row>
    <row r="2415" spans="1:9" x14ac:dyDescent="0.25">
      <c r="A2415" s="40" t="s">
        <v>94</v>
      </c>
      <c r="B2415" s="28">
        <v>3047</v>
      </c>
      <c r="C2415" s="28">
        <v>10558950</v>
      </c>
      <c r="D2415" s="28"/>
      <c r="E2415" s="41">
        <v>46141</v>
      </c>
      <c r="F2415" s="47">
        <v>0.47012731481481479</v>
      </c>
      <c r="G2415" s="42">
        <v>6.3</v>
      </c>
      <c r="H2415" s="40" t="s">
        <v>237</v>
      </c>
      <c r="I2415" s="40" t="s">
        <v>1281</v>
      </c>
    </row>
    <row r="2416" spans="1:9" x14ac:dyDescent="0.25">
      <c r="A2416" s="40" t="s">
        <v>94</v>
      </c>
      <c r="B2416" s="28">
        <v>3047</v>
      </c>
      <c r="C2416" s="28">
        <v>10558950</v>
      </c>
      <c r="D2416" s="28"/>
      <c r="E2416" s="41">
        <v>46141</v>
      </c>
      <c r="F2416" s="47">
        <v>0.48083333333333333</v>
      </c>
      <c r="G2416" s="42">
        <v>6.3</v>
      </c>
      <c r="H2416" s="40" t="s">
        <v>234</v>
      </c>
      <c r="I2416" s="40" t="s">
        <v>1281</v>
      </c>
    </row>
    <row r="2417" spans="1:9" x14ac:dyDescent="0.25">
      <c r="A2417" s="40" t="s">
        <v>94</v>
      </c>
      <c r="B2417" s="28">
        <v>3047</v>
      </c>
      <c r="C2417" s="28">
        <v>10566579</v>
      </c>
      <c r="D2417" s="28"/>
      <c r="E2417" s="41">
        <v>46142</v>
      </c>
      <c r="F2417" s="47">
        <v>0.50141203703703707</v>
      </c>
      <c r="G2417" s="44">
        <v>6.3</v>
      </c>
      <c r="H2417" s="43" t="s">
        <v>237</v>
      </c>
      <c r="I2417" s="40" t="s">
        <v>1281</v>
      </c>
    </row>
    <row r="2418" spans="1:9" x14ac:dyDescent="0.25">
      <c r="A2418" s="40" t="s">
        <v>94</v>
      </c>
      <c r="B2418" s="28">
        <v>3047</v>
      </c>
      <c r="C2418" s="28">
        <v>10566579</v>
      </c>
      <c r="D2418" s="28"/>
      <c r="E2418" s="45">
        <v>46142</v>
      </c>
      <c r="F2418" s="48">
        <v>0.51604166666666662</v>
      </c>
      <c r="G2418" s="44">
        <v>6.3</v>
      </c>
      <c r="H2418" s="43" t="s">
        <v>234</v>
      </c>
      <c r="I2418" s="40" t="s">
        <v>1281</v>
      </c>
    </row>
    <row r="2419" spans="1:9" x14ac:dyDescent="0.25">
      <c r="A2419" s="40" t="s">
        <v>94</v>
      </c>
      <c r="B2419" s="28">
        <v>3047</v>
      </c>
      <c r="C2419" s="28">
        <v>10580063</v>
      </c>
      <c r="D2419" s="28"/>
      <c r="E2419" s="41">
        <v>46144</v>
      </c>
      <c r="F2419" s="47">
        <v>0.30953703703703705</v>
      </c>
      <c r="G2419" s="44">
        <v>6.3</v>
      </c>
      <c r="H2419" s="43" t="s">
        <v>237</v>
      </c>
      <c r="I2419" s="40" t="s">
        <v>1282</v>
      </c>
    </row>
    <row r="2420" spans="1:9" x14ac:dyDescent="0.25">
      <c r="A2420" s="40" t="s">
        <v>94</v>
      </c>
      <c r="B2420" s="28">
        <v>3047</v>
      </c>
      <c r="C2420" s="28">
        <v>10580063</v>
      </c>
      <c r="D2420" s="28"/>
      <c r="E2420" s="41">
        <v>46144</v>
      </c>
      <c r="F2420" s="47">
        <v>0.31496527777777777</v>
      </c>
      <c r="G2420" s="44">
        <v>6.3</v>
      </c>
      <c r="H2420" s="43" t="s">
        <v>234</v>
      </c>
      <c r="I2420" s="40" t="s">
        <v>1282</v>
      </c>
    </row>
    <row r="2421" spans="1:9" x14ac:dyDescent="0.25">
      <c r="A2421" s="40" t="s">
        <v>94</v>
      </c>
      <c r="B2421" s="28">
        <v>3047</v>
      </c>
      <c r="C2421" s="28">
        <v>10585881</v>
      </c>
      <c r="D2421" s="28"/>
      <c r="E2421" s="41">
        <v>46145</v>
      </c>
      <c r="F2421" s="47">
        <v>0.46946759259259258</v>
      </c>
      <c r="G2421" s="44">
        <v>6.3</v>
      </c>
      <c r="H2421" s="43" t="s">
        <v>237</v>
      </c>
      <c r="I2421" s="40" t="s">
        <v>1282</v>
      </c>
    </row>
    <row r="2422" spans="1:9" x14ac:dyDescent="0.25">
      <c r="A2422" s="40" t="s">
        <v>94</v>
      </c>
      <c r="B2422" s="28">
        <v>3047</v>
      </c>
      <c r="C2422" s="28">
        <v>10585881</v>
      </c>
      <c r="D2422" s="28"/>
      <c r="E2422" s="45">
        <v>46145</v>
      </c>
      <c r="F2422" s="48">
        <v>0.47469907407407408</v>
      </c>
      <c r="G2422" s="44">
        <v>6.3</v>
      </c>
      <c r="H2422" s="43" t="s">
        <v>234</v>
      </c>
      <c r="I2422" s="40" t="s">
        <v>1282</v>
      </c>
    </row>
    <row r="2423" spans="1:9" x14ac:dyDescent="0.25">
      <c r="A2423" s="40" t="s">
        <v>733</v>
      </c>
      <c r="B2423" s="28">
        <v>3049</v>
      </c>
      <c r="C2423" s="28">
        <v>5639942</v>
      </c>
      <c r="D2423" s="28"/>
      <c r="E2423" s="45">
        <v>46140</v>
      </c>
      <c r="F2423" s="48">
        <v>0.25572916666666667</v>
      </c>
      <c r="G2423" s="44">
        <v>6.3</v>
      </c>
      <c r="H2423" s="43" t="s">
        <v>238</v>
      </c>
      <c r="I2423" s="40" t="s">
        <v>1281</v>
      </c>
    </row>
    <row r="2424" spans="1:9" x14ac:dyDescent="0.25">
      <c r="A2424" s="40" t="s">
        <v>733</v>
      </c>
      <c r="B2424" s="28">
        <v>3049</v>
      </c>
      <c r="C2424" s="28">
        <v>5639942</v>
      </c>
      <c r="D2424" s="28"/>
      <c r="E2424" s="45">
        <v>46140</v>
      </c>
      <c r="F2424" s="48">
        <v>0.26045138888888891</v>
      </c>
      <c r="G2424" s="44">
        <v>6.3</v>
      </c>
      <c r="H2424" s="43" t="s">
        <v>234</v>
      </c>
      <c r="I2424" s="40" t="s">
        <v>1281</v>
      </c>
    </row>
    <row r="2425" spans="1:9" x14ac:dyDescent="0.25">
      <c r="A2425" s="40" t="s">
        <v>733</v>
      </c>
      <c r="B2425" s="28">
        <v>3049</v>
      </c>
      <c r="C2425" s="28" t="s">
        <v>35</v>
      </c>
      <c r="D2425" s="28" t="s">
        <v>38</v>
      </c>
      <c r="E2425" s="41">
        <v>46140</v>
      </c>
      <c r="F2425" s="47">
        <v>0.64189814814814816</v>
      </c>
      <c r="G2425" s="44">
        <v>6.3</v>
      </c>
      <c r="H2425" s="43" t="s">
        <v>237</v>
      </c>
      <c r="I2425" s="40" t="s">
        <v>1281</v>
      </c>
    </row>
    <row r="2426" spans="1:9" x14ac:dyDescent="0.25">
      <c r="A2426" s="40" t="s">
        <v>733</v>
      </c>
      <c r="B2426" s="28">
        <v>3049</v>
      </c>
      <c r="C2426" s="28" t="s">
        <v>35</v>
      </c>
      <c r="D2426" s="28" t="s">
        <v>38</v>
      </c>
      <c r="E2426" s="41">
        <v>46141</v>
      </c>
      <c r="F2426" s="47">
        <v>0.35114583333333332</v>
      </c>
      <c r="G2426" s="44">
        <v>6.3</v>
      </c>
      <c r="H2426" s="43" t="s">
        <v>233</v>
      </c>
      <c r="I2426" s="40" t="s">
        <v>1281</v>
      </c>
    </row>
    <row r="2427" spans="1:9" x14ac:dyDescent="0.25">
      <c r="A2427" s="40" t="s">
        <v>733</v>
      </c>
      <c r="B2427" s="28">
        <v>3049</v>
      </c>
      <c r="C2427" s="28" t="s">
        <v>35</v>
      </c>
      <c r="D2427" s="28" t="s">
        <v>38</v>
      </c>
      <c r="E2427" s="41">
        <v>46141</v>
      </c>
      <c r="F2427" s="47">
        <v>0.36101851851851852</v>
      </c>
      <c r="G2427" s="44">
        <v>6.3</v>
      </c>
      <c r="H2427" s="43" t="s">
        <v>234</v>
      </c>
      <c r="I2427" s="40" t="s">
        <v>1281</v>
      </c>
    </row>
    <row r="2428" spans="1:9" x14ac:dyDescent="0.25">
      <c r="A2428" s="40" t="s">
        <v>733</v>
      </c>
      <c r="B2428" s="28">
        <v>3049</v>
      </c>
      <c r="C2428" s="28">
        <v>5643907</v>
      </c>
      <c r="D2428" s="28"/>
      <c r="E2428" s="41">
        <v>46142</v>
      </c>
      <c r="F2428" s="47">
        <v>0.34067129629629628</v>
      </c>
      <c r="G2428" s="44">
        <v>6.3</v>
      </c>
      <c r="H2428" s="43" t="s">
        <v>241</v>
      </c>
      <c r="I2428" s="40" t="s">
        <v>1281</v>
      </c>
    </row>
    <row r="2429" spans="1:9" x14ac:dyDescent="0.25">
      <c r="A2429" s="40" t="s">
        <v>733</v>
      </c>
      <c r="B2429" s="28">
        <v>3049</v>
      </c>
      <c r="C2429" s="28">
        <v>5644973</v>
      </c>
      <c r="D2429" s="28"/>
      <c r="E2429" s="41">
        <v>46142</v>
      </c>
      <c r="F2429" s="47">
        <v>0.68255787037037041</v>
      </c>
      <c r="G2429" s="44">
        <v>6.3</v>
      </c>
      <c r="H2429" s="43" t="s">
        <v>235</v>
      </c>
      <c r="I2429" s="40" t="s">
        <v>1281</v>
      </c>
    </row>
    <row r="2430" spans="1:9" x14ac:dyDescent="0.25">
      <c r="A2430" s="40" t="s">
        <v>733</v>
      </c>
      <c r="B2430" s="28">
        <v>3049</v>
      </c>
      <c r="C2430" s="28">
        <v>5644973</v>
      </c>
      <c r="D2430" s="28"/>
      <c r="E2430" s="41">
        <v>46142</v>
      </c>
      <c r="F2430" s="47">
        <v>0.69311342592592595</v>
      </c>
      <c r="G2430" s="44">
        <v>6.3</v>
      </c>
      <c r="H2430" s="43" t="s">
        <v>239</v>
      </c>
      <c r="I2430" s="40" t="s">
        <v>1281</v>
      </c>
    </row>
    <row r="2431" spans="1:9" x14ac:dyDescent="0.25">
      <c r="A2431" s="40" t="s">
        <v>733</v>
      </c>
      <c r="B2431" s="28">
        <v>3049</v>
      </c>
      <c r="C2431" s="28">
        <v>5647324</v>
      </c>
      <c r="D2431" s="28"/>
      <c r="E2431" s="41">
        <v>46144</v>
      </c>
      <c r="F2431" s="47">
        <v>0.44494212962962965</v>
      </c>
      <c r="G2431" s="44">
        <v>6.3</v>
      </c>
      <c r="H2431" s="43" t="s">
        <v>233</v>
      </c>
      <c r="I2431" s="40" t="s">
        <v>1282</v>
      </c>
    </row>
    <row r="2432" spans="1:9" x14ac:dyDescent="0.25">
      <c r="A2432" s="40" t="s">
        <v>733</v>
      </c>
      <c r="B2432" s="28">
        <v>3049</v>
      </c>
      <c r="C2432" s="28">
        <v>5647324</v>
      </c>
      <c r="D2432" s="28"/>
      <c r="E2432" s="41">
        <v>46144</v>
      </c>
      <c r="F2432" s="47">
        <v>0.45082175925925927</v>
      </c>
      <c r="G2432" s="44">
        <v>6.3</v>
      </c>
      <c r="H2432" s="43" t="s">
        <v>234</v>
      </c>
      <c r="I2432" s="40" t="s">
        <v>1282</v>
      </c>
    </row>
    <row r="2433" spans="1:9" x14ac:dyDescent="0.25">
      <c r="A2433" s="40" t="s">
        <v>733</v>
      </c>
      <c r="B2433" s="28">
        <v>3049</v>
      </c>
      <c r="C2433" s="28">
        <v>5647733</v>
      </c>
      <c r="D2433" s="28"/>
      <c r="E2433" s="41">
        <v>46144</v>
      </c>
      <c r="F2433" s="47">
        <v>0.66964120370370372</v>
      </c>
      <c r="G2433" s="44">
        <v>6.3</v>
      </c>
      <c r="H2433" s="43" t="s">
        <v>235</v>
      </c>
      <c r="I2433" s="40" t="s">
        <v>1282</v>
      </c>
    </row>
    <row r="2434" spans="1:9" x14ac:dyDescent="0.25">
      <c r="A2434" s="40" t="s">
        <v>733</v>
      </c>
      <c r="B2434" s="28">
        <v>3049</v>
      </c>
      <c r="C2434" s="28">
        <v>5647733</v>
      </c>
      <c r="D2434" s="28"/>
      <c r="E2434" s="41">
        <v>46144</v>
      </c>
      <c r="F2434" s="47">
        <v>0.67792824074074076</v>
      </c>
      <c r="G2434" s="44">
        <v>6.3</v>
      </c>
      <c r="H2434" s="43" t="s">
        <v>236</v>
      </c>
      <c r="I2434" s="40" t="s">
        <v>1282</v>
      </c>
    </row>
    <row r="2435" spans="1:9" x14ac:dyDescent="0.25">
      <c r="A2435" s="40" t="s">
        <v>280</v>
      </c>
      <c r="B2435" s="28">
        <v>3061</v>
      </c>
      <c r="C2435" s="28">
        <v>10552037</v>
      </c>
      <c r="D2435" s="28" t="s">
        <v>36</v>
      </c>
      <c r="E2435" s="41">
        <v>46140</v>
      </c>
      <c r="F2435" s="47">
        <v>0.38559027777777777</v>
      </c>
      <c r="G2435" s="44">
        <v>6.3</v>
      </c>
      <c r="H2435" s="43" t="s">
        <v>235</v>
      </c>
      <c r="I2435" s="40" t="s">
        <v>1281</v>
      </c>
    </row>
    <row r="2436" spans="1:9" x14ac:dyDescent="0.25">
      <c r="A2436" s="40" t="s">
        <v>280</v>
      </c>
      <c r="B2436" s="28">
        <v>3061</v>
      </c>
      <c r="C2436" s="28">
        <v>10551996</v>
      </c>
      <c r="D2436" s="28"/>
      <c r="E2436" s="41">
        <v>46140</v>
      </c>
      <c r="F2436" s="47">
        <v>0.48554398148148148</v>
      </c>
      <c r="G2436" s="44">
        <v>6.3</v>
      </c>
      <c r="H2436" s="43" t="s">
        <v>237</v>
      </c>
      <c r="I2436" s="40" t="s">
        <v>1281</v>
      </c>
    </row>
    <row r="2437" spans="1:9" x14ac:dyDescent="0.25">
      <c r="A2437" s="40" t="s">
        <v>280</v>
      </c>
      <c r="B2437" s="28">
        <v>3061</v>
      </c>
      <c r="C2437" s="28">
        <v>10551996</v>
      </c>
      <c r="D2437" s="28"/>
      <c r="E2437" s="45">
        <v>46140</v>
      </c>
      <c r="F2437" s="48">
        <v>0.49305555555555558</v>
      </c>
      <c r="G2437" s="44">
        <v>6.3</v>
      </c>
      <c r="H2437" s="43" t="s">
        <v>234</v>
      </c>
      <c r="I2437" s="40" t="s">
        <v>1281</v>
      </c>
    </row>
    <row r="2438" spans="1:9" x14ac:dyDescent="0.25">
      <c r="A2438" s="40" t="s">
        <v>280</v>
      </c>
      <c r="B2438" s="28">
        <v>3061</v>
      </c>
      <c r="C2438" s="28" t="s">
        <v>734</v>
      </c>
      <c r="D2438" s="28"/>
      <c r="E2438" s="41">
        <v>46141</v>
      </c>
      <c r="F2438" s="47">
        <v>0.24133101851851851</v>
      </c>
      <c r="G2438" s="42">
        <v>6.3</v>
      </c>
      <c r="H2438" s="40" t="s">
        <v>235</v>
      </c>
      <c r="I2438" s="40" t="s">
        <v>1281</v>
      </c>
    </row>
    <row r="2439" spans="1:9" x14ac:dyDescent="0.25">
      <c r="A2439" s="40" t="s">
        <v>280</v>
      </c>
      <c r="B2439" s="28">
        <v>3061</v>
      </c>
      <c r="C2439" s="28">
        <v>10560347</v>
      </c>
      <c r="D2439" s="28" t="s">
        <v>36</v>
      </c>
      <c r="E2439" s="41">
        <v>46141</v>
      </c>
      <c r="F2439" s="47">
        <v>0.28972222222222221</v>
      </c>
      <c r="G2439" s="42">
        <v>6.3</v>
      </c>
      <c r="H2439" s="40" t="s">
        <v>234</v>
      </c>
      <c r="I2439" s="40" t="s">
        <v>1281</v>
      </c>
    </row>
    <row r="2440" spans="1:9" x14ac:dyDescent="0.25">
      <c r="A2440" s="40" t="s">
        <v>280</v>
      </c>
      <c r="B2440" s="28">
        <v>3061</v>
      </c>
      <c r="C2440" s="28">
        <v>10583452</v>
      </c>
      <c r="D2440" s="28"/>
      <c r="E2440" s="41">
        <v>46144</v>
      </c>
      <c r="F2440" s="47">
        <v>0.31663194444444442</v>
      </c>
      <c r="G2440" s="42">
        <v>6.3</v>
      </c>
      <c r="H2440" s="40" t="s">
        <v>237</v>
      </c>
      <c r="I2440" s="40" t="s">
        <v>1282</v>
      </c>
    </row>
    <row r="2441" spans="1:9" x14ac:dyDescent="0.25">
      <c r="A2441" s="40" t="s">
        <v>280</v>
      </c>
      <c r="B2441" s="28">
        <v>3061</v>
      </c>
      <c r="C2441" s="28">
        <v>10583452</v>
      </c>
      <c r="D2441" s="28"/>
      <c r="E2441" s="41">
        <v>46144</v>
      </c>
      <c r="F2441" s="47">
        <v>0.32202546296296297</v>
      </c>
      <c r="G2441" s="42">
        <v>6.3</v>
      </c>
      <c r="H2441" s="40" t="s">
        <v>234</v>
      </c>
      <c r="I2441" s="40" t="s">
        <v>1282</v>
      </c>
    </row>
    <row r="2442" spans="1:9" x14ac:dyDescent="0.25">
      <c r="A2442" s="40" t="s">
        <v>280</v>
      </c>
      <c r="B2442" s="28">
        <v>3061</v>
      </c>
      <c r="C2442" s="28">
        <v>10585433</v>
      </c>
      <c r="D2442" s="28"/>
      <c r="E2442" s="45">
        <v>46144</v>
      </c>
      <c r="F2442" s="48">
        <v>0.47013888888888888</v>
      </c>
      <c r="G2442" s="42">
        <v>6.3</v>
      </c>
      <c r="H2442" s="40" t="s">
        <v>233</v>
      </c>
      <c r="I2442" s="40" t="s">
        <v>1282</v>
      </c>
    </row>
    <row r="2443" spans="1:9" x14ac:dyDescent="0.25">
      <c r="A2443" s="40" t="s">
        <v>280</v>
      </c>
      <c r="B2443" s="28">
        <v>3061</v>
      </c>
      <c r="C2443" s="28">
        <v>10585433</v>
      </c>
      <c r="D2443" s="28"/>
      <c r="E2443" s="41">
        <v>46144</v>
      </c>
      <c r="F2443" s="47">
        <v>0.47584490740740742</v>
      </c>
      <c r="G2443" s="42">
        <v>6.3</v>
      </c>
      <c r="H2443" s="40" t="s">
        <v>234</v>
      </c>
      <c r="I2443" s="40" t="s">
        <v>1282</v>
      </c>
    </row>
    <row r="2444" spans="1:9" x14ac:dyDescent="0.25">
      <c r="A2444" s="40" t="s">
        <v>337</v>
      </c>
      <c r="B2444" s="28">
        <v>3070</v>
      </c>
      <c r="C2444" s="28">
        <v>10558920</v>
      </c>
      <c r="D2444" s="28"/>
      <c r="E2444" s="41">
        <v>46141</v>
      </c>
      <c r="F2444" s="47">
        <v>0.32806712962962964</v>
      </c>
      <c r="G2444" s="42">
        <v>6.3</v>
      </c>
      <c r="H2444" s="40" t="s">
        <v>237</v>
      </c>
      <c r="I2444" s="40" t="s">
        <v>1281</v>
      </c>
    </row>
    <row r="2445" spans="1:9" x14ac:dyDescent="0.25">
      <c r="A2445" s="40" t="s">
        <v>337</v>
      </c>
      <c r="B2445" s="28">
        <v>3070</v>
      </c>
      <c r="C2445" s="28">
        <v>10558920</v>
      </c>
      <c r="D2445" s="28"/>
      <c r="E2445" s="45">
        <v>46141</v>
      </c>
      <c r="F2445" s="48">
        <v>0.3364699074074074</v>
      </c>
      <c r="G2445" s="44">
        <v>6.3</v>
      </c>
      <c r="H2445" s="43" t="s">
        <v>234</v>
      </c>
      <c r="I2445" s="40" t="s">
        <v>1281</v>
      </c>
    </row>
    <row r="2446" spans="1:9" x14ac:dyDescent="0.25">
      <c r="A2446" s="40" t="s">
        <v>337</v>
      </c>
      <c r="B2446" s="28">
        <v>3070</v>
      </c>
      <c r="C2446" s="28">
        <v>10559204</v>
      </c>
      <c r="D2446" s="28"/>
      <c r="E2446" s="41">
        <v>46141</v>
      </c>
      <c r="F2446" s="47">
        <v>0.44679398148148147</v>
      </c>
      <c r="G2446" s="44">
        <v>6.3</v>
      </c>
      <c r="H2446" s="43" t="s">
        <v>235</v>
      </c>
      <c r="I2446" s="40" t="s">
        <v>1281</v>
      </c>
    </row>
    <row r="2447" spans="1:9" x14ac:dyDescent="0.25">
      <c r="A2447" s="40" t="s">
        <v>337</v>
      </c>
      <c r="B2447" s="28">
        <v>3070</v>
      </c>
      <c r="C2447" s="28">
        <v>10559204</v>
      </c>
      <c r="D2447" s="28"/>
      <c r="E2447" s="41">
        <v>46141</v>
      </c>
      <c r="F2447" s="47">
        <v>0.45851851851851849</v>
      </c>
      <c r="G2447" s="44">
        <v>6.3</v>
      </c>
      <c r="H2447" s="43" t="s">
        <v>236</v>
      </c>
      <c r="I2447" s="40" t="s">
        <v>1281</v>
      </c>
    </row>
    <row r="2448" spans="1:9" x14ac:dyDescent="0.25">
      <c r="A2448" s="40" t="s">
        <v>204</v>
      </c>
      <c r="B2448" s="28">
        <v>3079</v>
      </c>
      <c r="C2448" s="28" t="s">
        <v>35</v>
      </c>
      <c r="D2448" s="28" t="s">
        <v>38</v>
      </c>
      <c r="E2448" s="41">
        <v>46139</v>
      </c>
      <c r="F2448" s="47">
        <v>9.4097222222222221E-3</v>
      </c>
      <c r="G2448" s="44">
        <v>6.3</v>
      </c>
      <c r="H2448" s="43" t="s">
        <v>237</v>
      </c>
      <c r="I2448" s="40" t="s">
        <v>1281</v>
      </c>
    </row>
    <row r="2449" spans="1:9" x14ac:dyDescent="0.25">
      <c r="A2449" s="40" t="s">
        <v>204</v>
      </c>
      <c r="B2449" s="28">
        <v>3079</v>
      </c>
      <c r="C2449" s="28" t="s">
        <v>35</v>
      </c>
      <c r="D2449" s="28" t="s">
        <v>38</v>
      </c>
      <c r="E2449" s="41">
        <v>46139</v>
      </c>
      <c r="F2449" s="47">
        <v>1.4398148148148148E-2</v>
      </c>
      <c r="G2449" s="44">
        <v>6.3</v>
      </c>
      <c r="H2449" s="43" t="s">
        <v>234</v>
      </c>
      <c r="I2449" s="40" t="s">
        <v>1281</v>
      </c>
    </row>
    <row r="2450" spans="1:9" x14ac:dyDescent="0.25">
      <c r="A2450" s="40" t="s">
        <v>204</v>
      </c>
      <c r="B2450" s="28">
        <v>3079</v>
      </c>
      <c r="C2450" s="28" t="s">
        <v>35</v>
      </c>
      <c r="D2450" s="28" t="s">
        <v>38</v>
      </c>
      <c r="E2450" s="41">
        <v>46139</v>
      </c>
      <c r="F2450" s="47">
        <v>5.7002314814814818E-2</v>
      </c>
      <c r="G2450" s="44">
        <v>6.3</v>
      </c>
      <c r="H2450" s="43" t="s">
        <v>237</v>
      </c>
      <c r="I2450" s="40" t="s">
        <v>1281</v>
      </c>
    </row>
    <row r="2451" spans="1:9" x14ac:dyDescent="0.25">
      <c r="A2451" s="40" t="s">
        <v>204</v>
      </c>
      <c r="B2451" s="28">
        <v>3079</v>
      </c>
      <c r="C2451" s="28" t="s">
        <v>35</v>
      </c>
      <c r="D2451" s="28" t="s">
        <v>38</v>
      </c>
      <c r="E2451" s="41">
        <v>46139</v>
      </c>
      <c r="F2451" s="47">
        <v>7.6736111111111116E-2</v>
      </c>
      <c r="G2451" s="44">
        <v>6.3</v>
      </c>
      <c r="H2451" s="43" t="s">
        <v>236</v>
      </c>
      <c r="I2451" s="40" t="s">
        <v>1281</v>
      </c>
    </row>
    <row r="2452" spans="1:9" x14ac:dyDescent="0.25">
      <c r="A2452" s="40" t="s">
        <v>204</v>
      </c>
      <c r="B2452" s="28">
        <v>3079</v>
      </c>
      <c r="C2452" s="28" t="s">
        <v>35</v>
      </c>
      <c r="D2452" s="28" t="s">
        <v>38</v>
      </c>
      <c r="E2452" s="41">
        <v>46142</v>
      </c>
      <c r="F2452" s="47">
        <v>0.41802083333333334</v>
      </c>
      <c r="G2452" s="44">
        <v>6.3</v>
      </c>
      <c r="H2452" s="43" t="s">
        <v>237</v>
      </c>
      <c r="I2452" s="40" t="s">
        <v>1281</v>
      </c>
    </row>
    <row r="2453" spans="1:9" x14ac:dyDescent="0.25">
      <c r="A2453" s="40" t="s">
        <v>735</v>
      </c>
      <c r="B2453" s="28">
        <v>3095</v>
      </c>
      <c r="C2453" s="28">
        <v>10544471</v>
      </c>
      <c r="D2453" s="28" t="s">
        <v>36</v>
      </c>
      <c r="E2453" s="45">
        <v>46140</v>
      </c>
      <c r="F2453" s="48">
        <v>8.2638888888888883E-3</v>
      </c>
      <c r="G2453" s="44">
        <v>6.3</v>
      </c>
      <c r="H2453" s="43" t="s">
        <v>235</v>
      </c>
      <c r="I2453" s="40" t="s">
        <v>1281</v>
      </c>
    </row>
    <row r="2454" spans="1:9" x14ac:dyDescent="0.25">
      <c r="A2454" s="40" t="s">
        <v>735</v>
      </c>
      <c r="B2454" s="28">
        <v>3095</v>
      </c>
      <c r="C2454" s="28">
        <v>10544471</v>
      </c>
      <c r="D2454" s="28" t="s">
        <v>36</v>
      </c>
      <c r="E2454" s="41">
        <v>46140</v>
      </c>
      <c r="F2454" s="47">
        <v>1.5983796296296298E-2</v>
      </c>
      <c r="G2454" s="44">
        <v>6.3</v>
      </c>
      <c r="H2454" s="43" t="s">
        <v>236</v>
      </c>
      <c r="I2454" s="40" t="s">
        <v>1281</v>
      </c>
    </row>
    <row r="2455" spans="1:9" x14ac:dyDescent="0.25">
      <c r="A2455" s="40" t="s">
        <v>735</v>
      </c>
      <c r="B2455" s="28">
        <v>3095</v>
      </c>
      <c r="C2455" s="28">
        <v>10551824</v>
      </c>
      <c r="D2455" s="28"/>
      <c r="E2455" s="45">
        <v>46141</v>
      </c>
      <c r="F2455" s="48">
        <v>3.4027777777777776E-3</v>
      </c>
      <c r="G2455" s="44">
        <v>6.3</v>
      </c>
      <c r="H2455" s="43" t="s">
        <v>235</v>
      </c>
      <c r="I2455" s="40" t="s">
        <v>1281</v>
      </c>
    </row>
    <row r="2456" spans="1:9" x14ac:dyDescent="0.25">
      <c r="A2456" s="40" t="s">
        <v>735</v>
      </c>
      <c r="B2456" s="28">
        <v>3095</v>
      </c>
      <c r="C2456" s="28">
        <v>10551824</v>
      </c>
      <c r="D2456" s="28"/>
      <c r="E2456" s="41">
        <v>46141</v>
      </c>
      <c r="F2456" s="47">
        <v>1.0219907407407407E-2</v>
      </c>
      <c r="G2456" s="44">
        <v>6.3</v>
      </c>
      <c r="H2456" s="43" t="s">
        <v>236</v>
      </c>
      <c r="I2456" s="40" t="s">
        <v>1281</v>
      </c>
    </row>
    <row r="2457" spans="1:9" x14ac:dyDescent="0.25">
      <c r="A2457" s="40" t="s">
        <v>735</v>
      </c>
      <c r="B2457" s="28">
        <v>3095</v>
      </c>
      <c r="C2457" s="28">
        <v>10559216</v>
      </c>
      <c r="D2457" s="28" t="s">
        <v>36</v>
      </c>
      <c r="E2457" s="41">
        <v>46141</v>
      </c>
      <c r="F2457" s="47">
        <v>0.61212962962962958</v>
      </c>
      <c r="G2457" s="44">
        <v>6.3</v>
      </c>
      <c r="H2457" s="43" t="s">
        <v>235</v>
      </c>
      <c r="I2457" s="40" t="s">
        <v>1281</v>
      </c>
    </row>
    <row r="2458" spans="1:9" x14ac:dyDescent="0.25">
      <c r="A2458" s="40" t="s">
        <v>735</v>
      </c>
      <c r="B2458" s="28">
        <v>3095</v>
      </c>
      <c r="C2458" s="28">
        <v>10559216</v>
      </c>
      <c r="D2458" s="28" t="s">
        <v>36</v>
      </c>
      <c r="E2458" s="41">
        <v>46141</v>
      </c>
      <c r="F2458" s="47">
        <v>0.62416666666666665</v>
      </c>
      <c r="G2458" s="44">
        <v>6.3</v>
      </c>
      <c r="H2458" s="43" t="s">
        <v>236</v>
      </c>
      <c r="I2458" s="40" t="s">
        <v>1281</v>
      </c>
    </row>
    <row r="2459" spans="1:9" x14ac:dyDescent="0.25">
      <c r="A2459" s="40" t="s">
        <v>735</v>
      </c>
      <c r="B2459" s="28">
        <v>3095</v>
      </c>
      <c r="C2459" s="28" t="s">
        <v>35</v>
      </c>
      <c r="D2459" s="28" t="s">
        <v>38</v>
      </c>
      <c r="E2459" s="41">
        <v>46142</v>
      </c>
      <c r="F2459" s="47">
        <v>0.69107638888888889</v>
      </c>
      <c r="G2459" s="44">
        <v>6.3</v>
      </c>
      <c r="H2459" s="43" t="s">
        <v>235</v>
      </c>
      <c r="I2459" s="40" t="s">
        <v>1281</v>
      </c>
    </row>
    <row r="2460" spans="1:9" x14ac:dyDescent="0.25">
      <c r="A2460" s="40" t="s">
        <v>735</v>
      </c>
      <c r="B2460" s="28">
        <v>3095</v>
      </c>
      <c r="C2460" s="28" t="s">
        <v>736</v>
      </c>
      <c r="D2460" s="28"/>
      <c r="E2460" s="41">
        <v>46143</v>
      </c>
      <c r="F2460" s="47">
        <v>0.23049768518518518</v>
      </c>
      <c r="G2460" s="44">
        <v>6.3</v>
      </c>
      <c r="H2460" s="43" t="s">
        <v>234</v>
      </c>
      <c r="I2460" s="40" t="s">
        <v>1282</v>
      </c>
    </row>
    <row r="2461" spans="1:9" x14ac:dyDescent="0.25">
      <c r="A2461" s="40" t="s">
        <v>735</v>
      </c>
      <c r="B2461" s="28">
        <v>3095</v>
      </c>
      <c r="C2461" s="28">
        <v>10573525</v>
      </c>
      <c r="D2461" s="28" t="s">
        <v>36</v>
      </c>
      <c r="E2461" s="41">
        <v>46143</v>
      </c>
      <c r="F2461" s="47">
        <v>0.60695601851851855</v>
      </c>
      <c r="G2461" s="44">
        <v>6.3</v>
      </c>
      <c r="H2461" s="43" t="s">
        <v>235</v>
      </c>
      <c r="I2461" s="40" t="s">
        <v>1282</v>
      </c>
    </row>
    <row r="2462" spans="1:9" x14ac:dyDescent="0.25">
      <c r="A2462" s="40" t="s">
        <v>735</v>
      </c>
      <c r="B2462" s="28">
        <v>3095</v>
      </c>
      <c r="C2462" s="28">
        <v>10573525</v>
      </c>
      <c r="D2462" s="28" t="s">
        <v>36</v>
      </c>
      <c r="E2462" s="41">
        <v>46143</v>
      </c>
      <c r="F2462" s="47">
        <v>0.6146759259259259</v>
      </c>
      <c r="G2462" s="44">
        <v>6.3</v>
      </c>
      <c r="H2462" s="43" t="s">
        <v>236</v>
      </c>
      <c r="I2462" s="40" t="s">
        <v>1282</v>
      </c>
    </row>
    <row r="2463" spans="1:9" x14ac:dyDescent="0.25">
      <c r="A2463" s="40" t="s">
        <v>95</v>
      </c>
      <c r="B2463" s="28">
        <v>3102</v>
      </c>
      <c r="C2463" s="28">
        <v>10544365</v>
      </c>
      <c r="D2463" s="28"/>
      <c r="E2463" s="41">
        <v>46139</v>
      </c>
      <c r="F2463" s="47">
        <v>0.51195601851851846</v>
      </c>
      <c r="G2463" s="44">
        <v>6.3</v>
      </c>
      <c r="H2463" s="43" t="s">
        <v>237</v>
      </c>
      <c r="I2463" s="40" t="s">
        <v>1281</v>
      </c>
    </row>
    <row r="2464" spans="1:9" x14ac:dyDescent="0.25">
      <c r="A2464" s="40" t="s">
        <v>95</v>
      </c>
      <c r="B2464" s="28">
        <v>3102</v>
      </c>
      <c r="C2464" s="28">
        <v>10544365</v>
      </c>
      <c r="D2464" s="28"/>
      <c r="E2464" s="45">
        <v>46139</v>
      </c>
      <c r="F2464" s="48">
        <v>0.51829861111111108</v>
      </c>
      <c r="G2464" s="44">
        <v>6.3</v>
      </c>
      <c r="H2464" s="43" t="s">
        <v>234</v>
      </c>
      <c r="I2464" s="40" t="s">
        <v>1281</v>
      </c>
    </row>
    <row r="2465" spans="1:9" x14ac:dyDescent="0.25">
      <c r="A2465" s="40" t="s">
        <v>95</v>
      </c>
      <c r="B2465" s="28">
        <v>3102</v>
      </c>
      <c r="C2465" s="28">
        <v>10558956</v>
      </c>
      <c r="D2465" s="28"/>
      <c r="E2465" s="41">
        <v>46141</v>
      </c>
      <c r="F2465" s="47">
        <v>0.77292824074074074</v>
      </c>
      <c r="G2465" s="44">
        <v>6.3</v>
      </c>
      <c r="H2465" s="43" t="s">
        <v>237</v>
      </c>
      <c r="I2465" s="40" t="s">
        <v>1281</v>
      </c>
    </row>
    <row r="2466" spans="1:9" x14ac:dyDescent="0.25">
      <c r="A2466" s="40" t="s">
        <v>95</v>
      </c>
      <c r="B2466" s="28">
        <v>3102</v>
      </c>
      <c r="C2466" s="28">
        <v>10558956</v>
      </c>
      <c r="D2466" s="28"/>
      <c r="E2466" s="41">
        <v>46141</v>
      </c>
      <c r="F2466" s="47">
        <v>0.79228009259259258</v>
      </c>
      <c r="G2466" s="44">
        <v>6.3</v>
      </c>
      <c r="H2466" s="43" t="s">
        <v>234</v>
      </c>
      <c r="I2466" s="40" t="s">
        <v>1281</v>
      </c>
    </row>
    <row r="2467" spans="1:9" x14ac:dyDescent="0.25">
      <c r="A2467" s="40" t="s">
        <v>95</v>
      </c>
      <c r="B2467" s="28">
        <v>3102</v>
      </c>
      <c r="C2467" s="28">
        <v>10566494</v>
      </c>
      <c r="D2467" s="28"/>
      <c r="E2467" s="45">
        <v>46142</v>
      </c>
      <c r="F2467" s="48">
        <v>0.38229166666666664</v>
      </c>
      <c r="G2467" s="44">
        <v>6.3</v>
      </c>
      <c r="H2467" s="43" t="s">
        <v>235</v>
      </c>
      <c r="I2467" s="40" t="s">
        <v>1281</v>
      </c>
    </row>
    <row r="2468" spans="1:9" x14ac:dyDescent="0.25">
      <c r="A2468" s="40" t="s">
        <v>95</v>
      </c>
      <c r="B2468" s="28">
        <v>3102</v>
      </c>
      <c r="C2468" s="28" t="s">
        <v>35</v>
      </c>
      <c r="D2468" s="28" t="s">
        <v>38</v>
      </c>
      <c r="E2468" s="41">
        <v>46142</v>
      </c>
      <c r="F2468" s="47">
        <v>0.3976851851851852</v>
      </c>
      <c r="G2468" s="44">
        <v>6.3</v>
      </c>
      <c r="H2468" s="43" t="s">
        <v>236</v>
      </c>
      <c r="I2468" s="40" t="s">
        <v>1281</v>
      </c>
    </row>
    <row r="2469" spans="1:9" x14ac:dyDescent="0.25">
      <c r="A2469" s="40" t="s">
        <v>95</v>
      </c>
      <c r="B2469" s="28">
        <v>3102</v>
      </c>
      <c r="C2469" s="28">
        <v>10566561</v>
      </c>
      <c r="D2469" s="28"/>
      <c r="E2469" s="45">
        <v>46142</v>
      </c>
      <c r="F2469" s="48">
        <v>0.52376157407407409</v>
      </c>
      <c r="G2469" s="44">
        <v>6.3</v>
      </c>
      <c r="H2469" s="43" t="s">
        <v>237</v>
      </c>
      <c r="I2469" s="40" t="s">
        <v>1281</v>
      </c>
    </row>
    <row r="2470" spans="1:9" x14ac:dyDescent="0.25">
      <c r="A2470" s="40" t="s">
        <v>95</v>
      </c>
      <c r="B2470" s="28">
        <v>3102</v>
      </c>
      <c r="C2470" s="28">
        <v>10566561</v>
      </c>
      <c r="D2470" s="28"/>
      <c r="E2470" s="41">
        <v>46142</v>
      </c>
      <c r="F2470" s="47">
        <v>0.53189814814814818</v>
      </c>
      <c r="G2470" s="44">
        <v>6.3</v>
      </c>
      <c r="H2470" s="43" t="s">
        <v>234</v>
      </c>
      <c r="I2470" s="40" t="s">
        <v>1281</v>
      </c>
    </row>
    <row r="2471" spans="1:9" x14ac:dyDescent="0.25">
      <c r="A2471" s="40" t="s">
        <v>95</v>
      </c>
      <c r="B2471" s="28">
        <v>3102</v>
      </c>
      <c r="C2471" s="28">
        <v>10585871</v>
      </c>
      <c r="D2471" s="28"/>
      <c r="E2471" s="41">
        <v>46145</v>
      </c>
      <c r="F2471" s="47">
        <v>0.50708333333333333</v>
      </c>
      <c r="G2471" s="44">
        <v>6.3</v>
      </c>
      <c r="H2471" s="43" t="s">
        <v>237</v>
      </c>
      <c r="I2471" s="40" t="s">
        <v>1282</v>
      </c>
    </row>
    <row r="2472" spans="1:9" x14ac:dyDescent="0.25">
      <c r="A2472" s="40" t="s">
        <v>95</v>
      </c>
      <c r="B2472" s="28">
        <v>3102</v>
      </c>
      <c r="C2472" s="28">
        <v>10585871</v>
      </c>
      <c r="D2472" s="28"/>
      <c r="E2472" s="41">
        <v>46145</v>
      </c>
      <c r="F2472" s="47">
        <v>0.51238425925925923</v>
      </c>
      <c r="G2472" s="44">
        <v>6.3</v>
      </c>
      <c r="H2472" s="43" t="s">
        <v>234</v>
      </c>
      <c r="I2472" s="40" t="s">
        <v>1282</v>
      </c>
    </row>
    <row r="2473" spans="1:9" x14ac:dyDescent="0.25">
      <c r="A2473" s="40" t="s">
        <v>95</v>
      </c>
      <c r="B2473" s="28">
        <v>3102</v>
      </c>
      <c r="C2473" s="28">
        <v>5644698</v>
      </c>
      <c r="D2473" s="28" t="s">
        <v>37</v>
      </c>
      <c r="E2473" s="45">
        <v>46145</v>
      </c>
      <c r="F2473" s="48">
        <v>0.64811342592592591</v>
      </c>
      <c r="G2473" s="44">
        <v>6.3</v>
      </c>
      <c r="H2473" s="43" t="s">
        <v>235</v>
      </c>
      <c r="I2473" s="40" t="s">
        <v>1282</v>
      </c>
    </row>
    <row r="2474" spans="1:9" x14ac:dyDescent="0.25">
      <c r="A2474" s="40" t="s">
        <v>95</v>
      </c>
      <c r="B2474" s="28">
        <v>3102</v>
      </c>
      <c r="C2474" s="28">
        <v>5644698</v>
      </c>
      <c r="D2474" s="28" t="s">
        <v>37</v>
      </c>
      <c r="E2474" s="41">
        <v>46145</v>
      </c>
      <c r="F2474" s="47">
        <v>0.6545023148148148</v>
      </c>
      <c r="G2474" s="44">
        <v>6.3</v>
      </c>
      <c r="H2474" s="43" t="s">
        <v>239</v>
      </c>
      <c r="I2474" s="40" t="s">
        <v>1282</v>
      </c>
    </row>
    <row r="2475" spans="1:9" x14ac:dyDescent="0.25">
      <c r="A2475" s="40" t="s">
        <v>96</v>
      </c>
      <c r="B2475" s="28">
        <v>3113</v>
      </c>
      <c r="C2475" s="28" t="s">
        <v>737</v>
      </c>
      <c r="D2475" s="28"/>
      <c r="E2475" s="41">
        <v>46140</v>
      </c>
      <c r="F2475" s="47">
        <v>0.32090277777777776</v>
      </c>
      <c r="G2475" s="44">
        <v>6.3</v>
      </c>
      <c r="H2475" s="43" t="s">
        <v>235</v>
      </c>
      <c r="I2475" s="40" t="s">
        <v>1281</v>
      </c>
    </row>
    <row r="2476" spans="1:9" x14ac:dyDescent="0.25">
      <c r="A2476" s="40" t="s">
        <v>96</v>
      </c>
      <c r="B2476" s="28">
        <v>3113</v>
      </c>
      <c r="C2476" s="28" t="s">
        <v>737</v>
      </c>
      <c r="D2476" s="28"/>
      <c r="E2476" s="41">
        <v>46140</v>
      </c>
      <c r="F2476" s="47">
        <v>0.33600694444444446</v>
      </c>
      <c r="G2476" s="44">
        <v>6.3</v>
      </c>
      <c r="H2476" s="43" t="s">
        <v>236</v>
      </c>
      <c r="I2476" s="40" t="s">
        <v>1281</v>
      </c>
    </row>
    <row r="2477" spans="1:9" x14ac:dyDescent="0.25">
      <c r="A2477" s="40" t="s">
        <v>96</v>
      </c>
      <c r="B2477" s="28">
        <v>3113</v>
      </c>
      <c r="C2477" s="28" t="s">
        <v>738</v>
      </c>
      <c r="D2477" s="28"/>
      <c r="E2477" s="41">
        <v>46140</v>
      </c>
      <c r="F2477" s="47">
        <v>0.38853009259259258</v>
      </c>
      <c r="G2477" s="44">
        <v>6.3</v>
      </c>
      <c r="H2477" s="43" t="s">
        <v>237</v>
      </c>
      <c r="I2477" s="40" t="s">
        <v>1281</v>
      </c>
    </row>
    <row r="2478" spans="1:9" x14ac:dyDescent="0.25">
      <c r="A2478" s="40" t="s">
        <v>96</v>
      </c>
      <c r="B2478" s="28">
        <v>3113</v>
      </c>
      <c r="C2478" s="28" t="s">
        <v>738</v>
      </c>
      <c r="D2478" s="28"/>
      <c r="E2478" s="41">
        <v>46140</v>
      </c>
      <c r="F2478" s="47">
        <v>0.40427083333333336</v>
      </c>
      <c r="G2478" s="44">
        <v>6.3</v>
      </c>
      <c r="H2478" s="43" t="s">
        <v>234</v>
      </c>
      <c r="I2478" s="40" t="s">
        <v>1281</v>
      </c>
    </row>
    <row r="2479" spans="1:9" x14ac:dyDescent="0.25">
      <c r="A2479" s="40" t="s">
        <v>96</v>
      </c>
      <c r="B2479" s="28">
        <v>3113</v>
      </c>
      <c r="C2479" s="28" t="s">
        <v>739</v>
      </c>
      <c r="D2479" s="28"/>
      <c r="E2479" s="41">
        <v>46140</v>
      </c>
      <c r="F2479" s="47">
        <v>0.50037037037037035</v>
      </c>
      <c r="G2479" s="44">
        <v>6.3</v>
      </c>
      <c r="H2479" s="43" t="s">
        <v>235</v>
      </c>
      <c r="I2479" s="40" t="s">
        <v>1281</v>
      </c>
    </row>
    <row r="2480" spans="1:9" x14ac:dyDescent="0.25">
      <c r="A2480" s="40" t="s">
        <v>96</v>
      </c>
      <c r="B2480" s="28">
        <v>3113</v>
      </c>
      <c r="C2480" s="28" t="s">
        <v>739</v>
      </c>
      <c r="D2480" s="28"/>
      <c r="E2480" s="41">
        <v>46140</v>
      </c>
      <c r="F2480" s="47">
        <v>0.51009259259259254</v>
      </c>
      <c r="G2480" s="44">
        <v>6.3</v>
      </c>
      <c r="H2480" s="43" t="s">
        <v>236</v>
      </c>
      <c r="I2480" s="40" t="s">
        <v>1281</v>
      </c>
    </row>
    <row r="2481" spans="1:9" x14ac:dyDescent="0.25">
      <c r="A2481" s="40" t="s">
        <v>96</v>
      </c>
      <c r="B2481" s="28">
        <v>3113</v>
      </c>
      <c r="C2481" s="28" t="s">
        <v>740</v>
      </c>
      <c r="D2481" s="28"/>
      <c r="E2481" s="45">
        <v>46141</v>
      </c>
      <c r="F2481" s="48">
        <v>0.24326388888888889</v>
      </c>
      <c r="G2481" s="44">
        <v>6.3</v>
      </c>
      <c r="H2481" s="43" t="s">
        <v>237</v>
      </c>
      <c r="I2481" s="40" t="s">
        <v>1281</v>
      </c>
    </row>
    <row r="2482" spans="1:9" x14ac:dyDescent="0.25">
      <c r="A2482" s="40" t="s">
        <v>96</v>
      </c>
      <c r="B2482" s="28">
        <v>3113</v>
      </c>
      <c r="C2482" s="28" t="s">
        <v>740</v>
      </c>
      <c r="D2482" s="28"/>
      <c r="E2482" s="45">
        <v>46141</v>
      </c>
      <c r="F2482" s="48">
        <v>0.24878472222222223</v>
      </c>
      <c r="G2482" s="44">
        <v>6.3</v>
      </c>
      <c r="H2482" s="43" t="s">
        <v>234</v>
      </c>
      <c r="I2482" s="40" t="s">
        <v>1281</v>
      </c>
    </row>
    <row r="2483" spans="1:9" x14ac:dyDescent="0.25">
      <c r="A2483" s="40" t="s">
        <v>96</v>
      </c>
      <c r="B2483" s="28">
        <v>3113</v>
      </c>
      <c r="C2483" s="28" t="s">
        <v>741</v>
      </c>
      <c r="D2483" s="28"/>
      <c r="E2483" s="41">
        <v>46141</v>
      </c>
      <c r="F2483" s="47">
        <v>0.31950231481481484</v>
      </c>
      <c r="G2483" s="42">
        <v>6.3</v>
      </c>
      <c r="H2483" s="40" t="s">
        <v>235</v>
      </c>
      <c r="I2483" s="40" t="s">
        <v>1281</v>
      </c>
    </row>
    <row r="2484" spans="1:9" x14ac:dyDescent="0.25">
      <c r="A2484" s="40" t="s">
        <v>96</v>
      </c>
      <c r="B2484" s="28">
        <v>3113</v>
      </c>
      <c r="C2484" s="28" t="s">
        <v>741</v>
      </c>
      <c r="D2484" s="28"/>
      <c r="E2484" s="41">
        <v>46141</v>
      </c>
      <c r="F2484" s="47">
        <v>0.33133101851851854</v>
      </c>
      <c r="G2484" s="42">
        <v>6.3</v>
      </c>
      <c r="H2484" s="40" t="s">
        <v>236</v>
      </c>
      <c r="I2484" s="40" t="s">
        <v>1281</v>
      </c>
    </row>
    <row r="2485" spans="1:9" x14ac:dyDescent="0.25">
      <c r="A2485" s="40" t="s">
        <v>96</v>
      </c>
      <c r="B2485" s="28">
        <v>3113</v>
      </c>
      <c r="C2485" s="28" t="s">
        <v>742</v>
      </c>
      <c r="D2485" s="28"/>
      <c r="E2485" s="41">
        <v>46141</v>
      </c>
      <c r="F2485" s="47">
        <v>0.4120949074074074</v>
      </c>
      <c r="G2485" s="42">
        <v>6.3</v>
      </c>
      <c r="H2485" s="40" t="s">
        <v>237</v>
      </c>
      <c r="I2485" s="40" t="s">
        <v>1281</v>
      </c>
    </row>
    <row r="2486" spans="1:9" x14ac:dyDescent="0.25">
      <c r="A2486" s="40" t="s">
        <v>96</v>
      </c>
      <c r="B2486" s="28">
        <v>3113</v>
      </c>
      <c r="C2486" s="28" t="s">
        <v>742</v>
      </c>
      <c r="D2486" s="28"/>
      <c r="E2486" s="41">
        <v>46141</v>
      </c>
      <c r="F2486" s="47">
        <v>0.42925925925925928</v>
      </c>
      <c r="G2486" s="42">
        <v>6.3</v>
      </c>
      <c r="H2486" s="40" t="s">
        <v>234</v>
      </c>
      <c r="I2486" s="40" t="s">
        <v>1281</v>
      </c>
    </row>
    <row r="2487" spans="1:9" x14ac:dyDescent="0.25">
      <c r="A2487" s="40" t="s">
        <v>96</v>
      </c>
      <c r="B2487" s="28">
        <v>3113</v>
      </c>
      <c r="C2487" s="28" t="s">
        <v>743</v>
      </c>
      <c r="D2487" s="28"/>
      <c r="E2487" s="41">
        <v>46142</v>
      </c>
      <c r="F2487" s="47">
        <v>0.19907407407407407</v>
      </c>
      <c r="G2487" s="42">
        <v>6.3</v>
      </c>
      <c r="H2487" s="40" t="s">
        <v>237</v>
      </c>
      <c r="I2487" s="40" t="s">
        <v>1281</v>
      </c>
    </row>
    <row r="2488" spans="1:9" x14ac:dyDescent="0.25">
      <c r="A2488" s="40" t="s">
        <v>96</v>
      </c>
      <c r="B2488" s="28">
        <v>3113</v>
      </c>
      <c r="C2488" s="28" t="s">
        <v>743</v>
      </c>
      <c r="D2488" s="28"/>
      <c r="E2488" s="41">
        <v>46142</v>
      </c>
      <c r="F2488" s="47">
        <v>0.20505787037037038</v>
      </c>
      <c r="G2488" s="42">
        <v>6.3</v>
      </c>
      <c r="H2488" s="40" t="s">
        <v>234</v>
      </c>
      <c r="I2488" s="40" t="s">
        <v>1281</v>
      </c>
    </row>
    <row r="2489" spans="1:9" x14ac:dyDescent="0.25">
      <c r="A2489" s="40" t="s">
        <v>96</v>
      </c>
      <c r="B2489" s="28">
        <v>3113</v>
      </c>
      <c r="C2489" s="28" t="s">
        <v>744</v>
      </c>
      <c r="D2489" s="28"/>
      <c r="E2489" s="41">
        <v>46142</v>
      </c>
      <c r="F2489" s="47">
        <v>0.24975694444444443</v>
      </c>
      <c r="G2489" s="42">
        <v>6.3</v>
      </c>
      <c r="H2489" s="40" t="s">
        <v>235</v>
      </c>
      <c r="I2489" s="40" t="s">
        <v>1281</v>
      </c>
    </row>
    <row r="2490" spans="1:9" x14ac:dyDescent="0.25">
      <c r="A2490" s="40" t="s">
        <v>96</v>
      </c>
      <c r="B2490" s="28">
        <v>3113</v>
      </c>
      <c r="C2490" s="28" t="s">
        <v>744</v>
      </c>
      <c r="D2490" s="28"/>
      <c r="E2490" s="45">
        <v>46142</v>
      </c>
      <c r="F2490" s="48">
        <v>0.26490740740740742</v>
      </c>
      <c r="G2490" s="42">
        <v>6.3</v>
      </c>
      <c r="H2490" s="40" t="s">
        <v>236</v>
      </c>
      <c r="I2490" s="40" t="s">
        <v>1281</v>
      </c>
    </row>
    <row r="2491" spans="1:9" x14ac:dyDescent="0.25">
      <c r="A2491" s="40" t="s">
        <v>96</v>
      </c>
      <c r="B2491" s="28">
        <v>3113</v>
      </c>
      <c r="C2491" s="28" t="s">
        <v>745</v>
      </c>
      <c r="D2491" s="28"/>
      <c r="E2491" s="41">
        <v>46143</v>
      </c>
      <c r="F2491" s="47">
        <v>0.22473379629629631</v>
      </c>
      <c r="G2491" s="44">
        <v>6.3</v>
      </c>
      <c r="H2491" s="43" t="s">
        <v>237</v>
      </c>
      <c r="I2491" s="40" t="s">
        <v>1282</v>
      </c>
    </row>
    <row r="2492" spans="1:9" x14ac:dyDescent="0.25">
      <c r="A2492" s="40" t="s">
        <v>96</v>
      </c>
      <c r="B2492" s="28">
        <v>3113</v>
      </c>
      <c r="C2492" s="28" t="s">
        <v>745</v>
      </c>
      <c r="D2492" s="28"/>
      <c r="E2492" s="41">
        <v>46143</v>
      </c>
      <c r="F2492" s="47">
        <v>0.23012731481481483</v>
      </c>
      <c r="G2492" s="44">
        <v>6.3</v>
      </c>
      <c r="H2492" s="43" t="s">
        <v>234</v>
      </c>
      <c r="I2492" s="40" t="s">
        <v>1282</v>
      </c>
    </row>
    <row r="2493" spans="1:9" x14ac:dyDescent="0.25">
      <c r="A2493" s="40" t="s">
        <v>96</v>
      </c>
      <c r="B2493" s="28">
        <v>3113</v>
      </c>
      <c r="C2493" s="28" t="s">
        <v>746</v>
      </c>
      <c r="D2493" s="28"/>
      <c r="E2493" s="41">
        <v>46143</v>
      </c>
      <c r="F2493" s="47">
        <v>0.32559027777777777</v>
      </c>
      <c r="G2493" s="44">
        <v>6.3</v>
      </c>
      <c r="H2493" s="43" t="s">
        <v>235</v>
      </c>
      <c r="I2493" s="40" t="s">
        <v>1282</v>
      </c>
    </row>
    <row r="2494" spans="1:9" x14ac:dyDescent="0.25">
      <c r="A2494" s="40" t="s">
        <v>96</v>
      </c>
      <c r="B2494" s="28">
        <v>3113</v>
      </c>
      <c r="C2494" s="28" t="s">
        <v>746</v>
      </c>
      <c r="D2494" s="28"/>
      <c r="E2494" s="41">
        <v>46143</v>
      </c>
      <c r="F2494" s="47">
        <v>0.33243055555555556</v>
      </c>
      <c r="G2494" s="44">
        <v>6.3</v>
      </c>
      <c r="H2494" s="43" t="s">
        <v>236</v>
      </c>
      <c r="I2494" s="40" t="s">
        <v>1282</v>
      </c>
    </row>
    <row r="2495" spans="1:9" x14ac:dyDescent="0.25">
      <c r="A2495" s="40" t="s">
        <v>96</v>
      </c>
      <c r="B2495" s="28">
        <v>3113</v>
      </c>
      <c r="C2495" s="28" t="s">
        <v>747</v>
      </c>
      <c r="D2495" s="28"/>
      <c r="E2495" s="41">
        <v>46144</v>
      </c>
      <c r="F2495" s="47">
        <v>0.35085648148148146</v>
      </c>
      <c r="G2495" s="44">
        <v>6.3</v>
      </c>
      <c r="H2495" s="43" t="s">
        <v>237</v>
      </c>
      <c r="I2495" s="40" t="s">
        <v>1282</v>
      </c>
    </row>
    <row r="2496" spans="1:9" x14ac:dyDescent="0.25">
      <c r="A2496" s="40" t="s">
        <v>96</v>
      </c>
      <c r="B2496" s="28">
        <v>3113</v>
      </c>
      <c r="C2496" s="28" t="s">
        <v>747</v>
      </c>
      <c r="D2496" s="28"/>
      <c r="E2496" s="41">
        <v>46144</v>
      </c>
      <c r="F2496" s="47">
        <v>0.35630787037037037</v>
      </c>
      <c r="G2496" s="44">
        <v>6.3</v>
      </c>
      <c r="H2496" s="43" t="s">
        <v>234</v>
      </c>
      <c r="I2496" s="40" t="s">
        <v>1282</v>
      </c>
    </row>
    <row r="2497" spans="1:9" x14ac:dyDescent="0.25">
      <c r="A2497" s="40" t="s">
        <v>96</v>
      </c>
      <c r="B2497" s="28">
        <v>3113</v>
      </c>
      <c r="C2497" s="28" t="s">
        <v>748</v>
      </c>
      <c r="D2497" s="28"/>
      <c r="E2497" s="41">
        <v>46144</v>
      </c>
      <c r="F2497" s="47">
        <v>0.52326388888888886</v>
      </c>
      <c r="G2497" s="44">
        <v>6.3</v>
      </c>
      <c r="H2497" s="43" t="s">
        <v>237</v>
      </c>
      <c r="I2497" s="40" t="s">
        <v>1282</v>
      </c>
    </row>
    <row r="2498" spans="1:9" x14ac:dyDescent="0.25">
      <c r="A2498" s="40" t="s">
        <v>96</v>
      </c>
      <c r="B2498" s="28">
        <v>3113</v>
      </c>
      <c r="C2498" s="28" t="s">
        <v>748</v>
      </c>
      <c r="D2498" s="28"/>
      <c r="E2498" s="41">
        <v>46144</v>
      </c>
      <c r="F2498" s="47">
        <v>0.5290393518518518</v>
      </c>
      <c r="G2498" s="44">
        <v>6.3</v>
      </c>
      <c r="H2498" s="43" t="s">
        <v>234</v>
      </c>
      <c r="I2498" s="40" t="s">
        <v>1282</v>
      </c>
    </row>
    <row r="2499" spans="1:9" x14ac:dyDescent="0.25">
      <c r="A2499" s="40" t="s">
        <v>97</v>
      </c>
      <c r="B2499" s="28">
        <v>3118</v>
      </c>
      <c r="C2499" s="28" t="s">
        <v>749</v>
      </c>
      <c r="D2499" s="28"/>
      <c r="E2499" s="45">
        <v>46139</v>
      </c>
      <c r="F2499" s="48">
        <v>0.32194444444444442</v>
      </c>
      <c r="G2499" s="44">
        <v>6.3</v>
      </c>
      <c r="H2499" s="43" t="s">
        <v>235</v>
      </c>
      <c r="I2499" s="40" t="s">
        <v>1281</v>
      </c>
    </row>
    <row r="2500" spans="1:9" x14ac:dyDescent="0.25">
      <c r="A2500" s="40" t="s">
        <v>97</v>
      </c>
      <c r="B2500" s="28">
        <v>3118</v>
      </c>
      <c r="C2500" s="28" t="s">
        <v>749</v>
      </c>
      <c r="D2500" s="28"/>
      <c r="E2500" s="41">
        <v>46139</v>
      </c>
      <c r="F2500" s="47">
        <v>0.34075231481481483</v>
      </c>
      <c r="G2500" s="44">
        <v>6.3</v>
      </c>
      <c r="H2500" s="43" t="s">
        <v>236</v>
      </c>
      <c r="I2500" s="40" t="s">
        <v>1281</v>
      </c>
    </row>
    <row r="2501" spans="1:9" x14ac:dyDescent="0.25">
      <c r="A2501" s="40" t="s">
        <v>97</v>
      </c>
      <c r="B2501" s="28">
        <v>3118</v>
      </c>
      <c r="C2501" s="28">
        <v>10544354</v>
      </c>
      <c r="D2501" s="28" t="s">
        <v>36</v>
      </c>
      <c r="E2501" s="45">
        <v>46139</v>
      </c>
      <c r="F2501" s="48">
        <v>0.40857638888888886</v>
      </c>
      <c r="G2501" s="44">
        <v>6.3</v>
      </c>
      <c r="H2501" s="43" t="s">
        <v>237</v>
      </c>
      <c r="I2501" s="40" t="s">
        <v>1281</v>
      </c>
    </row>
    <row r="2502" spans="1:9" x14ac:dyDescent="0.25">
      <c r="A2502" s="40" t="s">
        <v>97</v>
      </c>
      <c r="B2502" s="28">
        <v>3118</v>
      </c>
      <c r="C2502" s="28">
        <v>10544354</v>
      </c>
      <c r="D2502" s="28" t="s">
        <v>36</v>
      </c>
      <c r="E2502" s="41">
        <v>46139</v>
      </c>
      <c r="F2502" s="47">
        <v>0.41474537037037035</v>
      </c>
      <c r="G2502" s="44">
        <v>6.3</v>
      </c>
      <c r="H2502" s="43" t="s">
        <v>234</v>
      </c>
      <c r="I2502" s="40" t="s">
        <v>1281</v>
      </c>
    </row>
    <row r="2503" spans="1:9" x14ac:dyDescent="0.25">
      <c r="A2503" s="40" t="s">
        <v>97</v>
      </c>
      <c r="B2503" s="28">
        <v>3118</v>
      </c>
      <c r="C2503" s="28" t="s">
        <v>750</v>
      </c>
      <c r="D2503" s="28"/>
      <c r="E2503" s="45">
        <v>46139</v>
      </c>
      <c r="F2503" s="48">
        <v>0.47438657407407409</v>
      </c>
      <c r="G2503" s="44">
        <v>6.3</v>
      </c>
      <c r="H2503" s="43" t="s">
        <v>235</v>
      </c>
      <c r="I2503" s="40" t="s">
        <v>1281</v>
      </c>
    </row>
    <row r="2504" spans="1:9" x14ac:dyDescent="0.25">
      <c r="A2504" s="40" t="s">
        <v>97</v>
      </c>
      <c r="B2504" s="28">
        <v>3118</v>
      </c>
      <c r="C2504" s="28" t="s">
        <v>750</v>
      </c>
      <c r="D2504" s="28"/>
      <c r="E2504" s="41">
        <v>46139</v>
      </c>
      <c r="F2504" s="47">
        <v>0.48310185185185184</v>
      </c>
      <c r="G2504" s="44">
        <v>6.3</v>
      </c>
      <c r="H2504" s="43" t="s">
        <v>236</v>
      </c>
      <c r="I2504" s="40" t="s">
        <v>1281</v>
      </c>
    </row>
    <row r="2505" spans="1:9" x14ac:dyDescent="0.25">
      <c r="A2505" s="40" t="s">
        <v>97</v>
      </c>
      <c r="B2505" s="28">
        <v>3118</v>
      </c>
      <c r="C2505" s="28" t="s">
        <v>751</v>
      </c>
      <c r="D2505" s="28"/>
      <c r="E2505" s="45">
        <v>46139</v>
      </c>
      <c r="F2505" s="48">
        <v>0.55821759259259263</v>
      </c>
      <c r="G2505" s="44">
        <v>6.3</v>
      </c>
      <c r="H2505" s="43" t="s">
        <v>237</v>
      </c>
      <c r="I2505" s="40" t="s">
        <v>1281</v>
      </c>
    </row>
    <row r="2506" spans="1:9" x14ac:dyDescent="0.25">
      <c r="A2506" s="40" t="s">
        <v>97</v>
      </c>
      <c r="B2506" s="28">
        <v>3118</v>
      </c>
      <c r="C2506" s="28" t="s">
        <v>751</v>
      </c>
      <c r="D2506" s="28"/>
      <c r="E2506" s="41">
        <v>46139</v>
      </c>
      <c r="F2506" s="47">
        <v>0.56385416666666666</v>
      </c>
      <c r="G2506" s="42">
        <v>6.3</v>
      </c>
      <c r="H2506" s="40" t="s">
        <v>234</v>
      </c>
      <c r="I2506" s="40" t="s">
        <v>1281</v>
      </c>
    </row>
    <row r="2507" spans="1:9" x14ac:dyDescent="0.25">
      <c r="A2507" s="40" t="s">
        <v>97</v>
      </c>
      <c r="B2507" s="28">
        <v>3118</v>
      </c>
      <c r="C2507" s="28" t="s">
        <v>752</v>
      </c>
      <c r="D2507" s="28"/>
      <c r="E2507" s="41">
        <v>46140</v>
      </c>
      <c r="F2507" s="47">
        <v>0.33349537037037036</v>
      </c>
      <c r="G2507" s="42">
        <v>6.3</v>
      </c>
      <c r="H2507" s="40" t="s">
        <v>235</v>
      </c>
      <c r="I2507" s="40" t="s">
        <v>1281</v>
      </c>
    </row>
    <row r="2508" spans="1:9" x14ac:dyDescent="0.25">
      <c r="A2508" s="40" t="s">
        <v>97</v>
      </c>
      <c r="B2508" s="28">
        <v>3118</v>
      </c>
      <c r="C2508" s="28" t="s">
        <v>752</v>
      </c>
      <c r="D2508" s="28"/>
      <c r="E2508" s="41">
        <v>46140</v>
      </c>
      <c r="F2508" s="47">
        <v>0.35199074074074072</v>
      </c>
      <c r="G2508" s="42">
        <v>6.3</v>
      </c>
      <c r="H2508" s="40" t="s">
        <v>236</v>
      </c>
      <c r="I2508" s="40" t="s">
        <v>1281</v>
      </c>
    </row>
    <row r="2509" spans="1:9" x14ac:dyDescent="0.25">
      <c r="A2509" s="40" t="s">
        <v>97</v>
      </c>
      <c r="B2509" s="28">
        <v>3118</v>
      </c>
      <c r="C2509" s="28" t="s">
        <v>753</v>
      </c>
      <c r="D2509" s="28"/>
      <c r="E2509" s="41">
        <v>46140</v>
      </c>
      <c r="F2509" s="47">
        <v>0.3971412037037037</v>
      </c>
      <c r="G2509" s="42">
        <v>6.3</v>
      </c>
      <c r="H2509" s="40" t="s">
        <v>237</v>
      </c>
      <c r="I2509" s="40" t="s">
        <v>1281</v>
      </c>
    </row>
    <row r="2510" spans="1:9" x14ac:dyDescent="0.25">
      <c r="A2510" s="40" t="s">
        <v>97</v>
      </c>
      <c r="B2510" s="28">
        <v>3118</v>
      </c>
      <c r="C2510" s="28" t="s">
        <v>753</v>
      </c>
      <c r="D2510" s="28"/>
      <c r="E2510" s="41">
        <v>46140</v>
      </c>
      <c r="F2510" s="47">
        <v>0.41240740740740739</v>
      </c>
      <c r="G2510" s="44">
        <v>6.3</v>
      </c>
      <c r="H2510" s="43" t="s">
        <v>234</v>
      </c>
      <c r="I2510" s="40" t="s">
        <v>1281</v>
      </c>
    </row>
    <row r="2511" spans="1:9" x14ac:dyDescent="0.25">
      <c r="A2511" s="40" t="s">
        <v>97</v>
      </c>
      <c r="B2511" s="28">
        <v>3118</v>
      </c>
      <c r="C2511" s="28" t="s">
        <v>754</v>
      </c>
      <c r="D2511" s="28"/>
      <c r="E2511" s="41">
        <v>46140</v>
      </c>
      <c r="F2511" s="47">
        <v>0.66560185185185183</v>
      </c>
      <c r="G2511" s="44">
        <v>6.3</v>
      </c>
      <c r="H2511" s="43" t="s">
        <v>237</v>
      </c>
      <c r="I2511" s="40" t="s">
        <v>1281</v>
      </c>
    </row>
    <row r="2512" spans="1:9" x14ac:dyDescent="0.25">
      <c r="A2512" s="40" t="s">
        <v>97</v>
      </c>
      <c r="B2512" s="28">
        <v>3118</v>
      </c>
      <c r="C2512" s="28" t="s">
        <v>754</v>
      </c>
      <c r="D2512" s="28"/>
      <c r="E2512" s="41">
        <v>46140</v>
      </c>
      <c r="F2512" s="47">
        <v>0.6776388888888889</v>
      </c>
      <c r="G2512" s="44">
        <v>6.3</v>
      </c>
      <c r="H2512" s="43" t="s">
        <v>234</v>
      </c>
      <c r="I2512" s="40" t="s">
        <v>1281</v>
      </c>
    </row>
    <row r="2513" spans="1:9" x14ac:dyDescent="0.25">
      <c r="A2513" s="40" t="s">
        <v>97</v>
      </c>
      <c r="B2513" s="28">
        <v>3118</v>
      </c>
      <c r="C2513" s="28" t="s">
        <v>755</v>
      </c>
      <c r="D2513" s="28"/>
      <c r="E2513" s="41">
        <v>46141</v>
      </c>
      <c r="F2513" s="47">
        <v>0.23508101851851851</v>
      </c>
      <c r="G2513" s="44">
        <v>6.3</v>
      </c>
      <c r="H2513" s="43" t="s">
        <v>237</v>
      </c>
      <c r="I2513" s="40" t="s">
        <v>1281</v>
      </c>
    </row>
    <row r="2514" spans="1:9" x14ac:dyDescent="0.25">
      <c r="A2514" s="40" t="s">
        <v>97</v>
      </c>
      <c r="B2514" s="28">
        <v>3118</v>
      </c>
      <c r="C2514" s="28" t="s">
        <v>755</v>
      </c>
      <c r="D2514" s="28"/>
      <c r="E2514" s="41">
        <v>46141</v>
      </c>
      <c r="F2514" s="47">
        <v>0.24024305555555556</v>
      </c>
      <c r="G2514" s="44">
        <v>6.3</v>
      </c>
      <c r="H2514" s="43" t="s">
        <v>234</v>
      </c>
      <c r="I2514" s="40" t="s">
        <v>1281</v>
      </c>
    </row>
    <row r="2515" spans="1:9" x14ac:dyDescent="0.25">
      <c r="A2515" s="40" t="s">
        <v>97</v>
      </c>
      <c r="B2515" s="28">
        <v>3118</v>
      </c>
      <c r="C2515" s="28" t="s">
        <v>756</v>
      </c>
      <c r="D2515" s="28"/>
      <c r="E2515" s="41">
        <v>46141</v>
      </c>
      <c r="F2515" s="47">
        <v>0.30390046296296297</v>
      </c>
      <c r="G2515" s="44">
        <v>6.3</v>
      </c>
      <c r="H2515" s="43" t="s">
        <v>235</v>
      </c>
      <c r="I2515" s="40" t="s">
        <v>1281</v>
      </c>
    </row>
    <row r="2516" spans="1:9" x14ac:dyDescent="0.25">
      <c r="A2516" s="40" t="s">
        <v>97</v>
      </c>
      <c r="B2516" s="28">
        <v>3118</v>
      </c>
      <c r="C2516" s="28" t="s">
        <v>756</v>
      </c>
      <c r="D2516" s="28"/>
      <c r="E2516" s="41">
        <v>46141</v>
      </c>
      <c r="F2516" s="47">
        <v>0.31873842592592594</v>
      </c>
      <c r="G2516" s="44">
        <v>6.3</v>
      </c>
      <c r="H2516" s="43" t="s">
        <v>236</v>
      </c>
      <c r="I2516" s="40" t="s">
        <v>1281</v>
      </c>
    </row>
    <row r="2517" spans="1:9" x14ac:dyDescent="0.25">
      <c r="A2517" s="40" t="s">
        <v>97</v>
      </c>
      <c r="B2517" s="28">
        <v>3118</v>
      </c>
      <c r="C2517" s="28" t="s">
        <v>757</v>
      </c>
      <c r="D2517" s="28"/>
      <c r="E2517" s="45">
        <v>46141</v>
      </c>
      <c r="F2517" s="48">
        <v>0.84079861111111109</v>
      </c>
      <c r="G2517" s="44">
        <v>6.3</v>
      </c>
      <c r="H2517" s="43" t="s">
        <v>235</v>
      </c>
      <c r="I2517" s="40" t="s">
        <v>1281</v>
      </c>
    </row>
    <row r="2518" spans="1:9" x14ac:dyDescent="0.25">
      <c r="A2518" s="40" t="s">
        <v>97</v>
      </c>
      <c r="B2518" s="28">
        <v>3118</v>
      </c>
      <c r="C2518" s="28" t="s">
        <v>757</v>
      </c>
      <c r="D2518" s="28"/>
      <c r="E2518" s="45">
        <v>46141</v>
      </c>
      <c r="F2518" s="48">
        <v>0.85715277777777776</v>
      </c>
      <c r="G2518" s="44">
        <v>6.3</v>
      </c>
      <c r="H2518" s="43" t="s">
        <v>236</v>
      </c>
      <c r="I2518" s="40" t="s">
        <v>1281</v>
      </c>
    </row>
    <row r="2519" spans="1:9" x14ac:dyDescent="0.25">
      <c r="A2519" s="40" t="s">
        <v>97</v>
      </c>
      <c r="B2519" s="28">
        <v>3118</v>
      </c>
      <c r="C2519" s="28" t="s">
        <v>758</v>
      </c>
      <c r="D2519" s="28"/>
      <c r="E2519" s="45">
        <v>46141</v>
      </c>
      <c r="F2519" s="48">
        <v>0.9368981481481482</v>
      </c>
      <c r="G2519" s="44">
        <v>6.3</v>
      </c>
      <c r="H2519" s="43" t="s">
        <v>237</v>
      </c>
      <c r="I2519" s="40" t="s">
        <v>1281</v>
      </c>
    </row>
    <row r="2520" spans="1:9" x14ac:dyDescent="0.25">
      <c r="A2520" s="40" t="s">
        <v>97</v>
      </c>
      <c r="B2520" s="28">
        <v>3118</v>
      </c>
      <c r="C2520" s="28" t="s">
        <v>758</v>
      </c>
      <c r="D2520" s="28"/>
      <c r="E2520" s="41">
        <v>46141</v>
      </c>
      <c r="F2520" s="47">
        <v>0.94251157407407404</v>
      </c>
      <c r="G2520" s="44">
        <v>6.3</v>
      </c>
      <c r="H2520" s="43" t="s">
        <v>234</v>
      </c>
      <c r="I2520" s="40" t="s">
        <v>1281</v>
      </c>
    </row>
    <row r="2521" spans="1:9" x14ac:dyDescent="0.25">
      <c r="A2521" s="40" t="s">
        <v>97</v>
      </c>
      <c r="B2521" s="28">
        <v>3118</v>
      </c>
      <c r="C2521" s="28" t="s">
        <v>759</v>
      </c>
      <c r="D2521" s="28"/>
      <c r="E2521" s="41">
        <v>46142</v>
      </c>
      <c r="F2521" s="47">
        <v>0.24107638888888888</v>
      </c>
      <c r="G2521" s="44">
        <v>6.3</v>
      </c>
      <c r="H2521" s="43" t="s">
        <v>237</v>
      </c>
      <c r="I2521" s="40" t="s">
        <v>1281</v>
      </c>
    </row>
    <row r="2522" spans="1:9" x14ac:dyDescent="0.25">
      <c r="A2522" s="40" t="s">
        <v>97</v>
      </c>
      <c r="B2522" s="28">
        <v>3118</v>
      </c>
      <c r="C2522" s="28" t="s">
        <v>759</v>
      </c>
      <c r="D2522" s="28"/>
      <c r="E2522" s="41">
        <v>46142</v>
      </c>
      <c r="F2522" s="47">
        <v>0.24644675925925927</v>
      </c>
      <c r="G2522" s="44">
        <v>6.3</v>
      </c>
      <c r="H2522" s="43" t="s">
        <v>234</v>
      </c>
      <c r="I2522" s="40" t="s">
        <v>1281</v>
      </c>
    </row>
    <row r="2523" spans="1:9" x14ac:dyDescent="0.25">
      <c r="A2523" s="40" t="s">
        <v>97</v>
      </c>
      <c r="B2523" s="28">
        <v>3118</v>
      </c>
      <c r="C2523" s="28" t="s">
        <v>35</v>
      </c>
      <c r="D2523" s="28" t="s">
        <v>38</v>
      </c>
      <c r="E2523" s="41">
        <v>46145</v>
      </c>
      <c r="F2523" s="47">
        <v>0.70883101851851849</v>
      </c>
      <c r="G2523" s="44">
        <v>6.3</v>
      </c>
      <c r="H2523" s="43" t="s">
        <v>234</v>
      </c>
      <c r="I2523" s="40" t="s">
        <v>1282</v>
      </c>
    </row>
    <row r="2524" spans="1:9" x14ac:dyDescent="0.25">
      <c r="A2524" s="40" t="s">
        <v>760</v>
      </c>
      <c r="B2524" s="28">
        <v>3127</v>
      </c>
      <c r="C2524" s="28">
        <v>5636696</v>
      </c>
      <c r="D2524" s="28"/>
      <c r="E2524" s="41">
        <v>46139</v>
      </c>
      <c r="F2524" s="47">
        <v>0.54035879629629635</v>
      </c>
      <c r="G2524" s="44">
        <v>6.3</v>
      </c>
      <c r="H2524" s="43" t="s">
        <v>235</v>
      </c>
      <c r="I2524" s="40" t="s">
        <v>1281</v>
      </c>
    </row>
    <row r="2525" spans="1:9" x14ac:dyDescent="0.25">
      <c r="A2525" s="40" t="s">
        <v>760</v>
      </c>
      <c r="B2525" s="28">
        <v>3127</v>
      </c>
      <c r="C2525" s="28">
        <v>5636696</v>
      </c>
      <c r="D2525" s="28"/>
      <c r="E2525" s="41">
        <v>46139</v>
      </c>
      <c r="F2525" s="47">
        <v>0.54947916666666663</v>
      </c>
      <c r="G2525" s="44">
        <v>6.3</v>
      </c>
      <c r="H2525" s="43" t="s">
        <v>236</v>
      </c>
      <c r="I2525" s="40" t="s">
        <v>1281</v>
      </c>
    </row>
    <row r="2526" spans="1:9" x14ac:dyDescent="0.25">
      <c r="A2526" s="40" t="s">
        <v>760</v>
      </c>
      <c r="B2526" s="28">
        <v>3127</v>
      </c>
      <c r="C2526" s="28">
        <v>5638059</v>
      </c>
      <c r="D2526" s="28"/>
      <c r="E2526" s="45">
        <v>46139</v>
      </c>
      <c r="F2526" s="48">
        <v>0.7759490740740741</v>
      </c>
      <c r="G2526" s="44">
        <v>6.3</v>
      </c>
      <c r="H2526" s="43" t="s">
        <v>237</v>
      </c>
      <c r="I2526" s="40" t="s">
        <v>1281</v>
      </c>
    </row>
    <row r="2527" spans="1:9" x14ac:dyDescent="0.25">
      <c r="A2527" s="40" t="s">
        <v>760</v>
      </c>
      <c r="B2527" s="28">
        <v>3127</v>
      </c>
      <c r="C2527" s="28">
        <v>5638059</v>
      </c>
      <c r="D2527" s="28"/>
      <c r="E2527" s="41">
        <v>46139</v>
      </c>
      <c r="F2527" s="47">
        <v>0.81915509259259256</v>
      </c>
      <c r="G2527" s="44">
        <v>6.3</v>
      </c>
      <c r="H2527" s="43" t="s">
        <v>234</v>
      </c>
      <c r="I2527" s="40" t="s">
        <v>1281</v>
      </c>
    </row>
    <row r="2528" spans="1:9" x14ac:dyDescent="0.25">
      <c r="A2528" s="40" t="s">
        <v>760</v>
      </c>
      <c r="B2528" s="28">
        <v>3127</v>
      </c>
      <c r="C2528" s="28">
        <v>10544452</v>
      </c>
      <c r="D2528" s="28"/>
      <c r="E2528" s="41">
        <v>46139</v>
      </c>
      <c r="F2528" s="47">
        <v>0.93381944444444442</v>
      </c>
      <c r="G2528" s="44">
        <v>6.3</v>
      </c>
      <c r="H2528" s="43" t="s">
        <v>235</v>
      </c>
      <c r="I2528" s="40" t="s">
        <v>1281</v>
      </c>
    </row>
    <row r="2529" spans="1:9" x14ac:dyDescent="0.25">
      <c r="A2529" s="40" t="s">
        <v>760</v>
      </c>
      <c r="B2529" s="28">
        <v>3127</v>
      </c>
      <c r="C2529" s="28">
        <v>10544452</v>
      </c>
      <c r="D2529" s="28"/>
      <c r="E2529" s="41">
        <v>46139</v>
      </c>
      <c r="F2529" s="47">
        <v>0.94146990740740744</v>
      </c>
      <c r="G2529" s="42">
        <v>6.3</v>
      </c>
      <c r="H2529" s="40" t="s">
        <v>239</v>
      </c>
      <c r="I2529" s="40" t="s">
        <v>1281</v>
      </c>
    </row>
    <row r="2530" spans="1:9" x14ac:dyDescent="0.25">
      <c r="A2530" s="40" t="s">
        <v>760</v>
      </c>
      <c r="B2530" s="28">
        <v>3127</v>
      </c>
      <c r="C2530" s="28">
        <v>10551853</v>
      </c>
      <c r="D2530" s="28"/>
      <c r="E2530" s="41">
        <v>46140</v>
      </c>
      <c r="F2530" s="47">
        <v>0.83865740740740746</v>
      </c>
      <c r="G2530" s="42">
        <v>6.3</v>
      </c>
      <c r="H2530" s="40" t="s">
        <v>235</v>
      </c>
      <c r="I2530" s="40" t="s">
        <v>1281</v>
      </c>
    </row>
    <row r="2531" spans="1:9" x14ac:dyDescent="0.25">
      <c r="A2531" s="40" t="s">
        <v>760</v>
      </c>
      <c r="B2531" s="28">
        <v>3127</v>
      </c>
      <c r="C2531" s="28">
        <v>10551853</v>
      </c>
      <c r="D2531" s="28"/>
      <c r="E2531" s="41">
        <v>46140</v>
      </c>
      <c r="F2531" s="47">
        <v>0.85034722222222225</v>
      </c>
      <c r="G2531" s="44">
        <v>6.3</v>
      </c>
      <c r="H2531" s="43" t="s">
        <v>236</v>
      </c>
      <c r="I2531" s="40" t="s">
        <v>1281</v>
      </c>
    </row>
    <row r="2532" spans="1:9" x14ac:dyDescent="0.25">
      <c r="A2532" s="40" t="s">
        <v>760</v>
      </c>
      <c r="B2532" s="28">
        <v>3127</v>
      </c>
      <c r="C2532" s="28">
        <v>5644898</v>
      </c>
      <c r="D2532" s="28"/>
      <c r="E2532" s="41">
        <v>46143</v>
      </c>
      <c r="F2532" s="47">
        <v>0.83322916666666669</v>
      </c>
      <c r="G2532" s="44">
        <v>6.3</v>
      </c>
      <c r="H2532" s="43" t="s">
        <v>235</v>
      </c>
      <c r="I2532" s="40" t="s">
        <v>1282</v>
      </c>
    </row>
    <row r="2533" spans="1:9" x14ac:dyDescent="0.25">
      <c r="A2533" s="40" t="s">
        <v>760</v>
      </c>
      <c r="B2533" s="28">
        <v>3127</v>
      </c>
      <c r="C2533" s="28">
        <v>5644898</v>
      </c>
      <c r="D2533" s="28"/>
      <c r="E2533" s="41">
        <v>46143</v>
      </c>
      <c r="F2533" s="47">
        <v>0.84146990740740746</v>
      </c>
      <c r="G2533" s="44">
        <v>6.3</v>
      </c>
      <c r="H2533" s="43" t="s">
        <v>236</v>
      </c>
      <c r="I2533" s="40" t="s">
        <v>1282</v>
      </c>
    </row>
    <row r="2534" spans="1:9" x14ac:dyDescent="0.25">
      <c r="A2534" s="40" t="s">
        <v>760</v>
      </c>
      <c r="B2534" s="28">
        <v>3127</v>
      </c>
      <c r="C2534" s="28" t="s">
        <v>35</v>
      </c>
      <c r="D2534" s="28" t="s">
        <v>38</v>
      </c>
      <c r="E2534" s="41">
        <v>46144</v>
      </c>
      <c r="F2534" s="47">
        <v>0.58879629629629626</v>
      </c>
      <c r="G2534" s="42">
        <v>6.3</v>
      </c>
      <c r="H2534" s="40" t="s">
        <v>234</v>
      </c>
      <c r="I2534" s="40" t="s">
        <v>1282</v>
      </c>
    </row>
    <row r="2535" spans="1:9" x14ac:dyDescent="0.25">
      <c r="A2535" s="40" t="s">
        <v>760</v>
      </c>
      <c r="B2535" s="28">
        <v>3127</v>
      </c>
      <c r="C2535" s="28" t="s">
        <v>761</v>
      </c>
      <c r="D2535" s="28"/>
      <c r="E2535" s="41">
        <v>46145</v>
      </c>
      <c r="F2535" s="47">
        <v>0.4425810185185185</v>
      </c>
      <c r="G2535" s="42">
        <v>6.3</v>
      </c>
      <c r="H2535" s="40" t="s">
        <v>237</v>
      </c>
      <c r="I2535" s="40" t="s">
        <v>1282</v>
      </c>
    </row>
    <row r="2536" spans="1:9" x14ac:dyDescent="0.25">
      <c r="A2536" s="40" t="s">
        <v>760</v>
      </c>
      <c r="B2536" s="28">
        <v>3127</v>
      </c>
      <c r="C2536" s="28" t="s">
        <v>761</v>
      </c>
      <c r="D2536" s="28"/>
      <c r="E2536" s="41">
        <v>46145</v>
      </c>
      <c r="F2536" s="47">
        <v>0.44829861111111113</v>
      </c>
      <c r="G2536" s="44">
        <v>6.3</v>
      </c>
      <c r="H2536" s="43" t="s">
        <v>234</v>
      </c>
      <c r="I2536" s="40" t="s">
        <v>1282</v>
      </c>
    </row>
    <row r="2537" spans="1:9" x14ac:dyDescent="0.25">
      <c r="A2537" s="40" t="s">
        <v>760</v>
      </c>
      <c r="B2537" s="28">
        <v>3127</v>
      </c>
      <c r="C2537" s="28">
        <v>5648103</v>
      </c>
      <c r="D2537" s="28"/>
      <c r="E2537" s="41">
        <v>46145</v>
      </c>
      <c r="F2537" s="47">
        <v>0.54643518518518519</v>
      </c>
      <c r="G2537" s="44">
        <v>6.3</v>
      </c>
      <c r="H2537" s="43" t="s">
        <v>233</v>
      </c>
      <c r="I2537" s="40" t="s">
        <v>1282</v>
      </c>
    </row>
    <row r="2538" spans="1:9" x14ac:dyDescent="0.25">
      <c r="A2538" s="40" t="s">
        <v>760</v>
      </c>
      <c r="B2538" s="28">
        <v>3127</v>
      </c>
      <c r="C2538" s="28">
        <v>5648103</v>
      </c>
      <c r="D2538" s="28"/>
      <c r="E2538" s="41">
        <v>46145</v>
      </c>
      <c r="F2538" s="47">
        <v>0.55186342592592597</v>
      </c>
      <c r="G2538" s="42">
        <v>6.3</v>
      </c>
      <c r="H2538" s="40" t="s">
        <v>234</v>
      </c>
      <c r="I2538" s="40" t="s">
        <v>1282</v>
      </c>
    </row>
    <row r="2539" spans="1:9" x14ac:dyDescent="0.25">
      <c r="A2539" s="40" t="s">
        <v>98</v>
      </c>
      <c r="B2539" s="28">
        <v>3138</v>
      </c>
      <c r="C2539" s="28" t="s">
        <v>762</v>
      </c>
      <c r="D2539" s="28"/>
      <c r="E2539" s="41">
        <v>46139</v>
      </c>
      <c r="F2539" s="47">
        <v>0.24496527777777777</v>
      </c>
      <c r="G2539" s="42">
        <v>6.3</v>
      </c>
      <c r="H2539" s="40" t="s">
        <v>237</v>
      </c>
      <c r="I2539" s="40" t="s">
        <v>1281</v>
      </c>
    </row>
    <row r="2540" spans="1:9" x14ac:dyDescent="0.25">
      <c r="A2540" s="40" t="s">
        <v>98</v>
      </c>
      <c r="B2540" s="28">
        <v>3138</v>
      </c>
      <c r="C2540" s="28" t="s">
        <v>762</v>
      </c>
      <c r="D2540" s="28"/>
      <c r="E2540" s="41">
        <v>46139</v>
      </c>
      <c r="F2540" s="47">
        <v>0.25063657407407408</v>
      </c>
      <c r="G2540" s="42">
        <v>6.3</v>
      </c>
      <c r="H2540" s="40" t="s">
        <v>234</v>
      </c>
      <c r="I2540" s="40" t="s">
        <v>1281</v>
      </c>
    </row>
    <row r="2541" spans="1:9" x14ac:dyDescent="0.25">
      <c r="A2541" s="40" t="s">
        <v>98</v>
      </c>
      <c r="B2541" s="28">
        <v>3138</v>
      </c>
      <c r="C2541" s="28" t="s">
        <v>763</v>
      </c>
      <c r="D2541" s="28"/>
      <c r="E2541" s="41">
        <v>46139</v>
      </c>
      <c r="F2541" s="47">
        <v>0.34766203703703702</v>
      </c>
      <c r="G2541" s="42">
        <v>6.3</v>
      </c>
      <c r="H2541" s="40" t="s">
        <v>235</v>
      </c>
      <c r="I2541" s="40" t="s">
        <v>1281</v>
      </c>
    </row>
    <row r="2542" spans="1:9" x14ac:dyDescent="0.25">
      <c r="A2542" s="40" t="s">
        <v>98</v>
      </c>
      <c r="B2542" s="28">
        <v>3138</v>
      </c>
      <c r="C2542" s="28" t="s">
        <v>763</v>
      </c>
      <c r="D2542" s="28"/>
      <c r="E2542" s="45">
        <v>46139</v>
      </c>
      <c r="F2542" s="48">
        <v>0.37874999999999998</v>
      </c>
      <c r="G2542" s="44">
        <v>6.3</v>
      </c>
      <c r="H2542" s="43" t="s">
        <v>236</v>
      </c>
      <c r="I2542" s="40" t="s">
        <v>1281</v>
      </c>
    </row>
    <row r="2543" spans="1:9" x14ac:dyDescent="0.25">
      <c r="A2543" s="40" t="s">
        <v>98</v>
      </c>
      <c r="B2543" s="28">
        <v>3138</v>
      </c>
      <c r="C2543" s="28">
        <v>5637347</v>
      </c>
      <c r="D2543" s="28" t="s">
        <v>37</v>
      </c>
      <c r="E2543" s="41">
        <v>46139</v>
      </c>
      <c r="F2543" s="47">
        <v>0.41061342592592592</v>
      </c>
      <c r="G2543" s="44">
        <v>6.3</v>
      </c>
      <c r="H2543" s="43" t="s">
        <v>237</v>
      </c>
      <c r="I2543" s="40" t="s">
        <v>1281</v>
      </c>
    </row>
    <row r="2544" spans="1:9" x14ac:dyDescent="0.25">
      <c r="A2544" s="40" t="s">
        <v>98</v>
      </c>
      <c r="B2544" s="28">
        <v>3138</v>
      </c>
      <c r="C2544" s="28">
        <v>5637347</v>
      </c>
      <c r="D2544" s="28" t="s">
        <v>37</v>
      </c>
      <c r="E2544" s="41">
        <v>46139</v>
      </c>
      <c r="F2544" s="47">
        <v>0.41790509259259262</v>
      </c>
      <c r="G2544" s="44">
        <v>6.3</v>
      </c>
      <c r="H2544" s="43" t="s">
        <v>234</v>
      </c>
      <c r="I2544" s="40" t="s">
        <v>1281</v>
      </c>
    </row>
    <row r="2545" spans="1:9" x14ac:dyDescent="0.25">
      <c r="A2545" s="40" t="s">
        <v>98</v>
      </c>
      <c r="B2545" s="28">
        <v>3138</v>
      </c>
      <c r="C2545" s="28" t="s">
        <v>764</v>
      </c>
      <c r="D2545" s="28"/>
      <c r="E2545" s="45">
        <v>46139</v>
      </c>
      <c r="F2545" s="48">
        <v>0.46204861111111112</v>
      </c>
      <c r="G2545" s="44">
        <v>6.3</v>
      </c>
      <c r="H2545" s="43" t="s">
        <v>235</v>
      </c>
      <c r="I2545" s="40" t="s">
        <v>1281</v>
      </c>
    </row>
    <row r="2546" spans="1:9" x14ac:dyDescent="0.25">
      <c r="A2546" s="40" t="s">
        <v>98</v>
      </c>
      <c r="B2546" s="28">
        <v>3138</v>
      </c>
      <c r="C2546" s="28" t="s">
        <v>764</v>
      </c>
      <c r="D2546" s="28"/>
      <c r="E2546" s="41">
        <v>46139</v>
      </c>
      <c r="F2546" s="47">
        <v>0.47372685185185187</v>
      </c>
      <c r="G2546" s="44">
        <v>6.3</v>
      </c>
      <c r="H2546" s="43" t="s">
        <v>236</v>
      </c>
      <c r="I2546" s="40" t="s">
        <v>1281</v>
      </c>
    </row>
    <row r="2547" spans="1:9" x14ac:dyDescent="0.25">
      <c r="A2547" s="40" t="s">
        <v>98</v>
      </c>
      <c r="B2547" s="28">
        <v>3138</v>
      </c>
      <c r="C2547" s="28" t="s">
        <v>765</v>
      </c>
      <c r="D2547" s="28"/>
      <c r="E2547" s="41">
        <v>46139</v>
      </c>
      <c r="F2547" s="47">
        <v>0.58329861111111114</v>
      </c>
      <c r="G2547" s="44">
        <v>6.3</v>
      </c>
      <c r="H2547" s="43" t="s">
        <v>235</v>
      </c>
      <c r="I2547" s="40" t="s">
        <v>1281</v>
      </c>
    </row>
    <row r="2548" spans="1:9" x14ac:dyDescent="0.25">
      <c r="A2548" s="40" t="s">
        <v>98</v>
      </c>
      <c r="B2548" s="28">
        <v>3138</v>
      </c>
      <c r="C2548" s="28" t="s">
        <v>765</v>
      </c>
      <c r="D2548" s="28"/>
      <c r="E2548" s="41">
        <v>46139</v>
      </c>
      <c r="F2548" s="47">
        <v>0.59234953703703708</v>
      </c>
      <c r="G2548" s="44">
        <v>6.3</v>
      </c>
      <c r="H2548" s="43" t="s">
        <v>236</v>
      </c>
      <c r="I2548" s="40" t="s">
        <v>1281</v>
      </c>
    </row>
    <row r="2549" spans="1:9" x14ac:dyDescent="0.25">
      <c r="A2549" s="40" t="s">
        <v>98</v>
      </c>
      <c r="B2549" s="28">
        <v>3138</v>
      </c>
      <c r="C2549" s="28" t="s">
        <v>766</v>
      </c>
      <c r="D2549" s="28"/>
      <c r="E2549" s="41">
        <v>46140</v>
      </c>
      <c r="F2549" s="47">
        <v>0.29973379629629632</v>
      </c>
      <c r="G2549" s="44">
        <v>6.3</v>
      </c>
      <c r="H2549" s="43" t="s">
        <v>233</v>
      </c>
      <c r="I2549" s="40" t="s">
        <v>1281</v>
      </c>
    </row>
    <row r="2550" spans="1:9" x14ac:dyDescent="0.25">
      <c r="A2550" s="40" t="s">
        <v>98</v>
      </c>
      <c r="B2550" s="28">
        <v>3138</v>
      </c>
      <c r="C2550" s="28" t="s">
        <v>766</v>
      </c>
      <c r="D2550" s="28"/>
      <c r="E2550" s="41">
        <v>46140</v>
      </c>
      <c r="F2550" s="47">
        <v>0.30694444444444446</v>
      </c>
      <c r="G2550" s="44">
        <v>6.3</v>
      </c>
      <c r="H2550" s="43" t="s">
        <v>234</v>
      </c>
      <c r="I2550" s="40" t="s">
        <v>1281</v>
      </c>
    </row>
    <row r="2551" spans="1:9" x14ac:dyDescent="0.25">
      <c r="A2551" s="40" t="s">
        <v>98</v>
      </c>
      <c r="B2551" s="28">
        <v>3138</v>
      </c>
      <c r="C2551" s="28" t="s">
        <v>35</v>
      </c>
      <c r="D2551" s="28" t="s">
        <v>38</v>
      </c>
      <c r="E2551" s="45">
        <v>46140</v>
      </c>
      <c r="F2551" s="48">
        <v>0.80091435185185189</v>
      </c>
      <c r="G2551" s="44">
        <v>6.3</v>
      </c>
      <c r="H2551" s="43" t="s">
        <v>235</v>
      </c>
      <c r="I2551" s="40" t="s">
        <v>1281</v>
      </c>
    </row>
    <row r="2552" spans="1:9" x14ac:dyDescent="0.25">
      <c r="A2552" s="40" t="s">
        <v>98</v>
      </c>
      <c r="B2552" s="28">
        <v>3138</v>
      </c>
      <c r="C2552" s="28" t="s">
        <v>767</v>
      </c>
      <c r="D2552" s="28"/>
      <c r="E2552" s="41">
        <v>46141</v>
      </c>
      <c r="F2552" s="47">
        <v>0.30149305555555556</v>
      </c>
      <c r="G2552" s="44">
        <v>6.3</v>
      </c>
      <c r="H2552" s="43" t="s">
        <v>238</v>
      </c>
      <c r="I2552" s="40" t="s">
        <v>1281</v>
      </c>
    </row>
    <row r="2553" spans="1:9" x14ac:dyDescent="0.25">
      <c r="A2553" s="40" t="s">
        <v>98</v>
      </c>
      <c r="B2553" s="28">
        <v>3138</v>
      </c>
      <c r="C2553" s="28" t="s">
        <v>767</v>
      </c>
      <c r="D2553" s="28"/>
      <c r="E2553" s="41">
        <v>46141</v>
      </c>
      <c r="F2553" s="47">
        <v>0.30681712962962965</v>
      </c>
      <c r="G2553" s="44">
        <v>6.3</v>
      </c>
      <c r="H2553" s="43" t="s">
        <v>234</v>
      </c>
      <c r="I2553" s="40" t="s">
        <v>1281</v>
      </c>
    </row>
    <row r="2554" spans="1:9" x14ac:dyDescent="0.25">
      <c r="A2554" s="40" t="s">
        <v>98</v>
      </c>
      <c r="B2554" s="28">
        <v>3138</v>
      </c>
      <c r="C2554" s="28">
        <v>5642109</v>
      </c>
      <c r="D2554" s="28"/>
      <c r="E2554" s="41">
        <v>46141</v>
      </c>
      <c r="F2554" s="47">
        <v>0.52453703703703702</v>
      </c>
      <c r="G2554" s="44">
        <v>6.3</v>
      </c>
      <c r="H2554" s="43" t="s">
        <v>237</v>
      </c>
      <c r="I2554" s="40" t="s">
        <v>1281</v>
      </c>
    </row>
    <row r="2555" spans="1:9" x14ac:dyDescent="0.25">
      <c r="A2555" s="40" t="s">
        <v>98</v>
      </c>
      <c r="B2555" s="28">
        <v>3138</v>
      </c>
      <c r="C2555" s="28">
        <v>5642109</v>
      </c>
      <c r="D2555" s="28"/>
      <c r="E2555" s="41">
        <v>46141</v>
      </c>
      <c r="F2555" s="47">
        <v>0.53254629629629635</v>
      </c>
      <c r="G2555" s="44">
        <v>6.3</v>
      </c>
      <c r="H2555" s="43" t="s">
        <v>234</v>
      </c>
      <c r="I2555" s="40" t="s">
        <v>1281</v>
      </c>
    </row>
    <row r="2556" spans="1:9" x14ac:dyDescent="0.25">
      <c r="A2556" s="40" t="s">
        <v>98</v>
      </c>
      <c r="B2556" s="28">
        <v>3138</v>
      </c>
      <c r="C2556" s="28" t="s">
        <v>35</v>
      </c>
      <c r="D2556" s="28" t="s">
        <v>38</v>
      </c>
      <c r="E2556" s="41">
        <v>46142</v>
      </c>
      <c r="F2556" s="47">
        <v>0.11559027777777778</v>
      </c>
      <c r="G2556" s="44">
        <v>6.3</v>
      </c>
      <c r="H2556" s="43" t="s">
        <v>239</v>
      </c>
      <c r="I2556" s="40" t="s">
        <v>1281</v>
      </c>
    </row>
    <row r="2557" spans="1:9" x14ac:dyDescent="0.25">
      <c r="A2557" s="40" t="s">
        <v>98</v>
      </c>
      <c r="B2557" s="28">
        <v>3138</v>
      </c>
      <c r="C2557" s="28" t="s">
        <v>768</v>
      </c>
      <c r="D2557" s="28"/>
      <c r="E2557" s="41">
        <v>46143</v>
      </c>
      <c r="F2557" s="47">
        <v>0.26310185185185186</v>
      </c>
      <c r="G2557" s="44">
        <v>6.3</v>
      </c>
      <c r="H2557" s="43" t="s">
        <v>237</v>
      </c>
      <c r="I2557" s="40" t="s">
        <v>1282</v>
      </c>
    </row>
    <row r="2558" spans="1:9" x14ac:dyDescent="0.25">
      <c r="A2558" s="40" t="s">
        <v>98</v>
      </c>
      <c r="B2558" s="28">
        <v>3138</v>
      </c>
      <c r="C2558" s="28" t="s">
        <v>768</v>
      </c>
      <c r="D2558" s="28"/>
      <c r="E2558" s="45">
        <v>46143</v>
      </c>
      <c r="F2558" s="48">
        <v>0.26807870370370368</v>
      </c>
      <c r="G2558" s="44">
        <v>6.3</v>
      </c>
      <c r="H2558" s="43" t="s">
        <v>234</v>
      </c>
      <c r="I2558" s="40" t="s">
        <v>1282</v>
      </c>
    </row>
    <row r="2559" spans="1:9" x14ac:dyDescent="0.25">
      <c r="A2559" s="40" t="s">
        <v>98</v>
      </c>
      <c r="B2559" s="28">
        <v>3138</v>
      </c>
      <c r="C2559" s="28" t="s">
        <v>769</v>
      </c>
      <c r="D2559" s="28"/>
      <c r="E2559" s="41">
        <v>46143</v>
      </c>
      <c r="F2559" s="47">
        <v>0.33146990740740739</v>
      </c>
      <c r="G2559" s="44">
        <v>6.3</v>
      </c>
      <c r="H2559" s="43" t="s">
        <v>235</v>
      </c>
      <c r="I2559" s="40" t="s">
        <v>1282</v>
      </c>
    </row>
    <row r="2560" spans="1:9" x14ac:dyDescent="0.25">
      <c r="A2560" s="40" t="s">
        <v>98</v>
      </c>
      <c r="B2560" s="28">
        <v>3138</v>
      </c>
      <c r="C2560" s="28" t="s">
        <v>769</v>
      </c>
      <c r="D2560" s="28"/>
      <c r="E2560" s="41">
        <v>46143</v>
      </c>
      <c r="F2560" s="47">
        <v>0.33797453703703706</v>
      </c>
      <c r="G2560" s="44">
        <v>6.3</v>
      </c>
      <c r="H2560" s="43" t="s">
        <v>236</v>
      </c>
      <c r="I2560" s="40" t="s">
        <v>1282</v>
      </c>
    </row>
    <row r="2561" spans="1:9" x14ac:dyDescent="0.25">
      <c r="A2561" s="40" t="s">
        <v>98</v>
      </c>
      <c r="B2561" s="28">
        <v>3138</v>
      </c>
      <c r="C2561" s="28" t="s">
        <v>770</v>
      </c>
      <c r="D2561" s="28"/>
      <c r="E2561" s="41">
        <v>46143</v>
      </c>
      <c r="F2561" s="47">
        <v>0.39277777777777778</v>
      </c>
      <c r="G2561" s="44">
        <v>6.3</v>
      </c>
      <c r="H2561" s="43" t="s">
        <v>237</v>
      </c>
      <c r="I2561" s="40" t="s">
        <v>1282</v>
      </c>
    </row>
    <row r="2562" spans="1:9" x14ac:dyDescent="0.25">
      <c r="A2562" s="40" t="s">
        <v>98</v>
      </c>
      <c r="B2562" s="28">
        <v>3138</v>
      </c>
      <c r="C2562" s="28" t="s">
        <v>770</v>
      </c>
      <c r="D2562" s="28"/>
      <c r="E2562" s="41">
        <v>46143</v>
      </c>
      <c r="F2562" s="47">
        <v>0.39819444444444446</v>
      </c>
      <c r="G2562" s="44">
        <v>6.3</v>
      </c>
      <c r="H2562" s="43" t="s">
        <v>234</v>
      </c>
      <c r="I2562" s="40" t="s">
        <v>1282</v>
      </c>
    </row>
    <row r="2563" spans="1:9" x14ac:dyDescent="0.25">
      <c r="A2563" s="40" t="s">
        <v>98</v>
      </c>
      <c r="B2563" s="28">
        <v>3138</v>
      </c>
      <c r="C2563" s="28" t="s">
        <v>771</v>
      </c>
      <c r="D2563" s="28"/>
      <c r="E2563" s="41">
        <v>46143</v>
      </c>
      <c r="F2563" s="47">
        <v>0.57628472222222227</v>
      </c>
      <c r="G2563" s="44">
        <v>6.3</v>
      </c>
      <c r="H2563" s="43" t="s">
        <v>235</v>
      </c>
      <c r="I2563" s="40" t="s">
        <v>1282</v>
      </c>
    </row>
    <row r="2564" spans="1:9" x14ac:dyDescent="0.25">
      <c r="A2564" s="40" t="s">
        <v>98</v>
      </c>
      <c r="B2564" s="28">
        <v>3138</v>
      </c>
      <c r="C2564" s="28" t="s">
        <v>771</v>
      </c>
      <c r="D2564" s="28"/>
      <c r="E2564" s="45">
        <v>46143</v>
      </c>
      <c r="F2564" s="48">
        <v>0.58299768518518513</v>
      </c>
      <c r="G2564" s="44">
        <v>6.3</v>
      </c>
      <c r="H2564" s="43" t="s">
        <v>236</v>
      </c>
      <c r="I2564" s="40" t="s">
        <v>1282</v>
      </c>
    </row>
    <row r="2565" spans="1:9" x14ac:dyDescent="0.25">
      <c r="A2565" s="40" t="s">
        <v>98</v>
      </c>
      <c r="B2565" s="28">
        <v>3138</v>
      </c>
      <c r="C2565" s="28" t="s">
        <v>772</v>
      </c>
      <c r="D2565" s="28"/>
      <c r="E2565" s="41">
        <v>46145</v>
      </c>
      <c r="F2565" s="47">
        <v>0.2721527777777778</v>
      </c>
      <c r="G2565" s="44">
        <v>6.3</v>
      </c>
      <c r="H2565" s="43" t="s">
        <v>237</v>
      </c>
      <c r="I2565" s="40" t="s">
        <v>1282</v>
      </c>
    </row>
    <row r="2566" spans="1:9" x14ac:dyDescent="0.25">
      <c r="A2566" s="40" t="s">
        <v>98</v>
      </c>
      <c r="B2566" s="28">
        <v>3138</v>
      </c>
      <c r="C2566" s="28" t="s">
        <v>772</v>
      </c>
      <c r="D2566" s="28"/>
      <c r="E2566" s="41">
        <v>46145</v>
      </c>
      <c r="F2566" s="47">
        <v>0.2777662037037037</v>
      </c>
      <c r="G2566" s="44">
        <v>6.3</v>
      </c>
      <c r="H2566" s="43" t="s">
        <v>234</v>
      </c>
      <c r="I2566" s="40" t="s">
        <v>1282</v>
      </c>
    </row>
    <row r="2567" spans="1:9" x14ac:dyDescent="0.25">
      <c r="A2567" s="40" t="s">
        <v>98</v>
      </c>
      <c r="B2567" s="28">
        <v>3138</v>
      </c>
      <c r="C2567" s="28" t="s">
        <v>773</v>
      </c>
      <c r="D2567" s="28"/>
      <c r="E2567" s="41">
        <v>46145</v>
      </c>
      <c r="F2567" s="47">
        <v>0.4909722222222222</v>
      </c>
      <c r="G2567" s="44">
        <v>6.3</v>
      </c>
      <c r="H2567" s="43" t="s">
        <v>235</v>
      </c>
      <c r="I2567" s="40" t="s">
        <v>1282</v>
      </c>
    </row>
    <row r="2568" spans="1:9" x14ac:dyDescent="0.25">
      <c r="A2568" s="40" t="s">
        <v>98</v>
      </c>
      <c r="B2568" s="28">
        <v>3138</v>
      </c>
      <c r="C2568" s="28" t="s">
        <v>773</v>
      </c>
      <c r="D2568" s="28"/>
      <c r="E2568" s="41">
        <v>46145</v>
      </c>
      <c r="F2568" s="47">
        <v>0.49710648148148145</v>
      </c>
      <c r="G2568" s="44">
        <v>6.3</v>
      </c>
      <c r="H2568" s="43" t="s">
        <v>239</v>
      </c>
      <c r="I2568" s="40" t="s">
        <v>1282</v>
      </c>
    </row>
    <row r="2569" spans="1:9" x14ac:dyDescent="0.25">
      <c r="A2569" s="40" t="s">
        <v>98</v>
      </c>
      <c r="B2569" s="28">
        <v>3138</v>
      </c>
      <c r="C2569" s="28" t="s">
        <v>774</v>
      </c>
      <c r="D2569" s="28"/>
      <c r="E2569" s="41">
        <v>46145</v>
      </c>
      <c r="F2569" s="47">
        <v>0.55155092592592592</v>
      </c>
      <c r="G2569" s="44">
        <v>6.3</v>
      </c>
      <c r="H2569" s="43" t="s">
        <v>237</v>
      </c>
      <c r="I2569" s="40" t="s">
        <v>1282</v>
      </c>
    </row>
    <row r="2570" spans="1:9" x14ac:dyDescent="0.25">
      <c r="A2570" s="40" t="s">
        <v>98</v>
      </c>
      <c r="B2570" s="28">
        <v>3138</v>
      </c>
      <c r="C2570" s="28" t="s">
        <v>774</v>
      </c>
      <c r="D2570" s="28"/>
      <c r="E2570" s="41">
        <v>46145</v>
      </c>
      <c r="F2570" s="47">
        <v>0.55655092592592592</v>
      </c>
      <c r="G2570" s="44">
        <v>6.3</v>
      </c>
      <c r="H2570" s="43" t="s">
        <v>234</v>
      </c>
      <c r="I2570" s="40" t="s">
        <v>1282</v>
      </c>
    </row>
    <row r="2571" spans="1:9" x14ac:dyDescent="0.25">
      <c r="A2571" s="40" t="s">
        <v>98</v>
      </c>
      <c r="B2571" s="28">
        <v>3138</v>
      </c>
      <c r="C2571" s="28" t="s">
        <v>775</v>
      </c>
      <c r="D2571" s="28"/>
      <c r="E2571" s="41">
        <v>46145</v>
      </c>
      <c r="F2571" s="47">
        <v>0.58380787037037041</v>
      </c>
      <c r="G2571" s="44">
        <v>6.3</v>
      </c>
      <c r="H2571" s="43" t="s">
        <v>235</v>
      </c>
      <c r="I2571" s="40" t="s">
        <v>1282</v>
      </c>
    </row>
    <row r="2572" spans="1:9" x14ac:dyDescent="0.25">
      <c r="A2572" s="40" t="s">
        <v>98</v>
      </c>
      <c r="B2572" s="28">
        <v>3138</v>
      </c>
      <c r="C2572" s="28" t="s">
        <v>775</v>
      </c>
      <c r="D2572" s="28"/>
      <c r="E2572" s="41">
        <v>46145</v>
      </c>
      <c r="F2572" s="47">
        <v>0.59075231481481483</v>
      </c>
      <c r="G2572" s="44">
        <v>6.3</v>
      </c>
      <c r="H2572" s="43" t="s">
        <v>239</v>
      </c>
      <c r="I2572" s="40" t="s">
        <v>1282</v>
      </c>
    </row>
    <row r="2573" spans="1:9" x14ac:dyDescent="0.25">
      <c r="A2573" s="40" t="s">
        <v>98</v>
      </c>
      <c r="B2573" s="28">
        <v>3138</v>
      </c>
      <c r="C2573" s="28" t="s">
        <v>776</v>
      </c>
      <c r="D2573" s="28"/>
      <c r="E2573" s="41">
        <v>46145</v>
      </c>
      <c r="F2573" s="47">
        <v>0.62630787037037039</v>
      </c>
      <c r="G2573" s="44">
        <v>6.3</v>
      </c>
      <c r="H2573" s="43" t="s">
        <v>234</v>
      </c>
      <c r="I2573" s="40" t="s">
        <v>1282</v>
      </c>
    </row>
    <row r="2574" spans="1:9" x14ac:dyDescent="0.25">
      <c r="A2574" s="40" t="s">
        <v>98</v>
      </c>
      <c r="B2574" s="28">
        <v>3138</v>
      </c>
      <c r="C2574" s="28" t="s">
        <v>776</v>
      </c>
      <c r="D2574" s="28"/>
      <c r="E2574" s="41">
        <v>46145</v>
      </c>
      <c r="F2574" s="47">
        <v>0.65950231481481481</v>
      </c>
      <c r="G2574" s="44">
        <v>6.3</v>
      </c>
      <c r="H2574" s="43" t="s">
        <v>235</v>
      </c>
      <c r="I2574" s="40" t="s">
        <v>1282</v>
      </c>
    </row>
    <row r="2575" spans="1:9" x14ac:dyDescent="0.25">
      <c r="A2575" s="40" t="s">
        <v>98</v>
      </c>
      <c r="B2575" s="28">
        <v>3138</v>
      </c>
      <c r="C2575" s="28" t="s">
        <v>776</v>
      </c>
      <c r="D2575" s="28" t="s">
        <v>36</v>
      </c>
      <c r="E2575" s="41">
        <v>46145</v>
      </c>
      <c r="F2575" s="47">
        <v>0.66619212962962959</v>
      </c>
      <c r="G2575" s="44">
        <v>6.3</v>
      </c>
      <c r="H2575" s="43" t="s">
        <v>236</v>
      </c>
      <c r="I2575" s="40" t="s">
        <v>1282</v>
      </c>
    </row>
    <row r="2576" spans="1:9" x14ac:dyDescent="0.25">
      <c r="A2576" s="40" t="s">
        <v>98</v>
      </c>
      <c r="B2576" s="28">
        <v>3138</v>
      </c>
      <c r="C2576" s="28" t="s">
        <v>35</v>
      </c>
      <c r="D2576" s="28" t="s">
        <v>38</v>
      </c>
      <c r="E2576" s="41">
        <v>46145</v>
      </c>
      <c r="F2576" s="47">
        <v>0.78619212962962959</v>
      </c>
      <c r="G2576" s="44">
        <v>6.3</v>
      </c>
      <c r="H2576" s="43" t="s">
        <v>239</v>
      </c>
      <c r="I2576" s="40" t="s">
        <v>1282</v>
      </c>
    </row>
    <row r="2577" spans="1:9" x14ac:dyDescent="0.25">
      <c r="A2577" s="40" t="s">
        <v>99</v>
      </c>
      <c r="B2577" s="28">
        <v>3153</v>
      </c>
      <c r="C2577" s="28">
        <v>10544384</v>
      </c>
      <c r="D2577" s="28"/>
      <c r="E2577" s="45">
        <v>46139</v>
      </c>
      <c r="F2577" s="48">
        <v>0.47908564814814814</v>
      </c>
      <c r="G2577" s="44">
        <v>6.3</v>
      </c>
      <c r="H2577" s="43" t="s">
        <v>237</v>
      </c>
      <c r="I2577" s="40" t="s">
        <v>1281</v>
      </c>
    </row>
    <row r="2578" spans="1:9" x14ac:dyDescent="0.25">
      <c r="A2578" s="40" t="s">
        <v>99</v>
      </c>
      <c r="B2578" s="28">
        <v>3153</v>
      </c>
      <c r="C2578" s="28">
        <v>10544384</v>
      </c>
      <c r="D2578" s="28"/>
      <c r="E2578" s="41">
        <v>46139</v>
      </c>
      <c r="F2578" s="47">
        <v>0.48905092592592592</v>
      </c>
      <c r="G2578" s="44">
        <v>6.3</v>
      </c>
      <c r="H2578" s="43" t="s">
        <v>234</v>
      </c>
      <c r="I2578" s="40" t="s">
        <v>1281</v>
      </c>
    </row>
    <row r="2579" spans="1:9" x14ac:dyDescent="0.25">
      <c r="A2579" s="40" t="s">
        <v>99</v>
      </c>
      <c r="B2579" s="28">
        <v>3153</v>
      </c>
      <c r="C2579" s="28">
        <v>10544437</v>
      </c>
      <c r="D2579" s="28"/>
      <c r="E2579" s="45">
        <v>46139</v>
      </c>
      <c r="F2579" s="48">
        <v>0.56528935185185181</v>
      </c>
      <c r="G2579" s="44">
        <v>6.3</v>
      </c>
      <c r="H2579" s="43" t="s">
        <v>235</v>
      </c>
      <c r="I2579" s="40" t="s">
        <v>1281</v>
      </c>
    </row>
    <row r="2580" spans="1:9" x14ac:dyDescent="0.25">
      <c r="A2580" s="40" t="s">
        <v>99</v>
      </c>
      <c r="B2580" s="28">
        <v>3153</v>
      </c>
      <c r="C2580" s="28">
        <v>10544437</v>
      </c>
      <c r="D2580" s="28"/>
      <c r="E2580" s="45">
        <v>46139</v>
      </c>
      <c r="F2580" s="48">
        <v>0.57451388888888888</v>
      </c>
      <c r="G2580" s="44">
        <v>6.3</v>
      </c>
      <c r="H2580" s="43" t="s">
        <v>236</v>
      </c>
      <c r="I2580" s="40" t="s">
        <v>1281</v>
      </c>
    </row>
    <row r="2581" spans="1:9" x14ac:dyDescent="0.25">
      <c r="A2581" s="40" t="s">
        <v>99</v>
      </c>
      <c r="B2581" s="28">
        <v>3153</v>
      </c>
      <c r="C2581" s="28">
        <v>10551872</v>
      </c>
      <c r="D2581" s="28"/>
      <c r="E2581" s="41">
        <v>46140</v>
      </c>
      <c r="F2581" s="47">
        <v>0.57311342592592596</v>
      </c>
      <c r="G2581" s="44">
        <v>6.3</v>
      </c>
      <c r="H2581" s="43" t="s">
        <v>235</v>
      </c>
      <c r="I2581" s="40" t="s">
        <v>1281</v>
      </c>
    </row>
    <row r="2582" spans="1:9" x14ac:dyDescent="0.25">
      <c r="A2582" s="40" t="s">
        <v>99</v>
      </c>
      <c r="B2582" s="28">
        <v>3153</v>
      </c>
      <c r="C2582" s="28">
        <v>10551872</v>
      </c>
      <c r="D2582" s="28"/>
      <c r="E2582" s="45">
        <v>46140</v>
      </c>
      <c r="F2582" s="48">
        <v>0.5835069444444444</v>
      </c>
      <c r="G2582" s="44">
        <v>6.3</v>
      </c>
      <c r="H2582" s="43" t="s">
        <v>236</v>
      </c>
      <c r="I2582" s="40" t="s">
        <v>1281</v>
      </c>
    </row>
    <row r="2583" spans="1:9" x14ac:dyDescent="0.25">
      <c r="A2583" s="40" t="s">
        <v>99</v>
      </c>
      <c r="B2583" s="28">
        <v>3153</v>
      </c>
      <c r="C2583" s="28">
        <v>10566037</v>
      </c>
      <c r="D2583" s="28"/>
      <c r="E2583" s="41">
        <v>46141</v>
      </c>
      <c r="F2583" s="47">
        <v>0.42256944444444444</v>
      </c>
      <c r="G2583" s="44">
        <v>6.3</v>
      </c>
      <c r="H2583" s="43" t="s">
        <v>235</v>
      </c>
      <c r="I2583" s="40" t="s">
        <v>1281</v>
      </c>
    </row>
    <row r="2584" spans="1:9" x14ac:dyDescent="0.25">
      <c r="A2584" s="40" t="s">
        <v>99</v>
      </c>
      <c r="B2584" s="28">
        <v>3153</v>
      </c>
      <c r="C2584" s="28">
        <v>10566037</v>
      </c>
      <c r="D2584" s="28"/>
      <c r="E2584" s="41">
        <v>46141</v>
      </c>
      <c r="F2584" s="47">
        <v>0.43666666666666665</v>
      </c>
      <c r="G2584" s="44">
        <v>6.3</v>
      </c>
      <c r="H2584" s="43" t="s">
        <v>236</v>
      </c>
      <c r="I2584" s="40" t="s">
        <v>1281</v>
      </c>
    </row>
    <row r="2585" spans="1:9" x14ac:dyDescent="0.25">
      <c r="A2585" s="40" t="s">
        <v>99</v>
      </c>
      <c r="B2585" s="28">
        <v>3153</v>
      </c>
      <c r="C2585" s="28">
        <v>10558933</v>
      </c>
      <c r="D2585" s="28"/>
      <c r="E2585" s="45">
        <v>46141</v>
      </c>
      <c r="F2585" s="48">
        <v>0.51785879629629628</v>
      </c>
      <c r="G2585" s="44">
        <v>6.3</v>
      </c>
      <c r="H2585" s="43" t="s">
        <v>233</v>
      </c>
      <c r="I2585" s="40" t="s">
        <v>1281</v>
      </c>
    </row>
    <row r="2586" spans="1:9" x14ac:dyDescent="0.25">
      <c r="A2586" s="40" t="s">
        <v>99</v>
      </c>
      <c r="B2586" s="28">
        <v>3153</v>
      </c>
      <c r="C2586" s="28">
        <v>10558933</v>
      </c>
      <c r="D2586" s="28"/>
      <c r="E2586" s="41">
        <v>46141</v>
      </c>
      <c r="F2586" s="47">
        <v>0.52363425925925922</v>
      </c>
      <c r="G2586" s="44">
        <v>6.3</v>
      </c>
      <c r="H2586" s="43" t="s">
        <v>234</v>
      </c>
      <c r="I2586" s="40" t="s">
        <v>1281</v>
      </c>
    </row>
    <row r="2587" spans="1:9" x14ac:dyDescent="0.25">
      <c r="A2587" s="40" t="s">
        <v>100</v>
      </c>
      <c r="B2587" s="28">
        <v>3159</v>
      </c>
      <c r="C2587" s="28" t="s">
        <v>777</v>
      </c>
      <c r="D2587" s="28"/>
      <c r="E2587" s="45">
        <v>46139</v>
      </c>
      <c r="F2587" s="48">
        <v>0.23732638888888888</v>
      </c>
      <c r="G2587" s="42">
        <v>6.3</v>
      </c>
      <c r="H2587" s="40" t="s">
        <v>235</v>
      </c>
      <c r="I2587" s="40" t="s">
        <v>1281</v>
      </c>
    </row>
    <row r="2588" spans="1:9" x14ac:dyDescent="0.25">
      <c r="A2588" s="40" t="s">
        <v>100</v>
      </c>
      <c r="B2588" s="28">
        <v>3159</v>
      </c>
      <c r="C2588" s="28" t="s">
        <v>777</v>
      </c>
      <c r="D2588" s="28"/>
      <c r="E2588" s="41">
        <v>46139</v>
      </c>
      <c r="F2588" s="47">
        <v>0.24671296296296297</v>
      </c>
      <c r="G2588" s="42">
        <v>6.3</v>
      </c>
      <c r="H2588" s="40" t="s">
        <v>236</v>
      </c>
      <c r="I2588" s="40" t="s">
        <v>1281</v>
      </c>
    </row>
    <row r="2589" spans="1:9" x14ac:dyDescent="0.25">
      <c r="A2589" s="40" t="s">
        <v>100</v>
      </c>
      <c r="B2589" s="28">
        <v>3159</v>
      </c>
      <c r="C2589" s="28" t="s">
        <v>778</v>
      </c>
      <c r="D2589" s="28"/>
      <c r="E2589" s="41">
        <v>46139</v>
      </c>
      <c r="F2589" s="47">
        <v>0.3929050925925926</v>
      </c>
      <c r="G2589" s="44">
        <v>6.3</v>
      </c>
      <c r="H2589" s="43" t="s">
        <v>235</v>
      </c>
      <c r="I2589" s="40" t="s">
        <v>1281</v>
      </c>
    </row>
    <row r="2590" spans="1:9" x14ac:dyDescent="0.25">
      <c r="A2590" s="40" t="s">
        <v>100</v>
      </c>
      <c r="B2590" s="28">
        <v>3159</v>
      </c>
      <c r="C2590" s="28" t="s">
        <v>778</v>
      </c>
      <c r="D2590" s="28"/>
      <c r="E2590" s="41">
        <v>46139</v>
      </c>
      <c r="F2590" s="47">
        <v>0.40965277777777775</v>
      </c>
      <c r="G2590" s="44">
        <v>6.3</v>
      </c>
      <c r="H2590" s="43" t="s">
        <v>236</v>
      </c>
      <c r="I2590" s="40" t="s">
        <v>1281</v>
      </c>
    </row>
    <row r="2591" spans="1:9" x14ac:dyDescent="0.25">
      <c r="A2591" s="40" t="s">
        <v>100</v>
      </c>
      <c r="B2591" s="28">
        <v>3159</v>
      </c>
      <c r="C2591" s="28" t="s">
        <v>779</v>
      </c>
      <c r="D2591" s="28"/>
      <c r="E2591" s="41">
        <v>46142</v>
      </c>
      <c r="F2591" s="47">
        <v>0.24562500000000001</v>
      </c>
      <c r="G2591" s="44">
        <v>6.3</v>
      </c>
      <c r="H2591" s="43" t="s">
        <v>235</v>
      </c>
      <c r="I2591" s="40" t="s">
        <v>1281</v>
      </c>
    </row>
    <row r="2592" spans="1:9" x14ac:dyDescent="0.25">
      <c r="A2592" s="40" t="s">
        <v>100</v>
      </c>
      <c r="B2592" s="28">
        <v>3159</v>
      </c>
      <c r="C2592" s="28" t="s">
        <v>779</v>
      </c>
      <c r="D2592" s="28"/>
      <c r="E2592" s="41">
        <v>46142</v>
      </c>
      <c r="F2592" s="47">
        <v>0.25903935185185184</v>
      </c>
      <c r="G2592" s="44">
        <v>6.3</v>
      </c>
      <c r="H2592" s="43" t="s">
        <v>240</v>
      </c>
      <c r="I2592" s="40" t="s">
        <v>1281</v>
      </c>
    </row>
    <row r="2593" spans="1:9" x14ac:dyDescent="0.25">
      <c r="A2593" s="40" t="s">
        <v>100</v>
      </c>
      <c r="B2593" s="28">
        <v>3159</v>
      </c>
      <c r="C2593" s="28" t="s">
        <v>780</v>
      </c>
      <c r="D2593" s="28"/>
      <c r="E2593" s="41">
        <v>46142</v>
      </c>
      <c r="F2593" s="47">
        <v>0.35408564814814814</v>
      </c>
      <c r="G2593" s="42">
        <v>6.3</v>
      </c>
      <c r="H2593" s="40" t="s">
        <v>241</v>
      </c>
      <c r="I2593" s="40" t="s">
        <v>1281</v>
      </c>
    </row>
    <row r="2594" spans="1:9" x14ac:dyDescent="0.25">
      <c r="A2594" s="40" t="s">
        <v>100</v>
      </c>
      <c r="B2594" s="28">
        <v>3159</v>
      </c>
      <c r="C2594" s="28" t="s">
        <v>780</v>
      </c>
      <c r="D2594" s="28"/>
      <c r="E2594" s="41">
        <v>46142</v>
      </c>
      <c r="F2594" s="47">
        <v>0.36127314814814815</v>
      </c>
      <c r="G2594" s="44">
        <v>6.3</v>
      </c>
      <c r="H2594" s="43" t="s">
        <v>234</v>
      </c>
      <c r="I2594" s="40" t="s">
        <v>1281</v>
      </c>
    </row>
    <row r="2595" spans="1:9" x14ac:dyDescent="0.25">
      <c r="A2595" s="40" t="s">
        <v>100</v>
      </c>
      <c r="B2595" s="28">
        <v>3159</v>
      </c>
      <c r="C2595" s="28" t="s">
        <v>781</v>
      </c>
      <c r="D2595" s="28"/>
      <c r="E2595" s="41">
        <v>46143</v>
      </c>
      <c r="F2595" s="47">
        <v>0.38497685185185188</v>
      </c>
      <c r="G2595" s="44">
        <v>6.3</v>
      </c>
      <c r="H2595" s="43" t="s">
        <v>237</v>
      </c>
      <c r="I2595" s="40" t="s">
        <v>1282</v>
      </c>
    </row>
    <row r="2596" spans="1:9" x14ac:dyDescent="0.25">
      <c r="A2596" s="40" t="s">
        <v>100</v>
      </c>
      <c r="B2596" s="28">
        <v>3159</v>
      </c>
      <c r="C2596" s="28" t="s">
        <v>781</v>
      </c>
      <c r="D2596" s="28"/>
      <c r="E2596" s="41">
        <v>46143</v>
      </c>
      <c r="F2596" s="47">
        <v>0.39023148148148146</v>
      </c>
      <c r="G2596" s="44">
        <v>6.3</v>
      </c>
      <c r="H2596" s="43" t="s">
        <v>234</v>
      </c>
      <c r="I2596" s="40" t="s">
        <v>1282</v>
      </c>
    </row>
    <row r="2597" spans="1:9" x14ac:dyDescent="0.25">
      <c r="A2597" s="40" t="s">
        <v>275</v>
      </c>
      <c r="B2597" s="28">
        <v>3160</v>
      </c>
      <c r="C2597" s="28" t="s">
        <v>782</v>
      </c>
      <c r="D2597" s="28"/>
      <c r="E2597" s="41">
        <v>46139</v>
      </c>
      <c r="F2597" s="47">
        <v>0.35240740740740739</v>
      </c>
      <c r="G2597" s="44">
        <v>6.3</v>
      </c>
      <c r="H2597" s="43" t="s">
        <v>235</v>
      </c>
      <c r="I2597" s="40" t="s">
        <v>1281</v>
      </c>
    </row>
    <row r="2598" spans="1:9" x14ac:dyDescent="0.25">
      <c r="A2598" s="40" t="s">
        <v>275</v>
      </c>
      <c r="B2598" s="28">
        <v>3160</v>
      </c>
      <c r="C2598" s="28" t="s">
        <v>782</v>
      </c>
      <c r="D2598" s="28"/>
      <c r="E2598" s="41">
        <v>46139</v>
      </c>
      <c r="F2598" s="47">
        <v>0.37502314814814813</v>
      </c>
      <c r="G2598" s="44">
        <v>6.3</v>
      </c>
      <c r="H2598" s="43" t="s">
        <v>236</v>
      </c>
      <c r="I2598" s="40" t="s">
        <v>1281</v>
      </c>
    </row>
    <row r="2599" spans="1:9" x14ac:dyDescent="0.25">
      <c r="A2599" s="40" t="s">
        <v>275</v>
      </c>
      <c r="B2599" s="28">
        <v>3160</v>
      </c>
      <c r="C2599" s="28" t="s">
        <v>783</v>
      </c>
      <c r="D2599" s="28"/>
      <c r="E2599" s="41">
        <v>46139</v>
      </c>
      <c r="F2599" s="47">
        <v>0.66940972222222217</v>
      </c>
      <c r="G2599" s="44">
        <v>6.3</v>
      </c>
      <c r="H2599" s="43" t="s">
        <v>237</v>
      </c>
      <c r="I2599" s="40" t="s">
        <v>1281</v>
      </c>
    </row>
    <row r="2600" spans="1:9" x14ac:dyDescent="0.25">
      <c r="A2600" s="40" t="s">
        <v>275</v>
      </c>
      <c r="B2600" s="28">
        <v>3160</v>
      </c>
      <c r="C2600" s="28" t="s">
        <v>783</v>
      </c>
      <c r="D2600" s="28"/>
      <c r="E2600" s="41">
        <v>46139</v>
      </c>
      <c r="F2600" s="47">
        <v>0.67679398148148151</v>
      </c>
      <c r="G2600" s="44">
        <v>6.3</v>
      </c>
      <c r="H2600" s="43" t="s">
        <v>234</v>
      </c>
      <c r="I2600" s="40" t="s">
        <v>1281</v>
      </c>
    </row>
    <row r="2601" spans="1:9" x14ac:dyDescent="0.25">
      <c r="A2601" s="40" t="s">
        <v>275</v>
      </c>
      <c r="B2601" s="28">
        <v>3160</v>
      </c>
      <c r="C2601" s="28" t="s">
        <v>784</v>
      </c>
      <c r="D2601" s="28"/>
      <c r="E2601" s="41">
        <v>46139</v>
      </c>
      <c r="F2601" s="47">
        <v>0.73086805555555556</v>
      </c>
      <c r="G2601" s="44">
        <v>6.3</v>
      </c>
      <c r="H2601" s="43" t="s">
        <v>235</v>
      </c>
      <c r="I2601" s="40" t="s">
        <v>1281</v>
      </c>
    </row>
    <row r="2602" spans="1:9" x14ac:dyDescent="0.25">
      <c r="A2602" s="40" t="s">
        <v>275</v>
      </c>
      <c r="B2602" s="28">
        <v>3160</v>
      </c>
      <c r="C2602" s="28" t="s">
        <v>784</v>
      </c>
      <c r="D2602" s="28"/>
      <c r="E2602" s="41">
        <v>46139</v>
      </c>
      <c r="F2602" s="47">
        <v>0.74310185185185185</v>
      </c>
      <c r="G2602" s="44">
        <v>6.3</v>
      </c>
      <c r="H2602" s="43" t="s">
        <v>236</v>
      </c>
      <c r="I2602" s="40" t="s">
        <v>1281</v>
      </c>
    </row>
    <row r="2603" spans="1:9" x14ac:dyDescent="0.25">
      <c r="A2603" s="40" t="s">
        <v>275</v>
      </c>
      <c r="B2603" s="28">
        <v>3160</v>
      </c>
      <c r="C2603" s="28" t="s">
        <v>785</v>
      </c>
      <c r="D2603" s="28"/>
      <c r="E2603" s="41">
        <v>46140</v>
      </c>
      <c r="F2603" s="47">
        <v>0.47596064814814815</v>
      </c>
      <c r="G2603" s="44">
        <v>6.3</v>
      </c>
      <c r="H2603" s="43" t="s">
        <v>235</v>
      </c>
      <c r="I2603" s="40" t="s">
        <v>1281</v>
      </c>
    </row>
    <row r="2604" spans="1:9" x14ac:dyDescent="0.25">
      <c r="A2604" s="40" t="s">
        <v>275</v>
      </c>
      <c r="B2604" s="28">
        <v>3160</v>
      </c>
      <c r="C2604" s="28" t="s">
        <v>785</v>
      </c>
      <c r="D2604" s="28"/>
      <c r="E2604" s="41">
        <v>46140</v>
      </c>
      <c r="F2604" s="47">
        <v>0.48767361111111113</v>
      </c>
      <c r="G2604" s="44">
        <v>6.3</v>
      </c>
      <c r="H2604" s="43" t="s">
        <v>236</v>
      </c>
      <c r="I2604" s="40" t="s">
        <v>1281</v>
      </c>
    </row>
    <row r="2605" spans="1:9" x14ac:dyDescent="0.25">
      <c r="A2605" s="40" t="s">
        <v>275</v>
      </c>
      <c r="B2605" s="28">
        <v>3160</v>
      </c>
      <c r="C2605" s="28" t="s">
        <v>35</v>
      </c>
      <c r="D2605" s="28" t="s">
        <v>38</v>
      </c>
      <c r="E2605" s="41">
        <v>46140</v>
      </c>
      <c r="F2605" s="47">
        <v>0.76096064814814812</v>
      </c>
      <c r="G2605" s="42">
        <v>6.3</v>
      </c>
      <c r="H2605" s="40" t="s">
        <v>235</v>
      </c>
      <c r="I2605" s="40" t="s">
        <v>1281</v>
      </c>
    </row>
    <row r="2606" spans="1:9" x14ac:dyDescent="0.25">
      <c r="A2606" s="40" t="s">
        <v>275</v>
      </c>
      <c r="B2606" s="28">
        <v>3160</v>
      </c>
      <c r="C2606" s="28" t="s">
        <v>786</v>
      </c>
      <c r="D2606" s="28"/>
      <c r="E2606" s="41">
        <v>46141</v>
      </c>
      <c r="F2606" s="47">
        <v>0.28342592592592591</v>
      </c>
      <c r="G2606" s="42">
        <v>6.3</v>
      </c>
      <c r="H2606" s="40" t="s">
        <v>237</v>
      </c>
      <c r="I2606" s="40" t="s">
        <v>1281</v>
      </c>
    </row>
    <row r="2607" spans="1:9" x14ac:dyDescent="0.25">
      <c r="A2607" s="40" t="s">
        <v>275</v>
      </c>
      <c r="B2607" s="28">
        <v>3160</v>
      </c>
      <c r="C2607" s="28" t="s">
        <v>786</v>
      </c>
      <c r="D2607" s="28"/>
      <c r="E2607" s="41">
        <v>46141</v>
      </c>
      <c r="F2607" s="47">
        <v>0.29142361111111109</v>
      </c>
      <c r="G2607" s="42">
        <v>6.3</v>
      </c>
      <c r="H2607" s="40" t="s">
        <v>234</v>
      </c>
      <c r="I2607" s="40" t="s">
        <v>1281</v>
      </c>
    </row>
    <row r="2608" spans="1:9" x14ac:dyDescent="0.25">
      <c r="A2608" s="40" t="s">
        <v>275</v>
      </c>
      <c r="B2608" s="28">
        <v>3160</v>
      </c>
      <c r="C2608" s="28" t="s">
        <v>787</v>
      </c>
      <c r="D2608" s="28"/>
      <c r="E2608" s="41">
        <v>46141</v>
      </c>
      <c r="F2608" s="47">
        <v>0.40824074074074074</v>
      </c>
      <c r="G2608" s="44">
        <v>6.3</v>
      </c>
      <c r="H2608" s="43" t="s">
        <v>235</v>
      </c>
      <c r="I2608" s="40" t="s">
        <v>1281</v>
      </c>
    </row>
    <row r="2609" spans="1:9" x14ac:dyDescent="0.25">
      <c r="A2609" s="40" t="s">
        <v>275</v>
      </c>
      <c r="B2609" s="28">
        <v>3160</v>
      </c>
      <c r="C2609" s="28" t="s">
        <v>787</v>
      </c>
      <c r="D2609" s="28"/>
      <c r="E2609" s="41">
        <v>46141</v>
      </c>
      <c r="F2609" s="47">
        <v>0.42170138888888886</v>
      </c>
      <c r="G2609" s="44">
        <v>6.3</v>
      </c>
      <c r="H2609" s="43" t="s">
        <v>236</v>
      </c>
      <c r="I2609" s="40" t="s">
        <v>1281</v>
      </c>
    </row>
    <row r="2610" spans="1:9" x14ac:dyDescent="0.25">
      <c r="A2610" s="40" t="s">
        <v>275</v>
      </c>
      <c r="B2610" s="28">
        <v>3160</v>
      </c>
      <c r="C2610" s="28">
        <v>5640828</v>
      </c>
      <c r="D2610" s="28"/>
      <c r="E2610" s="41">
        <v>46141</v>
      </c>
      <c r="F2610" s="47">
        <v>0.54400462962962959</v>
      </c>
      <c r="G2610" s="44">
        <v>6.3</v>
      </c>
      <c r="H2610" s="43" t="s">
        <v>237</v>
      </c>
      <c r="I2610" s="40" t="s">
        <v>1281</v>
      </c>
    </row>
    <row r="2611" spans="1:9" x14ac:dyDescent="0.25">
      <c r="A2611" s="40" t="s">
        <v>275</v>
      </c>
      <c r="B2611" s="28">
        <v>3160</v>
      </c>
      <c r="C2611" s="28">
        <v>5640828</v>
      </c>
      <c r="D2611" s="28"/>
      <c r="E2611" s="41">
        <v>46141</v>
      </c>
      <c r="F2611" s="47">
        <v>0.56027777777777776</v>
      </c>
      <c r="G2611" s="44">
        <v>6.3</v>
      </c>
      <c r="H2611" s="43" t="s">
        <v>234</v>
      </c>
      <c r="I2611" s="40" t="s">
        <v>1281</v>
      </c>
    </row>
    <row r="2612" spans="1:9" x14ac:dyDescent="0.25">
      <c r="A2612" s="40" t="s">
        <v>275</v>
      </c>
      <c r="B2612" s="28">
        <v>3160</v>
      </c>
      <c r="C2612" s="28" t="s">
        <v>788</v>
      </c>
      <c r="D2612" s="28"/>
      <c r="E2612" s="41">
        <v>46141</v>
      </c>
      <c r="F2612" s="47">
        <v>0.67032407407407413</v>
      </c>
      <c r="G2612" s="44">
        <v>6.3</v>
      </c>
      <c r="H2612" s="43" t="s">
        <v>237</v>
      </c>
      <c r="I2612" s="40" t="s">
        <v>1281</v>
      </c>
    </row>
    <row r="2613" spans="1:9" x14ac:dyDescent="0.25">
      <c r="A2613" s="40" t="s">
        <v>275</v>
      </c>
      <c r="B2613" s="28">
        <v>3160</v>
      </c>
      <c r="C2613" s="28" t="s">
        <v>788</v>
      </c>
      <c r="D2613" s="28"/>
      <c r="E2613" s="41">
        <v>46141</v>
      </c>
      <c r="F2613" s="47">
        <v>0.67663194444444441</v>
      </c>
      <c r="G2613" s="44">
        <v>6.3</v>
      </c>
      <c r="H2613" s="43" t="s">
        <v>234</v>
      </c>
      <c r="I2613" s="40" t="s">
        <v>1281</v>
      </c>
    </row>
    <row r="2614" spans="1:9" x14ac:dyDescent="0.25">
      <c r="A2614" s="40" t="s">
        <v>275</v>
      </c>
      <c r="B2614" s="28">
        <v>3160</v>
      </c>
      <c r="C2614" s="28" t="s">
        <v>789</v>
      </c>
      <c r="D2614" s="28"/>
      <c r="E2614" s="41">
        <v>46141</v>
      </c>
      <c r="F2614" s="47">
        <v>0.73054398148148147</v>
      </c>
      <c r="G2614" s="42">
        <v>6.3</v>
      </c>
      <c r="H2614" s="40" t="s">
        <v>235</v>
      </c>
      <c r="I2614" s="40" t="s">
        <v>1281</v>
      </c>
    </row>
    <row r="2615" spans="1:9" x14ac:dyDescent="0.25">
      <c r="A2615" s="40" t="s">
        <v>275</v>
      </c>
      <c r="B2615" s="28">
        <v>3160</v>
      </c>
      <c r="C2615" s="28" t="s">
        <v>789</v>
      </c>
      <c r="D2615" s="28"/>
      <c r="E2615" s="41">
        <v>46141</v>
      </c>
      <c r="F2615" s="47">
        <v>0.74543981481481481</v>
      </c>
      <c r="G2615" s="44">
        <v>6.3</v>
      </c>
      <c r="H2615" s="43" t="s">
        <v>236</v>
      </c>
      <c r="I2615" s="40" t="s">
        <v>1281</v>
      </c>
    </row>
    <row r="2616" spans="1:9" x14ac:dyDescent="0.25">
      <c r="A2616" s="40" t="s">
        <v>275</v>
      </c>
      <c r="B2616" s="28">
        <v>3160</v>
      </c>
      <c r="C2616" s="28" t="s">
        <v>790</v>
      </c>
      <c r="D2616" s="28"/>
      <c r="E2616" s="41">
        <v>46142</v>
      </c>
      <c r="F2616" s="47">
        <v>0.24365740740740741</v>
      </c>
      <c r="G2616" s="44">
        <v>6.3</v>
      </c>
      <c r="H2616" s="43" t="s">
        <v>237</v>
      </c>
      <c r="I2616" s="40" t="s">
        <v>1281</v>
      </c>
    </row>
    <row r="2617" spans="1:9" x14ac:dyDescent="0.25">
      <c r="A2617" s="40" t="s">
        <v>275</v>
      </c>
      <c r="B2617" s="28">
        <v>3160</v>
      </c>
      <c r="C2617" s="28" t="s">
        <v>790</v>
      </c>
      <c r="D2617" s="28"/>
      <c r="E2617" s="45">
        <v>46142</v>
      </c>
      <c r="F2617" s="48">
        <v>0.2495023148148148</v>
      </c>
      <c r="G2617" s="44">
        <v>6.3</v>
      </c>
      <c r="H2617" s="43" t="s">
        <v>234</v>
      </c>
      <c r="I2617" s="40" t="s">
        <v>1281</v>
      </c>
    </row>
    <row r="2618" spans="1:9" x14ac:dyDescent="0.25">
      <c r="A2618" s="40" t="s">
        <v>275</v>
      </c>
      <c r="B2618" s="28">
        <v>3160</v>
      </c>
      <c r="C2618" s="28" t="s">
        <v>791</v>
      </c>
      <c r="D2618" s="28"/>
      <c r="E2618" s="41">
        <v>46142</v>
      </c>
      <c r="F2618" s="47">
        <v>0.60285879629629635</v>
      </c>
      <c r="G2618" s="44">
        <v>6.3</v>
      </c>
      <c r="H2618" s="43" t="s">
        <v>235</v>
      </c>
      <c r="I2618" s="40" t="s">
        <v>1281</v>
      </c>
    </row>
    <row r="2619" spans="1:9" x14ac:dyDescent="0.25">
      <c r="A2619" s="40" t="s">
        <v>275</v>
      </c>
      <c r="B2619" s="28">
        <v>3160</v>
      </c>
      <c r="C2619" s="28" t="s">
        <v>792</v>
      </c>
      <c r="D2619" s="28"/>
      <c r="E2619" s="41">
        <v>46143</v>
      </c>
      <c r="F2619" s="47">
        <v>0.3369328703703704</v>
      </c>
      <c r="G2619" s="44">
        <v>6.3</v>
      </c>
      <c r="H2619" s="43" t="s">
        <v>235</v>
      </c>
      <c r="I2619" s="40" t="s">
        <v>1282</v>
      </c>
    </row>
    <row r="2620" spans="1:9" x14ac:dyDescent="0.25">
      <c r="A2620" s="40" t="s">
        <v>275</v>
      </c>
      <c r="B2620" s="28">
        <v>3160</v>
      </c>
      <c r="C2620" s="28" t="s">
        <v>793</v>
      </c>
      <c r="D2620" s="28"/>
      <c r="E2620" s="41">
        <v>46143</v>
      </c>
      <c r="F2620" s="47">
        <v>0.39333333333333331</v>
      </c>
      <c r="G2620" s="44">
        <v>6.3</v>
      </c>
      <c r="H2620" s="43" t="s">
        <v>234</v>
      </c>
      <c r="I2620" s="40" t="s">
        <v>1282</v>
      </c>
    </row>
    <row r="2621" spans="1:9" x14ac:dyDescent="0.25">
      <c r="A2621" s="40" t="s">
        <v>299</v>
      </c>
      <c r="B2621" s="28">
        <v>3180</v>
      </c>
      <c r="C2621" s="28" t="s">
        <v>794</v>
      </c>
      <c r="D2621" s="28"/>
      <c r="E2621" s="41">
        <v>46140</v>
      </c>
      <c r="F2621" s="47">
        <v>0.70464120370370376</v>
      </c>
      <c r="G2621" s="44">
        <v>6.3</v>
      </c>
      <c r="H2621" s="43" t="s">
        <v>235</v>
      </c>
      <c r="I2621" s="40" t="s">
        <v>1281</v>
      </c>
    </row>
    <row r="2622" spans="1:9" x14ac:dyDescent="0.25">
      <c r="A2622" s="40" t="s">
        <v>299</v>
      </c>
      <c r="B2622" s="28">
        <v>3180</v>
      </c>
      <c r="C2622" s="28">
        <v>5642163</v>
      </c>
      <c r="D2622" s="28"/>
      <c r="E2622" s="45">
        <v>46141</v>
      </c>
      <c r="F2622" s="48">
        <v>0.4299884259259259</v>
      </c>
      <c r="G2622" s="44">
        <v>6.3</v>
      </c>
      <c r="H2622" s="43" t="s">
        <v>235</v>
      </c>
      <c r="I2622" s="40" t="s">
        <v>1281</v>
      </c>
    </row>
    <row r="2623" spans="1:9" x14ac:dyDescent="0.25">
      <c r="A2623" s="40" t="s">
        <v>299</v>
      </c>
      <c r="B2623" s="28">
        <v>3180</v>
      </c>
      <c r="C2623" s="28">
        <v>5642163</v>
      </c>
      <c r="D2623" s="28"/>
      <c r="E2623" s="41">
        <v>46141</v>
      </c>
      <c r="F2623" s="47">
        <v>0.44378472222222221</v>
      </c>
      <c r="G2623" s="44">
        <v>6.3</v>
      </c>
      <c r="H2623" s="43" t="s">
        <v>236</v>
      </c>
      <c r="I2623" s="40" t="s">
        <v>1281</v>
      </c>
    </row>
    <row r="2624" spans="1:9" x14ac:dyDescent="0.25">
      <c r="A2624" s="40" t="s">
        <v>299</v>
      </c>
      <c r="B2624" s="28">
        <v>3180</v>
      </c>
      <c r="C2624" s="28" t="s">
        <v>35</v>
      </c>
      <c r="D2624" s="28" t="s">
        <v>38</v>
      </c>
      <c r="E2624" s="41">
        <v>46141</v>
      </c>
      <c r="F2624" s="47">
        <v>0.50434027777777779</v>
      </c>
      <c r="G2624" s="44">
        <v>6.3</v>
      </c>
      <c r="H2624" s="43" t="s">
        <v>237</v>
      </c>
      <c r="I2624" s="40" t="s">
        <v>1281</v>
      </c>
    </row>
    <row r="2625" spans="1:9" x14ac:dyDescent="0.25">
      <c r="A2625" s="40" t="s">
        <v>299</v>
      </c>
      <c r="B2625" s="28">
        <v>3180</v>
      </c>
      <c r="C2625" s="28" t="s">
        <v>35</v>
      </c>
      <c r="D2625" s="28" t="s">
        <v>38</v>
      </c>
      <c r="E2625" s="41">
        <v>46141</v>
      </c>
      <c r="F2625" s="47">
        <v>0.51028935185185187</v>
      </c>
      <c r="G2625" s="44">
        <v>6.3</v>
      </c>
      <c r="H2625" s="43" t="s">
        <v>234</v>
      </c>
      <c r="I2625" s="40" t="s">
        <v>1281</v>
      </c>
    </row>
    <row r="2626" spans="1:9" x14ac:dyDescent="0.25">
      <c r="A2626" s="40" t="s">
        <v>379</v>
      </c>
      <c r="B2626" s="28">
        <v>3198</v>
      </c>
      <c r="C2626" s="28" t="s">
        <v>35</v>
      </c>
      <c r="D2626" s="28" t="s">
        <v>38</v>
      </c>
      <c r="E2626" s="41">
        <v>46140</v>
      </c>
      <c r="F2626" s="47">
        <v>0.19159722222222222</v>
      </c>
      <c r="G2626" s="44">
        <v>6.3</v>
      </c>
      <c r="H2626" s="43" t="s">
        <v>237</v>
      </c>
      <c r="I2626" s="40" t="s">
        <v>1281</v>
      </c>
    </row>
    <row r="2627" spans="1:9" x14ac:dyDescent="0.25">
      <c r="A2627" s="40" t="s">
        <v>379</v>
      </c>
      <c r="B2627" s="28">
        <v>3198</v>
      </c>
      <c r="C2627" s="28" t="s">
        <v>35</v>
      </c>
      <c r="D2627" s="28" t="s">
        <v>38</v>
      </c>
      <c r="E2627" s="41">
        <v>46140</v>
      </c>
      <c r="F2627" s="47">
        <v>0.19690972222222222</v>
      </c>
      <c r="G2627" s="44">
        <v>6.3</v>
      </c>
      <c r="H2627" s="43" t="s">
        <v>234</v>
      </c>
      <c r="I2627" s="40" t="s">
        <v>1281</v>
      </c>
    </row>
    <row r="2628" spans="1:9" x14ac:dyDescent="0.25">
      <c r="A2628" s="40" t="s">
        <v>379</v>
      </c>
      <c r="B2628" s="28">
        <v>3198</v>
      </c>
      <c r="C2628" s="28">
        <v>5640824</v>
      </c>
      <c r="D2628" s="28"/>
      <c r="E2628" s="41">
        <v>46141</v>
      </c>
      <c r="F2628" s="47">
        <v>0.84744212962962961</v>
      </c>
      <c r="G2628" s="44">
        <v>6.3</v>
      </c>
      <c r="H2628" s="43" t="s">
        <v>235</v>
      </c>
      <c r="I2628" s="40" t="s">
        <v>1281</v>
      </c>
    </row>
    <row r="2629" spans="1:9" x14ac:dyDescent="0.25">
      <c r="A2629" s="40" t="s">
        <v>379</v>
      </c>
      <c r="B2629" s="28">
        <v>3198</v>
      </c>
      <c r="C2629" s="28">
        <v>5641731</v>
      </c>
      <c r="D2629" s="28"/>
      <c r="E2629" s="41">
        <v>46142</v>
      </c>
      <c r="F2629" s="47">
        <v>0.10237268518518519</v>
      </c>
      <c r="G2629" s="44">
        <v>6.3</v>
      </c>
      <c r="H2629" s="43" t="s">
        <v>237</v>
      </c>
      <c r="I2629" s="40" t="s">
        <v>1281</v>
      </c>
    </row>
    <row r="2630" spans="1:9" x14ac:dyDescent="0.25">
      <c r="A2630" s="40" t="s">
        <v>379</v>
      </c>
      <c r="B2630" s="28">
        <v>3198</v>
      </c>
      <c r="C2630" s="28">
        <v>5641731</v>
      </c>
      <c r="D2630" s="28"/>
      <c r="E2630" s="41">
        <v>46142</v>
      </c>
      <c r="F2630" s="47">
        <v>0.10813657407407408</v>
      </c>
      <c r="G2630" s="44">
        <v>6.3</v>
      </c>
      <c r="H2630" s="43" t="s">
        <v>234</v>
      </c>
      <c r="I2630" s="40" t="s">
        <v>1281</v>
      </c>
    </row>
    <row r="2631" spans="1:9" x14ac:dyDescent="0.25">
      <c r="A2631" s="40" t="s">
        <v>379</v>
      </c>
      <c r="B2631" s="28">
        <v>3198</v>
      </c>
      <c r="C2631" s="28">
        <v>5635262</v>
      </c>
      <c r="D2631" s="28"/>
      <c r="E2631" s="41">
        <v>46142</v>
      </c>
      <c r="F2631" s="47">
        <v>0.82230324074074079</v>
      </c>
      <c r="G2631" s="44">
        <v>6.3</v>
      </c>
      <c r="H2631" s="43" t="s">
        <v>237</v>
      </c>
      <c r="I2631" s="40" t="s">
        <v>1281</v>
      </c>
    </row>
    <row r="2632" spans="1:9" x14ac:dyDescent="0.25">
      <c r="A2632" s="40" t="s">
        <v>379</v>
      </c>
      <c r="B2632" s="28">
        <v>3198</v>
      </c>
      <c r="C2632" s="28">
        <v>5635262</v>
      </c>
      <c r="D2632" s="28"/>
      <c r="E2632" s="45">
        <v>46142</v>
      </c>
      <c r="F2632" s="48">
        <v>0.84288194444444442</v>
      </c>
      <c r="G2632" s="44">
        <v>6.3</v>
      </c>
      <c r="H2632" s="43" t="s">
        <v>234</v>
      </c>
      <c r="I2632" s="40" t="s">
        <v>1281</v>
      </c>
    </row>
    <row r="2633" spans="1:9" x14ac:dyDescent="0.25">
      <c r="A2633" s="40" t="s">
        <v>379</v>
      </c>
      <c r="B2633" s="28">
        <v>3198</v>
      </c>
      <c r="C2633" s="28">
        <v>5642765</v>
      </c>
      <c r="D2633" s="28"/>
      <c r="E2633" s="41">
        <v>46143</v>
      </c>
      <c r="F2633" s="47">
        <v>6.6319444444444445E-2</v>
      </c>
      <c r="G2633" s="44">
        <v>6.3</v>
      </c>
      <c r="H2633" s="43" t="s">
        <v>235</v>
      </c>
      <c r="I2633" s="40" t="s">
        <v>1282</v>
      </c>
    </row>
    <row r="2634" spans="1:9" x14ac:dyDescent="0.25">
      <c r="A2634" s="40" t="s">
        <v>379</v>
      </c>
      <c r="B2634" s="28">
        <v>3198</v>
      </c>
      <c r="C2634" s="28">
        <v>5642765</v>
      </c>
      <c r="D2634" s="28"/>
      <c r="E2634" s="45">
        <v>46143</v>
      </c>
      <c r="F2634" s="48">
        <v>7.3611111111111113E-2</v>
      </c>
      <c r="G2634" s="44">
        <v>6.3</v>
      </c>
      <c r="H2634" s="43" t="s">
        <v>236</v>
      </c>
      <c r="I2634" s="40" t="s">
        <v>1282</v>
      </c>
    </row>
    <row r="2635" spans="1:9" x14ac:dyDescent="0.25">
      <c r="A2635" s="40" t="s">
        <v>379</v>
      </c>
      <c r="B2635" s="28">
        <v>3198</v>
      </c>
      <c r="C2635" s="28">
        <v>5644567</v>
      </c>
      <c r="D2635" s="28" t="s">
        <v>37</v>
      </c>
      <c r="E2635" s="41">
        <v>46143</v>
      </c>
      <c r="F2635" s="47">
        <v>0.13622685185185185</v>
      </c>
      <c r="G2635" s="44">
        <v>6.3</v>
      </c>
      <c r="H2635" s="43" t="s">
        <v>237</v>
      </c>
      <c r="I2635" s="40" t="s">
        <v>1282</v>
      </c>
    </row>
    <row r="2636" spans="1:9" x14ac:dyDescent="0.25">
      <c r="A2636" s="40" t="s">
        <v>379</v>
      </c>
      <c r="B2636" s="28">
        <v>3198</v>
      </c>
      <c r="C2636" s="28">
        <v>5644567</v>
      </c>
      <c r="D2636" s="28" t="s">
        <v>37</v>
      </c>
      <c r="E2636" s="45">
        <v>46143</v>
      </c>
      <c r="F2636" s="48">
        <v>0.1413888888888889</v>
      </c>
      <c r="G2636" s="44">
        <v>6.3</v>
      </c>
      <c r="H2636" s="43" t="s">
        <v>234</v>
      </c>
      <c r="I2636" s="40" t="s">
        <v>1282</v>
      </c>
    </row>
    <row r="2637" spans="1:9" x14ac:dyDescent="0.25">
      <c r="A2637" s="40" t="s">
        <v>379</v>
      </c>
      <c r="B2637" s="28">
        <v>3198</v>
      </c>
      <c r="C2637" s="28" t="s">
        <v>35</v>
      </c>
      <c r="D2637" s="28" t="s">
        <v>38</v>
      </c>
      <c r="E2637" s="41">
        <v>46144</v>
      </c>
      <c r="F2637" s="47">
        <v>0.4544212962962963</v>
      </c>
      <c r="G2637" s="44">
        <v>6.3</v>
      </c>
      <c r="H2637" s="43" t="s">
        <v>235</v>
      </c>
      <c r="I2637" s="40" t="s">
        <v>1282</v>
      </c>
    </row>
    <row r="2638" spans="1:9" x14ac:dyDescent="0.25">
      <c r="A2638" s="40" t="s">
        <v>379</v>
      </c>
      <c r="B2638" s="28">
        <v>3198</v>
      </c>
      <c r="C2638" s="28" t="s">
        <v>35</v>
      </c>
      <c r="D2638" s="28" t="s">
        <v>38</v>
      </c>
      <c r="E2638" s="41">
        <v>46144</v>
      </c>
      <c r="F2638" s="47">
        <v>0.46288194444444447</v>
      </c>
      <c r="G2638" s="44">
        <v>6.3</v>
      </c>
      <c r="H2638" s="43" t="s">
        <v>236</v>
      </c>
      <c r="I2638" s="40" t="s">
        <v>1282</v>
      </c>
    </row>
    <row r="2639" spans="1:9" x14ac:dyDescent="0.25">
      <c r="A2639" s="40" t="s">
        <v>379</v>
      </c>
      <c r="B2639" s="28">
        <v>3198</v>
      </c>
      <c r="C2639" s="28" t="s">
        <v>35</v>
      </c>
      <c r="D2639" s="28" t="s">
        <v>38</v>
      </c>
      <c r="E2639" s="45">
        <v>46144</v>
      </c>
      <c r="F2639" s="48">
        <v>0.97653935185185181</v>
      </c>
      <c r="G2639" s="44">
        <v>6.3</v>
      </c>
      <c r="H2639" s="43" t="s">
        <v>237</v>
      </c>
      <c r="I2639" s="40" t="s">
        <v>1282</v>
      </c>
    </row>
    <row r="2640" spans="1:9" x14ac:dyDescent="0.25">
      <c r="A2640" s="40" t="s">
        <v>379</v>
      </c>
      <c r="B2640" s="28">
        <v>3198</v>
      </c>
      <c r="C2640" s="28" t="s">
        <v>35</v>
      </c>
      <c r="D2640" s="28" t="s">
        <v>38</v>
      </c>
      <c r="E2640" s="41">
        <v>46144</v>
      </c>
      <c r="F2640" s="47">
        <v>0.98215277777777776</v>
      </c>
      <c r="G2640" s="44">
        <v>6.3</v>
      </c>
      <c r="H2640" s="43" t="s">
        <v>234</v>
      </c>
      <c r="I2640" s="40" t="s">
        <v>1282</v>
      </c>
    </row>
    <row r="2641" spans="1:9" x14ac:dyDescent="0.25">
      <c r="A2641" s="40" t="s">
        <v>379</v>
      </c>
      <c r="B2641" s="28">
        <v>3198</v>
      </c>
      <c r="C2641" s="28" t="s">
        <v>35</v>
      </c>
      <c r="D2641" s="28" t="s">
        <v>38</v>
      </c>
      <c r="E2641" s="41">
        <v>46145</v>
      </c>
      <c r="F2641" s="47">
        <v>0.33849537037037036</v>
      </c>
      <c r="G2641" s="44">
        <v>6.3</v>
      </c>
      <c r="H2641" s="43" t="s">
        <v>235</v>
      </c>
      <c r="I2641" s="40" t="s">
        <v>1282</v>
      </c>
    </row>
    <row r="2642" spans="1:9" x14ac:dyDescent="0.25">
      <c r="A2642" s="40" t="s">
        <v>379</v>
      </c>
      <c r="B2642" s="28">
        <v>3198</v>
      </c>
      <c r="C2642" s="28" t="s">
        <v>35</v>
      </c>
      <c r="D2642" s="28" t="s">
        <v>38</v>
      </c>
      <c r="E2642" s="41">
        <v>46145</v>
      </c>
      <c r="F2642" s="47">
        <v>0.3465509259259259</v>
      </c>
      <c r="G2642" s="44">
        <v>6.3</v>
      </c>
      <c r="H2642" s="43" t="s">
        <v>236</v>
      </c>
      <c r="I2642" s="40" t="s">
        <v>1282</v>
      </c>
    </row>
    <row r="2643" spans="1:9" x14ac:dyDescent="0.25">
      <c r="A2643" s="40" t="s">
        <v>379</v>
      </c>
      <c r="B2643" s="28">
        <v>3198</v>
      </c>
      <c r="C2643" s="28" t="s">
        <v>35</v>
      </c>
      <c r="D2643" s="28" t="s">
        <v>38</v>
      </c>
      <c r="E2643" s="41">
        <v>46145</v>
      </c>
      <c r="F2643" s="47">
        <v>0.76020833333333337</v>
      </c>
      <c r="G2643" s="44">
        <v>6.3</v>
      </c>
      <c r="H2643" s="43" t="s">
        <v>235</v>
      </c>
      <c r="I2643" s="40" t="s">
        <v>1282</v>
      </c>
    </row>
    <row r="2644" spans="1:9" x14ac:dyDescent="0.25">
      <c r="A2644" s="40" t="s">
        <v>379</v>
      </c>
      <c r="B2644" s="28">
        <v>3198</v>
      </c>
      <c r="C2644" s="28" t="s">
        <v>35</v>
      </c>
      <c r="D2644" s="28" t="s">
        <v>38</v>
      </c>
      <c r="E2644" s="45">
        <v>46145</v>
      </c>
      <c r="F2644" s="48">
        <v>0.76870370370370367</v>
      </c>
      <c r="G2644" s="44">
        <v>6.3</v>
      </c>
      <c r="H2644" s="43" t="s">
        <v>236</v>
      </c>
      <c r="I2644" s="40" t="s">
        <v>1282</v>
      </c>
    </row>
    <row r="2645" spans="1:9" x14ac:dyDescent="0.25">
      <c r="A2645" s="40" t="s">
        <v>795</v>
      </c>
      <c r="B2645" s="28">
        <v>3206</v>
      </c>
      <c r="C2645" s="28" t="s">
        <v>796</v>
      </c>
      <c r="D2645" s="28"/>
      <c r="E2645" s="41">
        <v>46139</v>
      </c>
      <c r="F2645" s="47">
        <v>0.68481481481481477</v>
      </c>
      <c r="G2645" s="44">
        <v>6.3</v>
      </c>
      <c r="H2645" s="43" t="s">
        <v>233</v>
      </c>
      <c r="I2645" s="40" t="s">
        <v>1281</v>
      </c>
    </row>
    <row r="2646" spans="1:9" x14ac:dyDescent="0.25">
      <c r="A2646" s="40" t="s">
        <v>795</v>
      </c>
      <c r="B2646" s="28">
        <v>3206</v>
      </c>
      <c r="C2646" s="28" t="s">
        <v>796</v>
      </c>
      <c r="D2646" s="28"/>
      <c r="E2646" s="41">
        <v>46139</v>
      </c>
      <c r="F2646" s="47">
        <v>0.69513888888888886</v>
      </c>
      <c r="G2646" s="44">
        <v>6.3</v>
      </c>
      <c r="H2646" s="43" t="s">
        <v>234</v>
      </c>
      <c r="I2646" s="40" t="s">
        <v>1281</v>
      </c>
    </row>
    <row r="2647" spans="1:9" x14ac:dyDescent="0.25">
      <c r="A2647" s="40" t="s">
        <v>795</v>
      </c>
      <c r="B2647" s="28">
        <v>3206</v>
      </c>
      <c r="C2647" s="28" t="s">
        <v>797</v>
      </c>
      <c r="D2647" s="28"/>
      <c r="E2647" s="41">
        <v>46139</v>
      </c>
      <c r="F2647" s="47">
        <v>0.79172453703703705</v>
      </c>
      <c r="G2647" s="44">
        <v>6.3</v>
      </c>
      <c r="H2647" s="43" t="s">
        <v>235</v>
      </c>
      <c r="I2647" s="40" t="s">
        <v>1281</v>
      </c>
    </row>
    <row r="2648" spans="1:9" x14ac:dyDescent="0.25">
      <c r="A2648" s="40" t="s">
        <v>795</v>
      </c>
      <c r="B2648" s="28">
        <v>3206</v>
      </c>
      <c r="C2648" s="28" t="s">
        <v>797</v>
      </c>
      <c r="D2648" s="28"/>
      <c r="E2648" s="45">
        <v>46139</v>
      </c>
      <c r="F2648" s="48">
        <v>0.8053703703703704</v>
      </c>
      <c r="G2648" s="44">
        <v>6.3</v>
      </c>
      <c r="H2648" s="43" t="s">
        <v>236</v>
      </c>
      <c r="I2648" s="40" t="s">
        <v>1281</v>
      </c>
    </row>
    <row r="2649" spans="1:9" x14ac:dyDescent="0.25">
      <c r="A2649" s="40" t="s">
        <v>795</v>
      </c>
      <c r="B2649" s="28">
        <v>3206</v>
      </c>
      <c r="C2649" s="28" t="s">
        <v>798</v>
      </c>
      <c r="D2649" s="28"/>
      <c r="E2649" s="41">
        <v>46141</v>
      </c>
      <c r="F2649" s="47">
        <v>0.36237268518518517</v>
      </c>
      <c r="G2649" s="44">
        <v>6.3</v>
      </c>
      <c r="H2649" s="43" t="s">
        <v>233</v>
      </c>
      <c r="I2649" s="40" t="s">
        <v>1281</v>
      </c>
    </row>
    <row r="2650" spans="1:9" x14ac:dyDescent="0.25">
      <c r="A2650" s="40" t="s">
        <v>795</v>
      </c>
      <c r="B2650" s="28">
        <v>3206</v>
      </c>
      <c r="C2650" s="28" t="s">
        <v>798</v>
      </c>
      <c r="D2650" s="28"/>
      <c r="E2650" s="41">
        <v>46141</v>
      </c>
      <c r="F2650" s="47">
        <v>0.37332175925925926</v>
      </c>
      <c r="G2650" s="44">
        <v>6.3</v>
      </c>
      <c r="H2650" s="43" t="s">
        <v>234</v>
      </c>
      <c r="I2650" s="40" t="s">
        <v>1281</v>
      </c>
    </row>
    <row r="2651" spans="1:9" x14ac:dyDescent="0.25">
      <c r="A2651" s="40" t="s">
        <v>795</v>
      </c>
      <c r="B2651" s="28">
        <v>3206</v>
      </c>
      <c r="C2651" s="28" t="s">
        <v>799</v>
      </c>
      <c r="D2651" s="28"/>
      <c r="E2651" s="41">
        <v>46142</v>
      </c>
      <c r="F2651" s="47">
        <v>0.30380787037037038</v>
      </c>
      <c r="G2651" s="44">
        <v>6.3</v>
      </c>
      <c r="H2651" s="43" t="s">
        <v>233</v>
      </c>
      <c r="I2651" s="40" t="s">
        <v>1281</v>
      </c>
    </row>
    <row r="2652" spans="1:9" x14ac:dyDescent="0.25">
      <c r="A2652" s="40" t="s">
        <v>795</v>
      </c>
      <c r="B2652" s="28">
        <v>3206</v>
      </c>
      <c r="C2652" s="28" t="s">
        <v>799</v>
      </c>
      <c r="D2652" s="28"/>
      <c r="E2652" s="41">
        <v>46142</v>
      </c>
      <c r="F2652" s="47">
        <v>0.31251157407407409</v>
      </c>
      <c r="G2652" s="44">
        <v>6.3</v>
      </c>
      <c r="H2652" s="43" t="s">
        <v>234</v>
      </c>
      <c r="I2652" s="40" t="s">
        <v>1281</v>
      </c>
    </row>
    <row r="2653" spans="1:9" x14ac:dyDescent="0.25">
      <c r="A2653" s="40" t="s">
        <v>795</v>
      </c>
      <c r="B2653" s="28">
        <v>3206</v>
      </c>
      <c r="C2653" s="28" t="s">
        <v>800</v>
      </c>
      <c r="D2653" s="28"/>
      <c r="E2653" s="41">
        <v>46142</v>
      </c>
      <c r="F2653" s="47">
        <v>0.39295138888888886</v>
      </c>
      <c r="G2653" s="42">
        <v>6.3</v>
      </c>
      <c r="H2653" s="40" t="s">
        <v>235</v>
      </c>
      <c r="I2653" s="40" t="s">
        <v>1281</v>
      </c>
    </row>
    <row r="2654" spans="1:9" x14ac:dyDescent="0.25">
      <c r="A2654" s="40" t="s">
        <v>795</v>
      </c>
      <c r="B2654" s="28">
        <v>3206</v>
      </c>
      <c r="C2654" s="28" t="s">
        <v>801</v>
      </c>
      <c r="D2654" s="28"/>
      <c r="E2654" s="41">
        <v>46142</v>
      </c>
      <c r="F2654" s="47">
        <v>0.50596064814814812</v>
      </c>
      <c r="G2654" s="44">
        <v>6.3</v>
      </c>
      <c r="H2654" s="43" t="s">
        <v>233</v>
      </c>
      <c r="I2654" s="40" t="s">
        <v>1281</v>
      </c>
    </row>
    <row r="2655" spans="1:9" x14ac:dyDescent="0.25">
      <c r="A2655" s="40" t="s">
        <v>795</v>
      </c>
      <c r="B2655" s="28">
        <v>3206</v>
      </c>
      <c r="C2655" s="28" t="s">
        <v>801</v>
      </c>
      <c r="D2655" s="28"/>
      <c r="E2655" s="41">
        <v>46142</v>
      </c>
      <c r="F2655" s="47">
        <v>0.5200231481481481</v>
      </c>
      <c r="G2655" s="44">
        <v>6.3</v>
      </c>
      <c r="H2655" s="43" t="s">
        <v>234</v>
      </c>
      <c r="I2655" s="40" t="s">
        <v>1281</v>
      </c>
    </row>
    <row r="2656" spans="1:9" x14ac:dyDescent="0.25">
      <c r="A2656" s="40" t="s">
        <v>795</v>
      </c>
      <c r="B2656" s="28">
        <v>3206</v>
      </c>
      <c r="C2656" s="28" t="s">
        <v>802</v>
      </c>
      <c r="D2656" s="28"/>
      <c r="E2656" s="45">
        <v>46142</v>
      </c>
      <c r="F2656" s="48">
        <v>0.59603009259259254</v>
      </c>
      <c r="G2656" s="44">
        <v>6.3</v>
      </c>
      <c r="H2656" s="43" t="s">
        <v>235</v>
      </c>
      <c r="I2656" s="40" t="s">
        <v>1281</v>
      </c>
    </row>
    <row r="2657" spans="1:9" x14ac:dyDescent="0.25">
      <c r="A2657" s="40" t="s">
        <v>795</v>
      </c>
      <c r="B2657" s="28">
        <v>3206</v>
      </c>
      <c r="C2657" s="28" t="s">
        <v>803</v>
      </c>
      <c r="D2657" s="28"/>
      <c r="E2657" s="41">
        <v>46142</v>
      </c>
      <c r="F2657" s="47">
        <v>0.8144675925925926</v>
      </c>
      <c r="G2657" s="44">
        <v>6.3</v>
      </c>
      <c r="H2657" s="43" t="s">
        <v>233</v>
      </c>
      <c r="I2657" s="40" t="s">
        <v>1281</v>
      </c>
    </row>
    <row r="2658" spans="1:9" x14ac:dyDescent="0.25">
      <c r="A2658" s="40" t="s">
        <v>795</v>
      </c>
      <c r="B2658" s="28">
        <v>3206</v>
      </c>
      <c r="C2658" s="28" t="s">
        <v>803</v>
      </c>
      <c r="D2658" s="28"/>
      <c r="E2658" s="41">
        <v>46142</v>
      </c>
      <c r="F2658" s="47">
        <v>0.83783564814814815</v>
      </c>
      <c r="G2658" s="44">
        <v>6.3</v>
      </c>
      <c r="H2658" s="43" t="s">
        <v>234</v>
      </c>
      <c r="I2658" s="40" t="s">
        <v>1281</v>
      </c>
    </row>
    <row r="2659" spans="1:9" x14ac:dyDescent="0.25">
      <c r="A2659" s="40" t="s">
        <v>795</v>
      </c>
      <c r="B2659" s="28">
        <v>3206</v>
      </c>
      <c r="C2659" s="28" t="s">
        <v>804</v>
      </c>
      <c r="D2659" s="28"/>
      <c r="E2659" s="41">
        <v>46142</v>
      </c>
      <c r="F2659" s="47">
        <v>0.89057870370370373</v>
      </c>
      <c r="G2659" s="44">
        <v>6.3</v>
      </c>
      <c r="H2659" s="43" t="s">
        <v>235</v>
      </c>
      <c r="I2659" s="40" t="s">
        <v>1281</v>
      </c>
    </row>
    <row r="2660" spans="1:9" x14ac:dyDescent="0.25">
      <c r="A2660" s="40" t="s">
        <v>795</v>
      </c>
      <c r="B2660" s="28">
        <v>3206</v>
      </c>
      <c r="C2660" s="28" t="s">
        <v>804</v>
      </c>
      <c r="D2660" s="28"/>
      <c r="E2660" s="41">
        <v>46142</v>
      </c>
      <c r="F2660" s="47">
        <v>0.89773148148148152</v>
      </c>
      <c r="G2660" s="44">
        <v>6.3</v>
      </c>
      <c r="H2660" s="43" t="s">
        <v>236</v>
      </c>
      <c r="I2660" s="40" t="s">
        <v>1281</v>
      </c>
    </row>
    <row r="2661" spans="1:9" x14ac:dyDescent="0.25">
      <c r="A2661" s="40" t="s">
        <v>795</v>
      </c>
      <c r="B2661" s="28">
        <v>3206</v>
      </c>
      <c r="C2661" s="28">
        <v>5642523</v>
      </c>
      <c r="D2661" s="28" t="s">
        <v>37</v>
      </c>
      <c r="E2661" s="45">
        <v>46143</v>
      </c>
      <c r="F2661" s="48">
        <v>0.30146990740740742</v>
      </c>
      <c r="G2661" s="44">
        <v>6.3</v>
      </c>
      <c r="H2661" s="43" t="s">
        <v>237</v>
      </c>
      <c r="I2661" s="40" t="s">
        <v>1282</v>
      </c>
    </row>
    <row r="2662" spans="1:9" x14ac:dyDescent="0.25">
      <c r="A2662" s="40" t="s">
        <v>795</v>
      </c>
      <c r="B2662" s="28">
        <v>3206</v>
      </c>
      <c r="C2662" s="28">
        <v>5642523</v>
      </c>
      <c r="D2662" s="28" t="s">
        <v>37</v>
      </c>
      <c r="E2662" s="41">
        <v>46143</v>
      </c>
      <c r="F2662" s="47">
        <v>0.30619212962962961</v>
      </c>
      <c r="G2662" s="44">
        <v>6.3</v>
      </c>
      <c r="H2662" s="43" t="s">
        <v>234</v>
      </c>
      <c r="I2662" s="40" t="s">
        <v>1282</v>
      </c>
    </row>
    <row r="2663" spans="1:9" x14ac:dyDescent="0.25">
      <c r="A2663" s="40" t="s">
        <v>795</v>
      </c>
      <c r="B2663" s="28">
        <v>3206</v>
      </c>
      <c r="C2663" s="28" t="s">
        <v>805</v>
      </c>
      <c r="D2663" s="28"/>
      <c r="E2663" s="45">
        <v>46143</v>
      </c>
      <c r="F2663" s="48">
        <v>0.34362268518518518</v>
      </c>
      <c r="G2663" s="44">
        <v>6.3</v>
      </c>
      <c r="H2663" s="43" t="s">
        <v>235</v>
      </c>
      <c r="I2663" s="40" t="s">
        <v>1282</v>
      </c>
    </row>
    <row r="2664" spans="1:9" x14ac:dyDescent="0.25">
      <c r="A2664" s="40" t="s">
        <v>795</v>
      </c>
      <c r="B2664" s="28">
        <v>3206</v>
      </c>
      <c r="C2664" s="28" t="s">
        <v>805</v>
      </c>
      <c r="D2664" s="28"/>
      <c r="E2664" s="41">
        <v>46143</v>
      </c>
      <c r="F2664" s="47">
        <v>0.34971064814814817</v>
      </c>
      <c r="G2664" s="44">
        <v>6.3</v>
      </c>
      <c r="H2664" s="43" t="s">
        <v>240</v>
      </c>
      <c r="I2664" s="40" t="s">
        <v>1282</v>
      </c>
    </row>
    <row r="2665" spans="1:9" x14ac:dyDescent="0.25">
      <c r="A2665" s="40" t="s">
        <v>795</v>
      </c>
      <c r="B2665" s="28">
        <v>3206</v>
      </c>
      <c r="C2665" s="28" t="s">
        <v>35</v>
      </c>
      <c r="D2665" s="28" t="s">
        <v>38</v>
      </c>
      <c r="E2665" s="45">
        <v>46143</v>
      </c>
      <c r="F2665" s="48">
        <v>0.38534722222222223</v>
      </c>
      <c r="G2665" s="44">
        <v>6.3</v>
      </c>
      <c r="H2665" s="43" t="s">
        <v>239</v>
      </c>
      <c r="I2665" s="40" t="s">
        <v>1282</v>
      </c>
    </row>
    <row r="2666" spans="1:9" x14ac:dyDescent="0.25">
      <c r="A2666" s="40" t="s">
        <v>795</v>
      </c>
      <c r="B2666" s="28">
        <v>3206</v>
      </c>
      <c r="C2666" s="28" t="s">
        <v>806</v>
      </c>
      <c r="D2666" s="28"/>
      <c r="E2666" s="41">
        <v>46143</v>
      </c>
      <c r="F2666" s="47">
        <v>0.4914236111111111</v>
      </c>
      <c r="G2666" s="42">
        <v>6.3</v>
      </c>
      <c r="H2666" s="40" t="s">
        <v>238</v>
      </c>
      <c r="I2666" s="40" t="s">
        <v>1282</v>
      </c>
    </row>
    <row r="2667" spans="1:9" x14ac:dyDescent="0.25">
      <c r="A2667" s="40" t="s">
        <v>795</v>
      </c>
      <c r="B2667" s="28">
        <v>3206</v>
      </c>
      <c r="C2667" s="28" t="s">
        <v>806</v>
      </c>
      <c r="D2667" s="28"/>
      <c r="E2667" s="41">
        <v>46143</v>
      </c>
      <c r="F2667" s="47">
        <v>0.49589120370370371</v>
      </c>
      <c r="G2667" s="42">
        <v>6.3</v>
      </c>
      <c r="H2667" s="40" t="s">
        <v>234</v>
      </c>
      <c r="I2667" s="40" t="s">
        <v>1282</v>
      </c>
    </row>
    <row r="2668" spans="1:9" x14ac:dyDescent="0.25">
      <c r="A2668" s="40" t="s">
        <v>795</v>
      </c>
      <c r="B2668" s="28">
        <v>3206</v>
      </c>
      <c r="C2668" s="28" t="s">
        <v>807</v>
      </c>
      <c r="D2668" s="28"/>
      <c r="E2668" s="41">
        <v>46143</v>
      </c>
      <c r="F2668" s="47">
        <v>0.62615740740740744</v>
      </c>
      <c r="G2668" s="42">
        <v>6.3</v>
      </c>
      <c r="H2668" s="40" t="s">
        <v>235</v>
      </c>
      <c r="I2668" s="40" t="s">
        <v>1282</v>
      </c>
    </row>
    <row r="2669" spans="1:9" x14ac:dyDescent="0.25">
      <c r="A2669" s="40" t="s">
        <v>795</v>
      </c>
      <c r="B2669" s="28">
        <v>3206</v>
      </c>
      <c r="C2669" s="28" t="s">
        <v>807</v>
      </c>
      <c r="D2669" s="28"/>
      <c r="E2669" s="41">
        <v>46143</v>
      </c>
      <c r="F2669" s="47">
        <v>0.63240740740740742</v>
      </c>
      <c r="G2669" s="44">
        <v>6.3</v>
      </c>
      <c r="H2669" s="43" t="s">
        <v>236</v>
      </c>
      <c r="I2669" s="40" t="s">
        <v>1282</v>
      </c>
    </row>
    <row r="2670" spans="1:9" x14ac:dyDescent="0.25">
      <c r="A2670" s="40" t="s">
        <v>795</v>
      </c>
      <c r="B2670" s="28">
        <v>3206</v>
      </c>
      <c r="C2670" s="28" t="s">
        <v>808</v>
      </c>
      <c r="D2670" s="28"/>
      <c r="E2670" s="41">
        <v>46144</v>
      </c>
      <c r="F2670" s="47">
        <v>0.34940972222222222</v>
      </c>
      <c r="G2670" s="44">
        <v>6.3</v>
      </c>
      <c r="H2670" s="43" t="s">
        <v>233</v>
      </c>
      <c r="I2670" s="40" t="s">
        <v>1282</v>
      </c>
    </row>
    <row r="2671" spans="1:9" x14ac:dyDescent="0.25">
      <c r="A2671" s="40" t="s">
        <v>795</v>
      </c>
      <c r="B2671" s="28">
        <v>3206</v>
      </c>
      <c r="C2671" s="28" t="s">
        <v>808</v>
      </c>
      <c r="D2671" s="28"/>
      <c r="E2671" s="41">
        <v>46144</v>
      </c>
      <c r="F2671" s="47">
        <v>0.35478009259259258</v>
      </c>
      <c r="G2671" s="44">
        <v>6.3</v>
      </c>
      <c r="H2671" s="43" t="s">
        <v>234</v>
      </c>
      <c r="I2671" s="40" t="s">
        <v>1282</v>
      </c>
    </row>
    <row r="2672" spans="1:9" x14ac:dyDescent="0.25">
      <c r="A2672" s="40" t="s">
        <v>795</v>
      </c>
      <c r="B2672" s="28">
        <v>3206</v>
      </c>
      <c r="C2672" s="28" t="s">
        <v>809</v>
      </c>
      <c r="D2672" s="28"/>
      <c r="E2672" s="41">
        <v>46144</v>
      </c>
      <c r="F2672" s="47">
        <v>0.43177083333333333</v>
      </c>
      <c r="G2672" s="44">
        <v>6.3</v>
      </c>
      <c r="H2672" s="43" t="s">
        <v>235</v>
      </c>
      <c r="I2672" s="40" t="s">
        <v>1282</v>
      </c>
    </row>
    <row r="2673" spans="1:9" x14ac:dyDescent="0.25">
      <c r="A2673" s="40" t="s">
        <v>795</v>
      </c>
      <c r="B2673" s="28">
        <v>3206</v>
      </c>
      <c r="C2673" s="28" t="s">
        <v>809</v>
      </c>
      <c r="D2673" s="28"/>
      <c r="E2673" s="41">
        <v>46144</v>
      </c>
      <c r="F2673" s="47">
        <v>0.43917824074074074</v>
      </c>
      <c r="G2673" s="44">
        <v>6.3</v>
      </c>
      <c r="H2673" s="43" t="s">
        <v>236</v>
      </c>
      <c r="I2673" s="40" t="s">
        <v>1282</v>
      </c>
    </row>
    <row r="2674" spans="1:9" x14ac:dyDescent="0.25">
      <c r="A2674" s="40" t="s">
        <v>795</v>
      </c>
      <c r="B2674" s="28">
        <v>3206</v>
      </c>
      <c r="C2674" s="28" t="s">
        <v>810</v>
      </c>
      <c r="D2674" s="28"/>
      <c r="E2674" s="41">
        <v>46144</v>
      </c>
      <c r="F2674" s="47">
        <v>0.53628472222222223</v>
      </c>
      <c r="G2674" s="44">
        <v>6.3</v>
      </c>
      <c r="H2674" s="43" t="s">
        <v>237</v>
      </c>
      <c r="I2674" s="40" t="s">
        <v>1282</v>
      </c>
    </row>
    <row r="2675" spans="1:9" x14ac:dyDescent="0.25">
      <c r="A2675" s="40" t="s">
        <v>795</v>
      </c>
      <c r="B2675" s="28">
        <v>3206</v>
      </c>
      <c r="C2675" s="28" t="s">
        <v>810</v>
      </c>
      <c r="D2675" s="28"/>
      <c r="E2675" s="41">
        <v>46144</v>
      </c>
      <c r="F2675" s="47">
        <v>0.54158564814814814</v>
      </c>
      <c r="G2675" s="44">
        <v>6.3</v>
      </c>
      <c r="H2675" s="43" t="s">
        <v>234</v>
      </c>
      <c r="I2675" s="40" t="s">
        <v>1282</v>
      </c>
    </row>
    <row r="2676" spans="1:9" x14ac:dyDescent="0.25">
      <c r="A2676" s="40" t="s">
        <v>795</v>
      </c>
      <c r="B2676" s="28">
        <v>3206</v>
      </c>
      <c r="C2676" s="28" t="s">
        <v>811</v>
      </c>
      <c r="D2676" s="28"/>
      <c r="E2676" s="41">
        <v>46144</v>
      </c>
      <c r="F2676" s="47">
        <v>0.58319444444444446</v>
      </c>
      <c r="G2676" s="44">
        <v>6.3</v>
      </c>
      <c r="H2676" s="43" t="s">
        <v>235</v>
      </c>
      <c r="I2676" s="40" t="s">
        <v>1282</v>
      </c>
    </row>
    <row r="2677" spans="1:9" x14ac:dyDescent="0.25">
      <c r="A2677" s="40" t="s">
        <v>795</v>
      </c>
      <c r="B2677" s="28">
        <v>3206</v>
      </c>
      <c r="C2677" s="28" t="s">
        <v>811</v>
      </c>
      <c r="D2677" s="28"/>
      <c r="E2677" s="41">
        <v>46144</v>
      </c>
      <c r="F2677" s="47">
        <v>0.59034722222222225</v>
      </c>
      <c r="G2677" s="44">
        <v>6.3</v>
      </c>
      <c r="H2677" s="43" t="s">
        <v>236</v>
      </c>
      <c r="I2677" s="40" t="s">
        <v>1282</v>
      </c>
    </row>
    <row r="2678" spans="1:9" x14ac:dyDescent="0.25">
      <c r="A2678" s="40" t="s">
        <v>86</v>
      </c>
      <c r="B2678" s="28">
        <v>3236</v>
      </c>
      <c r="C2678" s="28" t="s">
        <v>35</v>
      </c>
      <c r="D2678" s="28" t="s">
        <v>38</v>
      </c>
      <c r="E2678" s="41">
        <v>46139</v>
      </c>
      <c r="F2678" s="47">
        <v>0.61788194444444444</v>
      </c>
      <c r="G2678" s="44">
        <v>6.3</v>
      </c>
      <c r="H2678" s="43" t="s">
        <v>238</v>
      </c>
      <c r="I2678" s="40" t="s">
        <v>1281</v>
      </c>
    </row>
    <row r="2679" spans="1:9" x14ac:dyDescent="0.25">
      <c r="A2679" s="40" t="s">
        <v>86</v>
      </c>
      <c r="B2679" s="28">
        <v>3236</v>
      </c>
      <c r="C2679" s="28">
        <v>5639036</v>
      </c>
      <c r="D2679" s="28"/>
      <c r="E2679" s="41">
        <v>46140</v>
      </c>
      <c r="F2679" s="47">
        <v>0.15312500000000001</v>
      </c>
      <c r="G2679" s="44">
        <v>6.3</v>
      </c>
      <c r="H2679" s="43" t="s">
        <v>233</v>
      </c>
      <c r="I2679" s="40" t="s">
        <v>1281</v>
      </c>
    </row>
    <row r="2680" spans="1:9" x14ac:dyDescent="0.25">
      <c r="A2680" s="40" t="s">
        <v>86</v>
      </c>
      <c r="B2680" s="28">
        <v>3236</v>
      </c>
      <c r="C2680" s="28">
        <v>5639036</v>
      </c>
      <c r="D2680" s="28"/>
      <c r="E2680" s="45">
        <v>46140</v>
      </c>
      <c r="F2680" s="48">
        <v>0.15788194444444445</v>
      </c>
      <c r="G2680" s="44">
        <v>6.3</v>
      </c>
      <c r="H2680" s="43" t="s">
        <v>234</v>
      </c>
      <c r="I2680" s="40" t="s">
        <v>1281</v>
      </c>
    </row>
    <row r="2681" spans="1:9" x14ac:dyDescent="0.25">
      <c r="A2681" s="40" t="s">
        <v>86</v>
      </c>
      <c r="B2681" s="28">
        <v>3236</v>
      </c>
      <c r="C2681" s="28">
        <v>5642963</v>
      </c>
      <c r="D2681" s="28"/>
      <c r="E2681" s="41">
        <v>46142</v>
      </c>
      <c r="F2681" s="47">
        <v>0.22969907407407408</v>
      </c>
      <c r="G2681" s="44">
        <v>6.3</v>
      </c>
      <c r="H2681" s="43" t="s">
        <v>234</v>
      </c>
      <c r="I2681" s="40" t="s">
        <v>1281</v>
      </c>
    </row>
    <row r="2682" spans="1:9" x14ac:dyDescent="0.25">
      <c r="A2682" s="40" t="s">
        <v>86</v>
      </c>
      <c r="B2682" s="28">
        <v>3236</v>
      </c>
      <c r="C2682" s="28" t="s">
        <v>812</v>
      </c>
      <c r="D2682" s="28"/>
      <c r="E2682" s="41">
        <v>46142</v>
      </c>
      <c r="F2682" s="47">
        <v>0.49136574074074074</v>
      </c>
      <c r="G2682" s="44">
        <v>6.3</v>
      </c>
      <c r="H2682" s="43" t="s">
        <v>235</v>
      </c>
      <c r="I2682" s="40" t="s">
        <v>1281</v>
      </c>
    </row>
    <row r="2683" spans="1:9" x14ac:dyDescent="0.25">
      <c r="A2683" s="40" t="s">
        <v>86</v>
      </c>
      <c r="B2683" s="28">
        <v>3236</v>
      </c>
      <c r="C2683" s="28" t="s">
        <v>812</v>
      </c>
      <c r="D2683" s="28"/>
      <c r="E2683" s="41">
        <v>46142</v>
      </c>
      <c r="F2683" s="47">
        <v>0.50159722222222225</v>
      </c>
      <c r="G2683" s="44">
        <v>6.3</v>
      </c>
      <c r="H2683" s="43" t="s">
        <v>236</v>
      </c>
      <c r="I2683" s="40" t="s">
        <v>1281</v>
      </c>
    </row>
    <row r="2684" spans="1:9" x14ac:dyDescent="0.25">
      <c r="A2684" s="40" t="s">
        <v>86</v>
      </c>
      <c r="B2684" s="28">
        <v>3236</v>
      </c>
      <c r="C2684" s="28">
        <v>5644648</v>
      </c>
      <c r="D2684" s="28"/>
      <c r="E2684" s="41">
        <v>46142</v>
      </c>
      <c r="F2684" s="47">
        <v>0.85430555555555554</v>
      </c>
      <c r="G2684" s="44">
        <v>6.3</v>
      </c>
      <c r="H2684" s="43" t="s">
        <v>237</v>
      </c>
      <c r="I2684" s="40" t="s">
        <v>1281</v>
      </c>
    </row>
    <row r="2685" spans="1:9" x14ac:dyDescent="0.25">
      <c r="A2685" s="40" t="s">
        <v>86</v>
      </c>
      <c r="B2685" s="28">
        <v>3236</v>
      </c>
      <c r="C2685" s="28">
        <v>5644648</v>
      </c>
      <c r="D2685" s="28"/>
      <c r="E2685" s="41">
        <v>46142</v>
      </c>
      <c r="F2685" s="47">
        <v>0.87177083333333338</v>
      </c>
      <c r="G2685" s="44">
        <v>6.3</v>
      </c>
      <c r="H2685" s="43" t="s">
        <v>234</v>
      </c>
      <c r="I2685" s="40" t="s">
        <v>1281</v>
      </c>
    </row>
    <row r="2686" spans="1:9" x14ac:dyDescent="0.25">
      <c r="A2686" s="40" t="s">
        <v>86</v>
      </c>
      <c r="B2686" s="28">
        <v>3236</v>
      </c>
      <c r="C2686" s="28">
        <v>5648534</v>
      </c>
      <c r="D2686" s="28" t="s">
        <v>37</v>
      </c>
      <c r="E2686" s="41">
        <v>46145</v>
      </c>
      <c r="F2686" s="47">
        <v>0.69699074074074074</v>
      </c>
      <c r="G2686" s="42">
        <v>6.3</v>
      </c>
      <c r="H2686" s="40" t="s">
        <v>234</v>
      </c>
      <c r="I2686" s="40" t="s">
        <v>1282</v>
      </c>
    </row>
    <row r="2687" spans="1:9" x14ac:dyDescent="0.25">
      <c r="A2687" s="40" t="s">
        <v>388</v>
      </c>
      <c r="B2687" s="28">
        <v>3242</v>
      </c>
      <c r="C2687" s="28">
        <v>5634568</v>
      </c>
      <c r="D2687" s="28"/>
      <c r="E2687" s="41">
        <v>46139</v>
      </c>
      <c r="F2687" s="47">
        <v>0.30890046296296297</v>
      </c>
      <c r="G2687" s="42">
        <v>6.3</v>
      </c>
      <c r="H2687" s="40" t="s">
        <v>238</v>
      </c>
      <c r="I2687" s="40" t="s">
        <v>1281</v>
      </c>
    </row>
    <row r="2688" spans="1:9" x14ac:dyDescent="0.25">
      <c r="A2688" s="40" t="s">
        <v>388</v>
      </c>
      <c r="B2688" s="28">
        <v>3242</v>
      </c>
      <c r="C2688" s="28">
        <v>5638223</v>
      </c>
      <c r="D2688" s="28"/>
      <c r="E2688" s="41">
        <v>46140</v>
      </c>
      <c r="F2688" s="47">
        <v>0.25878472222222221</v>
      </c>
      <c r="G2688" s="42">
        <v>6.3</v>
      </c>
      <c r="H2688" s="40" t="s">
        <v>233</v>
      </c>
      <c r="I2688" s="40" t="s">
        <v>1281</v>
      </c>
    </row>
    <row r="2689" spans="1:9" x14ac:dyDescent="0.25">
      <c r="A2689" s="40" t="s">
        <v>388</v>
      </c>
      <c r="B2689" s="28">
        <v>3242</v>
      </c>
      <c r="C2689" s="28">
        <v>5640060</v>
      </c>
      <c r="D2689" s="28"/>
      <c r="E2689" s="41">
        <v>46140</v>
      </c>
      <c r="F2689" s="47">
        <v>0.39307870370370368</v>
      </c>
      <c r="G2689" s="42">
        <v>6.3</v>
      </c>
      <c r="H2689" s="40" t="s">
        <v>236</v>
      </c>
      <c r="I2689" s="40" t="s">
        <v>1281</v>
      </c>
    </row>
    <row r="2690" spans="1:9" x14ac:dyDescent="0.25">
      <c r="A2690" s="40" t="s">
        <v>388</v>
      </c>
      <c r="B2690" s="28">
        <v>3242</v>
      </c>
      <c r="C2690" s="28">
        <v>5642502</v>
      </c>
      <c r="D2690" s="28"/>
      <c r="E2690" s="41">
        <v>46141</v>
      </c>
      <c r="F2690" s="47">
        <v>0.50407407407407412</v>
      </c>
      <c r="G2690" s="42">
        <v>6.3</v>
      </c>
      <c r="H2690" s="40" t="s">
        <v>238</v>
      </c>
      <c r="I2690" s="40" t="s">
        <v>1281</v>
      </c>
    </row>
    <row r="2691" spans="1:9" x14ac:dyDescent="0.25">
      <c r="A2691" s="40" t="s">
        <v>388</v>
      </c>
      <c r="B2691" s="28">
        <v>3242</v>
      </c>
      <c r="C2691" s="28">
        <v>5643351</v>
      </c>
      <c r="D2691" s="28"/>
      <c r="E2691" s="41">
        <v>46141</v>
      </c>
      <c r="F2691" s="47">
        <v>0.80557870370370366</v>
      </c>
      <c r="G2691" s="42">
        <v>6.3</v>
      </c>
      <c r="H2691" s="40" t="s">
        <v>238</v>
      </c>
      <c r="I2691" s="40" t="s">
        <v>1281</v>
      </c>
    </row>
    <row r="2692" spans="1:9" x14ac:dyDescent="0.25">
      <c r="A2692" s="40" t="s">
        <v>388</v>
      </c>
      <c r="B2692" s="28">
        <v>3242</v>
      </c>
      <c r="C2692" s="28">
        <v>5643351</v>
      </c>
      <c r="D2692" s="28"/>
      <c r="E2692" s="45">
        <v>46141</v>
      </c>
      <c r="F2692" s="48">
        <v>0.8210763888888889</v>
      </c>
      <c r="G2692" s="42">
        <v>6.3</v>
      </c>
      <c r="H2692" s="40" t="s">
        <v>234</v>
      </c>
      <c r="I2692" s="40" t="s">
        <v>1281</v>
      </c>
    </row>
    <row r="2693" spans="1:9" x14ac:dyDescent="0.25">
      <c r="A2693" s="40" t="s">
        <v>388</v>
      </c>
      <c r="B2693" s="28">
        <v>3242</v>
      </c>
      <c r="C2693" s="28">
        <v>5642820</v>
      </c>
      <c r="D2693" s="28"/>
      <c r="E2693" s="41">
        <v>46142</v>
      </c>
      <c r="F2693" s="47">
        <v>0.21199074074074073</v>
      </c>
      <c r="G2693" s="44">
        <v>6.3</v>
      </c>
      <c r="H2693" s="43" t="s">
        <v>237</v>
      </c>
      <c r="I2693" s="40" t="s">
        <v>1281</v>
      </c>
    </row>
    <row r="2694" spans="1:9" x14ac:dyDescent="0.25">
      <c r="A2694" s="40" t="s">
        <v>388</v>
      </c>
      <c r="B2694" s="28">
        <v>3242</v>
      </c>
      <c r="C2694" s="28">
        <v>5642820</v>
      </c>
      <c r="D2694" s="28"/>
      <c r="E2694" s="41">
        <v>46142</v>
      </c>
      <c r="F2694" s="47">
        <v>0.21769675925925927</v>
      </c>
      <c r="G2694" s="44">
        <v>6.3</v>
      </c>
      <c r="H2694" s="43" t="s">
        <v>234</v>
      </c>
      <c r="I2694" s="40" t="s">
        <v>1281</v>
      </c>
    </row>
    <row r="2695" spans="1:9" x14ac:dyDescent="0.25">
      <c r="A2695" s="40" t="s">
        <v>388</v>
      </c>
      <c r="B2695" s="28">
        <v>3242</v>
      </c>
      <c r="C2695" s="28">
        <v>5645104</v>
      </c>
      <c r="D2695" s="28"/>
      <c r="E2695" s="41">
        <v>46142</v>
      </c>
      <c r="F2695" s="47">
        <v>0.82578703703703704</v>
      </c>
      <c r="G2695" s="44">
        <v>6.3</v>
      </c>
      <c r="H2695" s="43" t="s">
        <v>234</v>
      </c>
      <c r="I2695" s="40" t="s">
        <v>1281</v>
      </c>
    </row>
    <row r="2696" spans="1:9" x14ac:dyDescent="0.25">
      <c r="A2696" s="40" t="s">
        <v>388</v>
      </c>
      <c r="B2696" s="28">
        <v>3242</v>
      </c>
      <c r="C2696" s="28" t="s">
        <v>35</v>
      </c>
      <c r="D2696" s="28" t="s">
        <v>38</v>
      </c>
      <c r="E2696" s="41">
        <v>46142</v>
      </c>
      <c r="F2696" s="47">
        <v>0.93314814814814817</v>
      </c>
      <c r="G2696" s="44">
        <v>6.3</v>
      </c>
      <c r="H2696" s="43" t="s">
        <v>235</v>
      </c>
      <c r="I2696" s="40" t="s">
        <v>1281</v>
      </c>
    </row>
    <row r="2697" spans="1:9" x14ac:dyDescent="0.25">
      <c r="A2697" s="40" t="s">
        <v>388</v>
      </c>
      <c r="B2697" s="28">
        <v>3242</v>
      </c>
      <c r="C2697" s="28">
        <v>5646448</v>
      </c>
      <c r="D2697" s="28"/>
      <c r="E2697" s="41">
        <v>46143</v>
      </c>
      <c r="F2697" s="47">
        <v>0.84603009259259254</v>
      </c>
      <c r="G2697" s="44">
        <v>6.3</v>
      </c>
      <c r="H2697" s="43" t="s">
        <v>237</v>
      </c>
      <c r="I2697" s="40" t="s">
        <v>1282</v>
      </c>
    </row>
    <row r="2698" spans="1:9" x14ac:dyDescent="0.25">
      <c r="A2698" s="40" t="s">
        <v>388</v>
      </c>
      <c r="B2698" s="28">
        <v>3242</v>
      </c>
      <c r="C2698" s="28">
        <v>5646448</v>
      </c>
      <c r="D2698" s="28"/>
      <c r="E2698" s="45">
        <v>46143</v>
      </c>
      <c r="F2698" s="48">
        <v>0.85190972222222228</v>
      </c>
      <c r="G2698" s="42">
        <v>6.3</v>
      </c>
      <c r="H2698" s="40" t="s">
        <v>234</v>
      </c>
      <c r="I2698" s="40" t="s">
        <v>1282</v>
      </c>
    </row>
    <row r="2699" spans="1:9" x14ac:dyDescent="0.25">
      <c r="A2699" s="40" t="s">
        <v>388</v>
      </c>
      <c r="B2699" s="28">
        <v>3242</v>
      </c>
      <c r="C2699" s="28" t="s">
        <v>35</v>
      </c>
      <c r="D2699" s="28" t="s">
        <v>38</v>
      </c>
      <c r="E2699" s="45">
        <v>46143</v>
      </c>
      <c r="F2699" s="48">
        <v>0.88878472222222227</v>
      </c>
      <c r="G2699" s="42">
        <v>6.3</v>
      </c>
      <c r="H2699" s="40" t="s">
        <v>235</v>
      </c>
      <c r="I2699" s="40" t="s">
        <v>1282</v>
      </c>
    </row>
    <row r="2700" spans="1:9" x14ac:dyDescent="0.25">
      <c r="A2700" s="40" t="s">
        <v>388</v>
      </c>
      <c r="B2700" s="28">
        <v>3242</v>
      </c>
      <c r="C2700" s="28">
        <v>5647002</v>
      </c>
      <c r="D2700" s="28"/>
      <c r="E2700" s="41">
        <v>46143</v>
      </c>
      <c r="F2700" s="47">
        <v>0.92465277777777777</v>
      </c>
      <c r="G2700" s="44">
        <v>6.3</v>
      </c>
      <c r="H2700" s="43" t="s">
        <v>234</v>
      </c>
      <c r="I2700" s="40" t="s">
        <v>1282</v>
      </c>
    </row>
    <row r="2701" spans="1:9" x14ac:dyDescent="0.25">
      <c r="A2701" s="40" t="s">
        <v>388</v>
      </c>
      <c r="B2701" s="28">
        <v>3242</v>
      </c>
      <c r="C2701" s="28" t="s">
        <v>35</v>
      </c>
      <c r="D2701" s="28" t="s">
        <v>38</v>
      </c>
      <c r="E2701" s="41">
        <v>46143</v>
      </c>
      <c r="F2701" s="47">
        <v>0.99314814814814811</v>
      </c>
      <c r="G2701" s="44">
        <v>6.3</v>
      </c>
      <c r="H2701" s="43" t="s">
        <v>240</v>
      </c>
      <c r="I2701" s="40" t="s">
        <v>1282</v>
      </c>
    </row>
    <row r="2702" spans="1:9" x14ac:dyDescent="0.25">
      <c r="A2702" s="40" t="s">
        <v>388</v>
      </c>
      <c r="B2702" s="28">
        <v>3242</v>
      </c>
      <c r="C2702" s="28">
        <v>5646891</v>
      </c>
      <c r="D2702" s="28" t="s">
        <v>37</v>
      </c>
      <c r="E2702" s="41">
        <v>46144</v>
      </c>
      <c r="F2702" s="47">
        <v>0.12710648148148149</v>
      </c>
      <c r="G2702" s="44">
        <v>6.3</v>
      </c>
      <c r="H2702" s="43" t="s">
        <v>237</v>
      </c>
      <c r="I2702" s="40" t="s">
        <v>1282</v>
      </c>
    </row>
    <row r="2703" spans="1:9" x14ac:dyDescent="0.25">
      <c r="A2703" s="40" t="s">
        <v>388</v>
      </c>
      <c r="B2703" s="28">
        <v>3242</v>
      </c>
      <c r="C2703" s="28">
        <v>5646891</v>
      </c>
      <c r="D2703" s="28" t="s">
        <v>37</v>
      </c>
      <c r="E2703" s="41">
        <v>46144</v>
      </c>
      <c r="F2703" s="47">
        <v>0.13291666666666666</v>
      </c>
      <c r="G2703" s="44">
        <v>6.3</v>
      </c>
      <c r="H2703" s="43" t="s">
        <v>234</v>
      </c>
      <c r="I2703" s="40" t="s">
        <v>1282</v>
      </c>
    </row>
    <row r="2704" spans="1:9" x14ac:dyDescent="0.25">
      <c r="A2704" s="40" t="s">
        <v>388</v>
      </c>
      <c r="B2704" s="28">
        <v>3242</v>
      </c>
      <c r="C2704" s="28" t="s">
        <v>35</v>
      </c>
      <c r="D2704" s="28" t="s">
        <v>38</v>
      </c>
      <c r="E2704" s="41">
        <v>46144</v>
      </c>
      <c r="F2704" s="47">
        <v>0.34810185185185183</v>
      </c>
      <c r="G2704" s="44">
        <v>6.3</v>
      </c>
      <c r="H2704" s="43" t="s">
        <v>235</v>
      </c>
      <c r="I2704" s="40" t="s">
        <v>1282</v>
      </c>
    </row>
    <row r="2705" spans="1:9" x14ac:dyDescent="0.25">
      <c r="A2705" s="40" t="s">
        <v>388</v>
      </c>
      <c r="B2705" s="28">
        <v>3242</v>
      </c>
      <c r="C2705" s="28" t="s">
        <v>35</v>
      </c>
      <c r="D2705" s="28" t="s">
        <v>38</v>
      </c>
      <c r="E2705" s="41">
        <v>46145</v>
      </c>
      <c r="F2705" s="47">
        <v>0.38958333333333334</v>
      </c>
      <c r="G2705" s="44">
        <v>6.3</v>
      </c>
      <c r="H2705" s="43" t="s">
        <v>236</v>
      </c>
      <c r="I2705" s="40" t="s">
        <v>1282</v>
      </c>
    </row>
    <row r="2706" spans="1:9" x14ac:dyDescent="0.25">
      <c r="A2706" s="40" t="s">
        <v>130</v>
      </c>
      <c r="B2706" s="28">
        <v>3243</v>
      </c>
      <c r="C2706" s="28" t="s">
        <v>35</v>
      </c>
      <c r="D2706" s="28" t="s">
        <v>38</v>
      </c>
      <c r="E2706" s="41">
        <v>46139</v>
      </c>
      <c r="F2706" s="47">
        <v>0.38608796296296294</v>
      </c>
      <c r="G2706" s="44">
        <v>6.3</v>
      </c>
      <c r="H2706" s="43" t="s">
        <v>234</v>
      </c>
      <c r="I2706" s="40" t="s">
        <v>1281</v>
      </c>
    </row>
    <row r="2707" spans="1:9" x14ac:dyDescent="0.25">
      <c r="A2707" s="40" t="s">
        <v>130</v>
      </c>
      <c r="B2707" s="28">
        <v>3243</v>
      </c>
      <c r="C2707" s="28">
        <v>5636710</v>
      </c>
      <c r="D2707" s="28"/>
      <c r="E2707" s="41">
        <v>46139</v>
      </c>
      <c r="F2707" s="47">
        <v>0.59687500000000004</v>
      </c>
      <c r="G2707" s="44">
        <v>6.3</v>
      </c>
      <c r="H2707" s="43" t="s">
        <v>235</v>
      </c>
      <c r="I2707" s="40" t="s">
        <v>1281</v>
      </c>
    </row>
    <row r="2708" spans="1:9" x14ac:dyDescent="0.25">
      <c r="A2708" s="40" t="s">
        <v>130</v>
      </c>
      <c r="B2708" s="28">
        <v>3243</v>
      </c>
      <c r="C2708" s="28" t="s">
        <v>813</v>
      </c>
      <c r="D2708" s="28"/>
      <c r="E2708" s="45">
        <v>46139</v>
      </c>
      <c r="F2708" s="48">
        <v>0.6847685185185185</v>
      </c>
      <c r="G2708" s="44">
        <v>6.3</v>
      </c>
      <c r="H2708" s="43" t="s">
        <v>237</v>
      </c>
      <c r="I2708" s="40" t="s">
        <v>1281</v>
      </c>
    </row>
    <row r="2709" spans="1:9" x14ac:dyDescent="0.25">
      <c r="A2709" s="40" t="s">
        <v>130</v>
      </c>
      <c r="B2709" s="28">
        <v>3243</v>
      </c>
      <c r="C2709" s="28" t="s">
        <v>813</v>
      </c>
      <c r="D2709" s="28"/>
      <c r="E2709" s="41">
        <v>46139</v>
      </c>
      <c r="F2709" s="47">
        <v>0.69560185185185186</v>
      </c>
      <c r="G2709" s="44">
        <v>6.3</v>
      </c>
      <c r="H2709" s="43" t="s">
        <v>234</v>
      </c>
      <c r="I2709" s="40" t="s">
        <v>1281</v>
      </c>
    </row>
    <row r="2710" spans="1:9" x14ac:dyDescent="0.25">
      <c r="A2710" s="40" t="s">
        <v>130</v>
      </c>
      <c r="B2710" s="28">
        <v>3243</v>
      </c>
      <c r="C2710" s="28">
        <v>5638518</v>
      </c>
      <c r="D2710" s="28"/>
      <c r="E2710" s="41">
        <v>46140</v>
      </c>
      <c r="F2710" s="47">
        <v>0.5709953703703704</v>
      </c>
      <c r="G2710" s="44">
        <v>6.3</v>
      </c>
      <c r="H2710" s="43" t="s">
        <v>235</v>
      </c>
      <c r="I2710" s="40" t="s">
        <v>1281</v>
      </c>
    </row>
    <row r="2711" spans="1:9" x14ac:dyDescent="0.25">
      <c r="A2711" s="40" t="s">
        <v>130</v>
      </c>
      <c r="B2711" s="28">
        <v>3243</v>
      </c>
      <c r="C2711" s="28">
        <v>5638518</v>
      </c>
      <c r="D2711" s="28"/>
      <c r="E2711" s="41">
        <v>46140</v>
      </c>
      <c r="F2711" s="47">
        <v>0.58246527777777779</v>
      </c>
      <c r="G2711" s="42">
        <v>6.3</v>
      </c>
      <c r="H2711" s="40" t="s">
        <v>236</v>
      </c>
      <c r="I2711" s="40" t="s">
        <v>1281</v>
      </c>
    </row>
    <row r="2712" spans="1:9" x14ac:dyDescent="0.25">
      <c r="A2712" s="40" t="s">
        <v>130</v>
      </c>
      <c r="B2712" s="28">
        <v>3243</v>
      </c>
      <c r="C2712" s="28">
        <v>5640452</v>
      </c>
      <c r="D2712" s="28" t="s">
        <v>37</v>
      </c>
      <c r="E2712" s="41">
        <v>46140</v>
      </c>
      <c r="F2712" s="47">
        <v>0.68849537037037034</v>
      </c>
      <c r="G2712" s="44">
        <v>6.3</v>
      </c>
      <c r="H2712" s="43" t="s">
        <v>237</v>
      </c>
      <c r="I2712" s="40" t="s">
        <v>1281</v>
      </c>
    </row>
    <row r="2713" spans="1:9" x14ac:dyDescent="0.25">
      <c r="A2713" s="40" t="s">
        <v>130</v>
      </c>
      <c r="B2713" s="28">
        <v>3243</v>
      </c>
      <c r="C2713" s="28">
        <v>5640452</v>
      </c>
      <c r="D2713" s="28" t="s">
        <v>37</v>
      </c>
      <c r="E2713" s="41">
        <v>46140</v>
      </c>
      <c r="F2713" s="47">
        <v>0.70347222222222228</v>
      </c>
      <c r="G2713" s="44">
        <v>6.3</v>
      </c>
      <c r="H2713" s="43" t="s">
        <v>234</v>
      </c>
      <c r="I2713" s="40" t="s">
        <v>1281</v>
      </c>
    </row>
    <row r="2714" spans="1:9" x14ac:dyDescent="0.25">
      <c r="A2714" s="40" t="s">
        <v>130</v>
      </c>
      <c r="B2714" s="28">
        <v>3243</v>
      </c>
      <c r="C2714" s="28">
        <v>5640787</v>
      </c>
      <c r="D2714" s="28"/>
      <c r="E2714" s="41">
        <v>46141</v>
      </c>
      <c r="F2714" s="47">
        <v>0.60900462962962965</v>
      </c>
      <c r="G2714" s="42">
        <v>6.3</v>
      </c>
      <c r="H2714" s="40" t="s">
        <v>235</v>
      </c>
      <c r="I2714" s="40" t="s">
        <v>1281</v>
      </c>
    </row>
    <row r="2715" spans="1:9" x14ac:dyDescent="0.25">
      <c r="A2715" s="40" t="s">
        <v>130</v>
      </c>
      <c r="B2715" s="28">
        <v>3243</v>
      </c>
      <c r="C2715" s="28">
        <v>5640787</v>
      </c>
      <c r="D2715" s="28"/>
      <c r="E2715" s="41">
        <v>46141</v>
      </c>
      <c r="F2715" s="47">
        <v>0.62225694444444446</v>
      </c>
      <c r="G2715" s="44">
        <v>6.3</v>
      </c>
      <c r="H2715" s="43" t="s">
        <v>236</v>
      </c>
      <c r="I2715" s="40" t="s">
        <v>1281</v>
      </c>
    </row>
    <row r="2716" spans="1:9" x14ac:dyDescent="0.25">
      <c r="A2716" s="40" t="s">
        <v>130</v>
      </c>
      <c r="B2716" s="28">
        <v>3243</v>
      </c>
      <c r="C2716" s="28">
        <v>5640804</v>
      </c>
      <c r="D2716" s="28" t="s">
        <v>36</v>
      </c>
      <c r="E2716" s="45">
        <v>46141</v>
      </c>
      <c r="F2716" s="48">
        <v>0.81238425925925928</v>
      </c>
      <c r="G2716" s="44">
        <v>6.3</v>
      </c>
      <c r="H2716" s="43" t="s">
        <v>235</v>
      </c>
      <c r="I2716" s="40" t="s">
        <v>1281</v>
      </c>
    </row>
    <row r="2717" spans="1:9" x14ac:dyDescent="0.25">
      <c r="A2717" s="40" t="s">
        <v>130</v>
      </c>
      <c r="B2717" s="28">
        <v>3243</v>
      </c>
      <c r="C2717" s="28">
        <v>5640804</v>
      </c>
      <c r="D2717" s="28" t="s">
        <v>36</v>
      </c>
      <c r="E2717" s="41">
        <v>46141</v>
      </c>
      <c r="F2717" s="47">
        <v>0.83204861111111106</v>
      </c>
      <c r="G2717" s="44">
        <v>6.3</v>
      </c>
      <c r="H2717" s="43" t="s">
        <v>236</v>
      </c>
      <c r="I2717" s="40" t="s">
        <v>1281</v>
      </c>
    </row>
    <row r="2718" spans="1:9" x14ac:dyDescent="0.25">
      <c r="A2718" s="40" t="s">
        <v>130</v>
      </c>
      <c r="B2718" s="28">
        <v>3243</v>
      </c>
      <c r="C2718" s="28" t="s">
        <v>35</v>
      </c>
      <c r="D2718" s="28" t="s">
        <v>38</v>
      </c>
      <c r="E2718" s="41">
        <v>46142</v>
      </c>
      <c r="F2718" s="47">
        <v>0.57156249999999997</v>
      </c>
      <c r="G2718" s="44">
        <v>6.3</v>
      </c>
      <c r="H2718" s="43" t="s">
        <v>234</v>
      </c>
      <c r="I2718" s="40" t="s">
        <v>1281</v>
      </c>
    </row>
    <row r="2719" spans="1:9" x14ac:dyDescent="0.25">
      <c r="A2719" s="40" t="s">
        <v>373</v>
      </c>
      <c r="B2719" s="28">
        <v>3278</v>
      </c>
      <c r="C2719" s="28" t="s">
        <v>35</v>
      </c>
      <c r="D2719" s="28" t="s">
        <v>38</v>
      </c>
      <c r="E2719" s="41">
        <v>46139</v>
      </c>
      <c r="F2719" s="47">
        <v>0.37997685185185187</v>
      </c>
      <c r="G2719" s="44">
        <v>6.3</v>
      </c>
      <c r="H2719" s="43" t="s">
        <v>236</v>
      </c>
      <c r="I2719" s="40" t="s">
        <v>1281</v>
      </c>
    </row>
    <row r="2720" spans="1:9" x14ac:dyDescent="0.25">
      <c r="A2720" s="40" t="s">
        <v>373</v>
      </c>
      <c r="B2720" s="28">
        <v>3278</v>
      </c>
      <c r="C2720" s="28" t="s">
        <v>35</v>
      </c>
      <c r="D2720" s="28" t="s">
        <v>38</v>
      </c>
      <c r="E2720" s="45">
        <v>46139</v>
      </c>
      <c r="F2720" s="48">
        <v>0.41857638888888887</v>
      </c>
      <c r="G2720" s="42">
        <v>6.3</v>
      </c>
      <c r="H2720" s="40" t="s">
        <v>237</v>
      </c>
      <c r="I2720" s="40" t="s">
        <v>1281</v>
      </c>
    </row>
    <row r="2721" spans="1:9" x14ac:dyDescent="0.25">
      <c r="A2721" s="40" t="s">
        <v>373</v>
      </c>
      <c r="B2721" s="28">
        <v>3278</v>
      </c>
      <c r="C2721" s="28" t="s">
        <v>35</v>
      </c>
      <c r="D2721" s="28" t="s">
        <v>38</v>
      </c>
      <c r="E2721" s="45">
        <v>46139</v>
      </c>
      <c r="F2721" s="48">
        <v>0.42454861111111108</v>
      </c>
      <c r="G2721" s="44">
        <v>6.3</v>
      </c>
      <c r="H2721" s="43" t="s">
        <v>234</v>
      </c>
      <c r="I2721" s="40" t="s">
        <v>1281</v>
      </c>
    </row>
    <row r="2722" spans="1:9" x14ac:dyDescent="0.25">
      <c r="A2722" s="40" t="s">
        <v>373</v>
      </c>
      <c r="B2722" s="28">
        <v>3278</v>
      </c>
      <c r="C2722" s="28" t="s">
        <v>35</v>
      </c>
      <c r="D2722" s="28" t="s">
        <v>38</v>
      </c>
      <c r="E2722" s="41">
        <v>46143</v>
      </c>
      <c r="F2722" s="47">
        <v>0.28989583333333335</v>
      </c>
      <c r="G2722" s="44">
        <v>6.3</v>
      </c>
      <c r="H2722" s="43" t="s">
        <v>235</v>
      </c>
      <c r="I2722" s="40" t="s">
        <v>1282</v>
      </c>
    </row>
    <row r="2723" spans="1:9" x14ac:dyDescent="0.25">
      <c r="A2723" s="40" t="s">
        <v>373</v>
      </c>
      <c r="B2723" s="28">
        <v>3278</v>
      </c>
      <c r="C2723" s="28" t="s">
        <v>35</v>
      </c>
      <c r="D2723" s="28" t="s">
        <v>38</v>
      </c>
      <c r="E2723" s="41">
        <v>46143</v>
      </c>
      <c r="F2723" s="47">
        <v>0.29699074074074072</v>
      </c>
      <c r="G2723" s="44">
        <v>6.3</v>
      </c>
      <c r="H2723" s="43" t="s">
        <v>236</v>
      </c>
      <c r="I2723" s="40" t="s">
        <v>1282</v>
      </c>
    </row>
    <row r="2724" spans="1:9" x14ac:dyDescent="0.25">
      <c r="A2724" s="40" t="s">
        <v>373</v>
      </c>
      <c r="B2724" s="28">
        <v>3278</v>
      </c>
      <c r="C2724" s="28" t="s">
        <v>35</v>
      </c>
      <c r="D2724" s="28" t="s">
        <v>38</v>
      </c>
      <c r="E2724" s="41">
        <v>46144</v>
      </c>
      <c r="F2724" s="47">
        <v>0.51517361111111115</v>
      </c>
      <c r="G2724" s="44">
        <v>6.3</v>
      </c>
      <c r="H2724" s="43" t="s">
        <v>235</v>
      </c>
      <c r="I2724" s="40" t="s">
        <v>1282</v>
      </c>
    </row>
    <row r="2725" spans="1:9" x14ac:dyDescent="0.25">
      <c r="A2725" s="40" t="s">
        <v>373</v>
      </c>
      <c r="B2725" s="28">
        <v>3278</v>
      </c>
      <c r="C2725" s="28" t="s">
        <v>35</v>
      </c>
      <c r="D2725" s="28" t="s">
        <v>38</v>
      </c>
      <c r="E2725" s="41">
        <v>46144</v>
      </c>
      <c r="F2725" s="47">
        <v>0.52246527777777774</v>
      </c>
      <c r="G2725" s="44">
        <v>6.3</v>
      </c>
      <c r="H2725" s="43" t="s">
        <v>236</v>
      </c>
      <c r="I2725" s="40" t="s">
        <v>1282</v>
      </c>
    </row>
    <row r="2726" spans="1:9" x14ac:dyDescent="0.25">
      <c r="A2726" s="40" t="s">
        <v>101</v>
      </c>
      <c r="B2726" s="28">
        <v>3289</v>
      </c>
      <c r="C2726" s="28" t="s">
        <v>814</v>
      </c>
      <c r="D2726" s="28"/>
      <c r="E2726" s="41">
        <v>46139</v>
      </c>
      <c r="F2726" s="47">
        <v>0.6759722222222222</v>
      </c>
      <c r="G2726" s="44">
        <v>6.3</v>
      </c>
      <c r="H2726" s="43" t="s">
        <v>237</v>
      </c>
      <c r="I2726" s="40" t="s">
        <v>1281</v>
      </c>
    </row>
    <row r="2727" spans="1:9" x14ac:dyDescent="0.25">
      <c r="A2727" s="40" t="s">
        <v>101</v>
      </c>
      <c r="B2727" s="28">
        <v>3289</v>
      </c>
      <c r="C2727" s="28" t="s">
        <v>814</v>
      </c>
      <c r="D2727" s="28"/>
      <c r="E2727" s="41">
        <v>46139</v>
      </c>
      <c r="F2727" s="47">
        <v>0.68247685185185181</v>
      </c>
      <c r="G2727" s="44">
        <v>6.3</v>
      </c>
      <c r="H2727" s="43" t="s">
        <v>234</v>
      </c>
      <c r="I2727" s="40" t="s">
        <v>1281</v>
      </c>
    </row>
    <row r="2728" spans="1:9" x14ac:dyDescent="0.25">
      <c r="A2728" s="40" t="s">
        <v>101</v>
      </c>
      <c r="B2728" s="28">
        <v>3289</v>
      </c>
      <c r="C2728" s="28" t="s">
        <v>815</v>
      </c>
      <c r="D2728" s="28"/>
      <c r="E2728" s="41">
        <v>46140</v>
      </c>
      <c r="F2728" s="47">
        <v>0.67163194444444441</v>
      </c>
      <c r="G2728" s="44">
        <v>6.3</v>
      </c>
      <c r="H2728" s="43" t="s">
        <v>237</v>
      </c>
      <c r="I2728" s="40" t="s">
        <v>1281</v>
      </c>
    </row>
    <row r="2729" spans="1:9" x14ac:dyDescent="0.25">
      <c r="A2729" s="40" t="s">
        <v>101</v>
      </c>
      <c r="B2729" s="28">
        <v>3289</v>
      </c>
      <c r="C2729" s="28" t="s">
        <v>815</v>
      </c>
      <c r="D2729" s="28"/>
      <c r="E2729" s="41">
        <v>46140</v>
      </c>
      <c r="F2729" s="47">
        <v>0.68192129629629628</v>
      </c>
      <c r="G2729" s="44">
        <v>6.3</v>
      </c>
      <c r="H2729" s="43" t="s">
        <v>234</v>
      </c>
      <c r="I2729" s="40" t="s">
        <v>1281</v>
      </c>
    </row>
    <row r="2730" spans="1:9" x14ac:dyDescent="0.25">
      <c r="A2730" s="40" t="s">
        <v>101</v>
      </c>
      <c r="B2730" s="28">
        <v>3289</v>
      </c>
      <c r="C2730" s="28" t="s">
        <v>816</v>
      </c>
      <c r="D2730" s="28"/>
      <c r="E2730" s="41">
        <v>46140</v>
      </c>
      <c r="F2730" s="47">
        <v>0.79219907407407408</v>
      </c>
      <c r="G2730" s="44">
        <v>6.3</v>
      </c>
      <c r="H2730" s="43" t="s">
        <v>235</v>
      </c>
      <c r="I2730" s="40" t="s">
        <v>1281</v>
      </c>
    </row>
    <row r="2731" spans="1:9" x14ac:dyDescent="0.25">
      <c r="A2731" s="40" t="s">
        <v>101</v>
      </c>
      <c r="B2731" s="28">
        <v>3289</v>
      </c>
      <c r="C2731" s="28" t="s">
        <v>816</v>
      </c>
      <c r="D2731" s="28"/>
      <c r="E2731" s="41">
        <v>46140</v>
      </c>
      <c r="F2731" s="47">
        <v>0.81201388888888892</v>
      </c>
      <c r="G2731" s="44">
        <v>6.3</v>
      </c>
      <c r="H2731" s="43" t="s">
        <v>236</v>
      </c>
      <c r="I2731" s="40" t="s">
        <v>1281</v>
      </c>
    </row>
    <row r="2732" spans="1:9" x14ac:dyDescent="0.25">
      <c r="A2732" s="40" t="s">
        <v>101</v>
      </c>
      <c r="B2732" s="28">
        <v>3289</v>
      </c>
      <c r="C2732" s="28" t="s">
        <v>817</v>
      </c>
      <c r="D2732" s="28"/>
      <c r="E2732" s="45">
        <v>46140</v>
      </c>
      <c r="F2732" s="48">
        <v>0.90027777777777773</v>
      </c>
      <c r="G2732" s="44">
        <v>6.3</v>
      </c>
      <c r="H2732" s="43" t="s">
        <v>237</v>
      </c>
      <c r="I2732" s="40" t="s">
        <v>1281</v>
      </c>
    </row>
    <row r="2733" spans="1:9" x14ac:dyDescent="0.25">
      <c r="A2733" s="40" t="s">
        <v>101</v>
      </c>
      <c r="B2733" s="28">
        <v>3289</v>
      </c>
      <c r="C2733" s="28" t="s">
        <v>817</v>
      </c>
      <c r="D2733" s="28"/>
      <c r="E2733" s="45">
        <v>46140</v>
      </c>
      <c r="F2733" s="48">
        <v>0.90615740740740736</v>
      </c>
      <c r="G2733" s="44">
        <v>6.3</v>
      </c>
      <c r="H2733" s="43" t="s">
        <v>234</v>
      </c>
      <c r="I2733" s="40" t="s">
        <v>1281</v>
      </c>
    </row>
    <row r="2734" spans="1:9" x14ac:dyDescent="0.25">
      <c r="A2734" s="40" t="s">
        <v>101</v>
      </c>
      <c r="B2734" s="28">
        <v>3289</v>
      </c>
      <c r="C2734" s="28" t="s">
        <v>818</v>
      </c>
      <c r="D2734" s="28"/>
      <c r="E2734" s="41">
        <v>46141</v>
      </c>
      <c r="F2734" s="47">
        <v>0.67079861111111116</v>
      </c>
      <c r="G2734" s="44">
        <v>6.3</v>
      </c>
      <c r="H2734" s="43" t="s">
        <v>237</v>
      </c>
      <c r="I2734" s="40" t="s">
        <v>1281</v>
      </c>
    </row>
    <row r="2735" spans="1:9" x14ac:dyDescent="0.25">
      <c r="A2735" s="40" t="s">
        <v>101</v>
      </c>
      <c r="B2735" s="28">
        <v>3289</v>
      </c>
      <c r="C2735" s="28" t="s">
        <v>818</v>
      </c>
      <c r="D2735" s="28"/>
      <c r="E2735" s="41">
        <v>46141</v>
      </c>
      <c r="F2735" s="47">
        <v>0.67749999999999999</v>
      </c>
      <c r="G2735" s="44">
        <v>6.3</v>
      </c>
      <c r="H2735" s="43" t="s">
        <v>234</v>
      </c>
      <c r="I2735" s="40" t="s">
        <v>1281</v>
      </c>
    </row>
    <row r="2736" spans="1:9" x14ac:dyDescent="0.25">
      <c r="A2736" s="40" t="s">
        <v>101</v>
      </c>
      <c r="B2736" s="28">
        <v>3289</v>
      </c>
      <c r="C2736" s="28" t="s">
        <v>819</v>
      </c>
      <c r="D2736" s="28"/>
      <c r="E2736" s="41">
        <v>46141</v>
      </c>
      <c r="F2736" s="47">
        <v>0.7805671296296296</v>
      </c>
      <c r="G2736" s="44">
        <v>6.3</v>
      </c>
      <c r="H2736" s="43" t="s">
        <v>235</v>
      </c>
      <c r="I2736" s="40" t="s">
        <v>1281</v>
      </c>
    </row>
    <row r="2737" spans="1:9" x14ac:dyDescent="0.25">
      <c r="A2737" s="40" t="s">
        <v>101</v>
      </c>
      <c r="B2737" s="28">
        <v>3289</v>
      </c>
      <c r="C2737" s="28" t="s">
        <v>819</v>
      </c>
      <c r="D2737" s="28"/>
      <c r="E2737" s="45">
        <v>46141</v>
      </c>
      <c r="F2737" s="48">
        <v>0.80686342592592597</v>
      </c>
      <c r="G2737" s="44">
        <v>6.3</v>
      </c>
      <c r="H2737" s="43" t="s">
        <v>236</v>
      </c>
      <c r="I2737" s="40" t="s">
        <v>1281</v>
      </c>
    </row>
    <row r="2738" spans="1:9" x14ac:dyDescent="0.25">
      <c r="A2738" s="40" t="s">
        <v>101</v>
      </c>
      <c r="B2738" s="28">
        <v>3289</v>
      </c>
      <c r="C2738" s="28" t="s">
        <v>820</v>
      </c>
      <c r="D2738" s="28"/>
      <c r="E2738" s="41">
        <v>46141</v>
      </c>
      <c r="F2738" s="47">
        <v>0.8875925925925926</v>
      </c>
      <c r="G2738" s="44">
        <v>6.3</v>
      </c>
      <c r="H2738" s="43" t="s">
        <v>234</v>
      </c>
      <c r="I2738" s="40" t="s">
        <v>1281</v>
      </c>
    </row>
    <row r="2739" spans="1:9" x14ac:dyDescent="0.25">
      <c r="A2739" s="40" t="s">
        <v>101</v>
      </c>
      <c r="B2739" s="28">
        <v>3289</v>
      </c>
      <c r="C2739" s="28" t="s">
        <v>821</v>
      </c>
      <c r="D2739" s="28"/>
      <c r="E2739" s="41">
        <v>46142</v>
      </c>
      <c r="F2739" s="47">
        <v>0.74333333333333329</v>
      </c>
      <c r="G2739" s="44">
        <v>6.3</v>
      </c>
      <c r="H2739" s="43" t="s">
        <v>237</v>
      </c>
      <c r="I2739" s="40" t="s">
        <v>1281</v>
      </c>
    </row>
    <row r="2740" spans="1:9" x14ac:dyDescent="0.25">
      <c r="A2740" s="40" t="s">
        <v>101</v>
      </c>
      <c r="B2740" s="28">
        <v>3289</v>
      </c>
      <c r="C2740" s="28" t="s">
        <v>822</v>
      </c>
      <c r="D2740" s="28"/>
      <c r="E2740" s="41">
        <v>46142</v>
      </c>
      <c r="F2740" s="47">
        <v>0.81922453703703701</v>
      </c>
      <c r="G2740" s="44">
        <v>6.3</v>
      </c>
      <c r="H2740" s="43" t="s">
        <v>235</v>
      </c>
      <c r="I2740" s="40" t="s">
        <v>1281</v>
      </c>
    </row>
    <row r="2741" spans="1:9" x14ac:dyDescent="0.25">
      <c r="A2741" s="40" t="s">
        <v>101</v>
      </c>
      <c r="B2741" s="28">
        <v>3289</v>
      </c>
      <c r="C2741" s="28" t="s">
        <v>822</v>
      </c>
      <c r="D2741" s="28"/>
      <c r="E2741" s="45">
        <v>46142</v>
      </c>
      <c r="F2741" s="48">
        <v>0.82966435185185183</v>
      </c>
      <c r="G2741" s="44">
        <v>6.3</v>
      </c>
      <c r="H2741" s="43" t="s">
        <v>236</v>
      </c>
      <c r="I2741" s="40" t="s">
        <v>1281</v>
      </c>
    </row>
    <row r="2742" spans="1:9" x14ac:dyDescent="0.25">
      <c r="A2742" s="40" t="s">
        <v>101</v>
      </c>
      <c r="B2742" s="28">
        <v>3289</v>
      </c>
      <c r="C2742" s="28" t="s">
        <v>823</v>
      </c>
      <c r="D2742" s="28"/>
      <c r="E2742" s="41">
        <v>46143</v>
      </c>
      <c r="F2742" s="47">
        <v>0.7245138888888889</v>
      </c>
      <c r="G2742" s="44">
        <v>6.3</v>
      </c>
      <c r="H2742" s="43" t="s">
        <v>235</v>
      </c>
      <c r="I2742" s="40" t="s">
        <v>1282</v>
      </c>
    </row>
    <row r="2743" spans="1:9" x14ac:dyDescent="0.25">
      <c r="A2743" s="40" t="s">
        <v>101</v>
      </c>
      <c r="B2743" s="28">
        <v>3289</v>
      </c>
      <c r="C2743" s="28" t="s">
        <v>823</v>
      </c>
      <c r="D2743" s="28"/>
      <c r="E2743" s="41">
        <v>46143</v>
      </c>
      <c r="F2743" s="47">
        <v>0.73158564814814819</v>
      </c>
      <c r="G2743" s="44">
        <v>6.3</v>
      </c>
      <c r="H2743" s="43" t="s">
        <v>236</v>
      </c>
      <c r="I2743" s="40" t="s">
        <v>1282</v>
      </c>
    </row>
    <row r="2744" spans="1:9" x14ac:dyDescent="0.25">
      <c r="A2744" s="40" t="s">
        <v>101</v>
      </c>
      <c r="B2744" s="28">
        <v>3289</v>
      </c>
      <c r="C2744" s="28" t="s">
        <v>824</v>
      </c>
      <c r="D2744" s="28"/>
      <c r="E2744" s="41">
        <v>46143</v>
      </c>
      <c r="F2744" s="47">
        <v>0.80378472222222219</v>
      </c>
      <c r="G2744" s="44">
        <v>6.3</v>
      </c>
      <c r="H2744" s="43" t="s">
        <v>237</v>
      </c>
      <c r="I2744" s="40" t="s">
        <v>1282</v>
      </c>
    </row>
    <row r="2745" spans="1:9" x14ac:dyDescent="0.25">
      <c r="A2745" s="40" t="s">
        <v>101</v>
      </c>
      <c r="B2745" s="28">
        <v>3289</v>
      </c>
      <c r="C2745" s="28" t="s">
        <v>824</v>
      </c>
      <c r="D2745" s="28"/>
      <c r="E2745" s="45">
        <v>46143</v>
      </c>
      <c r="F2745" s="48">
        <v>0.80937499999999996</v>
      </c>
      <c r="G2745" s="44">
        <v>6.3</v>
      </c>
      <c r="H2745" s="43" t="s">
        <v>234</v>
      </c>
      <c r="I2745" s="40" t="s">
        <v>1282</v>
      </c>
    </row>
    <row r="2746" spans="1:9" x14ac:dyDescent="0.25">
      <c r="A2746" s="40" t="s">
        <v>101</v>
      </c>
      <c r="B2746" s="28">
        <v>3289</v>
      </c>
      <c r="C2746" s="28" t="s">
        <v>825</v>
      </c>
      <c r="D2746" s="28"/>
      <c r="E2746" s="41">
        <v>46143</v>
      </c>
      <c r="F2746" s="47">
        <v>0.93011574074074077</v>
      </c>
      <c r="G2746" s="44">
        <v>6.3</v>
      </c>
      <c r="H2746" s="43" t="s">
        <v>235</v>
      </c>
      <c r="I2746" s="40" t="s">
        <v>1282</v>
      </c>
    </row>
    <row r="2747" spans="1:9" x14ac:dyDescent="0.25">
      <c r="A2747" s="40" t="s">
        <v>101</v>
      </c>
      <c r="B2747" s="28">
        <v>3289</v>
      </c>
      <c r="C2747" s="28" t="s">
        <v>825</v>
      </c>
      <c r="D2747" s="28"/>
      <c r="E2747" s="41">
        <v>46143</v>
      </c>
      <c r="F2747" s="47">
        <v>0.93709490740740742</v>
      </c>
      <c r="G2747" s="44">
        <v>6.3</v>
      </c>
      <c r="H2747" s="43" t="s">
        <v>236</v>
      </c>
      <c r="I2747" s="40" t="s">
        <v>1282</v>
      </c>
    </row>
    <row r="2748" spans="1:9" x14ac:dyDescent="0.25">
      <c r="A2748" s="40" t="s">
        <v>101</v>
      </c>
      <c r="B2748" s="28">
        <v>3289</v>
      </c>
      <c r="C2748" s="28" t="s">
        <v>826</v>
      </c>
      <c r="D2748" s="28"/>
      <c r="E2748" s="41">
        <v>46144</v>
      </c>
      <c r="F2748" s="47">
        <v>0.70614583333333336</v>
      </c>
      <c r="G2748" s="42">
        <v>6.3</v>
      </c>
      <c r="H2748" s="40" t="s">
        <v>237</v>
      </c>
      <c r="I2748" s="40" t="s">
        <v>1282</v>
      </c>
    </row>
    <row r="2749" spans="1:9" x14ac:dyDescent="0.25">
      <c r="A2749" s="40" t="s">
        <v>101</v>
      </c>
      <c r="B2749" s="28">
        <v>3289</v>
      </c>
      <c r="C2749" s="28" t="s">
        <v>826</v>
      </c>
      <c r="D2749" s="28"/>
      <c r="E2749" s="45">
        <v>46144</v>
      </c>
      <c r="F2749" s="48">
        <v>0.71199074074074076</v>
      </c>
      <c r="G2749" s="44">
        <v>6.3</v>
      </c>
      <c r="H2749" s="43" t="s">
        <v>234</v>
      </c>
      <c r="I2749" s="40" t="s">
        <v>1282</v>
      </c>
    </row>
    <row r="2750" spans="1:9" x14ac:dyDescent="0.25">
      <c r="A2750" s="40" t="s">
        <v>101</v>
      </c>
      <c r="B2750" s="28">
        <v>3289</v>
      </c>
      <c r="C2750" s="28" t="s">
        <v>827</v>
      </c>
      <c r="D2750" s="28"/>
      <c r="E2750" s="41">
        <v>46144</v>
      </c>
      <c r="F2750" s="47">
        <v>0.96006944444444442</v>
      </c>
      <c r="G2750" s="44">
        <v>6.3</v>
      </c>
      <c r="H2750" s="43" t="s">
        <v>235</v>
      </c>
      <c r="I2750" s="40" t="s">
        <v>1282</v>
      </c>
    </row>
    <row r="2751" spans="1:9" x14ac:dyDescent="0.25">
      <c r="A2751" s="40" t="s">
        <v>101</v>
      </c>
      <c r="B2751" s="28">
        <v>3289</v>
      </c>
      <c r="C2751" s="28" t="s">
        <v>827</v>
      </c>
      <c r="D2751" s="28"/>
      <c r="E2751" s="45">
        <v>46144</v>
      </c>
      <c r="F2751" s="48">
        <v>0.96717592592592594</v>
      </c>
      <c r="G2751" s="44">
        <v>6.3</v>
      </c>
      <c r="H2751" s="43" t="s">
        <v>236</v>
      </c>
      <c r="I2751" s="40" t="s">
        <v>1282</v>
      </c>
    </row>
    <row r="2752" spans="1:9" x14ac:dyDescent="0.25">
      <c r="A2752" s="40" t="s">
        <v>102</v>
      </c>
      <c r="B2752" s="28">
        <v>3309</v>
      </c>
      <c r="C2752" s="28">
        <v>10559168</v>
      </c>
      <c r="D2752" s="28"/>
      <c r="E2752" s="41">
        <v>46141</v>
      </c>
      <c r="F2752" s="47">
        <v>0.61459490740740741</v>
      </c>
      <c r="G2752" s="44">
        <v>6.3</v>
      </c>
      <c r="H2752" s="43" t="s">
        <v>235</v>
      </c>
      <c r="I2752" s="40" t="s">
        <v>1281</v>
      </c>
    </row>
    <row r="2753" spans="1:9" x14ac:dyDescent="0.25">
      <c r="A2753" s="40" t="s">
        <v>102</v>
      </c>
      <c r="B2753" s="28">
        <v>3309</v>
      </c>
      <c r="C2753" s="28">
        <v>10558955</v>
      </c>
      <c r="D2753" s="28"/>
      <c r="E2753" s="45">
        <v>46141</v>
      </c>
      <c r="F2753" s="48">
        <v>0.77670138888888884</v>
      </c>
      <c r="G2753" s="44">
        <v>6.3</v>
      </c>
      <c r="H2753" s="43" t="s">
        <v>237</v>
      </c>
      <c r="I2753" s="40" t="s">
        <v>1281</v>
      </c>
    </row>
    <row r="2754" spans="1:9" x14ac:dyDescent="0.25">
      <c r="A2754" s="40" t="s">
        <v>102</v>
      </c>
      <c r="B2754" s="28">
        <v>3309</v>
      </c>
      <c r="C2754" s="28">
        <v>10558955</v>
      </c>
      <c r="D2754" s="28"/>
      <c r="E2754" s="41">
        <v>46141</v>
      </c>
      <c r="F2754" s="47">
        <v>0.7954282407407407</v>
      </c>
      <c r="G2754" s="44">
        <v>6.3</v>
      </c>
      <c r="H2754" s="43" t="s">
        <v>234</v>
      </c>
      <c r="I2754" s="40" t="s">
        <v>1281</v>
      </c>
    </row>
    <row r="2755" spans="1:9" x14ac:dyDescent="0.25">
      <c r="A2755" s="40" t="s">
        <v>102</v>
      </c>
      <c r="B2755" s="28">
        <v>3309</v>
      </c>
      <c r="C2755" s="28" t="s">
        <v>828</v>
      </c>
      <c r="D2755" s="28"/>
      <c r="E2755" s="41">
        <v>46142</v>
      </c>
      <c r="F2755" s="47">
        <v>0.67229166666666662</v>
      </c>
      <c r="G2755" s="44">
        <v>6.3</v>
      </c>
      <c r="H2755" s="43" t="s">
        <v>235</v>
      </c>
      <c r="I2755" s="40" t="s">
        <v>1281</v>
      </c>
    </row>
    <row r="2756" spans="1:9" x14ac:dyDescent="0.25">
      <c r="A2756" s="40" t="s">
        <v>102</v>
      </c>
      <c r="B2756" s="28">
        <v>3309</v>
      </c>
      <c r="C2756" s="28" t="s">
        <v>828</v>
      </c>
      <c r="D2756" s="28"/>
      <c r="E2756" s="41">
        <v>46142</v>
      </c>
      <c r="F2756" s="47">
        <v>0.68936342592592592</v>
      </c>
      <c r="G2756" s="42">
        <v>6.3</v>
      </c>
      <c r="H2756" s="40" t="s">
        <v>236</v>
      </c>
      <c r="I2756" s="40" t="s">
        <v>1281</v>
      </c>
    </row>
    <row r="2757" spans="1:9" x14ac:dyDescent="0.25">
      <c r="A2757" s="40" t="s">
        <v>102</v>
      </c>
      <c r="B2757" s="28">
        <v>3309</v>
      </c>
      <c r="C2757" s="28" t="s">
        <v>829</v>
      </c>
      <c r="D2757" s="28"/>
      <c r="E2757" s="41">
        <v>46142</v>
      </c>
      <c r="F2757" s="47">
        <v>0.83793981481481483</v>
      </c>
      <c r="G2757" s="42">
        <v>6.3</v>
      </c>
      <c r="H2757" s="40" t="s">
        <v>234</v>
      </c>
      <c r="I2757" s="40" t="s">
        <v>1281</v>
      </c>
    </row>
    <row r="2758" spans="1:9" x14ac:dyDescent="0.25">
      <c r="A2758" s="40" t="s">
        <v>102</v>
      </c>
      <c r="B2758" s="28">
        <v>3309</v>
      </c>
      <c r="C2758" s="28" t="s">
        <v>830</v>
      </c>
      <c r="D2758" s="28"/>
      <c r="E2758" s="41">
        <v>46144</v>
      </c>
      <c r="F2758" s="47">
        <v>0.63753472222222218</v>
      </c>
      <c r="G2758" s="44">
        <v>6.3</v>
      </c>
      <c r="H2758" s="43" t="s">
        <v>235</v>
      </c>
      <c r="I2758" s="40" t="s">
        <v>1282</v>
      </c>
    </row>
    <row r="2759" spans="1:9" x14ac:dyDescent="0.25">
      <c r="A2759" s="40" t="s">
        <v>102</v>
      </c>
      <c r="B2759" s="28">
        <v>3309</v>
      </c>
      <c r="C2759" s="28" t="s">
        <v>830</v>
      </c>
      <c r="D2759" s="28"/>
      <c r="E2759" s="41">
        <v>46144</v>
      </c>
      <c r="F2759" s="47">
        <v>0.64561342592592597</v>
      </c>
      <c r="G2759" s="44">
        <v>6.3</v>
      </c>
      <c r="H2759" s="43" t="s">
        <v>239</v>
      </c>
      <c r="I2759" s="40" t="s">
        <v>1282</v>
      </c>
    </row>
    <row r="2760" spans="1:9" x14ac:dyDescent="0.25">
      <c r="A2760" s="40" t="s">
        <v>102</v>
      </c>
      <c r="B2760" s="28">
        <v>3309</v>
      </c>
      <c r="C2760" s="28">
        <v>5647291</v>
      </c>
      <c r="D2760" s="28"/>
      <c r="E2760" s="41">
        <v>46144</v>
      </c>
      <c r="F2760" s="47">
        <v>0.87763888888888886</v>
      </c>
      <c r="G2760" s="44">
        <v>6.3</v>
      </c>
      <c r="H2760" s="43" t="s">
        <v>233</v>
      </c>
      <c r="I2760" s="40" t="s">
        <v>1282</v>
      </c>
    </row>
    <row r="2761" spans="1:9" x14ac:dyDescent="0.25">
      <c r="A2761" s="40" t="s">
        <v>102</v>
      </c>
      <c r="B2761" s="28">
        <v>3309</v>
      </c>
      <c r="C2761" s="28">
        <v>5647291</v>
      </c>
      <c r="D2761" s="28"/>
      <c r="E2761" s="45">
        <v>46144</v>
      </c>
      <c r="F2761" s="48">
        <v>0.88320601851851854</v>
      </c>
      <c r="G2761" s="44">
        <v>6.3</v>
      </c>
      <c r="H2761" s="43" t="s">
        <v>234</v>
      </c>
      <c r="I2761" s="40" t="s">
        <v>1282</v>
      </c>
    </row>
    <row r="2762" spans="1:9" x14ac:dyDescent="0.25">
      <c r="A2762" s="40" t="s">
        <v>102</v>
      </c>
      <c r="B2762" s="28">
        <v>3309</v>
      </c>
      <c r="C2762" s="28" t="s">
        <v>35</v>
      </c>
      <c r="D2762" s="28" t="s">
        <v>38</v>
      </c>
      <c r="E2762" s="41">
        <v>46145</v>
      </c>
      <c r="F2762" s="47">
        <v>0.86803240740740739</v>
      </c>
      <c r="G2762" s="44">
        <v>6.3</v>
      </c>
      <c r="H2762" s="43" t="s">
        <v>237</v>
      </c>
      <c r="I2762" s="40" t="s">
        <v>1282</v>
      </c>
    </row>
    <row r="2763" spans="1:9" x14ac:dyDescent="0.25">
      <c r="A2763" s="40" t="s">
        <v>831</v>
      </c>
      <c r="B2763" s="28">
        <v>3335</v>
      </c>
      <c r="C2763" s="28" t="s">
        <v>832</v>
      </c>
      <c r="D2763" s="28"/>
      <c r="E2763" s="41">
        <v>46139</v>
      </c>
      <c r="F2763" s="47">
        <v>0.51612268518518523</v>
      </c>
      <c r="G2763" s="44">
        <v>6.3</v>
      </c>
      <c r="H2763" s="43" t="s">
        <v>235</v>
      </c>
      <c r="I2763" s="40" t="s">
        <v>1281</v>
      </c>
    </row>
    <row r="2764" spans="1:9" x14ac:dyDescent="0.25">
      <c r="A2764" s="40" t="s">
        <v>831</v>
      </c>
      <c r="B2764" s="28">
        <v>3335</v>
      </c>
      <c r="C2764" s="28" t="s">
        <v>832</v>
      </c>
      <c r="D2764" s="28"/>
      <c r="E2764" s="41">
        <v>46139</v>
      </c>
      <c r="F2764" s="47">
        <v>0.52603009259259259</v>
      </c>
      <c r="G2764" s="42">
        <v>6.3</v>
      </c>
      <c r="H2764" s="40" t="s">
        <v>236</v>
      </c>
      <c r="I2764" s="40" t="s">
        <v>1281</v>
      </c>
    </row>
    <row r="2765" spans="1:9" x14ac:dyDescent="0.25">
      <c r="A2765" s="40" t="s">
        <v>831</v>
      </c>
      <c r="B2765" s="28">
        <v>3335</v>
      </c>
      <c r="C2765" s="28">
        <v>10556371</v>
      </c>
      <c r="D2765" s="28"/>
      <c r="E2765" s="41">
        <v>46140</v>
      </c>
      <c r="F2765" s="47">
        <v>0.48230324074074077</v>
      </c>
      <c r="G2765" s="42">
        <v>6.3</v>
      </c>
      <c r="H2765" s="40" t="s">
        <v>235</v>
      </c>
      <c r="I2765" s="40" t="s">
        <v>1281</v>
      </c>
    </row>
    <row r="2766" spans="1:9" x14ac:dyDescent="0.25">
      <c r="A2766" s="40" t="s">
        <v>831</v>
      </c>
      <c r="B2766" s="28">
        <v>3335</v>
      </c>
      <c r="C2766" s="28">
        <v>10556371</v>
      </c>
      <c r="D2766" s="28"/>
      <c r="E2766" s="41">
        <v>46140</v>
      </c>
      <c r="F2766" s="47">
        <v>0.49353009259259262</v>
      </c>
      <c r="G2766" s="42">
        <v>6.3</v>
      </c>
      <c r="H2766" s="40" t="s">
        <v>236</v>
      </c>
      <c r="I2766" s="40" t="s">
        <v>1281</v>
      </c>
    </row>
    <row r="2767" spans="1:9" x14ac:dyDescent="0.25">
      <c r="A2767" s="40" t="s">
        <v>831</v>
      </c>
      <c r="B2767" s="28">
        <v>3335</v>
      </c>
      <c r="C2767" s="28" t="s">
        <v>833</v>
      </c>
      <c r="D2767" s="28"/>
      <c r="E2767" s="41">
        <v>46142</v>
      </c>
      <c r="F2767" s="47">
        <v>0.37332175925925926</v>
      </c>
      <c r="G2767" s="44">
        <v>6.3</v>
      </c>
      <c r="H2767" s="43" t="s">
        <v>235</v>
      </c>
      <c r="I2767" s="40" t="s">
        <v>1281</v>
      </c>
    </row>
    <row r="2768" spans="1:9" x14ac:dyDescent="0.25">
      <c r="A2768" s="40" t="s">
        <v>831</v>
      </c>
      <c r="B2768" s="28">
        <v>3335</v>
      </c>
      <c r="C2768" s="28" t="s">
        <v>834</v>
      </c>
      <c r="D2768" s="28"/>
      <c r="E2768" s="45">
        <v>46142</v>
      </c>
      <c r="F2768" s="48">
        <v>0.42702546296296295</v>
      </c>
      <c r="G2768" s="44">
        <v>6.3</v>
      </c>
      <c r="H2768" s="43" t="s">
        <v>233</v>
      </c>
      <c r="I2768" s="40" t="s">
        <v>1281</v>
      </c>
    </row>
    <row r="2769" spans="1:9" x14ac:dyDescent="0.25">
      <c r="A2769" s="40" t="s">
        <v>831</v>
      </c>
      <c r="B2769" s="28">
        <v>3335</v>
      </c>
      <c r="C2769" s="28" t="s">
        <v>834</v>
      </c>
      <c r="D2769" s="28"/>
      <c r="E2769" s="41">
        <v>46142</v>
      </c>
      <c r="F2769" s="47">
        <v>0.4334722222222222</v>
      </c>
      <c r="G2769" s="44">
        <v>6.3</v>
      </c>
      <c r="H2769" s="43" t="s">
        <v>234</v>
      </c>
      <c r="I2769" s="40" t="s">
        <v>1281</v>
      </c>
    </row>
    <row r="2770" spans="1:9" x14ac:dyDescent="0.25">
      <c r="A2770" s="40" t="s">
        <v>831</v>
      </c>
      <c r="B2770" s="28">
        <v>3335</v>
      </c>
      <c r="C2770" s="28" t="s">
        <v>835</v>
      </c>
      <c r="D2770" s="28"/>
      <c r="E2770" s="41">
        <v>46145</v>
      </c>
      <c r="F2770" s="47">
        <v>0.50715277777777779</v>
      </c>
      <c r="G2770" s="44">
        <v>6.3</v>
      </c>
      <c r="H2770" s="43" t="s">
        <v>235</v>
      </c>
      <c r="I2770" s="40" t="s">
        <v>1282</v>
      </c>
    </row>
    <row r="2771" spans="1:9" x14ac:dyDescent="0.25">
      <c r="A2771" s="40" t="s">
        <v>831</v>
      </c>
      <c r="B2771" s="28">
        <v>3335</v>
      </c>
      <c r="C2771" s="28" t="s">
        <v>835</v>
      </c>
      <c r="D2771" s="28"/>
      <c r="E2771" s="41">
        <v>46145</v>
      </c>
      <c r="F2771" s="47">
        <v>0.51423611111111112</v>
      </c>
      <c r="G2771" s="42">
        <v>6.3</v>
      </c>
      <c r="H2771" s="40" t="s">
        <v>236</v>
      </c>
      <c r="I2771" s="40" t="s">
        <v>1282</v>
      </c>
    </row>
    <row r="2772" spans="1:9" x14ac:dyDescent="0.25">
      <c r="A2772" s="40" t="s">
        <v>836</v>
      </c>
      <c r="B2772" s="28">
        <v>3348</v>
      </c>
      <c r="C2772" s="28">
        <v>5640822</v>
      </c>
      <c r="D2772" s="28"/>
      <c r="E2772" s="41">
        <v>46141</v>
      </c>
      <c r="F2772" s="47">
        <v>0.84635416666666663</v>
      </c>
      <c r="G2772" s="42">
        <v>6.3</v>
      </c>
      <c r="H2772" s="40" t="s">
        <v>235</v>
      </c>
      <c r="I2772" s="40" t="s">
        <v>1281</v>
      </c>
    </row>
    <row r="2773" spans="1:9" x14ac:dyDescent="0.25">
      <c r="A2773" s="40" t="s">
        <v>836</v>
      </c>
      <c r="B2773" s="28">
        <v>3348</v>
      </c>
      <c r="C2773" s="28">
        <v>5640822</v>
      </c>
      <c r="D2773" s="28"/>
      <c r="E2773" s="41">
        <v>46141</v>
      </c>
      <c r="F2773" s="47">
        <v>0.86153935185185182</v>
      </c>
      <c r="G2773" s="44">
        <v>6.3</v>
      </c>
      <c r="H2773" s="43" t="s">
        <v>236</v>
      </c>
      <c r="I2773" s="40" t="s">
        <v>1281</v>
      </c>
    </row>
    <row r="2774" spans="1:9" x14ac:dyDescent="0.25">
      <c r="A2774" s="40" t="s">
        <v>836</v>
      </c>
      <c r="B2774" s="28">
        <v>3348</v>
      </c>
      <c r="C2774" s="28">
        <v>5640868</v>
      </c>
      <c r="D2774" s="28"/>
      <c r="E2774" s="41">
        <v>46141</v>
      </c>
      <c r="F2774" s="47">
        <v>0.89026620370370368</v>
      </c>
      <c r="G2774" s="44">
        <v>6.3</v>
      </c>
      <c r="H2774" s="43" t="s">
        <v>237</v>
      </c>
      <c r="I2774" s="40" t="s">
        <v>1281</v>
      </c>
    </row>
    <row r="2775" spans="1:9" x14ac:dyDescent="0.25">
      <c r="A2775" s="40" t="s">
        <v>836</v>
      </c>
      <c r="B2775" s="28">
        <v>3348</v>
      </c>
      <c r="C2775" s="28">
        <v>5640868</v>
      </c>
      <c r="D2775" s="28"/>
      <c r="E2775" s="41">
        <v>46141</v>
      </c>
      <c r="F2775" s="47">
        <v>0.89550925925925928</v>
      </c>
      <c r="G2775" s="44">
        <v>6.3</v>
      </c>
      <c r="H2775" s="43" t="s">
        <v>234</v>
      </c>
      <c r="I2775" s="40" t="s">
        <v>1281</v>
      </c>
    </row>
    <row r="2776" spans="1:9" x14ac:dyDescent="0.25">
      <c r="A2776" s="40" t="s">
        <v>836</v>
      </c>
      <c r="B2776" s="28">
        <v>3348</v>
      </c>
      <c r="C2776" s="28">
        <v>5647612</v>
      </c>
      <c r="D2776" s="28"/>
      <c r="E2776" s="41">
        <v>46145</v>
      </c>
      <c r="F2776" s="47">
        <v>0.60339120370370369</v>
      </c>
      <c r="G2776" s="44">
        <v>6.3</v>
      </c>
      <c r="H2776" s="43" t="s">
        <v>235</v>
      </c>
      <c r="I2776" s="40" t="s">
        <v>1282</v>
      </c>
    </row>
    <row r="2777" spans="1:9" x14ac:dyDescent="0.25">
      <c r="A2777" s="40" t="s">
        <v>836</v>
      </c>
      <c r="B2777" s="28">
        <v>3348</v>
      </c>
      <c r="C2777" s="28" t="s">
        <v>837</v>
      </c>
      <c r="D2777" s="28"/>
      <c r="E2777" s="41">
        <v>46145</v>
      </c>
      <c r="F2777" s="47">
        <v>0.70195601851851852</v>
      </c>
      <c r="G2777" s="44">
        <v>6.3</v>
      </c>
      <c r="H2777" s="43" t="s">
        <v>233</v>
      </c>
      <c r="I2777" s="40" t="s">
        <v>1282</v>
      </c>
    </row>
    <row r="2778" spans="1:9" x14ac:dyDescent="0.25">
      <c r="A2778" s="40" t="s">
        <v>836</v>
      </c>
      <c r="B2778" s="28">
        <v>3348</v>
      </c>
      <c r="C2778" s="28" t="s">
        <v>837</v>
      </c>
      <c r="D2778" s="28"/>
      <c r="E2778" s="41">
        <v>46145</v>
      </c>
      <c r="F2778" s="47">
        <v>0.70704861111111106</v>
      </c>
      <c r="G2778" s="44">
        <v>6.3</v>
      </c>
      <c r="H2778" s="43" t="s">
        <v>234</v>
      </c>
      <c r="I2778" s="40" t="s">
        <v>1282</v>
      </c>
    </row>
    <row r="2779" spans="1:9" x14ac:dyDescent="0.25">
      <c r="A2779" s="40" t="s">
        <v>349</v>
      </c>
      <c r="B2779" s="28">
        <v>3357</v>
      </c>
      <c r="C2779" s="28">
        <v>5637850</v>
      </c>
      <c r="D2779" s="28"/>
      <c r="E2779" s="41">
        <v>46139</v>
      </c>
      <c r="F2779" s="47">
        <v>0.39326388888888891</v>
      </c>
      <c r="G2779" s="44">
        <v>6.3</v>
      </c>
      <c r="H2779" s="43" t="s">
        <v>237</v>
      </c>
      <c r="I2779" s="40" t="s">
        <v>1281</v>
      </c>
    </row>
    <row r="2780" spans="1:9" x14ac:dyDescent="0.25">
      <c r="A2780" s="40" t="s">
        <v>349</v>
      </c>
      <c r="B2780" s="28">
        <v>3357</v>
      </c>
      <c r="C2780" s="28">
        <v>5637850</v>
      </c>
      <c r="D2780" s="28"/>
      <c r="E2780" s="41">
        <v>46139</v>
      </c>
      <c r="F2780" s="47">
        <v>0.40252314814814816</v>
      </c>
      <c r="G2780" s="44">
        <v>6.3</v>
      </c>
      <c r="H2780" s="43" t="s">
        <v>234</v>
      </c>
      <c r="I2780" s="40" t="s">
        <v>1281</v>
      </c>
    </row>
    <row r="2781" spans="1:9" x14ac:dyDescent="0.25">
      <c r="A2781" s="40" t="s">
        <v>349</v>
      </c>
      <c r="B2781" s="28">
        <v>3357</v>
      </c>
      <c r="C2781" s="28" t="s">
        <v>838</v>
      </c>
      <c r="D2781" s="28"/>
      <c r="E2781" s="41">
        <v>46140</v>
      </c>
      <c r="F2781" s="47">
        <v>0.27</v>
      </c>
      <c r="G2781" s="44">
        <v>6.3</v>
      </c>
      <c r="H2781" s="43" t="s">
        <v>237</v>
      </c>
      <c r="I2781" s="40" t="s">
        <v>1281</v>
      </c>
    </row>
    <row r="2782" spans="1:9" x14ac:dyDescent="0.25">
      <c r="A2782" s="40" t="s">
        <v>349</v>
      </c>
      <c r="B2782" s="28">
        <v>3357</v>
      </c>
      <c r="C2782" s="28" t="s">
        <v>838</v>
      </c>
      <c r="D2782" s="28"/>
      <c r="E2782" s="41">
        <v>46140</v>
      </c>
      <c r="F2782" s="47">
        <v>0.27590277777777777</v>
      </c>
      <c r="G2782" s="44">
        <v>6.3</v>
      </c>
      <c r="H2782" s="43" t="s">
        <v>234</v>
      </c>
      <c r="I2782" s="40" t="s">
        <v>1281</v>
      </c>
    </row>
    <row r="2783" spans="1:9" x14ac:dyDescent="0.25">
      <c r="A2783" s="40" t="s">
        <v>349</v>
      </c>
      <c r="B2783" s="28">
        <v>3357</v>
      </c>
      <c r="C2783" s="28" t="s">
        <v>839</v>
      </c>
      <c r="D2783" s="28"/>
      <c r="E2783" s="41">
        <v>46140</v>
      </c>
      <c r="F2783" s="47">
        <v>0.32422453703703702</v>
      </c>
      <c r="G2783" s="44">
        <v>6.3</v>
      </c>
      <c r="H2783" s="43" t="s">
        <v>235</v>
      </c>
      <c r="I2783" s="40" t="s">
        <v>1281</v>
      </c>
    </row>
    <row r="2784" spans="1:9" x14ac:dyDescent="0.25">
      <c r="A2784" s="40" t="s">
        <v>349</v>
      </c>
      <c r="B2784" s="28">
        <v>3357</v>
      </c>
      <c r="C2784" s="28" t="s">
        <v>839</v>
      </c>
      <c r="D2784" s="28"/>
      <c r="E2784" s="41">
        <v>46140</v>
      </c>
      <c r="F2784" s="47">
        <v>0.3414699074074074</v>
      </c>
      <c r="G2784" s="44">
        <v>6.3</v>
      </c>
      <c r="H2784" s="43" t="s">
        <v>236</v>
      </c>
      <c r="I2784" s="40" t="s">
        <v>1281</v>
      </c>
    </row>
    <row r="2785" spans="1:9" x14ac:dyDescent="0.25">
      <c r="A2785" s="40" t="s">
        <v>349</v>
      </c>
      <c r="B2785" s="28">
        <v>3357</v>
      </c>
      <c r="C2785" s="28" t="s">
        <v>840</v>
      </c>
      <c r="D2785" s="28"/>
      <c r="E2785" s="45">
        <v>46140</v>
      </c>
      <c r="F2785" s="48">
        <v>0.42385416666666664</v>
      </c>
      <c r="G2785" s="42">
        <v>6.3</v>
      </c>
      <c r="H2785" s="40" t="s">
        <v>233</v>
      </c>
      <c r="I2785" s="40" t="s">
        <v>1281</v>
      </c>
    </row>
    <row r="2786" spans="1:9" x14ac:dyDescent="0.25">
      <c r="A2786" s="40" t="s">
        <v>349</v>
      </c>
      <c r="B2786" s="28">
        <v>3357</v>
      </c>
      <c r="C2786" s="28" t="s">
        <v>840</v>
      </c>
      <c r="D2786" s="28"/>
      <c r="E2786" s="45">
        <v>46140</v>
      </c>
      <c r="F2786" s="48">
        <v>0.43715277777777778</v>
      </c>
      <c r="G2786" s="42">
        <v>6.3</v>
      </c>
      <c r="H2786" s="40" t="s">
        <v>234</v>
      </c>
      <c r="I2786" s="40" t="s">
        <v>1281</v>
      </c>
    </row>
    <row r="2787" spans="1:9" x14ac:dyDescent="0.25">
      <c r="A2787" s="40" t="s">
        <v>349</v>
      </c>
      <c r="B2787" s="28">
        <v>3357</v>
      </c>
      <c r="C2787" s="28" t="s">
        <v>841</v>
      </c>
      <c r="D2787" s="28"/>
      <c r="E2787" s="45">
        <v>46140</v>
      </c>
      <c r="F2787" s="48">
        <v>0.57708333333333328</v>
      </c>
      <c r="G2787" s="44">
        <v>6.3</v>
      </c>
      <c r="H2787" s="43" t="s">
        <v>235</v>
      </c>
      <c r="I2787" s="40" t="s">
        <v>1281</v>
      </c>
    </row>
    <row r="2788" spans="1:9" x14ac:dyDescent="0.25">
      <c r="A2788" s="40" t="s">
        <v>349</v>
      </c>
      <c r="B2788" s="28">
        <v>3357</v>
      </c>
      <c r="C2788" s="28" t="s">
        <v>841</v>
      </c>
      <c r="D2788" s="28"/>
      <c r="E2788" s="41">
        <v>46140</v>
      </c>
      <c r="F2788" s="47">
        <v>0.58667824074074071</v>
      </c>
      <c r="G2788" s="44">
        <v>6.3</v>
      </c>
      <c r="H2788" s="43" t="s">
        <v>239</v>
      </c>
      <c r="I2788" s="40" t="s">
        <v>1281</v>
      </c>
    </row>
    <row r="2789" spans="1:9" x14ac:dyDescent="0.25">
      <c r="A2789" s="40" t="s">
        <v>349</v>
      </c>
      <c r="B2789" s="28">
        <v>3357</v>
      </c>
      <c r="C2789" s="28" t="s">
        <v>842</v>
      </c>
      <c r="D2789" s="28"/>
      <c r="E2789" s="41">
        <v>46141</v>
      </c>
      <c r="F2789" s="47">
        <v>0.26947916666666666</v>
      </c>
      <c r="G2789" s="44">
        <v>6.3</v>
      </c>
      <c r="H2789" s="43" t="s">
        <v>238</v>
      </c>
      <c r="I2789" s="40" t="s">
        <v>1281</v>
      </c>
    </row>
    <row r="2790" spans="1:9" x14ac:dyDescent="0.25">
      <c r="A2790" s="40" t="s">
        <v>349</v>
      </c>
      <c r="B2790" s="28">
        <v>3357</v>
      </c>
      <c r="C2790" s="28" t="s">
        <v>842</v>
      </c>
      <c r="D2790" s="28"/>
      <c r="E2790" s="41">
        <v>46141</v>
      </c>
      <c r="F2790" s="47">
        <v>0.27439814814814817</v>
      </c>
      <c r="G2790" s="44">
        <v>6.3</v>
      </c>
      <c r="H2790" s="43" t="s">
        <v>234</v>
      </c>
      <c r="I2790" s="40" t="s">
        <v>1281</v>
      </c>
    </row>
    <row r="2791" spans="1:9" x14ac:dyDescent="0.25">
      <c r="A2791" s="40" t="s">
        <v>349</v>
      </c>
      <c r="B2791" s="28">
        <v>3357</v>
      </c>
      <c r="C2791" s="28" t="s">
        <v>843</v>
      </c>
      <c r="D2791" s="28"/>
      <c r="E2791" s="41">
        <v>46141</v>
      </c>
      <c r="F2791" s="47">
        <v>0.32212962962962965</v>
      </c>
      <c r="G2791" s="44">
        <v>6.3</v>
      </c>
      <c r="H2791" s="43" t="s">
        <v>235</v>
      </c>
      <c r="I2791" s="40" t="s">
        <v>1281</v>
      </c>
    </row>
    <row r="2792" spans="1:9" x14ac:dyDescent="0.25">
      <c r="A2792" s="40" t="s">
        <v>349</v>
      </c>
      <c r="B2792" s="28">
        <v>3357</v>
      </c>
      <c r="C2792" s="28" t="s">
        <v>843</v>
      </c>
      <c r="D2792" s="28"/>
      <c r="E2792" s="41">
        <v>46141</v>
      </c>
      <c r="F2792" s="47">
        <v>0.33390046296296294</v>
      </c>
      <c r="G2792" s="44">
        <v>6.3</v>
      </c>
      <c r="H2792" s="43" t="s">
        <v>236</v>
      </c>
      <c r="I2792" s="40" t="s">
        <v>1281</v>
      </c>
    </row>
    <row r="2793" spans="1:9" x14ac:dyDescent="0.25">
      <c r="A2793" s="40" t="s">
        <v>349</v>
      </c>
      <c r="B2793" s="28">
        <v>3357</v>
      </c>
      <c r="C2793" s="28">
        <v>10558932</v>
      </c>
      <c r="D2793" s="28"/>
      <c r="E2793" s="41">
        <v>46141</v>
      </c>
      <c r="F2793" s="47">
        <v>0.55321759259259262</v>
      </c>
      <c r="G2793" s="44">
        <v>6.3</v>
      </c>
      <c r="H2793" s="43" t="s">
        <v>237</v>
      </c>
      <c r="I2793" s="40" t="s">
        <v>1281</v>
      </c>
    </row>
    <row r="2794" spans="1:9" x14ac:dyDescent="0.25">
      <c r="A2794" s="40" t="s">
        <v>349</v>
      </c>
      <c r="B2794" s="28">
        <v>3357</v>
      </c>
      <c r="C2794" s="28">
        <v>10558932</v>
      </c>
      <c r="D2794" s="28"/>
      <c r="E2794" s="41">
        <v>46141</v>
      </c>
      <c r="F2794" s="47">
        <v>0.57155092592592593</v>
      </c>
      <c r="G2794" s="44">
        <v>6.3</v>
      </c>
      <c r="H2794" s="43" t="s">
        <v>234</v>
      </c>
      <c r="I2794" s="40" t="s">
        <v>1281</v>
      </c>
    </row>
    <row r="2795" spans="1:9" x14ac:dyDescent="0.25">
      <c r="A2795" s="40" t="s">
        <v>349</v>
      </c>
      <c r="B2795" s="28">
        <v>3357</v>
      </c>
      <c r="C2795" s="28" t="s">
        <v>844</v>
      </c>
      <c r="D2795" s="28"/>
      <c r="E2795" s="41">
        <v>46141</v>
      </c>
      <c r="F2795" s="47">
        <v>0.65111111111111108</v>
      </c>
      <c r="G2795" s="44">
        <v>6.3</v>
      </c>
      <c r="H2795" s="43" t="s">
        <v>236</v>
      </c>
      <c r="I2795" s="40" t="s">
        <v>1281</v>
      </c>
    </row>
    <row r="2796" spans="1:9" x14ac:dyDescent="0.25">
      <c r="A2796" s="40" t="s">
        <v>349</v>
      </c>
      <c r="B2796" s="28">
        <v>3357</v>
      </c>
      <c r="C2796" s="28" t="s">
        <v>845</v>
      </c>
      <c r="D2796" s="28"/>
      <c r="E2796" s="41">
        <v>46142</v>
      </c>
      <c r="F2796" s="47">
        <v>0.39386574074074077</v>
      </c>
      <c r="G2796" s="44">
        <v>6.3</v>
      </c>
      <c r="H2796" s="43" t="s">
        <v>233</v>
      </c>
      <c r="I2796" s="40" t="s">
        <v>1281</v>
      </c>
    </row>
    <row r="2797" spans="1:9" x14ac:dyDescent="0.25">
      <c r="A2797" s="40" t="s">
        <v>349</v>
      </c>
      <c r="B2797" s="28">
        <v>3357</v>
      </c>
      <c r="C2797" s="28" t="s">
        <v>845</v>
      </c>
      <c r="D2797" s="28"/>
      <c r="E2797" s="41">
        <v>46142</v>
      </c>
      <c r="F2797" s="47">
        <v>0.40023148148148147</v>
      </c>
      <c r="G2797" s="44">
        <v>6.3</v>
      </c>
      <c r="H2797" s="43" t="s">
        <v>234</v>
      </c>
      <c r="I2797" s="40" t="s">
        <v>1281</v>
      </c>
    </row>
    <row r="2798" spans="1:9" x14ac:dyDescent="0.25">
      <c r="A2798" s="40" t="s">
        <v>349</v>
      </c>
      <c r="B2798" s="28">
        <v>3357</v>
      </c>
      <c r="C2798" s="28" t="s">
        <v>846</v>
      </c>
      <c r="D2798" s="28"/>
      <c r="E2798" s="41">
        <v>46142</v>
      </c>
      <c r="F2798" s="47">
        <v>0.44317129629629631</v>
      </c>
      <c r="G2798" s="44">
        <v>6.3</v>
      </c>
      <c r="H2798" s="43" t="s">
        <v>235</v>
      </c>
      <c r="I2798" s="40" t="s">
        <v>1281</v>
      </c>
    </row>
    <row r="2799" spans="1:9" x14ac:dyDescent="0.25">
      <c r="A2799" s="40" t="s">
        <v>349</v>
      </c>
      <c r="B2799" s="28">
        <v>3357</v>
      </c>
      <c r="C2799" s="28" t="s">
        <v>847</v>
      </c>
      <c r="D2799" s="28"/>
      <c r="E2799" s="41">
        <v>46142</v>
      </c>
      <c r="F2799" s="47">
        <v>0.55922453703703701</v>
      </c>
      <c r="G2799" s="44">
        <v>6.3</v>
      </c>
      <c r="H2799" s="43" t="s">
        <v>234</v>
      </c>
      <c r="I2799" s="40" t="s">
        <v>1281</v>
      </c>
    </row>
    <row r="2800" spans="1:9" x14ac:dyDescent="0.25">
      <c r="A2800" s="40" t="s">
        <v>349</v>
      </c>
      <c r="B2800" s="28">
        <v>3357</v>
      </c>
      <c r="C2800" s="28" t="s">
        <v>848</v>
      </c>
      <c r="D2800" s="28"/>
      <c r="E2800" s="41">
        <v>46142</v>
      </c>
      <c r="F2800" s="47">
        <v>0.67710648148148145</v>
      </c>
      <c r="G2800" s="44">
        <v>6.3</v>
      </c>
      <c r="H2800" s="43" t="s">
        <v>235</v>
      </c>
      <c r="I2800" s="40" t="s">
        <v>1281</v>
      </c>
    </row>
    <row r="2801" spans="1:9" x14ac:dyDescent="0.25">
      <c r="A2801" s="40" t="s">
        <v>349</v>
      </c>
      <c r="B2801" s="28">
        <v>3357</v>
      </c>
      <c r="C2801" s="28" t="s">
        <v>848</v>
      </c>
      <c r="D2801" s="28"/>
      <c r="E2801" s="41">
        <v>46142</v>
      </c>
      <c r="F2801" s="47">
        <v>0.68863425925925925</v>
      </c>
      <c r="G2801" s="44">
        <v>6.3</v>
      </c>
      <c r="H2801" s="43" t="s">
        <v>239</v>
      </c>
      <c r="I2801" s="40" t="s">
        <v>1281</v>
      </c>
    </row>
    <row r="2802" spans="1:9" x14ac:dyDescent="0.25">
      <c r="A2802" s="40" t="s">
        <v>349</v>
      </c>
      <c r="B2802" s="28">
        <v>3357</v>
      </c>
      <c r="C2802" s="28" t="s">
        <v>849</v>
      </c>
      <c r="D2802" s="28"/>
      <c r="E2802" s="41">
        <v>46145</v>
      </c>
      <c r="F2802" s="47">
        <v>0.40927083333333331</v>
      </c>
      <c r="G2802" s="44">
        <v>6.3</v>
      </c>
      <c r="H2802" s="43" t="s">
        <v>233</v>
      </c>
      <c r="I2802" s="40" t="s">
        <v>1282</v>
      </c>
    </row>
    <row r="2803" spans="1:9" x14ac:dyDescent="0.25">
      <c r="A2803" s="40" t="s">
        <v>349</v>
      </c>
      <c r="B2803" s="28">
        <v>3357</v>
      </c>
      <c r="C2803" s="28" t="s">
        <v>849</v>
      </c>
      <c r="D2803" s="28"/>
      <c r="E2803" s="45">
        <v>46145</v>
      </c>
      <c r="F2803" s="48">
        <v>0.41434027777777777</v>
      </c>
      <c r="G2803" s="42">
        <v>6.3</v>
      </c>
      <c r="H2803" s="40" t="s">
        <v>234</v>
      </c>
      <c r="I2803" s="40" t="s">
        <v>1282</v>
      </c>
    </row>
    <row r="2804" spans="1:9" x14ac:dyDescent="0.25">
      <c r="A2804" s="40" t="s">
        <v>349</v>
      </c>
      <c r="B2804" s="28">
        <v>3357</v>
      </c>
      <c r="C2804" s="28" t="s">
        <v>850</v>
      </c>
      <c r="D2804" s="28"/>
      <c r="E2804" s="41">
        <v>46145</v>
      </c>
      <c r="F2804" s="47">
        <v>0.57469907407407406</v>
      </c>
      <c r="G2804" s="42">
        <v>6.3</v>
      </c>
      <c r="H2804" s="40" t="s">
        <v>235</v>
      </c>
      <c r="I2804" s="40" t="s">
        <v>1282</v>
      </c>
    </row>
    <row r="2805" spans="1:9" x14ac:dyDescent="0.25">
      <c r="A2805" s="40" t="s">
        <v>349</v>
      </c>
      <c r="B2805" s="28">
        <v>3357</v>
      </c>
      <c r="C2805" s="28" t="s">
        <v>850</v>
      </c>
      <c r="D2805" s="28"/>
      <c r="E2805" s="41">
        <v>46145</v>
      </c>
      <c r="F2805" s="47">
        <v>0.58189814814814811</v>
      </c>
      <c r="G2805" s="42">
        <v>6.3</v>
      </c>
      <c r="H2805" s="40" t="s">
        <v>239</v>
      </c>
      <c r="I2805" s="40" t="s">
        <v>1282</v>
      </c>
    </row>
    <row r="2806" spans="1:9" x14ac:dyDescent="0.25">
      <c r="A2806" s="40" t="s">
        <v>851</v>
      </c>
      <c r="B2806" s="28">
        <v>3368</v>
      </c>
      <c r="C2806" s="28">
        <v>5633829</v>
      </c>
      <c r="D2806" s="28" t="s">
        <v>37</v>
      </c>
      <c r="E2806" s="41">
        <v>46140</v>
      </c>
      <c r="F2806" s="47">
        <v>0.60335648148148147</v>
      </c>
      <c r="G2806" s="42">
        <v>6.3</v>
      </c>
      <c r="H2806" s="40" t="s">
        <v>234</v>
      </c>
      <c r="I2806" s="40" t="s">
        <v>1281</v>
      </c>
    </row>
    <row r="2807" spans="1:9" x14ac:dyDescent="0.25">
      <c r="A2807" s="40" t="s">
        <v>851</v>
      </c>
      <c r="B2807" s="28">
        <v>3368</v>
      </c>
      <c r="C2807" s="28">
        <v>5641748</v>
      </c>
      <c r="D2807" s="28"/>
      <c r="E2807" s="41">
        <v>46140</v>
      </c>
      <c r="F2807" s="47">
        <v>0.9697337962962963</v>
      </c>
      <c r="G2807" s="44">
        <v>6.3</v>
      </c>
      <c r="H2807" s="43" t="s">
        <v>237</v>
      </c>
      <c r="I2807" s="40" t="s">
        <v>1281</v>
      </c>
    </row>
    <row r="2808" spans="1:9" x14ac:dyDescent="0.25">
      <c r="A2808" s="40" t="s">
        <v>851</v>
      </c>
      <c r="B2808" s="28">
        <v>3368</v>
      </c>
      <c r="C2808" s="28">
        <v>5641983</v>
      </c>
      <c r="D2808" s="28"/>
      <c r="E2808" s="41">
        <v>46141</v>
      </c>
      <c r="F2808" s="47">
        <v>0.7474884259259259</v>
      </c>
      <c r="G2808" s="44">
        <v>6.3</v>
      </c>
      <c r="H2808" s="43" t="s">
        <v>234</v>
      </c>
      <c r="I2808" s="40" t="s">
        <v>1281</v>
      </c>
    </row>
    <row r="2809" spans="1:9" x14ac:dyDescent="0.25">
      <c r="A2809" s="40" t="s">
        <v>103</v>
      </c>
      <c r="B2809" s="28">
        <v>3378</v>
      </c>
      <c r="C2809" s="28">
        <v>10571369</v>
      </c>
      <c r="D2809" s="28" t="s">
        <v>36</v>
      </c>
      <c r="E2809" s="45">
        <v>46141</v>
      </c>
      <c r="F2809" s="48">
        <v>0.994537037037037</v>
      </c>
      <c r="G2809" s="44">
        <v>6.3</v>
      </c>
      <c r="H2809" s="43" t="s">
        <v>235</v>
      </c>
      <c r="I2809" s="40" t="s">
        <v>1281</v>
      </c>
    </row>
    <row r="2810" spans="1:9" x14ac:dyDescent="0.25">
      <c r="A2810" s="40" t="s">
        <v>103</v>
      </c>
      <c r="B2810" s="28">
        <v>3378</v>
      </c>
      <c r="C2810" s="28">
        <v>10571369</v>
      </c>
      <c r="D2810" s="28" t="s">
        <v>36</v>
      </c>
      <c r="E2810" s="41">
        <v>46142</v>
      </c>
      <c r="F2810" s="47">
        <v>9.4907407407407408E-4</v>
      </c>
      <c r="G2810" s="44">
        <v>6.3</v>
      </c>
      <c r="H2810" s="43" t="s">
        <v>236</v>
      </c>
      <c r="I2810" s="40" t="s">
        <v>1281</v>
      </c>
    </row>
    <row r="2811" spans="1:9" x14ac:dyDescent="0.25">
      <c r="A2811" s="40" t="s">
        <v>103</v>
      </c>
      <c r="B2811" s="28">
        <v>3378</v>
      </c>
      <c r="C2811" s="28">
        <v>5641511</v>
      </c>
      <c r="D2811" s="28"/>
      <c r="E2811" s="41">
        <v>46142</v>
      </c>
      <c r="F2811" s="47">
        <v>7.5960648148148152E-2</v>
      </c>
      <c r="G2811" s="44">
        <v>6.3</v>
      </c>
      <c r="H2811" s="43" t="s">
        <v>237</v>
      </c>
      <c r="I2811" s="40" t="s">
        <v>1281</v>
      </c>
    </row>
    <row r="2812" spans="1:9" x14ac:dyDescent="0.25">
      <c r="A2812" s="40" t="s">
        <v>103</v>
      </c>
      <c r="B2812" s="28">
        <v>3378</v>
      </c>
      <c r="C2812" s="28">
        <v>5641511</v>
      </c>
      <c r="D2812" s="28" t="s">
        <v>36</v>
      </c>
      <c r="E2812" s="41">
        <v>46142</v>
      </c>
      <c r="F2812" s="47">
        <v>8.0717592592592591E-2</v>
      </c>
      <c r="G2812" s="44">
        <v>6.3</v>
      </c>
      <c r="H2812" s="43" t="s">
        <v>234</v>
      </c>
      <c r="I2812" s="40" t="s">
        <v>1281</v>
      </c>
    </row>
    <row r="2813" spans="1:9" x14ac:dyDescent="0.25">
      <c r="A2813" s="40" t="s">
        <v>139</v>
      </c>
      <c r="B2813" s="28">
        <v>3381</v>
      </c>
      <c r="C2813" s="28" t="s">
        <v>35</v>
      </c>
      <c r="D2813" s="28" t="s">
        <v>38</v>
      </c>
      <c r="E2813" s="41">
        <v>46139</v>
      </c>
      <c r="F2813" s="47">
        <v>0.48428240740740741</v>
      </c>
      <c r="G2813" s="44">
        <v>6.3</v>
      </c>
      <c r="H2813" s="43" t="s">
        <v>234</v>
      </c>
      <c r="I2813" s="40" t="s">
        <v>1281</v>
      </c>
    </row>
    <row r="2814" spans="1:9" x14ac:dyDescent="0.25">
      <c r="A2814" s="40" t="s">
        <v>139</v>
      </c>
      <c r="B2814" s="28">
        <v>3381</v>
      </c>
      <c r="C2814" s="28" t="s">
        <v>852</v>
      </c>
      <c r="D2814" s="28"/>
      <c r="E2814" s="41">
        <v>46140</v>
      </c>
      <c r="F2814" s="47">
        <v>0.48185185185185186</v>
      </c>
      <c r="G2814" s="44">
        <v>6.3</v>
      </c>
      <c r="H2814" s="43" t="s">
        <v>235</v>
      </c>
      <c r="I2814" s="40" t="s">
        <v>1281</v>
      </c>
    </row>
    <row r="2815" spans="1:9" x14ac:dyDescent="0.25">
      <c r="A2815" s="40" t="s">
        <v>139</v>
      </c>
      <c r="B2815" s="28">
        <v>3381</v>
      </c>
      <c r="C2815" s="28" t="s">
        <v>852</v>
      </c>
      <c r="D2815" s="28"/>
      <c r="E2815" s="41">
        <v>46140</v>
      </c>
      <c r="F2815" s="47">
        <v>0.49356481481481479</v>
      </c>
      <c r="G2815" s="44">
        <v>6.3</v>
      </c>
      <c r="H2815" s="43" t="s">
        <v>236</v>
      </c>
      <c r="I2815" s="40" t="s">
        <v>1281</v>
      </c>
    </row>
    <row r="2816" spans="1:9" x14ac:dyDescent="0.25">
      <c r="A2816" s="40" t="s">
        <v>399</v>
      </c>
      <c r="B2816" s="28">
        <v>3386</v>
      </c>
      <c r="C2816" s="28" t="s">
        <v>853</v>
      </c>
      <c r="D2816" s="28"/>
      <c r="E2816" s="45">
        <v>46139</v>
      </c>
      <c r="F2816" s="48">
        <v>0.2464699074074074</v>
      </c>
      <c r="G2816" s="44">
        <v>6.3</v>
      </c>
      <c r="H2816" s="43" t="s">
        <v>235</v>
      </c>
      <c r="I2816" s="40" t="s">
        <v>1281</v>
      </c>
    </row>
    <row r="2817" spans="1:9" x14ac:dyDescent="0.25">
      <c r="A2817" s="40" t="s">
        <v>399</v>
      </c>
      <c r="B2817" s="28">
        <v>3386</v>
      </c>
      <c r="C2817" s="28" t="s">
        <v>853</v>
      </c>
      <c r="D2817" s="28"/>
      <c r="E2817" s="41">
        <v>46139</v>
      </c>
      <c r="F2817" s="47">
        <v>0.2580439814814815</v>
      </c>
      <c r="G2817" s="44">
        <v>6.3</v>
      </c>
      <c r="H2817" s="43" t="s">
        <v>236</v>
      </c>
      <c r="I2817" s="40" t="s">
        <v>1281</v>
      </c>
    </row>
    <row r="2818" spans="1:9" x14ac:dyDescent="0.25">
      <c r="A2818" s="40" t="s">
        <v>399</v>
      </c>
      <c r="B2818" s="28">
        <v>3386</v>
      </c>
      <c r="C2818" s="28">
        <v>5635777</v>
      </c>
      <c r="D2818" s="28"/>
      <c r="E2818" s="41">
        <v>46139</v>
      </c>
      <c r="F2818" s="47">
        <v>0.31545138888888891</v>
      </c>
      <c r="G2818" s="44">
        <v>6.3</v>
      </c>
      <c r="H2818" s="43" t="s">
        <v>234</v>
      </c>
      <c r="I2818" s="40" t="s">
        <v>1281</v>
      </c>
    </row>
    <row r="2819" spans="1:9" x14ac:dyDescent="0.25">
      <c r="A2819" s="40" t="s">
        <v>399</v>
      </c>
      <c r="B2819" s="28">
        <v>3386</v>
      </c>
      <c r="C2819" s="28" t="s">
        <v>35</v>
      </c>
      <c r="D2819" s="28" t="s">
        <v>38</v>
      </c>
      <c r="E2819" s="41">
        <v>46141</v>
      </c>
      <c r="F2819" s="47">
        <v>0.4334027777777778</v>
      </c>
      <c r="G2819" s="44">
        <v>6.3</v>
      </c>
      <c r="H2819" s="43" t="s">
        <v>237</v>
      </c>
      <c r="I2819" s="40" t="s">
        <v>1281</v>
      </c>
    </row>
    <row r="2820" spans="1:9" x14ac:dyDescent="0.25">
      <c r="A2820" s="40" t="s">
        <v>399</v>
      </c>
      <c r="B2820" s="28">
        <v>3386</v>
      </c>
      <c r="C2820" s="28" t="s">
        <v>35</v>
      </c>
      <c r="D2820" s="28" t="s">
        <v>38</v>
      </c>
      <c r="E2820" s="41">
        <v>46141</v>
      </c>
      <c r="F2820" s="47">
        <v>0.44978009259259261</v>
      </c>
      <c r="G2820" s="44">
        <v>6.3</v>
      </c>
      <c r="H2820" s="43" t="s">
        <v>234</v>
      </c>
      <c r="I2820" s="40" t="s">
        <v>1281</v>
      </c>
    </row>
    <row r="2821" spans="1:9" x14ac:dyDescent="0.25">
      <c r="A2821" s="40" t="s">
        <v>399</v>
      </c>
      <c r="B2821" s="28">
        <v>3386</v>
      </c>
      <c r="C2821" s="28">
        <v>5644659</v>
      </c>
      <c r="D2821" s="28"/>
      <c r="E2821" s="41">
        <v>46142</v>
      </c>
      <c r="F2821" s="47">
        <v>0.55275462962962962</v>
      </c>
      <c r="G2821" s="44">
        <v>6.3</v>
      </c>
      <c r="H2821" s="43" t="s">
        <v>235</v>
      </c>
      <c r="I2821" s="40" t="s">
        <v>1281</v>
      </c>
    </row>
    <row r="2822" spans="1:9" x14ac:dyDescent="0.25">
      <c r="A2822" s="40" t="s">
        <v>399</v>
      </c>
      <c r="B2822" s="28">
        <v>3386</v>
      </c>
      <c r="C2822" s="28">
        <v>5644659</v>
      </c>
      <c r="D2822" s="28"/>
      <c r="E2822" s="41">
        <v>46142</v>
      </c>
      <c r="F2822" s="47">
        <v>0.56656249999999997</v>
      </c>
      <c r="G2822" s="44">
        <v>6.3</v>
      </c>
      <c r="H2822" s="43" t="s">
        <v>239</v>
      </c>
      <c r="I2822" s="40" t="s">
        <v>1281</v>
      </c>
    </row>
    <row r="2823" spans="1:9" x14ac:dyDescent="0.25">
      <c r="A2823" s="40" t="s">
        <v>399</v>
      </c>
      <c r="B2823" s="28">
        <v>3386</v>
      </c>
      <c r="C2823" s="28" t="s">
        <v>35</v>
      </c>
      <c r="D2823" s="28" t="s">
        <v>38</v>
      </c>
      <c r="E2823" s="41">
        <v>46142</v>
      </c>
      <c r="F2823" s="47">
        <v>0.90047453703703706</v>
      </c>
      <c r="G2823" s="44">
        <v>6.3</v>
      </c>
      <c r="H2823" s="43" t="s">
        <v>235</v>
      </c>
      <c r="I2823" s="40" t="s">
        <v>1281</v>
      </c>
    </row>
    <row r="2824" spans="1:9" x14ac:dyDescent="0.25">
      <c r="A2824" s="40" t="s">
        <v>399</v>
      </c>
      <c r="B2824" s="28">
        <v>3386</v>
      </c>
      <c r="C2824" s="28" t="s">
        <v>35</v>
      </c>
      <c r="D2824" s="28" t="s">
        <v>38</v>
      </c>
      <c r="E2824" s="41">
        <v>46142</v>
      </c>
      <c r="F2824" s="47">
        <v>0.90893518518518523</v>
      </c>
      <c r="G2824" s="42">
        <v>6.3</v>
      </c>
      <c r="H2824" s="40" t="s">
        <v>236</v>
      </c>
      <c r="I2824" s="40" t="s">
        <v>1281</v>
      </c>
    </row>
    <row r="2825" spans="1:9" x14ac:dyDescent="0.25">
      <c r="A2825" s="40" t="s">
        <v>399</v>
      </c>
      <c r="B2825" s="28">
        <v>3386</v>
      </c>
      <c r="C2825" s="28" t="s">
        <v>35</v>
      </c>
      <c r="D2825" s="28" t="s">
        <v>38</v>
      </c>
      <c r="E2825" s="45">
        <v>46143</v>
      </c>
      <c r="F2825" s="48">
        <v>2.7696759259259258E-2</v>
      </c>
      <c r="G2825" s="42">
        <v>6.3</v>
      </c>
      <c r="H2825" s="40" t="s">
        <v>237</v>
      </c>
      <c r="I2825" s="40" t="s">
        <v>1282</v>
      </c>
    </row>
    <row r="2826" spans="1:9" x14ac:dyDescent="0.25">
      <c r="A2826" s="40" t="s">
        <v>399</v>
      </c>
      <c r="B2826" s="28">
        <v>3386</v>
      </c>
      <c r="C2826" s="28">
        <v>5647288</v>
      </c>
      <c r="D2826" s="28"/>
      <c r="E2826" s="41">
        <v>46144</v>
      </c>
      <c r="F2826" s="47">
        <v>0.37167824074074074</v>
      </c>
      <c r="G2826" s="42">
        <v>6.3</v>
      </c>
      <c r="H2826" s="40" t="s">
        <v>235</v>
      </c>
      <c r="I2826" s="40" t="s">
        <v>1282</v>
      </c>
    </row>
    <row r="2827" spans="1:9" x14ac:dyDescent="0.25">
      <c r="A2827" s="40" t="s">
        <v>399</v>
      </c>
      <c r="B2827" s="28">
        <v>3386</v>
      </c>
      <c r="C2827" s="28">
        <v>5647288</v>
      </c>
      <c r="D2827" s="28"/>
      <c r="E2827" s="41">
        <v>46144</v>
      </c>
      <c r="F2827" s="47">
        <v>0.37829861111111113</v>
      </c>
      <c r="G2827" s="42">
        <v>6.3</v>
      </c>
      <c r="H2827" s="40" t="s">
        <v>236</v>
      </c>
      <c r="I2827" s="40" t="s">
        <v>1282</v>
      </c>
    </row>
    <row r="2828" spans="1:9" x14ac:dyDescent="0.25">
      <c r="A2828" s="40" t="s">
        <v>171</v>
      </c>
      <c r="B2828" s="28">
        <v>3398</v>
      </c>
      <c r="C2828" s="28">
        <v>5639921</v>
      </c>
      <c r="D2828" s="28"/>
      <c r="E2828" s="45">
        <v>46140</v>
      </c>
      <c r="F2828" s="48">
        <v>0.33116898148148149</v>
      </c>
      <c r="G2828" s="42">
        <v>6.3</v>
      </c>
      <c r="H2828" s="40" t="s">
        <v>237</v>
      </c>
      <c r="I2828" s="40" t="s">
        <v>1281</v>
      </c>
    </row>
    <row r="2829" spans="1:9" x14ac:dyDescent="0.25">
      <c r="A2829" s="40" t="s">
        <v>171</v>
      </c>
      <c r="B2829" s="28">
        <v>3398</v>
      </c>
      <c r="C2829" s="28">
        <v>5640642</v>
      </c>
      <c r="D2829" s="28"/>
      <c r="E2829" s="41">
        <v>46140</v>
      </c>
      <c r="F2829" s="47">
        <v>0.7588773148148148</v>
      </c>
      <c r="G2829" s="42">
        <v>6.3</v>
      </c>
      <c r="H2829" s="40" t="s">
        <v>237</v>
      </c>
      <c r="I2829" s="40" t="s">
        <v>1281</v>
      </c>
    </row>
    <row r="2830" spans="1:9" x14ac:dyDescent="0.25">
      <c r="A2830" s="40" t="s">
        <v>171</v>
      </c>
      <c r="B2830" s="28">
        <v>3398</v>
      </c>
      <c r="C2830" s="28">
        <v>5640638</v>
      </c>
      <c r="D2830" s="28"/>
      <c r="E2830" s="41">
        <v>46141</v>
      </c>
      <c r="F2830" s="47">
        <v>0.7439351851851852</v>
      </c>
      <c r="G2830" s="42">
        <v>6.3</v>
      </c>
      <c r="H2830" s="40" t="s">
        <v>241</v>
      </c>
      <c r="I2830" s="40" t="s">
        <v>1281</v>
      </c>
    </row>
    <row r="2831" spans="1:9" x14ac:dyDescent="0.25">
      <c r="A2831" s="40" t="s">
        <v>171</v>
      </c>
      <c r="B2831" s="28">
        <v>3398</v>
      </c>
      <c r="C2831" s="28">
        <v>5645256</v>
      </c>
      <c r="D2831" s="28"/>
      <c r="E2831" s="41">
        <v>46143</v>
      </c>
      <c r="F2831" s="47">
        <v>0.48622685185185183</v>
      </c>
      <c r="G2831" s="42">
        <v>6.3</v>
      </c>
      <c r="H2831" s="40" t="s">
        <v>233</v>
      </c>
      <c r="I2831" s="40" t="s">
        <v>1282</v>
      </c>
    </row>
    <row r="2832" spans="1:9" x14ac:dyDescent="0.25">
      <c r="A2832" s="40" t="s">
        <v>171</v>
      </c>
      <c r="B2832" s="28">
        <v>3398</v>
      </c>
      <c r="C2832" s="28">
        <v>5645256</v>
      </c>
      <c r="D2832" s="28"/>
      <c r="E2832" s="41">
        <v>46143</v>
      </c>
      <c r="F2832" s="47">
        <v>0.4918865740740741</v>
      </c>
      <c r="G2832" s="44">
        <v>6.3</v>
      </c>
      <c r="H2832" s="43" t="s">
        <v>234</v>
      </c>
      <c r="I2832" s="40" t="s">
        <v>1282</v>
      </c>
    </row>
    <row r="2833" spans="1:9" x14ac:dyDescent="0.25">
      <c r="A2833" s="40" t="s">
        <v>171</v>
      </c>
      <c r="B2833" s="28">
        <v>3398</v>
      </c>
      <c r="C2833" s="28" t="s">
        <v>854</v>
      </c>
      <c r="D2833" s="28"/>
      <c r="E2833" s="41">
        <v>46143</v>
      </c>
      <c r="F2833" s="47">
        <v>0.61181712962962964</v>
      </c>
      <c r="G2833" s="44">
        <v>6.3</v>
      </c>
      <c r="H2833" s="43" t="s">
        <v>235</v>
      </c>
      <c r="I2833" s="40" t="s">
        <v>1282</v>
      </c>
    </row>
    <row r="2834" spans="1:9" x14ac:dyDescent="0.25">
      <c r="A2834" s="40" t="s">
        <v>171</v>
      </c>
      <c r="B2834" s="28">
        <v>3398</v>
      </c>
      <c r="C2834" s="28" t="s">
        <v>854</v>
      </c>
      <c r="D2834" s="28"/>
      <c r="E2834" s="41">
        <v>46143</v>
      </c>
      <c r="F2834" s="47">
        <v>0.61906249999999996</v>
      </c>
      <c r="G2834" s="44">
        <v>6.3</v>
      </c>
      <c r="H2834" s="43" t="s">
        <v>239</v>
      </c>
      <c r="I2834" s="40" t="s">
        <v>1282</v>
      </c>
    </row>
    <row r="2835" spans="1:9" x14ac:dyDescent="0.25">
      <c r="A2835" s="40" t="s">
        <v>171</v>
      </c>
      <c r="B2835" s="28">
        <v>3398</v>
      </c>
      <c r="C2835" s="28">
        <v>5646631</v>
      </c>
      <c r="D2835" s="28"/>
      <c r="E2835" s="41">
        <v>46143</v>
      </c>
      <c r="F2835" s="47">
        <v>0.71423611111111107</v>
      </c>
      <c r="G2835" s="44">
        <v>6.3</v>
      </c>
      <c r="H2835" s="43" t="s">
        <v>237</v>
      </c>
      <c r="I2835" s="40" t="s">
        <v>1282</v>
      </c>
    </row>
    <row r="2836" spans="1:9" x14ac:dyDescent="0.25">
      <c r="A2836" s="40" t="s">
        <v>171</v>
      </c>
      <c r="B2836" s="28">
        <v>3398</v>
      </c>
      <c r="C2836" s="28" t="s">
        <v>35</v>
      </c>
      <c r="D2836" s="28" t="s">
        <v>38</v>
      </c>
      <c r="E2836" s="41">
        <v>46143</v>
      </c>
      <c r="F2836" s="47">
        <v>0.75954861111111116</v>
      </c>
      <c r="G2836" s="44">
        <v>6.3</v>
      </c>
      <c r="H2836" s="43" t="s">
        <v>239</v>
      </c>
      <c r="I2836" s="40" t="s">
        <v>1282</v>
      </c>
    </row>
    <row r="2837" spans="1:9" x14ac:dyDescent="0.25">
      <c r="A2837" s="40" t="s">
        <v>171</v>
      </c>
      <c r="B2837" s="28">
        <v>3398</v>
      </c>
      <c r="C2837" s="28">
        <v>5646877</v>
      </c>
      <c r="D2837" s="28"/>
      <c r="E2837" s="41">
        <v>46143</v>
      </c>
      <c r="F2837" s="47">
        <v>0.93129629629629629</v>
      </c>
      <c r="G2837" s="44">
        <v>6.3</v>
      </c>
      <c r="H2837" s="43" t="s">
        <v>235</v>
      </c>
      <c r="I2837" s="40" t="s">
        <v>1282</v>
      </c>
    </row>
    <row r="2838" spans="1:9" x14ac:dyDescent="0.25">
      <c r="A2838" s="40" t="s">
        <v>171</v>
      </c>
      <c r="B2838" s="28">
        <v>3398</v>
      </c>
      <c r="C2838" s="28">
        <v>5646877</v>
      </c>
      <c r="D2838" s="28"/>
      <c r="E2838" s="41">
        <v>46143</v>
      </c>
      <c r="F2838" s="47">
        <v>0.93871527777777775</v>
      </c>
      <c r="G2838" s="44">
        <v>6.3</v>
      </c>
      <c r="H2838" s="43" t="s">
        <v>239</v>
      </c>
      <c r="I2838" s="40" t="s">
        <v>1282</v>
      </c>
    </row>
    <row r="2839" spans="1:9" x14ac:dyDescent="0.25">
      <c r="A2839" s="40" t="s">
        <v>171</v>
      </c>
      <c r="B2839" s="28">
        <v>3398</v>
      </c>
      <c r="C2839" s="28">
        <v>5646790</v>
      </c>
      <c r="D2839" s="28"/>
      <c r="E2839" s="41">
        <v>46144</v>
      </c>
      <c r="F2839" s="47">
        <v>0.55390046296296291</v>
      </c>
      <c r="G2839" s="44">
        <v>6.3</v>
      </c>
      <c r="H2839" s="43" t="s">
        <v>237</v>
      </c>
      <c r="I2839" s="40" t="s">
        <v>1282</v>
      </c>
    </row>
    <row r="2840" spans="1:9" x14ac:dyDescent="0.25">
      <c r="A2840" s="40" t="s">
        <v>171</v>
      </c>
      <c r="B2840" s="28">
        <v>3398</v>
      </c>
      <c r="C2840" s="28">
        <v>5646790</v>
      </c>
      <c r="D2840" s="28"/>
      <c r="E2840" s="41">
        <v>46144</v>
      </c>
      <c r="F2840" s="47">
        <v>0.55965277777777778</v>
      </c>
      <c r="G2840" s="44">
        <v>6.3</v>
      </c>
      <c r="H2840" s="43" t="s">
        <v>234</v>
      </c>
      <c r="I2840" s="40" t="s">
        <v>1282</v>
      </c>
    </row>
    <row r="2841" spans="1:9" x14ac:dyDescent="0.25">
      <c r="A2841" s="40" t="s">
        <v>171</v>
      </c>
      <c r="B2841" s="28">
        <v>3398</v>
      </c>
      <c r="C2841" s="28" t="s">
        <v>855</v>
      </c>
      <c r="D2841" s="28"/>
      <c r="E2841" s="41">
        <v>46144</v>
      </c>
      <c r="F2841" s="47">
        <v>0.65611111111111109</v>
      </c>
      <c r="G2841" s="44">
        <v>6.3</v>
      </c>
      <c r="H2841" s="43" t="s">
        <v>235</v>
      </c>
      <c r="I2841" s="40" t="s">
        <v>1282</v>
      </c>
    </row>
    <row r="2842" spans="1:9" x14ac:dyDescent="0.25">
      <c r="A2842" s="40" t="s">
        <v>171</v>
      </c>
      <c r="B2842" s="28">
        <v>3398</v>
      </c>
      <c r="C2842" s="28" t="s">
        <v>855</v>
      </c>
      <c r="D2842" s="28"/>
      <c r="E2842" s="41">
        <v>46144</v>
      </c>
      <c r="F2842" s="47">
        <v>0.66696759259259264</v>
      </c>
      <c r="G2842" s="44">
        <v>6.3</v>
      </c>
      <c r="H2842" s="43" t="s">
        <v>239</v>
      </c>
      <c r="I2842" s="40" t="s">
        <v>1282</v>
      </c>
    </row>
    <row r="2843" spans="1:9" x14ac:dyDescent="0.25">
      <c r="A2843" s="40" t="s">
        <v>171</v>
      </c>
      <c r="B2843" s="28">
        <v>3398</v>
      </c>
      <c r="C2843" s="28">
        <v>5647347</v>
      </c>
      <c r="D2843" s="28" t="s">
        <v>37</v>
      </c>
      <c r="E2843" s="41">
        <v>46144</v>
      </c>
      <c r="F2843" s="47">
        <v>0.81769675925925922</v>
      </c>
      <c r="G2843" s="44">
        <v>6.3</v>
      </c>
      <c r="H2843" s="43" t="s">
        <v>236</v>
      </c>
      <c r="I2843" s="40" t="s">
        <v>1282</v>
      </c>
    </row>
    <row r="2844" spans="1:9" x14ac:dyDescent="0.25">
      <c r="A2844" s="40" t="s">
        <v>171</v>
      </c>
      <c r="B2844" s="28">
        <v>3398</v>
      </c>
      <c r="C2844" s="28" t="s">
        <v>856</v>
      </c>
      <c r="D2844" s="28"/>
      <c r="E2844" s="41">
        <v>46145</v>
      </c>
      <c r="F2844" s="47">
        <v>0.50384259259259256</v>
      </c>
      <c r="G2844" s="44">
        <v>6.3</v>
      </c>
      <c r="H2844" s="43" t="s">
        <v>233</v>
      </c>
      <c r="I2844" s="40" t="s">
        <v>1282</v>
      </c>
    </row>
    <row r="2845" spans="1:9" x14ac:dyDescent="0.25">
      <c r="A2845" s="40" t="s">
        <v>171</v>
      </c>
      <c r="B2845" s="28">
        <v>3398</v>
      </c>
      <c r="C2845" s="28" t="s">
        <v>856</v>
      </c>
      <c r="D2845" s="28"/>
      <c r="E2845" s="41">
        <v>46145</v>
      </c>
      <c r="F2845" s="47">
        <v>0.50930555555555557</v>
      </c>
      <c r="G2845" s="44">
        <v>6.3</v>
      </c>
      <c r="H2845" s="43" t="s">
        <v>234</v>
      </c>
      <c r="I2845" s="40" t="s">
        <v>1282</v>
      </c>
    </row>
    <row r="2846" spans="1:9" x14ac:dyDescent="0.25">
      <c r="A2846" s="40" t="s">
        <v>171</v>
      </c>
      <c r="B2846" s="28">
        <v>3398</v>
      </c>
      <c r="C2846" s="28">
        <v>5648600</v>
      </c>
      <c r="D2846" s="28"/>
      <c r="E2846" s="41">
        <v>46145</v>
      </c>
      <c r="F2846" s="47">
        <v>0.56510416666666663</v>
      </c>
      <c r="G2846" s="44">
        <v>6.3</v>
      </c>
      <c r="H2846" s="43" t="s">
        <v>235</v>
      </c>
      <c r="I2846" s="40" t="s">
        <v>1282</v>
      </c>
    </row>
    <row r="2847" spans="1:9" x14ac:dyDescent="0.25">
      <c r="A2847" s="40" t="s">
        <v>171</v>
      </c>
      <c r="B2847" s="28">
        <v>3398</v>
      </c>
      <c r="C2847" s="28">
        <v>5648600</v>
      </c>
      <c r="D2847" s="28"/>
      <c r="E2847" s="41">
        <v>46145</v>
      </c>
      <c r="F2847" s="47">
        <v>0.57285879629629632</v>
      </c>
      <c r="G2847" s="44">
        <v>6.3</v>
      </c>
      <c r="H2847" s="43" t="s">
        <v>236</v>
      </c>
      <c r="I2847" s="40" t="s">
        <v>1282</v>
      </c>
    </row>
    <row r="2848" spans="1:9" x14ac:dyDescent="0.25">
      <c r="A2848" s="40" t="s">
        <v>171</v>
      </c>
      <c r="B2848" s="28">
        <v>3398</v>
      </c>
      <c r="C2848" s="28" t="s">
        <v>857</v>
      </c>
      <c r="D2848" s="28"/>
      <c r="E2848" s="45">
        <v>46145</v>
      </c>
      <c r="F2848" s="48">
        <v>0.85048611111111116</v>
      </c>
      <c r="G2848" s="44">
        <v>6.3</v>
      </c>
      <c r="H2848" s="43" t="s">
        <v>237</v>
      </c>
      <c r="I2848" s="40" t="s">
        <v>1282</v>
      </c>
    </row>
    <row r="2849" spans="1:9" x14ac:dyDescent="0.25">
      <c r="A2849" s="40" t="s">
        <v>171</v>
      </c>
      <c r="B2849" s="28">
        <v>3398</v>
      </c>
      <c r="C2849" s="28" t="s">
        <v>857</v>
      </c>
      <c r="D2849" s="28"/>
      <c r="E2849" s="41">
        <v>46145</v>
      </c>
      <c r="F2849" s="47">
        <v>0.85605324074074074</v>
      </c>
      <c r="G2849" s="44">
        <v>6.3</v>
      </c>
      <c r="H2849" s="43" t="s">
        <v>234</v>
      </c>
      <c r="I2849" s="40" t="s">
        <v>1282</v>
      </c>
    </row>
    <row r="2850" spans="1:9" x14ac:dyDescent="0.25">
      <c r="A2850" s="40" t="s">
        <v>171</v>
      </c>
      <c r="B2850" s="28">
        <v>3398</v>
      </c>
      <c r="C2850" s="28">
        <v>5649158</v>
      </c>
      <c r="D2850" s="28"/>
      <c r="E2850" s="41">
        <v>46145</v>
      </c>
      <c r="F2850" s="47">
        <v>0.91446759259259258</v>
      </c>
      <c r="G2850" s="44">
        <v>6.3</v>
      </c>
      <c r="H2850" s="43" t="s">
        <v>235</v>
      </c>
      <c r="I2850" s="40" t="s">
        <v>1282</v>
      </c>
    </row>
    <row r="2851" spans="1:9" x14ac:dyDescent="0.25">
      <c r="A2851" s="40" t="s">
        <v>171</v>
      </c>
      <c r="B2851" s="28">
        <v>3398</v>
      </c>
      <c r="C2851" s="28">
        <v>5649158</v>
      </c>
      <c r="D2851" s="28"/>
      <c r="E2851" s="45">
        <v>46145</v>
      </c>
      <c r="F2851" s="48">
        <v>0.9211921296296296</v>
      </c>
      <c r="G2851" s="44">
        <v>6.3</v>
      </c>
      <c r="H2851" s="43" t="s">
        <v>239</v>
      </c>
      <c r="I2851" s="40" t="s">
        <v>1282</v>
      </c>
    </row>
    <row r="2852" spans="1:9" x14ac:dyDescent="0.25">
      <c r="A2852" s="40" t="s">
        <v>858</v>
      </c>
      <c r="B2852" s="28">
        <v>3399</v>
      </c>
      <c r="C2852" s="28">
        <v>5637373</v>
      </c>
      <c r="D2852" s="28" t="s">
        <v>37</v>
      </c>
      <c r="E2852" s="41">
        <v>46139</v>
      </c>
      <c r="F2852" s="47">
        <v>0.14315972222222223</v>
      </c>
      <c r="G2852" s="44">
        <v>6.3</v>
      </c>
      <c r="H2852" s="43" t="s">
        <v>237</v>
      </c>
      <c r="I2852" s="40" t="s">
        <v>1281</v>
      </c>
    </row>
    <row r="2853" spans="1:9" x14ac:dyDescent="0.25">
      <c r="A2853" s="40" t="s">
        <v>858</v>
      </c>
      <c r="B2853" s="28">
        <v>3399</v>
      </c>
      <c r="C2853" s="28">
        <v>5637373</v>
      </c>
      <c r="D2853" s="28" t="s">
        <v>37</v>
      </c>
      <c r="E2853" s="41">
        <v>46139</v>
      </c>
      <c r="F2853" s="47">
        <v>0.14818287037037037</v>
      </c>
      <c r="G2853" s="44">
        <v>6.3</v>
      </c>
      <c r="H2853" s="43" t="s">
        <v>234</v>
      </c>
      <c r="I2853" s="40" t="s">
        <v>1281</v>
      </c>
    </row>
    <row r="2854" spans="1:9" x14ac:dyDescent="0.25">
      <c r="A2854" s="40" t="s">
        <v>858</v>
      </c>
      <c r="B2854" s="28">
        <v>3399</v>
      </c>
      <c r="C2854" s="28">
        <v>5643147</v>
      </c>
      <c r="D2854" s="28"/>
      <c r="E2854" s="41">
        <v>46141</v>
      </c>
      <c r="F2854" s="47">
        <v>0.81660879629629635</v>
      </c>
      <c r="G2854" s="44">
        <v>6.3</v>
      </c>
      <c r="H2854" s="43" t="s">
        <v>237</v>
      </c>
      <c r="I2854" s="40" t="s">
        <v>1281</v>
      </c>
    </row>
    <row r="2855" spans="1:9" x14ac:dyDescent="0.25">
      <c r="A2855" s="40" t="s">
        <v>858</v>
      </c>
      <c r="B2855" s="28">
        <v>3399</v>
      </c>
      <c r="C2855" s="28">
        <v>5643678</v>
      </c>
      <c r="D2855" s="28"/>
      <c r="E2855" s="41">
        <v>46141</v>
      </c>
      <c r="F2855" s="47">
        <v>0.93957175925925929</v>
      </c>
      <c r="G2855" s="44">
        <v>6.3</v>
      </c>
      <c r="H2855" s="43" t="s">
        <v>236</v>
      </c>
      <c r="I2855" s="40" t="s">
        <v>1281</v>
      </c>
    </row>
    <row r="2856" spans="1:9" x14ac:dyDescent="0.25">
      <c r="A2856" s="40" t="s">
        <v>858</v>
      </c>
      <c r="B2856" s="28">
        <v>3399</v>
      </c>
      <c r="C2856" s="28">
        <v>5643851</v>
      </c>
      <c r="D2856" s="28"/>
      <c r="E2856" s="41">
        <v>46142</v>
      </c>
      <c r="F2856" s="47">
        <v>0.34681712962962963</v>
      </c>
      <c r="G2856" s="44">
        <v>6.3</v>
      </c>
      <c r="H2856" s="43" t="s">
        <v>235</v>
      </c>
      <c r="I2856" s="40" t="s">
        <v>1281</v>
      </c>
    </row>
    <row r="2857" spans="1:9" x14ac:dyDescent="0.25">
      <c r="A2857" s="40" t="s">
        <v>858</v>
      </c>
      <c r="B2857" s="28">
        <v>3399</v>
      </c>
      <c r="C2857" s="28">
        <v>5643851</v>
      </c>
      <c r="D2857" s="28"/>
      <c r="E2857" s="45">
        <v>46142</v>
      </c>
      <c r="F2857" s="48">
        <v>0.36313657407407407</v>
      </c>
      <c r="G2857" s="44">
        <v>6.3</v>
      </c>
      <c r="H2857" s="43" t="s">
        <v>236</v>
      </c>
      <c r="I2857" s="40" t="s">
        <v>1281</v>
      </c>
    </row>
    <row r="2858" spans="1:9" x14ac:dyDescent="0.25">
      <c r="A2858" s="40" t="s">
        <v>858</v>
      </c>
      <c r="B2858" s="28">
        <v>3399</v>
      </c>
      <c r="C2858" s="28">
        <v>5645654</v>
      </c>
      <c r="D2858" s="28"/>
      <c r="E2858" s="41">
        <v>46142</v>
      </c>
      <c r="F2858" s="47">
        <v>0.97504629629629624</v>
      </c>
      <c r="G2858" s="44">
        <v>6.3</v>
      </c>
      <c r="H2858" s="43" t="s">
        <v>236</v>
      </c>
      <c r="I2858" s="40" t="s">
        <v>1282</v>
      </c>
    </row>
    <row r="2859" spans="1:9" x14ac:dyDescent="0.25">
      <c r="A2859" s="40" t="s">
        <v>104</v>
      </c>
      <c r="B2859" s="28">
        <v>3411</v>
      </c>
      <c r="C2859" s="28" t="s">
        <v>35</v>
      </c>
      <c r="D2859" s="28" t="s">
        <v>38</v>
      </c>
      <c r="E2859" s="41">
        <v>46139</v>
      </c>
      <c r="F2859" s="47">
        <v>0.52875000000000005</v>
      </c>
      <c r="G2859" s="44">
        <v>6.3</v>
      </c>
      <c r="H2859" s="43" t="s">
        <v>233</v>
      </c>
      <c r="I2859" s="40" t="s">
        <v>1281</v>
      </c>
    </row>
    <row r="2860" spans="1:9" x14ac:dyDescent="0.25">
      <c r="A2860" s="40" t="s">
        <v>104</v>
      </c>
      <c r="B2860" s="28">
        <v>3411</v>
      </c>
      <c r="C2860" s="28" t="s">
        <v>35</v>
      </c>
      <c r="D2860" s="28" t="s">
        <v>38</v>
      </c>
      <c r="E2860" s="41">
        <v>46139</v>
      </c>
      <c r="F2860" s="47">
        <v>0.53517361111111106</v>
      </c>
      <c r="G2860" s="44">
        <v>6.3</v>
      </c>
      <c r="H2860" s="43" t="s">
        <v>234</v>
      </c>
      <c r="I2860" s="40" t="s">
        <v>1281</v>
      </c>
    </row>
    <row r="2861" spans="1:9" x14ac:dyDescent="0.25">
      <c r="A2861" s="40" t="s">
        <v>104</v>
      </c>
      <c r="B2861" s="28">
        <v>3411</v>
      </c>
      <c r="C2861" s="28">
        <v>5643695</v>
      </c>
      <c r="D2861" s="28"/>
      <c r="E2861" s="41">
        <v>46142</v>
      </c>
      <c r="F2861" s="47">
        <v>0.33550925925925928</v>
      </c>
      <c r="G2861" s="44">
        <v>6.3</v>
      </c>
      <c r="H2861" s="43" t="s">
        <v>237</v>
      </c>
      <c r="I2861" s="40" t="s">
        <v>1281</v>
      </c>
    </row>
    <row r="2862" spans="1:9" x14ac:dyDescent="0.25">
      <c r="A2862" s="40" t="s">
        <v>104</v>
      </c>
      <c r="B2862" s="28">
        <v>3411</v>
      </c>
      <c r="C2862" s="28">
        <v>5643695</v>
      </c>
      <c r="D2862" s="28"/>
      <c r="E2862" s="41">
        <v>46142</v>
      </c>
      <c r="F2862" s="47">
        <v>0.34594907407407405</v>
      </c>
      <c r="G2862" s="44">
        <v>6.3</v>
      </c>
      <c r="H2862" s="43" t="s">
        <v>234</v>
      </c>
      <c r="I2862" s="40" t="s">
        <v>1281</v>
      </c>
    </row>
    <row r="2863" spans="1:9" x14ac:dyDescent="0.25">
      <c r="A2863" s="40" t="s">
        <v>104</v>
      </c>
      <c r="B2863" s="28">
        <v>3411</v>
      </c>
      <c r="C2863" s="28" t="s">
        <v>859</v>
      </c>
      <c r="D2863" s="28"/>
      <c r="E2863" s="41">
        <v>46142</v>
      </c>
      <c r="F2863" s="47">
        <v>0.40914351851851855</v>
      </c>
      <c r="G2863" s="44">
        <v>6.3</v>
      </c>
      <c r="H2863" s="43" t="s">
        <v>235</v>
      </c>
      <c r="I2863" s="40" t="s">
        <v>1281</v>
      </c>
    </row>
    <row r="2864" spans="1:9" x14ac:dyDescent="0.25">
      <c r="A2864" s="40" t="s">
        <v>104</v>
      </c>
      <c r="B2864" s="28">
        <v>3411</v>
      </c>
      <c r="C2864" s="28">
        <v>5642743</v>
      </c>
      <c r="D2864" s="28"/>
      <c r="E2864" s="41">
        <v>46142</v>
      </c>
      <c r="F2864" s="47">
        <v>0.52430555555555558</v>
      </c>
      <c r="G2864" s="44">
        <v>6.3</v>
      </c>
      <c r="H2864" s="43" t="s">
        <v>237</v>
      </c>
      <c r="I2864" s="40" t="s">
        <v>1281</v>
      </c>
    </row>
    <row r="2865" spans="1:9" x14ac:dyDescent="0.25">
      <c r="A2865" s="40" t="s">
        <v>104</v>
      </c>
      <c r="B2865" s="28">
        <v>3411</v>
      </c>
      <c r="C2865" s="28">
        <v>5642743</v>
      </c>
      <c r="D2865" s="28"/>
      <c r="E2865" s="41">
        <v>46142</v>
      </c>
      <c r="F2865" s="47">
        <v>0.53196759259259263</v>
      </c>
      <c r="G2865" s="44">
        <v>6.3</v>
      </c>
      <c r="H2865" s="43" t="s">
        <v>234</v>
      </c>
      <c r="I2865" s="40" t="s">
        <v>1281</v>
      </c>
    </row>
    <row r="2866" spans="1:9" x14ac:dyDescent="0.25">
      <c r="A2866" s="40" t="s">
        <v>104</v>
      </c>
      <c r="B2866" s="28">
        <v>3411</v>
      </c>
      <c r="C2866" s="28" t="s">
        <v>860</v>
      </c>
      <c r="D2866" s="28"/>
      <c r="E2866" s="41">
        <v>46143</v>
      </c>
      <c r="F2866" s="47">
        <v>0.5503703703703704</v>
      </c>
      <c r="G2866" s="44">
        <v>6.3</v>
      </c>
      <c r="H2866" s="43" t="s">
        <v>237</v>
      </c>
      <c r="I2866" s="40" t="s">
        <v>1282</v>
      </c>
    </row>
    <row r="2867" spans="1:9" x14ac:dyDescent="0.25">
      <c r="A2867" s="40" t="s">
        <v>104</v>
      </c>
      <c r="B2867" s="28">
        <v>3411</v>
      </c>
      <c r="C2867" s="28" t="s">
        <v>860</v>
      </c>
      <c r="D2867" s="28"/>
      <c r="E2867" s="41">
        <v>46143</v>
      </c>
      <c r="F2867" s="47">
        <v>0.55608796296296292</v>
      </c>
      <c r="G2867" s="44">
        <v>6.3</v>
      </c>
      <c r="H2867" s="43" t="s">
        <v>234</v>
      </c>
      <c r="I2867" s="40" t="s">
        <v>1282</v>
      </c>
    </row>
    <row r="2868" spans="1:9" x14ac:dyDescent="0.25">
      <c r="A2868" s="40" t="s">
        <v>104</v>
      </c>
      <c r="B2868" s="28">
        <v>3411</v>
      </c>
      <c r="C2868" s="28" t="s">
        <v>861</v>
      </c>
      <c r="D2868" s="28"/>
      <c r="E2868" s="41">
        <v>46143</v>
      </c>
      <c r="F2868" s="47">
        <v>0.69966435185185183</v>
      </c>
      <c r="G2868" s="42">
        <v>6.3</v>
      </c>
      <c r="H2868" s="40" t="s">
        <v>237</v>
      </c>
      <c r="I2868" s="40" t="s">
        <v>1282</v>
      </c>
    </row>
    <row r="2869" spans="1:9" x14ac:dyDescent="0.25">
      <c r="A2869" s="40" t="s">
        <v>104</v>
      </c>
      <c r="B2869" s="28">
        <v>3411</v>
      </c>
      <c r="C2869" s="28" t="s">
        <v>861</v>
      </c>
      <c r="D2869" s="28"/>
      <c r="E2869" s="41">
        <v>46143</v>
      </c>
      <c r="F2869" s="47">
        <v>0.70486111111111116</v>
      </c>
      <c r="G2869" s="42">
        <v>6.3</v>
      </c>
      <c r="H2869" s="40" t="s">
        <v>234</v>
      </c>
      <c r="I2869" s="40" t="s">
        <v>1282</v>
      </c>
    </row>
    <row r="2870" spans="1:9" x14ac:dyDescent="0.25">
      <c r="A2870" s="40" t="s">
        <v>104</v>
      </c>
      <c r="B2870" s="28">
        <v>3411</v>
      </c>
      <c r="C2870" s="28" t="s">
        <v>862</v>
      </c>
      <c r="D2870" s="28"/>
      <c r="E2870" s="41">
        <v>46143</v>
      </c>
      <c r="F2870" s="47">
        <v>0.76400462962962967</v>
      </c>
      <c r="G2870" s="42">
        <v>6.3</v>
      </c>
      <c r="H2870" s="40" t="s">
        <v>235</v>
      </c>
      <c r="I2870" s="40" t="s">
        <v>1282</v>
      </c>
    </row>
    <row r="2871" spans="1:9" x14ac:dyDescent="0.25">
      <c r="A2871" s="40" t="s">
        <v>104</v>
      </c>
      <c r="B2871" s="28">
        <v>3411</v>
      </c>
      <c r="C2871" s="28" t="s">
        <v>862</v>
      </c>
      <c r="D2871" s="28"/>
      <c r="E2871" s="41">
        <v>46143</v>
      </c>
      <c r="F2871" s="47">
        <v>0.77158564814814812</v>
      </c>
      <c r="G2871" s="42">
        <v>6.3</v>
      </c>
      <c r="H2871" s="40" t="s">
        <v>236</v>
      </c>
      <c r="I2871" s="40" t="s">
        <v>1282</v>
      </c>
    </row>
    <row r="2872" spans="1:9" x14ac:dyDescent="0.25">
      <c r="A2872" s="40" t="s">
        <v>104</v>
      </c>
      <c r="B2872" s="28">
        <v>3411</v>
      </c>
      <c r="C2872" s="28" t="s">
        <v>863</v>
      </c>
      <c r="D2872" s="28"/>
      <c r="E2872" s="41">
        <v>46144</v>
      </c>
      <c r="F2872" s="47">
        <v>0.34590277777777778</v>
      </c>
      <c r="G2872" s="42">
        <v>6.3</v>
      </c>
      <c r="H2872" s="40" t="s">
        <v>237</v>
      </c>
      <c r="I2872" s="40" t="s">
        <v>1282</v>
      </c>
    </row>
    <row r="2873" spans="1:9" x14ac:dyDescent="0.25">
      <c r="A2873" s="40" t="s">
        <v>104</v>
      </c>
      <c r="B2873" s="28">
        <v>3411</v>
      </c>
      <c r="C2873" s="28" t="s">
        <v>863</v>
      </c>
      <c r="D2873" s="28"/>
      <c r="E2873" s="41">
        <v>46144</v>
      </c>
      <c r="F2873" s="47">
        <v>0.35144675925925928</v>
      </c>
      <c r="G2873" s="42">
        <v>6.3</v>
      </c>
      <c r="H2873" s="40" t="s">
        <v>234</v>
      </c>
      <c r="I2873" s="40" t="s">
        <v>1282</v>
      </c>
    </row>
    <row r="2874" spans="1:9" x14ac:dyDescent="0.25">
      <c r="A2874" s="40" t="s">
        <v>165</v>
      </c>
      <c r="B2874" s="28">
        <v>3424</v>
      </c>
      <c r="C2874" s="28">
        <v>5645788</v>
      </c>
      <c r="D2874" s="28"/>
      <c r="E2874" s="41">
        <v>46143</v>
      </c>
      <c r="F2874" s="47">
        <v>0.3450462962962963</v>
      </c>
      <c r="G2874" s="42">
        <v>6.3</v>
      </c>
      <c r="H2874" s="40" t="s">
        <v>235</v>
      </c>
      <c r="I2874" s="40" t="s">
        <v>1282</v>
      </c>
    </row>
    <row r="2875" spans="1:9" x14ac:dyDescent="0.25">
      <c r="A2875" s="40" t="s">
        <v>165</v>
      </c>
      <c r="B2875" s="28">
        <v>3424</v>
      </c>
      <c r="C2875" s="28">
        <v>5645788</v>
      </c>
      <c r="D2875" s="28"/>
      <c r="E2875" s="41">
        <v>46143</v>
      </c>
      <c r="F2875" s="47">
        <v>0.35303240740740743</v>
      </c>
      <c r="G2875" s="44">
        <v>6.3</v>
      </c>
      <c r="H2875" s="43" t="s">
        <v>236</v>
      </c>
      <c r="I2875" s="40" t="s">
        <v>1282</v>
      </c>
    </row>
    <row r="2876" spans="1:9" x14ac:dyDescent="0.25">
      <c r="A2876" s="40" t="s">
        <v>165</v>
      </c>
      <c r="B2876" s="28">
        <v>3424</v>
      </c>
      <c r="C2876" s="28" t="s">
        <v>35</v>
      </c>
      <c r="D2876" s="28" t="s">
        <v>38</v>
      </c>
      <c r="E2876" s="41">
        <v>46143</v>
      </c>
      <c r="F2876" s="47">
        <v>0.38751157407407405</v>
      </c>
      <c r="G2876" s="44">
        <v>6.3</v>
      </c>
      <c r="H2876" s="43" t="s">
        <v>237</v>
      </c>
      <c r="I2876" s="40" t="s">
        <v>1282</v>
      </c>
    </row>
    <row r="2877" spans="1:9" x14ac:dyDescent="0.25">
      <c r="A2877" s="40" t="s">
        <v>365</v>
      </c>
      <c r="B2877" s="28">
        <v>3449</v>
      </c>
      <c r="C2877" s="28" t="s">
        <v>864</v>
      </c>
      <c r="D2877" s="28"/>
      <c r="E2877" s="41">
        <v>46139</v>
      </c>
      <c r="F2877" s="47">
        <v>0.94951388888888888</v>
      </c>
      <c r="G2877" s="44">
        <v>6.3</v>
      </c>
      <c r="H2877" s="43" t="s">
        <v>235</v>
      </c>
      <c r="I2877" s="40" t="s">
        <v>1281</v>
      </c>
    </row>
    <row r="2878" spans="1:9" x14ac:dyDescent="0.25">
      <c r="A2878" s="40" t="s">
        <v>365</v>
      </c>
      <c r="B2878" s="28">
        <v>3449</v>
      </c>
      <c r="C2878" s="28" t="s">
        <v>864</v>
      </c>
      <c r="D2878" s="28"/>
      <c r="E2878" s="45">
        <v>46139</v>
      </c>
      <c r="F2878" s="48">
        <v>0.95574074074074078</v>
      </c>
      <c r="G2878" s="44">
        <v>6.3</v>
      </c>
      <c r="H2878" s="43" t="s">
        <v>239</v>
      </c>
      <c r="I2878" s="40" t="s">
        <v>1281</v>
      </c>
    </row>
    <row r="2879" spans="1:9" x14ac:dyDescent="0.25">
      <c r="A2879" s="40" t="s">
        <v>365</v>
      </c>
      <c r="B2879" s="28">
        <v>3449</v>
      </c>
      <c r="C2879" s="28" t="s">
        <v>35</v>
      </c>
      <c r="D2879" s="28" t="s">
        <v>38</v>
      </c>
      <c r="E2879" s="41">
        <v>46139</v>
      </c>
      <c r="F2879" s="47">
        <v>0.96204861111111106</v>
      </c>
      <c r="G2879" s="44">
        <v>6.3</v>
      </c>
      <c r="H2879" s="43" t="s">
        <v>238</v>
      </c>
      <c r="I2879" s="40" t="s">
        <v>1281</v>
      </c>
    </row>
    <row r="2880" spans="1:9" x14ac:dyDescent="0.25">
      <c r="A2880" s="40" t="s">
        <v>365</v>
      </c>
      <c r="B2880" s="28">
        <v>3449</v>
      </c>
      <c r="C2880" s="28" t="s">
        <v>35</v>
      </c>
      <c r="D2880" s="28" t="s">
        <v>38</v>
      </c>
      <c r="E2880" s="41">
        <v>46139</v>
      </c>
      <c r="F2880" s="47">
        <v>0.96644675925925927</v>
      </c>
      <c r="G2880" s="44">
        <v>6.3</v>
      </c>
      <c r="H2880" s="43" t="s">
        <v>234</v>
      </c>
      <c r="I2880" s="40" t="s">
        <v>1281</v>
      </c>
    </row>
    <row r="2881" spans="1:9" x14ac:dyDescent="0.25">
      <c r="A2881" s="40" t="s">
        <v>365</v>
      </c>
      <c r="B2881" s="28">
        <v>3449</v>
      </c>
      <c r="C2881" s="28">
        <v>5644128</v>
      </c>
      <c r="D2881" s="28"/>
      <c r="E2881" s="41">
        <v>46142</v>
      </c>
      <c r="F2881" s="47">
        <v>0.26178240740740738</v>
      </c>
      <c r="G2881" s="44">
        <v>6.3</v>
      </c>
      <c r="H2881" s="43" t="s">
        <v>235</v>
      </c>
      <c r="I2881" s="40" t="s">
        <v>1281</v>
      </c>
    </row>
    <row r="2882" spans="1:9" x14ac:dyDescent="0.25">
      <c r="A2882" s="40" t="s">
        <v>365</v>
      </c>
      <c r="B2882" s="28">
        <v>3449</v>
      </c>
      <c r="C2882" s="28">
        <v>5644128</v>
      </c>
      <c r="D2882" s="28"/>
      <c r="E2882" s="41">
        <v>46142</v>
      </c>
      <c r="F2882" s="47">
        <v>0.270625</v>
      </c>
      <c r="G2882" s="44">
        <v>6.3</v>
      </c>
      <c r="H2882" s="43" t="s">
        <v>239</v>
      </c>
      <c r="I2882" s="40" t="s">
        <v>1281</v>
      </c>
    </row>
    <row r="2883" spans="1:9" x14ac:dyDescent="0.25">
      <c r="A2883" s="40" t="s">
        <v>365</v>
      </c>
      <c r="B2883" s="28">
        <v>3449</v>
      </c>
      <c r="C2883" s="28">
        <v>5643787</v>
      </c>
      <c r="D2883" s="28"/>
      <c r="E2883" s="41">
        <v>46142</v>
      </c>
      <c r="F2883" s="47">
        <v>0.36752314814814813</v>
      </c>
      <c r="G2883" s="44">
        <v>6.3</v>
      </c>
      <c r="H2883" s="43" t="s">
        <v>233</v>
      </c>
      <c r="I2883" s="40" t="s">
        <v>1281</v>
      </c>
    </row>
    <row r="2884" spans="1:9" x14ac:dyDescent="0.25">
      <c r="A2884" s="40" t="s">
        <v>365</v>
      </c>
      <c r="B2884" s="28">
        <v>3449</v>
      </c>
      <c r="C2884" s="28">
        <v>5643787</v>
      </c>
      <c r="D2884" s="28"/>
      <c r="E2884" s="45">
        <v>46142</v>
      </c>
      <c r="F2884" s="48">
        <v>0.37688657407407405</v>
      </c>
      <c r="G2884" s="44">
        <v>6.3</v>
      </c>
      <c r="H2884" s="43" t="s">
        <v>234</v>
      </c>
      <c r="I2884" s="40" t="s">
        <v>1281</v>
      </c>
    </row>
    <row r="2885" spans="1:9" x14ac:dyDescent="0.25">
      <c r="A2885" s="40" t="s">
        <v>365</v>
      </c>
      <c r="B2885" s="28">
        <v>3449</v>
      </c>
      <c r="C2885" s="28">
        <v>5648078</v>
      </c>
      <c r="D2885" s="28"/>
      <c r="E2885" s="41">
        <v>46145</v>
      </c>
      <c r="F2885" s="47">
        <v>0.72468750000000004</v>
      </c>
      <c r="G2885" s="44">
        <v>6.3</v>
      </c>
      <c r="H2885" s="43" t="s">
        <v>235</v>
      </c>
      <c r="I2885" s="40" t="s">
        <v>1282</v>
      </c>
    </row>
    <row r="2886" spans="1:9" x14ac:dyDescent="0.25">
      <c r="A2886" s="40" t="s">
        <v>365</v>
      </c>
      <c r="B2886" s="28">
        <v>3449</v>
      </c>
      <c r="C2886" s="28">
        <v>5648078</v>
      </c>
      <c r="D2886" s="28"/>
      <c r="E2886" s="45">
        <v>46145</v>
      </c>
      <c r="F2886" s="48">
        <v>0.73199074074074078</v>
      </c>
      <c r="G2886" s="44">
        <v>6.3</v>
      </c>
      <c r="H2886" s="43" t="s">
        <v>236</v>
      </c>
      <c r="I2886" s="40" t="s">
        <v>1282</v>
      </c>
    </row>
    <row r="2887" spans="1:9" x14ac:dyDescent="0.25">
      <c r="A2887" s="40" t="s">
        <v>365</v>
      </c>
      <c r="B2887" s="28">
        <v>3449</v>
      </c>
      <c r="C2887" s="28" t="s">
        <v>35</v>
      </c>
      <c r="D2887" s="28" t="s">
        <v>38</v>
      </c>
      <c r="E2887" s="41">
        <v>46145</v>
      </c>
      <c r="F2887" s="47">
        <v>0.7728356481481482</v>
      </c>
      <c r="G2887" s="44">
        <v>6.3</v>
      </c>
      <c r="H2887" s="43" t="s">
        <v>237</v>
      </c>
      <c r="I2887" s="40" t="s">
        <v>1282</v>
      </c>
    </row>
    <row r="2888" spans="1:9" x14ac:dyDescent="0.25">
      <c r="A2888" s="40" t="s">
        <v>365</v>
      </c>
      <c r="B2888" s="28">
        <v>3449</v>
      </c>
      <c r="C2888" s="28" t="s">
        <v>35</v>
      </c>
      <c r="D2888" s="28" t="s">
        <v>38</v>
      </c>
      <c r="E2888" s="41">
        <v>46145</v>
      </c>
      <c r="F2888" s="47">
        <v>0.77835648148148151</v>
      </c>
      <c r="G2888" s="44">
        <v>6.3</v>
      </c>
      <c r="H2888" s="43" t="s">
        <v>234</v>
      </c>
      <c r="I2888" s="40" t="s">
        <v>1282</v>
      </c>
    </row>
    <row r="2889" spans="1:9" x14ac:dyDescent="0.25">
      <c r="A2889" s="40" t="s">
        <v>148</v>
      </c>
      <c r="B2889" s="28">
        <v>3460</v>
      </c>
      <c r="C2889" s="28" t="s">
        <v>865</v>
      </c>
      <c r="D2889" s="28" t="s">
        <v>36</v>
      </c>
      <c r="E2889" s="45">
        <v>46139</v>
      </c>
      <c r="F2889" s="48">
        <v>1.7175925925925924E-2</v>
      </c>
      <c r="G2889" s="44">
        <v>6.3</v>
      </c>
      <c r="H2889" s="43" t="s">
        <v>235</v>
      </c>
      <c r="I2889" s="40" t="s">
        <v>1281</v>
      </c>
    </row>
    <row r="2890" spans="1:9" x14ac:dyDescent="0.25">
      <c r="A2890" s="40" t="s">
        <v>148</v>
      </c>
      <c r="B2890" s="28">
        <v>3460</v>
      </c>
      <c r="C2890" s="28" t="s">
        <v>865</v>
      </c>
      <c r="D2890" s="28" t="s">
        <v>36</v>
      </c>
      <c r="E2890" s="45">
        <v>46139</v>
      </c>
      <c r="F2890" s="48">
        <v>2.4143518518518519E-2</v>
      </c>
      <c r="G2890" s="44">
        <v>6.3</v>
      </c>
      <c r="H2890" s="43" t="s">
        <v>239</v>
      </c>
      <c r="I2890" s="40" t="s">
        <v>1281</v>
      </c>
    </row>
    <row r="2891" spans="1:9" x14ac:dyDescent="0.25">
      <c r="A2891" s="40" t="s">
        <v>148</v>
      </c>
      <c r="B2891" s="28">
        <v>3460</v>
      </c>
      <c r="C2891" s="28" t="s">
        <v>35</v>
      </c>
      <c r="D2891" s="28" t="s">
        <v>38</v>
      </c>
      <c r="E2891" s="41">
        <v>46139</v>
      </c>
      <c r="F2891" s="47">
        <v>3.2870370370370369E-2</v>
      </c>
      <c r="G2891" s="44">
        <v>6.3</v>
      </c>
      <c r="H2891" s="43" t="s">
        <v>238</v>
      </c>
      <c r="I2891" s="40" t="s">
        <v>1281</v>
      </c>
    </row>
    <row r="2892" spans="1:9" x14ac:dyDescent="0.25">
      <c r="A2892" s="40" t="s">
        <v>148</v>
      </c>
      <c r="B2892" s="28">
        <v>3460</v>
      </c>
      <c r="C2892" s="28" t="s">
        <v>35</v>
      </c>
      <c r="D2892" s="28" t="s">
        <v>38</v>
      </c>
      <c r="E2892" s="41">
        <v>46139</v>
      </c>
      <c r="F2892" s="47">
        <v>3.712962962962963E-2</v>
      </c>
      <c r="G2892" s="44">
        <v>6.3</v>
      </c>
      <c r="H2892" s="43" t="s">
        <v>234</v>
      </c>
      <c r="I2892" s="40" t="s">
        <v>1281</v>
      </c>
    </row>
    <row r="2893" spans="1:9" x14ac:dyDescent="0.25">
      <c r="A2893" s="40" t="s">
        <v>148</v>
      </c>
      <c r="B2893" s="28">
        <v>3460</v>
      </c>
      <c r="C2893" s="28" t="s">
        <v>866</v>
      </c>
      <c r="D2893" s="28"/>
      <c r="E2893" s="41">
        <v>46139</v>
      </c>
      <c r="F2893" s="47">
        <v>8.8692129629629635E-2</v>
      </c>
      <c r="G2893" s="44">
        <v>6.3</v>
      </c>
      <c r="H2893" s="43" t="s">
        <v>235</v>
      </c>
      <c r="I2893" s="40" t="s">
        <v>1281</v>
      </c>
    </row>
    <row r="2894" spans="1:9" x14ac:dyDescent="0.25">
      <c r="A2894" s="40" t="s">
        <v>148</v>
      </c>
      <c r="B2894" s="28">
        <v>3460</v>
      </c>
      <c r="C2894" s="28" t="s">
        <v>866</v>
      </c>
      <c r="D2894" s="28"/>
      <c r="E2894" s="41">
        <v>46139</v>
      </c>
      <c r="F2894" s="47">
        <v>9.5787037037037032E-2</v>
      </c>
      <c r="G2894" s="44">
        <v>6.3</v>
      </c>
      <c r="H2894" s="43" t="s">
        <v>236</v>
      </c>
      <c r="I2894" s="40" t="s">
        <v>1281</v>
      </c>
    </row>
    <row r="2895" spans="1:9" x14ac:dyDescent="0.25">
      <c r="A2895" s="40" t="s">
        <v>148</v>
      </c>
      <c r="B2895" s="28">
        <v>3460</v>
      </c>
      <c r="C2895" s="28" t="s">
        <v>867</v>
      </c>
      <c r="D2895" s="28"/>
      <c r="E2895" s="41">
        <v>46139</v>
      </c>
      <c r="F2895" s="47">
        <v>0.1534837962962963</v>
      </c>
      <c r="G2895" s="44">
        <v>6.3</v>
      </c>
      <c r="H2895" s="43" t="s">
        <v>233</v>
      </c>
      <c r="I2895" s="40" t="s">
        <v>1281</v>
      </c>
    </row>
    <row r="2896" spans="1:9" x14ac:dyDescent="0.25">
      <c r="A2896" s="40" t="s">
        <v>148</v>
      </c>
      <c r="B2896" s="28">
        <v>3460</v>
      </c>
      <c r="C2896" s="28" t="s">
        <v>867</v>
      </c>
      <c r="D2896" s="28"/>
      <c r="E2896" s="41">
        <v>46139</v>
      </c>
      <c r="F2896" s="47">
        <v>0.15929398148148149</v>
      </c>
      <c r="G2896" s="44">
        <v>6.3</v>
      </c>
      <c r="H2896" s="43" t="s">
        <v>234</v>
      </c>
      <c r="I2896" s="40" t="s">
        <v>1281</v>
      </c>
    </row>
    <row r="2897" spans="1:9" x14ac:dyDescent="0.25">
      <c r="A2897" s="40" t="s">
        <v>148</v>
      </c>
      <c r="B2897" s="28">
        <v>3460</v>
      </c>
      <c r="C2897" s="28" t="s">
        <v>35</v>
      </c>
      <c r="D2897" s="28" t="s">
        <v>38</v>
      </c>
      <c r="E2897" s="41">
        <v>46139</v>
      </c>
      <c r="F2897" s="47">
        <v>0.37945601851851851</v>
      </c>
      <c r="G2897" s="44">
        <v>6.3</v>
      </c>
      <c r="H2897" s="43" t="s">
        <v>235</v>
      </c>
      <c r="I2897" s="40" t="s">
        <v>1281</v>
      </c>
    </row>
    <row r="2898" spans="1:9" x14ac:dyDescent="0.25">
      <c r="A2898" s="40" t="s">
        <v>148</v>
      </c>
      <c r="B2898" s="28">
        <v>3460</v>
      </c>
      <c r="C2898" s="28" t="s">
        <v>35</v>
      </c>
      <c r="D2898" s="28" t="s">
        <v>38</v>
      </c>
      <c r="E2898" s="45">
        <v>46139</v>
      </c>
      <c r="F2898" s="48">
        <v>0.4032175925925926</v>
      </c>
      <c r="G2898" s="42">
        <v>6.3</v>
      </c>
      <c r="H2898" s="40" t="s">
        <v>236</v>
      </c>
      <c r="I2898" s="40" t="s">
        <v>1281</v>
      </c>
    </row>
    <row r="2899" spans="1:9" x14ac:dyDescent="0.25">
      <c r="A2899" s="40" t="s">
        <v>148</v>
      </c>
      <c r="B2899" s="28">
        <v>3460</v>
      </c>
      <c r="C2899" s="28">
        <v>5635280</v>
      </c>
      <c r="D2899" s="28"/>
      <c r="E2899" s="41">
        <v>46140</v>
      </c>
      <c r="F2899" s="47">
        <v>0.50629629629629624</v>
      </c>
      <c r="G2899" s="42">
        <v>6.3</v>
      </c>
      <c r="H2899" s="40" t="s">
        <v>233</v>
      </c>
      <c r="I2899" s="40" t="s">
        <v>1281</v>
      </c>
    </row>
    <row r="2900" spans="1:9" x14ac:dyDescent="0.25">
      <c r="A2900" s="40" t="s">
        <v>148</v>
      </c>
      <c r="B2900" s="28">
        <v>3460</v>
      </c>
      <c r="C2900" s="28">
        <v>5635280</v>
      </c>
      <c r="D2900" s="28"/>
      <c r="E2900" s="41">
        <v>46140</v>
      </c>
      <c r="F2900" s="47">
        <v>0.51309027777777783</v>
      </c>
      <c r="G2900" s="44">
        <v>6.3</v>
      </c>
      <c r="H2900" s="43" t="s">
        <v>234</v>
      </c>
      <c r="I2900" s="40" t="s">
        <v>1281</v>
      </c>
    </row>
    <row r="2901" spans="1:9" x14ac:dyDescent="0.25">
      <c r="A2901" s="40" t="s">
        <v>148</v>
      </c>
      <c r="B2901" s="28">
        <v>3460</v>
      </c>
      <c r="C2901" s="28" t="s">
        <v>868</v>
      </c>
      <c r="D2901" s="28"/>
      <c r="E2901" s="41">
        <v>46142</v>
      </c>
      <c r="F2901" s="47">
        <v>0.17355324074074074</v>
      </c>
      <c r="G2901" s="44">
        <v>6.3</v>
      </c>
      <c r="H2901" s="43" t="s">
        <v>237</v>
      </c>
      <c r="I2901" s="40" t="s">
        <v>1281</v>
      </c>
    </row>
    <row r="2902" spans="1:9" x14ac:dyDescent="0.25">
      <c r="A2902" s="40" t="s">
        <v>148</v>
      </c>
      <c r="B2902" s="28">
        <v>3460</v>
      </c>
      <c r="C2902" s="28" t="s">
        <v>868</v>
      </c>
      <c r="D2902" s="28"/>
      <c r="E2902" s="45">
        <v>46142</v>
      </c>
      <c r="F2902" s="48">
        <v>0.17957175925925925</v>
      </c>
      <c r="G2902" s="44">
        <v>6.3</v>
      </c>
      <c r="H2902" s="43" t="s">
        <v>234</v>
      </c>
      <c r="I2902" s="40" t="s">
        <v>1281</v>
      </c>
    </row>
    <row r="2903" spans="1:9" x14ac:dyDescent="0.25">
      <c r="A2903" s="40" t="s">
        <v>148</v>
      </c>
      <c r="B2903" s="28">
        <v>3460</v>
      </c>
      <c r="C2903" s="28" t="s">
        <v>869</v>
      </c>
      <c r="D2903" s="28"/>
      <c r="E2903" s="41">
        <v>46142</v>
      </c>
      <c r="F2903" s="47">
        <v>0.47912037037037036</v>
      </c>
      <c r="G2903" s="44">
        <v>6.3</v>
      </c>
      <c r="H2903" s="43" t="s">
        <v>235</v>
      </c>
      <c r="I2903" s="40" t="s">
        <v>1281</v>
      </c>
    </row>
    <row r="2904" spans="1:9" x14ac:dyDescent="0.25">
      <c r="A2904" s="40" t="s">
        <v>148</v>
      </c>
      <c r="B2904" s="28">
        <v>3460</v>
      </c>
      <c r="C2904" s="28" t="s">
        <v>870</v>
      </c>
      <c r="D2904" s="28"/>
      <c r="E2904" s="41">
        <v>46143</v>
      </c>
      <c r="F2904" s="47">
        <v>0.17851851851851852</v>
      </c>
      <c r="G2904" s="44">
        <v>6.3</v>
      </c>
      <c r="H2904" s="43" t="s">
        <v>237</v>
      </c>
      <c r="I2904" s="40" t="s">
        <v>1282</v>
      </c>
    </row>
    <row r="2905" spans="1:9" x14ac:dyDescent="0.25">
      <c r="A2905" s="40" t="s">
        <v>148</v>
      </c>
      <c r="B2905" s="28">
        <v>3460</v>
      </c>
      <c r="C2905" s="28" t="s">
        <v>870</v>
      </c>
      <c r="D2905" s="28"/>
      <c r="E2905" s="41">
        <v>46143</v>
      </c>
      <c r="F2905" s="47">
        <v>0.18524305555555556</v>
      </c>
      <c r="G2905" s="44">
        <v>6.3</v>
      </c>
      <c r="H2905" s="43" t="s">
        <v>234</v>
      </c>
      <c r="I2905" s="40" t="s">
        <v>1282</v>
      </c>
    </row>
    <row r="2906" spans="1:9" x14ac:dyDescent="0.25">
      <c r="A2906" s="40" t="s">
        <v>148</v>
      </c>
      <c r="B2906" s="28">
        <v>3460</v>
      </c>
      <c r="C2906" s="28" t="s">
        <v>35</v>
      </c>
      <c r="D2906" s="28" t="s">
        <v>38</v>
      </c>
      <c r="E2906" s="41">
        <v>46143</v>
      </c>
      <c r="F2906" s="47">
        <v>0.23043981481481482</v>
      </c>
      <c r="G2906" s="44">
        <v>6.3</v>
      </c>
      <c r="H2906" s="43" t="s">
        <v>235</v>
      </c>
      <c r="I2906" s="40" t="s">
        <v>1282</v>
      </c>
    </row>
    <row r="2907" spans="1:9" x14ac:dyDescent="0.25">
      <c r="A2907" s="40" t="s">
        <v>148</v>
      </c>
      <c r="B2907" s="28">
        <v>3460</v>
      </c>
      <c r="C2907" s="28" t="s">
        <v>35</v>
      </c>
      <c r="D2907" s="28" t="s">
        <v>38</v>
      </c>
      <c r="E2907" s="41">
        <v>46143</v>
      </c>
      <c r="F2907" s="47">
        <v>0.23813657407407407</v>
      </c>
      <c r="G2907" s="44">
        <v>6.3</v>
      </c>
      <c r="H2907" s="43" t="s">
        <v>236</v>
      </c>
      <c r="I2907" s="40" t="s">
        <v>1282</v>
      </c>
    </row>
    <row r="2908" spans="1:9" x14ac:dyDescent="0.25">
      <c r="A2908" s="40" t="s">
        <v>148</v>
      </c>
      <c r="B2908" s="28">
        <v>3460</v>
      </c>
      <c r="C2908" s="28" t="s">
        <v>871</v>
      </c>
      <c r="D2908" s="28"/>
      <c r="E2908" s="41">
        <v>46143</v>
      </c>
      <c r="F2908" s="47">
        <v>0.29048611111111111</v>
      </c>
      <c r="G2908" s="42">
        <v>6.3</v>
      </c>
      <c r="H2908" s="40" t="s">
        <v>237</v>
      </c>
      <c r="I2908" s="40" t="s">
        <v>1282</v>
      </c>
    </row>
    <row r="2909" spans="1:9" x14ac:dyDescent="0.25">
      <c r="A2909" s="40" t="s">
        <v>148</v>
      </c>
      <c r="B2909" s="28">
        <v>3460</v>
      </c>
      <c r="C2909" s="28" t="s">
        <v>871</v>
      </c>
      <c r="D2909" s="28"/>
      <c r="E2909" s="41">
        <v>46143</v>
      </c>
      <c r="F2909" s="47">
        <v>0.29561342592592593</v>
      </c>
      <c r="G2909" s="44">
        <v>6.3</v>
      </c>
      <c r="H2909" s="43" t="s">
        <v>234</v>
      </c>
      <c r="I2909" s="40" t="s">
        <v>1282</v>
      </c>
    </row>
    <row r="2910" spans="1:9" x14ac:dyDescent="0.25">
      <c r="A2910" s="40" t="s">
        <v>148</v>
      </c>
      <c r="B2910" s="28">
        <v>3460</v>
      </c>
      <c r="C2910" s="28" t="s">
        <v>872</v>
      </c>
      <c r="D2910" s="28"/>
      <c r="E2910" s="41">
        <v>46143</v>
      </c>
      <c r="F2910" s="47">
        <v>0.33957175925925925</v>
      </c>
      <c r="G2910" s="44">
        <v>6.3</v>
      </c>
      <c r="H2910" s="43" t="s">
        <v>235</v>
      </c>
      <c r="I2910" s="40" t="s">
        <v>1282</v>
      </c>
    </row>
    <row r="2911" spans="1:9" x14ac:dyDescent="0.25">
      <c r="A2911" s="40" t="s">
        <v>148</v>
      </c>
      <c r="B2911" s="28">
        <v>3460</v>
      </c>
      <c r="C2911" s="28" t="s">
        <v>872</v>
      </c>
      <c r="D2911" s="28"/>
      <c r="E2911" s="41">
        <v>46143</v>
      </c>
      <c r="F2911" s="47">
        <v>0.34681712962962963</v>
      </c>
      <c r="G2911" s="44">
        <v>6.3</v>
      </c>
      <c r="H2911" s="43" t="s">
        <v>236</v>
      </c>
      <c r="I2911" s="40" t="s">
        <v>1282</v>
      </c>
    </row>
    <row r="2912" spans="1:9" x14ac:dyDescent="0.25">
      <c r="A2912" s="40" t="s">
        <v>148</v>
      </c>
      <c r="B2912" s="28">
        <v>3460</v>
      </c>
      <c r="C2912" s="28" t="s">
        <v>873</v>
      </c>
      <c r="D2912" s="28"/>
      <c r="E2912" s="41">
        <v>46143</v>
      </c>
      <c r="F2912" s="47">
        <v>0.42721064814814813</v>
      </c>
      <c r="G2912" s="44">
        <v>6.3</v>
      </c>
      <c r="H2912" s="43" t="s">
        <v>237</v>
      </c>
      <c r="I2912" s="40" t="s">
        <v>1282</v>
      </c>
    </row>
    <row r="2913" spans="1:9" x14ac:dyDescent="0.25">
      <c r="A2913" s="40" t="s">
        <v>148</v>
      </c>
      <c r="B2913" s="28">
        <v>3460</v>
      </c>
      <c r="C2913" s="28" t="s">
        <v>873</v>
      </c>
      <c r="D2913" s="28"/>
      <c r="E2913" s="41">
        <v>46143</v>
      </c>
      <c r="F2913" s="47">
        <v>0.43246527777777777</v>
      </c>
      <c r="G2913" s="44">
        <v>6.3</v>
      </c>
      <c r="H2913" s="43" t="s">
        <v>234</v>
      </c>
      <c r="I2913" s="40" t="s">
        <v>1282</v>
      </c>
    </row>
    <row r="2914" spans="1:9" x14ac:dyDescent="0.25">
      <c r="A2914" s="40" t="s">
        <v>148</v>
      </c>
      <c r="B2914" s="28">
        <v>3460</v>
      </c>
      <c r="C2914" s="28" t="s">
        <v>874</v>
      </c>
      <c r="D2914" s="28"/>
      <c r="E2914" s="41">
        <v>46143</v>
      </c>
      <c r="F2914" s="47">
        <v>0.6637615740740741</v>
      </c>
      <c r="G2914" s="44">
        <v>6.3</v>
      </c>
      <c r="H2914" s="43" t="s">
        <v>235</v>
      </c>
      <c r="I2914" s="40" t="s">
        <v>1282</v>
      </c>
    </row>
    <row r="2915" spans="1:9" x14ac:dyDescent="0.25">
      <c r="A2915" s="40" t="s">
        <v>148</v>
      </c>
      <c r="B2915" s="28">
        <v>3460</v>
      </c>
      <c r="C2915" s="28" t="s">
        <v>874</v>
      </c>
      <c r="D2915" s="28"/>
      <c r="E2915" s="41">
        <v>46143</v>
      </c>
      <c r="F2915" s="47">
        <v>0.67041666666666666</v>
      </c>
      <c r="G2915" s="44">
        <v>6.3</v>
      </c>
      <c r="H2915" s="43" t="s">
        <v>239</v>
      </c>
      <c r="I2915" s="40" t="s">
        <v>1282</v>
      </c>
    </row>
    <row r="2916" spans="1:9" x14ac:dyDescent="0.25">
      <c r="A2916" s="40" t="s">
        <v>148</v>
      </c>
      <c r="B2916" s="28">
        <v>3460</v>
      </c>
      <c r="C2916" s="28" t="s">
        <v>875</v>
      </c>
      <c r="D2916" s="28"/>
      <c r="E2916" s="41">
        <v>46144</v>
      </c>
      <c r="F2916" s="47">
        <v>0.24237268518518518</v>
      </c>
      <c r="G2916" s="44">
        <v>6.3</v>
      </c>
      <c r="H2916" s="43" t="s">
        <v>235</v>
      </c>
      <c r="I2916" s="40" t="s">
        <v>1282</v>
      </c>
    </row>
    <row r="2917" spans="1:9" x14ac:dyDescent="0.25">
      <c r="A2917" s="40" t="s">
        <v>148</v>
      </c>
      <c r="B2917" s="28">
        <v>3460</v>
      </c>
      <c r="C2917" s="28" t="s">
        <v>875</v>
      </c>
      <c r="D2917" s="28"/>
      <c r="E2917" s="41">
        <v>46144</v>
      </c>
      <c r="F2917" s="47">
        <v>0.24972222222222223</v>
      </c>
      <c r="G2917" s="44">
        <v>6.3</v>
      </c>
      <c r="H2917" s="43" t="s">
        <v>236</v>
      </c>
      <c r="I2917" s="40" t="s">
        <v>1282</v>
      </c>
    </row>
    <row r="2918" spans="1:9" x14ac:dyDescent="0.25">
      <c r="A2918" s="40" t="s">
        <v>148</v>
      </c>
      <c r="B2918" s="28">
        <v>3460</v>
      </c>
      <c r="C2918" s="28" t="s">
        <v>876</v>
      </c>
      <c r="D2918" s="28"/>
      <c r="E2918" s="45">
        <v>46144</v>
      </c>
      <c r="F2918" s="48">
        <v>0.30278935185185185</v>
      </c>
      <c r="G2918" s="44">
        <v>6.3</v>
      </c>
      <c r="H2918" s="43" t="s">
        <v>237</v>
      </c>
      <c r="I2918" s="40" t="s">
        <v>1282</v>
      </c>
    </row>
    <row r="2919" spans="1:9" x14ac:dyDescent="0.25">
      <c r="A2919" s="40" t="s">
        <v>148</v>
      </c>
      <c r="B2919" s="28">
        <v>3460</v>
      </c>
      <c r="C2919" s="28" t="s">
        <v>876</v>
      </c>
      <c r="D2919" s="28"/>
      <c r="E2919" s="41">
        <v>46144</v>
      </c>
      <c r="F2919" s="47">
        <v>0.30807870370370372</v>
      </c>
      <c r="G2919" s="44">
        <v>6.3</v>
      </c>
      <c r="H2919" s="43" t="s">
        <v>234</v>
      </c>
      <c r="I2919" s="40" t="s">
        <v>1282</v>
      </c>
    </row>
    <row r="2920" spans="1:9" x14ac:dyDescent="0.25">
      <c r="A2920" s="40" t="s">
        <v>148</v>
      </c>
      <c r="B2920" s="28">
        <v>3460</v>
      </c>
      <c r="C2920" s="28" t="s">
        <v>877</v>
      </c>
      <c r="D2920" s="28"/>
      <c r="E2920" s="41">
        <v>46144</v>
      </c>
      <c r="F2920" s="47">
        <v>0.37137731481481484</v>
      </c>
      <c r="G2920" s="44">
        <v>6.3</v>
      </c>
      <c r="H2920" s="43" t="s">
        <v>235</v>
      </c>
      <c r="I2920" s="40" t="s">
        <v>1282</v>
      </c>
    </row>
    <row r="2921" spans="1:9" x14ac:dyDescent="0.25">
      <c r="A2921" s="40" t="s">
        <v>148</v>
      </c>
      <c r="B2921" s="28">
        <v>3460</v>
      </c>
      <c r="C2921" s="28" t="s">
        <v>877</v>
      </c>
      <c r="D2921" s="28"/>
      <c r="E2921" s="41">
        <v>46144</v>
      </c>
      <c r="F2921" s="47">
        <v>0.3787847222222222</v>
      </c>
      <c r="G2921" s="44">
        <v>6.3</v>
      </c>
      <c r="H2921" s="43" t="s">
        <v>236</v>
      </c>
      <c r="I2921" s="40" t="s">
        <v>1282</v>
      </c>
    </row>
    <row r="2922" spans="1:9" x14ac:dyDescent="0.25">
      <c r="A2922" s="40" t="s">
        <v>148</v>
      </c>
      <c r="B2922" s="28">
        <v>3460</v>
      </c>
      <c r="C2922" s="28" t="s">
        <v>878</v>
      </c>
      <c r="D2922" s="28"/>
      <c r="E2922" s="45">
        <v>46144</v>
      </c>
      <c r="F2922" s="48">
        <v>0.48622685185185183</v>
      </c>
      <c r="G2922" s="44">
        <v>6.3</v>
      </c>
      <c r="H2922" s="43" t="s">
        <v>237</v>
      </c>
      <c r="I2922" s="40" t="s">
        <v>1282</v>
      </c>
    </row>
    <row r="2923" spans="1:9" x14ac:dyDescent="0.25">
      <c r="A2923" s="40" t="s">
        <v>148</v>
      </c>
      <c r="B2923" s="28">
        <v>3460</v>
      </c>
      <c r="C2923" s="28" t="s">
        <v>878</v>
      </c>
      <c r="D2923" s="28"/>
      <c r="E2923" s="41">
        <v>46144</v>
      </c>
      <c r="F2923" s="47">
        <v>0.49178240740740742</v>
      </c>
      <c r="G2923" s="44">
        <v>6.3</v>
      </c>
      <c r="H2923" s="43" t="s">
        <v>234</v>
      </c>
      <c r="I2923" s="40" t="s">
        <v>1282</v>
      </c>
    </row>
    <row r="2924" spans="1:9" x14ac:dyDescent="0.25">
      <c r="A2924" s="40" t="s">
        <v>148</v>
      </c>
      <c r="B2924" s="28">
        <v>3460</v>
      </c>
      <c r="C2924" s="28" t="s">
        <v>879</v>
      </c>
      <c r="D2924" s="28"/>
      <c r="E2924" s="41">
        <v>46144</v>
      </c>
      <c r="F2924" s="47">
        <v>0.57943287037037039</v>
      </c>
      <c r="G2924" s="44">
        <v>6.3</v>
      </c>
      <c r="H2924" s="43" t="s">
        <v>235</v>
      </c>
      <c r="I2924" s="40" t="s">
        <v>1282</v>
      </c>
    </row>
    <row r="2925" spans="1:9" x14ac:dyDescent="0.25">
      <c r="A2925" s="40" t="s">
        <v>148</v>
      </c>
      <c r="B2925" s="28">
        <v>3460</v>
      </c>
      <c r="C2925" s="28" t="s">
        <v>879</v>
      </c>
      <c r="D2925" s="28"/>
      <c r="E2925" s="41">
        <v>46144</v>
      </c>
      <c r="F2925" s="47">
        <v>0.58709490740740744</v>
      </c>
      <c r="G2925" s="44">
        <v>6.3</v>
      </c>
      <c r="H2925" s="43" t="s">
        <v>239</v>
      </c>
      <c r="I2925" s="40" t="s">
        <v>1282</v>
      </c>
    </row>
    <row r="2926" spans="1:9" x14ac:dyDescent="0.25">
      <c r="A2926" s="40" t="s">
        <v>148</v>
      </c>
      <c r="B2926" s="28">
        <v>3460</v>
      </c>
      <c r="C2926" s="28" t="s">
        <v>880</v>
      </c>
      <c r="D2926" s="28"/>
      <c r="E2926" s="41">
        <v>46145</v>
      </c>
      <c r="F2926" s="47">
        <v>0.646087962962963</v>
      </c>
      <c r="G2926" s="44">
        <v>6.3</v>
      </c>
      <c r="H2926" s="43" t="s">
        <v>235</v>
      </c>
      <c r="I2926" s="40" t="s">
        <v>1282</v>
      </c>
    </row>
    <row r="2927" spans="1:9" x14ac:dyDescent="0.25">
      <c r="A2927" s="40" t="s">
        <v>148</v>
      </c>
      <c r="B2927" s="28">
        <v>3460</v>
      </c>
      <c r="C2927" s="28" t="s">
        <v>880</v>
      </c>
      <c r="D2927" s="28"/>
      <c r="E2927" s="41">
        <v>46145</v>
      </c>
      <c r="F2927" s="47">
        <v>0.65314814814814814</v>
      </c>
      <c r="G2927" s="44">
        <v>6.3</v>
      </c>
      <c r="H2927" s="43" t="s">
        <v>236</v>
      </c>
      <c r="I2927" s="40" t="s">
        <v>1282</v>
      </c>
    </row>
    <row r="2928" spans="1:9" x14ac:dyDescent="0.25">
      <c r="A2928" s="40" t="s">
        <v>105</v>
      </c>
      <c r="B2928" s="28">
        <v>3504</v>
      </c>
      <c r="C2928" s="28" t="s">
        <v>881</v>
      </c>
      <c r="D2928" s="28"/>
      <c r="E2928" s="41">
        <v>46140</v>
      </c>
      <c r="F2928" s="47">
        <v>0.25946759259259261</v>
      </c>
      <c r="G2928" s="44">
        <v>6.3</v>
      </c>
      <c r="H2928" s="43" t="s">
        <v>233</v>
      </c>
      <c r="I2928" s="40" t="s">
        <v>1281</v>
      </c>
    </row>
    <row r="2929" spans="1:9" x14ac:dyDescent="0.25">
      <c r="A2929" s="40" t="s">
        <v>105</v>
      </c>
      <c r="B2929" s="28">
        <v>3504</v>
      </c>
      <c r="C2929" s="28" t="s">
        <v>881</v>
      </c>
      <c r="D2929" s="28"/>
      <c r="E2929" s="41">
        <v>46140</v>
      </c>
      <c r="F2929" s="47">
        <v>0.26472222222222225</v>
      </c>
      <c r="G2929" s="44">
        <v>6.3</v>
      </c>
      <c r="H2929" s="43" t="s">
        <v>234</v>
      </c>
      <c r="I2929" s="40" t="s">
        <v>1281</v>
      </c>
    </row>
    <row r="2930" spans="1:9" x14ac:dyDescent="0.25">
      <c r="A2930" s="40" t="s">
        <v>105</v>
      </c>
      <c r="B2930" s="28">
        <v>3504</v>
      </c>
      <c r="C2930" s="28" t="s">
        <v>882</v>
      </c>
      <c r="D2930" s="28"/>
      <c r="E2930" s="45">
        <v>46140</v>
      </c>
      <c r="F2930" s="48">
        <v>0.3162847222222222</v>
      </c>
      <c r="G2930" s="44">
        <v>6.3</v>
      </c>
      <c r="H2930" s="43" t="s">
        <v>235</v>
      </c>
      <c r="I2930" s="40" t="s">
        <v>1281</v>
      </c>
    </row>
    <row r="2931" spans="1:9" x14ac:dyDescent="0.25">
      <c r="A2931" s="40" t="s">
        <v>105</v>
      </c>
      <c r="B2931" s="28">
        <v>3504</v>
      </c>
      <c r="C2931" s="28" t="s">
        <v>882</v>
      </c>
      <c r="D2931" s="28"/>
      <c r="E2931" s="41">
        <v>46140</v>
      </c>
      <c r="F2931" s="47">
        <v>0.32866898148148149</v>
      </c>
      <c r="G2931" s="44">
        <v>6.3</v>
      </c>
      <c r="H2931" s="43" t="s">
        <v>236</v>
      </c>
      <c r="I2931" s="40" t="s">
        <v>1281</v>
      </c>
    </row>
    <row r="2932" spans="1:9" x14ac:dyDescent="0.25">
      <c r="A2932" s="40" t="s">
        <v>105</v>
      </c>
      <c r="B2932" s="28">
        <v>3504</v>
      </c>
      <c r="C2932" s="28" t="s">
        <v>883</v>
      </c>
      <c r="D2932" s="28"/>
      <c r="E2932" s="41">
        <v>46140</v>
      </c>
      <c r="F2932" s="47">
        <v>0.39998842592592593</v>
      </c>
      <c r="G2932" s="42">
        <v>6.3</v>
      </c>
      <c r="H2932" s="40" t="s">
        <v>237</v>
      </c>
      <c r="I2932" s="40" t="s">
        <v>1281</v>
      </c>
    </row>
    <row r="2933" spans="1:9" x14ac:dyDescent="0.25">
      <c r="A2933" s="40" t="s">
        <v>105</v>
      </c>
      <c r="B2933" s="28">
        <v>3504</v>
      </c>
      <c r="C2933" s="28" t="s">
        <v>883</v>
      </c>
      <c r="D2933" s="28"/>
      <c r="E2933" s="41">
        <v>46140</v>
      </c>
      <c r="F2933" s="47">
        <v>0.41431712962962963</v>
      </c>
      <c r="G2933" s="42">
        <v>6.3</v>
      </c>
      <c r="H2933" s="40" t="s">
        <v>234</v>
      </c>
      <c r="I2933" s="40" t="s">
        <v>1281</v>
      </c>
    </row>
    <row r="2934" spans="1:9" x14ac:dyDescent="0.25">
      <c r="A2934" s="40" t="s">
        <v>105</v>
      </c>
      <c r="B2934" s="28">
        <v>3504</v>
      </c>
      <c r="C2934" s="28" t="s">
        <v>884</v>
      </c>
      <c r="D2934" s="28"/>
      <c r="E2934" s="41">
        <v>46141</v>
      </c>
      <c r="F2934" s="47">
        <v>0.25649305555555557</v>
      </c>
      <c r="G2934" s="44">
        <v>6.3</v>
      </c>
      <c r="H2934" s="43" t="s">
        <v>237</v>
      </c>
      <c r="I2934" s="40" t="s">
        <v>1281</v>
      </c>
    </row>
    <row r="2935" spans="1:9" x14ac:dyDescent="0.25">
      <c r="A2935" s="40" t="s">
        <v>105</v>
      </c>
      <c r="B2935" s="28">
        <v>3504</v>
      </c>
      <c r="C2935" s="28" t="s">
        <v>884</v>
      </c>
      <c r="D2935" s="28"/>
      <c r="E2935" s="45">
        <v>46141</v>
      </c>
      <c r="F2935" s="48">
        <v>0.26239583333333333</v>
      </c>
      <c r="G2935" s="44">
        <v>6.3</v>
      </c>
      <c r="H2935" s="43" t="s">
        <v>234</v>
      </c>
      <c r="I2935" s="40" t="s">
        <v>1281</v>
      </c>
    </row>
    <row r="2936" spans="1:9" x14ac:dyDescent="0.25">
      <c r="A2936" s="40" t="s">
        <v>105</v>
      </c>
      <c r="B2936" s="28">
        <v>3504</v>
      </c>
      <c r="C2936" s="28" t="s">
        <v>885</v>
      </c>
      <c r="D2936" s="28"/>
      <c r="E2936" s="41">
        <v>46141</v>
      </c>
      <c r="F2936" s="47">
        <v>0.3478472222222222</v>
      </c>
      <c r="G2936" s="44">
        <v>6.3</v>
      </c>
      <c r="H2936" s="43" t="s">
        <v>235</v>
      </c>
      <c r="I2936" s="40" t="s">
        <v>1281</v>
      </c>
    </row>
    <row r="2937" spans="1:9" x14ac:dyDescent="0.25">
      <c r="A2937" s="40" t="s">
        <v>105</v>
      </c>
      <c r="B2937" s="28">
        <v>3504</v>
      </c>
      <c r="C2937" s="28" t="s">
        <v>886</v>
      </c>
      <c r="D2937" s="28"/>
      <c r="E2937" s="41">
        <v>46141</v>
      </c>
      <c r="F2937" s="47">
        <v>0.42719907407407409</v>
      </c>
      <c r="G2937" s="44">
        <v>6.3</v>
      </c>
      <c r="H2937" s="43" t="s">
        <v>237</v>
      </c>
      <c r="I2937" s="40" t="s">
        <v>1281</v>
      </c>
    </row>
    <row r="2938" spans="1:9" x14ac:dyDescent="0.25">
      <c r="A2938" s="40" t="s">
        <v>105</v>
      </c>
      <c r="B2938" s="28">
        <v>3504</v>
      </c>
      <c r="C2938" s="28" t="s">
        <v>886</v>
      </c>
      <c r="D2938" s="28"/>
      <c r="E2938" s="45">
        <v>46141</v>
      </c>
      <c r="F2938" s="48">
        <v>0.44377314814814817</v>
      </c>
      <c r="G2938" s="44">
        <v>6.3</v>
      </c>
      <c r="H2938" s="43" t="s">
        <v>234</v>
      </c>
      <c r="I2938" s="40" t="s">
        <v>1281</v>
      </c>
    </row>
    <row r="2939" spans="1:9" x14ac:dyDescent="0.25">
      <c r="A2939" s="40" t="s">
        <v>105</v>
      </c>
      <c r="B2939" s="28">
        <v>3504</v>
      </c>
      <c r="C2939" s="28" t="s">
        <v>887</v>
      </c>
      <c r="D2939" s="28"/>
      <c r="E2939" s="41">
        <v>46142</v>
      </c>
      <c r="F2939" s="47">
        <v>0.25964120370370369</v>
      </c>
      <c r="G2939" s="44">
        <v>6.3</v>
      </c>
      <c r="H2939" s="43" t="s">
        <v>237</v>
      </c>
      <c r="I2939" s="40" t="s">
        <v>1281</v>
      </c>
    </row>
    <row r="2940" spans="1:9" x14ac:dyDescent="0.25">
      <c r="A2940" s="40" t="s">
        <v>105</v>
      </c>
      <c r="B2940" s="28">
        <v>3504</v>
      </c>
      <c r="C2940" s="28" t="s">
        <v>887</v>
      </c>
      <c r="D2940" s="28"/>
      <c r="E2940" s="41">
        <v>46142</v>
      </c>
      <c r="F2940" s="47">
        <v>0.26565972222222223</v>
      </c>
      <c r="G2940" s="42">
        <v>6.3</v>
      </c>
      <c r="H2940" s="40" t="s">
        <v>234</v>
      </c>
      <c r="I2940" s="40" t="s">
        <v>1281</v>
      </c>
    </row>
    <row r="2941" spans="1:9" x14ac:dyDescent="0.25">
      <c r="A2941" s="40" t="s">
        <v>105</v>
      </c>
      <c r="B2941" s="28">
        <v>3504</v>
      </c>
      <c r="C2941" s="28" t="s">
        <v>888</v>
      </c>
      <c r="D2941" s="28"/>
      <c r="E2941" s="41">
        <v>46144</v>
      </c>
      <c r="F2941" s="47">
        <v>0.25068287037037035</v>
      </c>
      <c r="G2941" s="42">
        <v>6.3</v>
      </c>
      <c r="H2941" s="40" t="s">
        <v>234</v>
      </c>
      <c r="I2941" s="40" t="s">
        <v>1282</v>
      </c>
    </row>
    <row r="2942" spans="1:9" x14ac:dyDescent="0.25">
      <c r="A2942" s="40" t="s">
        <v>105</v>
      </c>
      <c r="B2942" s="28">
        <v>3504</v>
      </c>
      <c r="C2942" s="28" t="s">
        <v>889</v>
      </c>
      <c r="D2942" s="28"/>
      <c r="E2942" s="41">
        <v>46144</v>
      </c>
      <c r="F2942" s="47">
        <v>0.40168981481481481</v>
      </c>
      <c r="G2942" s="42">
        <v>6.3</v>
      </c>
      <c r="H2942" s="40" t="s">
        <v>235</v>
      </c>
      <c r="I2942" s="40" t="s">
        <v>1282</v>
      </c>
    </row>
    <row r="2943" spans="1:9" x14ac:dyDescent="0.25">
      <c r="A2943" s="40" t="s">
        <v>105</v>
      </c>
      <c r="B2943" s="28">
        <v>3504</v>
      </c>
      <c r="C2943" s="28" t="s">
        <v>889</v>
      </c>
      <c r="D2943" s="28"/>
      <c r="E2943" s="41">
        <v>46144</v>
      </c>
      <c r="F2943" s="47">
        <v>0.4089814814814815</v>
      </c>
      <c r="G2943" s="44">
        <v>6.3</v>
      </c>
      <c r="H2943" s="43" t="s">
        <v>236</v>
      </c>
      <c r="I2943" s="40" t="s">
        <v>1282</v>
      </c>
    </row>
    <row r="2944" spans="1:9" x14ac:dyDescent="0.25">
      <c r="A2944" s="40" t="s">
        <v>105</v>
      </c>
      <c r="B2944" s="28">
        <v>3504</v>
      </c>
      <c r="C2944" s="28" t="s">
        <v>890</v>
      </c>
      <c r="D2944" s="28"/>
      <c r="E2944" s="41">
        <v>46144</v>
      </c>
      <c r="F2944" s="47">
        <v>0.63049768518518523</v>
      </c>
      <c r="G2944" s="44">
        <v>6.3</v>
      </c>
      <c r="H2944" s="43" t="s">
        <v>235</v>
      </c>
      <c r="I2944" s="40" t="s">
        <v>1282</v>
      </c>
    </row>
    <row r="2945" spans="1:9" x14ac:dyDescent="0.25">
      <c r="A2945" s="40" t="s">
        <v>105</v>
      </c>
      <c r="B2945" s="28">
        <v>3504</v>
      </c>
      <c r="C2945" s="28" t="s">
        <v>890</v>
      </c>
      <c r="D2945" s="28"/>
      <c r="E2945" s="41">
        <v>46144</v>
      </c>
      <c r="F2945" s="47">
        <v>0.64195601851851847</v>
      </c>
      <c r="G2945" s="42">
        <v>6.3</v>
      </c>
      <c r="H2945" s="40" t="s">
        <v>236</v>
      </c>
      <c r="I2945" s="40" t="s">
        <v>1282</v>
      </c>
    </row>
    <row r="2946" spans="1:9" x14ac:dyDescent="0.25">
      <c r="A2946" s="40" t="s">
        <v>105</v>
      </c>
      <c r="B2946" s="28">
        <v>3504</v>
      </c>
      <c r="C2946" s="28" t="s">
        <v>891</v>
      </c>
      <c r="D2946" s="28"/>
      <c r="E2946" s="41">
        <v>46144</v>
      </c>
      <c r="F2946" s="47">
        <v>0.74512731481481487</v>
      </c>
      <c r="G2946" s="42">
        <v>6.3</v>
      </c>
      <c r="H2946" s="40" t="s">
        <v>237</v>
      </c>
      <c r="I2946" s="40" t="s">
        <v>1282</v>
      </c>
    </row>
    <row r="2947" spans="1:9" x14ac:dyDescent="0.25">
      <c r="A2947" s="40" t="s">
        <v>105</v>
      </c>
      <c r="B2947" s="28">
        <v>3504</v>
      </c>
      <c r="C2947" s="28" t="s">
        <v>891</v>
      </c>
      <c r="D2947" s="28"/>
      <c r="E2947" s="41">
        <v>46144</v>
      </c>
      <c r="F2947" s="47">
        <v>0.75043981481481481</v>
      </c>
      <c r="G2947" s="42">
        <v>6.3</v>
      </c>
      <c r="H2947" s="40" t="s">
        <v>234</v>
      </c>
      <c r="I2947" s="40" t="s">
        <v>1282</v>
      </c>
    </row>
    <row r="2948" spans="1:9" x14ac:dyDescent="0.25">
      <c r="A2948" s="40" t="s">
        <v>105</v>
      </c>
      <c r="B2948" s="28">
        <v>3504</v>
      </c>
      <c r="C2948" s="28" t="s">
        <v>892</v>
      </c>
      <c r="D2948" s="28"/>
      <c r="E2948" s="41">
        <v>46145</v>
      </c>
      <c r="F2948" s="47">
        <v>0.24354166666666666</v>
      </c>
      <c r="G2948" s="44">
        <v>6.3</v>
      </c>
      <c r="H2948" s="43" t="s">
        <v>237</v>
      </c>
      <c r="I2948" s="40" t="s">
        <v>1282</v>
      </c>
    </row>
    <row r="2949" spans="1:9" x14ac:dyDescent="0.25">
      <c r="A2949" s="40" t="s">
        <v>105</v>
      </c>
      <c r="B2949" s="28">
        <v>3504</v>
      </c>
      <c r="C2949" s="28" t="s">
        <v>892</v>
      </c>
      <c r="D2949" s="28"/>
      <c r="E2949" s="41">
        <v>46145</v>
      </c>
      <c r="F2949" s="47">
        <v>0.24858796296296296</v>
      </c>
      <c r="G2949" s="44">
        <v>6.3</v>
      </c>
      <c r="H2949" s="43" t="s">
        <v>234</v>
      </c>
      <c r="I2949" s="40" t="s">
        <v>1282</v>
      </c>
    </row>
    <row r="2950" spans="1:9" x14ac:dyDescent="0.25">
      <c r="A2950" s="40" t="s">
        <v>105</v>
      </c>
      <c r="B2950" s="28">
        <v>3504</v>
      </c>
      <c r="C2950" s="28">
        <v>5647292</v>
      </c>
      <c r="D2950" s="28"/>
      <c r="E2950" s="41">
        <v>46145</v>
      </c>
      <c r="F2950" s="47">
        <v>0.37068287037037034</v>
      </c>
      <c r="G2950" s="44">
        <v>6.3</v>
      </c>
      <c r="H2950" s="43" t="s">
        <v>235</v>
      </c>
      <c r="I2950" s="40" t="s">
        <v>1282</v>
      </c>
    </row>
    <row r="2951" spans="1:9" x14ac:dyDescent="0.25">
      <c r="A2951" s="40" t="s">
        <v>105</v>
      </c>
      <c r="B2951" s="28">
        <v>3504</v>
      </c>
      <c r="C2951" s="28">
        <v>5647292</v>
      </c>
      <c r="D2951" s="28"/>
      <c r="E2951" s="41">
        <v>46145</v>
      </c>
      <c r="F2951" s="47">
        <v>0.37671296296296297</v>
      </c>
      <c r="G2951" s="44">
        <v>6.3</v>
      </c>
      <c r="H2951" s="43" t="s">
        <v>239</v>
      </c>
      <c r="I2951" s="40" t="s">
        <v>1282</v>
      </c>
    </row>
    <row r="2952" spans="1:9" x14ac:dyDescent="0.25">
      <c r="A2952" s="40" t="s">
        <v>105</v>
      </c>
      <c r="B2952" s="28">
        <v>3504</v>
      </c>
      <c r="C2952" s="28" t="s">
        <v>893</v>
      </c>
      <c r="D2952" s="28"/>
      <c r="E2952" s="45">
        <v>46145</v>
      </c>
      <c r="F2952" s="48">
        <v>0.46535879629629628</v>
      </c>
      <c r="G2952" s="42">
        <v>6.3</v>
      </c>
      <c r="H2952" s="40" t="s">
        <v>237</v>
      </c>
      <c r="I2952" s="40" t="s">
        <v>1282</v>
      </c>
    </row>
    <row r="2953" spans="1:9" x14ac:dyDescent="0.25">
      <c r="A2953" s="40" t="s">
        <v>105</v>
      </c>
      <c r="B2953" s="28">
        <v>3504</v>
      </c>
      <c r="C2953" s="28" t="s">
        <v>893</v>
      </c>
      <c r="D2953" s="28"/>
      <c r="E2953" s="41">
        <v>46145</v>
      </c>
      <c r="F2953" s="47">
        <v>0.47028935185185183</v>
      </c>
      <c r="G2953" s="42">
        <v>6.3</v>
      </c>
      <c r="H2953" s="40" t="s">
        <v>234</v>
      </c>
      <c r="I2953" s="40" t="s">
        <v>1282</v>
      </c>
    </row>
    <row r="2954" spans="1:9" x14ac:dyDescent="0.25">
      <c r="A2954" s="40" t="s">
        <v>105</v>
      </c>
      <c r="B2954" s="28">
        <v>3504</v>
      </c>
      <c r="C2954" s="28" t="s">
        <v>893</v>
      </c>
      <c r="D2954" s="28" t="s">
        <v>36</v>
      </c>
      <c r="E2954" s="45">
        <v>46145</v>
      </c>
      <c r="F2954" s="48">
        <v>0.5071296296296296</v>
      </c>
      <c r="G2954" s="44">
        <v>6.3</v>
      </c>
      <c r="H2954" s="43" t="s">
        <v>235</v>
      </c>
      <c r="I2954" s="40" t="s">
        <v>1282</v>
      </c>
    </row>
    <row r="2955" spans="1:9" x14ac:dyDescent="0.25">
      <c r="A2955" s="40" t="s">
        <v>105</v>
      </c>
      <c r="B2955" s="28">
        <v>3504</v>
      </c>
      <c r="C2955" s="28" t="s">
        <v>893</v>
      </c>
      <c r="D2955" s="28" t="s">
        <v>36</v>
      </c>
      <c r="E2955" s="41">
        <v>46145</v>
      </c>
      <c r="F2955" s="47">
        <v>0.51394675925925926</v>
      </c>
      <c r="G2955" s="44">
        <v>6.3</v>
      </c>
      <c r="H2955" s="43" t="s">
        <v>236</v>
      </c>
      <c r="I2955" s="40" t="s">
        <v>1282</v>
      </c>
    </row>
    <row r="2956" spans="1:9" x14ac:dyDescent="0.25">
      <c r="A2956" s="40" t="s">
        <v>269</v>
      </c>
      <c r="B2956" s="28">
        <v>3509</v>
      </c>
      <c r="C2956" s="28">
        <v>5638199</v>
      </c>
      <c r="D2956" s="28" t="s">
        <v>37</v>
      </c>
      <c r="E2956" s="41">
        <v>46139</v>
      </c>
      <c r="F2956" s="47">
        <v>0.48696759259259259</v>
      </c>
      <c r="G2956" s="42">
        <v>6.3</v>
      </c>
      <c r="H2956" s="40" t="s">
        <v>235</v>
      </c>
      <c r="I2956" s="40" t="s">
        <v>1281</v>
      </c>
    </row>
    <row r="2957" spans="1:9" x14ac:dyDescent="0.25">
      <c r="A2957" s="40" t="s">
        <v>269</v>
      </c>
      <c r="B2957" s="28">
        <v>3509</v>
      </c>
      <c r="C2957" s="28" t="s">
        <v>35</v>
      </c>
      <c r="D2957" s="28" t="s">
        <v>38</v>
      </c>
      <c r="E2957" s="45">
        <v>46140</v>
      </c>
      <c r="F2957" s="48">
        <v>0.93737268518518524</v>
      </c>
      <c r="G2957" s="42">
        <v>6.3</v>
      </c>
      <c r="H2957" s="40" t="s">
        <v>237</v>
      </c>
      <c r="I2957" s="40" t="s">
        <v>1281</v>
      </c>
    </row>
    <row r="2958" spans="1:9" x14ac:dyDescent="0.25">
      <c r="A2958" s="40" t="s">
        <v>269</v>
      </c>
      <c r="B2958" s="28">
        <v>3509</v>
      </c>
      <c r="C2958" s="28">
        <v>5645304</v>
      </c>
      <c r="D2958" s="28"/>
      <c r="E2958" s="41">
        <v>46142</v>
      </c>
      <c r="F2958" s="47">
        <v>0.7732175925925926</v>
      </c>
      <c r="G2958" s="42">
        <v>6.3</v>
      </c>
      <c r="H2958" s="40" t="s">
        <v>235</v>
      </c>
      <c r="I2958" s="40" t="s">
        <v>1281</v>
      </c>
    </row>
    <row r="2959" spans="1:9" x14ac:dyDescent="0.25">
      <c r="A2959" s="40" t="s">
        <v>269</v>
      </c>
      <c r="B2959" s="28">
        <v>3509</v>
      </c>
      <c r="C2959" s="28">
        <v>5645304</v>
      </c>
      <c r="D2959" s="28"/>
      <c r="E2959" s="45">
        <v>46142</v>
      </c>
      <c r="F2959" s="48">
        <v>0.78469907407407402</v>
      </c>
      <c r="G2959" s="42">
        <v>6.3</v>
      </c>
      <c r="H2959" s="40" t="s">
        <v>236</v>
      </c>
      <c r="I2959" s="40" t="s">
        <v>1281</v>
      </c>
    </row>
    <row r="2960" spans="1:9" x14ac:dyDescent="0.25">
      <c r="A2960" s="40" t="s">
        <v>269</v>
      </c>
      <c r="B2960" s="28">
        <v>3509</v>
      </c>
      <c r="C2960" s="28">
        <v>5645506</v>
      </c>
      <c r="D2960" s="28"/>
      <c r="E2960" s="45">
        <v>46142</v>
      </c>
      <c r="F2960" s="48">
        <v>0.85736111111111113</v>
      </c>
      <c r="G2960" s="44">
        <v>6.3</v>
      </c>
      <c r="H2960" s="43" t="s">
        <v>234</v>
      </c>
      <c r="I2960" s="40" t="s">
        <v>1281</v>
      </c>
    </row>
    <row r="2961" spans="1:9" x14ac:dyDescent="0.25">
      <c r="A2961" s="40" t="s">
        <v>269</v>
      </c>
      <c r="B2961" s="28">
        <v>3509</v>
      </c>
      <c r="C2961" s="28" t="s">
        <v>894</v>
      </c>
      <c r="D2961" s="28"/>
      <c r="E2961" s="41">
        <v>46143</v>
      </c>
      <c r="F2961" s="47">
        <v>0.70251157407407405</v>
      </c>
      <c r="G2961" s="44">
        <v>6.3</v>
      </c>
      <c r="H2961" s="43" t="s">
        <v>235</v>
      </c>
      <c r="I2961" s="40" t="s">
        <v>1282</v>
      </c>
    </row>
    <row r="2962" spans="1:9" x14ac:dyDescent="0.25">
      <c r="A2962" s="40" t="s">
        <v>269</v>
      </c>
      <c r="B2962" s="28">
        <v>3509</v>
      </c>
      <c r="C2962" s="28" t="s">
        <v>894</v>
      </c>
      <c r="D2962" s="28"/>
      <c r="E2962" s="41">
        <v>46143</v>
      </c>
      <c r="F2962" s="47">
        <v>0.70978009259259256</v>
      </c>
      <c r="G2962" s="44">
        <v>6.3</v>
      </c>
      <c r="H2962" s="43" t="s">
        <v>236</v>
      </c>
      <c r="I2962" s="40" t="s">
        <v>1282</v>
      </c>
    </row>
    <row r="2963" spans="1:9" x14ac:dyDescent="0.25">
      <c r="A2963" s="40" t="s">
        <v>269</v>
      </c>
      <c r="B2963" s="28">
        <v>3509</v>
      </c>
      <c r="C2963" s="28" t="s">
        <v>35</v>
      </c>
      <c r="D2963" s="28" t="s">
        <v>38</v>
      </c>
      <c r="E2963" s="41">
        <v>46143</v>
      </c>
      <c r="F2963" s="47">
        <v>0.73197916666666663</v>
      </c>
      <c r="G2963" s="44">
        <v>6.3</v>
      </c>
      <c r="H2963" s="43" t="s">
        <v>237</v>
      </c>
      <c r="I2963" s="40" t="s">
        <v>1282</v>
      </c>
    </row>
    <row r="2964" spans="1:9" x14ac:dyDescent="0.25">
      <c r="A2964" s="40" t="s">
        <v>269</v>
      </c>
      <c r="B2964" s="28">
        <v>3509</v>
      </c>
      <c r="C2964" s="28" t="s">
        <v>35</v>
      </c>
      <c r="D2964" s="28" t="s">
        <v>38</v>
      </c>
      <c r="E2964" s="45">
        <v>46143</v>
      </c>
      <c r="F2964" s="48">
        <v>0.73797453703703708</v>
      </c>
      <c r="G2964" s="44">
        <v>6.3</v>
      </c>
      <c r="H2964" s="43" t="s">
        <v>234</v>
      </c>
      <c r="I2964" s="40" t="s">
        <v>1282</v>
      </c>
    </row>
    <row r="2965" spans="1:9" x14ac:dyDescent="0.25">
      <c r="A2965" s="40" t="s">
        <v>269</v>
      </c>
      <c r="B2965" s="28">
        <v>3509</v>
      </c>
      <c r="C2965" s="28">
        <v>5645127</v>
      </c>
      <c r="D2965" s="28"/>
      <c r="E2965" s="41">
        <v>46144</v>
      </c>
      <c r="F2965" s="47">
        <v>0.42218749999999999</v>
      </c>
      <c r="G2965" s="44">
        <v>6.3</v>
      </c>
      <c r="H2965" s="43" t="s">
        <v>235</v>
      </c>
      <c r="I2965" s="40" t="s">
        <v>1282</v>
      </c>
    </row>
    <row r="2966" spans="1:9" x14ac:dyDescent="0.25">
      <c r="A2966" s="40" t="s">
        <v>269</v>
      </c>
      <c r="B2966" s="28">
        <v>3509</v>
      </c>
      <c r="C2966" s="28">
        <v>5645127</v>
      </c>
      <c r="D2966" s="28"/>
      <c r="E2966" s="41">
        <v>46144</v>
      </c>
      <c r="F2966" s="47">
        <v>0.42935185185185187</v>
      </c>
      <c r="G2966" s="44">
        <v>6.3</v>
      </c>
      <c r="H2966" s="43" t="s">
        <v>239</v>
      </c>
      <c r="I2966" s="40" t="s">
        <v>1282</v>
      </c>
    </row>
    <row r="2967" spans="1:9" x14ac:dyDescent="0.25">
      <c r="A2967" s="40" t="s">
        <v>269</v>
      </c>
      <c r="B2967" s="28">
        <v>3509</v>
      </c>
      <c r="C2967" s="28" t="s">
        <v>35</v>
      </c>
      <c r="D2967" s="28" t="s">
        <v>38</v>
      </c>
      <c r="E2967" s="41">
        <v>46144</v>
      </c>
      <c r="F2967" s="47">
        <v>0.45432870370370371</v>
      </c>
      <c r="G2967" s="44">
        <v>6.3</v>
      </c>
      <c r="H2967" s="43" t="s">
        <v>233</v>
      </c>
      <c r="I2967" s="40" t="s">
        <v>1282</v>
      </c>
    </row>
    <row r="2968" spans="1:9" x14ac:dyDescent="0.25">
      <c r="A2968" s="40" t="s">
        <v>269</v>
      </c>
      <c r="B2968" s="28">
        <v>3509</v>
      </c>
      <c r="C2968" s="28" t="s">
        <v>35</v>
      </c>
      <c r="D2968" s="28" t="s">
        <v>38</v>
      </c>
      <c r="E2968" s="41">
        <v>46144</v>
      </c>
      <c r="F2968" s="47">
        <v>0.96010416666666665</v>
      </c>
      <c r="G2968" s="44">
        <v>6.3</v>
      </c>
      <c r="H2968" s="43" t="s">
        <v>237</v>
      </c>
      <c r="I2968" s="40" t="s">
        <v>1282</v>
      </c>
    </row>
    <row r="2969" spans="1:9" x14ac:dyDescent="0.25">
      <c r="A2969" s="40" t="s">
        <v>216</v>
      </c>
      <c r="B2969" s="28">
        <v>3517</v>
      </c>
      <c r="C2969" s="28" t="s">
        <v>895</v>
      </c>
      <c r="D2969" s="28"/>
      <c r="E2969" s="41">
        <v>46140</v>
      </c>
      <c r="F2969" s="47">
        <v>4.0960648148148149E-2</v>
      </c>
      <c r="G2969" s="44">
        <v>6.3</v>
      </c>
      <c r="H2969" s="43" t="s">
        <v>235</v>
      </c>
      <c r="I2969" s="40" t="s">
        <v>1281</v>
      </c>
    </row>
    <row r="2970" spans="1:9" x14ac:dyDescent="0.25">
      <c r="A2970" s="40" t="s">
        <v>216</v>
      </c>
      <c r="B2970" s="28">
        <v>3517</v>
      </c>
      <c r="C2970" s="28" t="s">
        <v>895</v>
      </c>
      <c r="D2970" s="28"/>
      <c r="E2970" s="41">
        <v>46140</v>
      </c>
      <c r="F2970" s="47">
        <v>4.880787037037037E-2</v>
      </c>
      <c r="G2970" s="44">
        <v>6.3</v>
      </c>
      <c r="H2970" s="43" t="s">
        <v>236</v>
      </c>
      <c r="I2970" s="40" t="s">
        <v>1281</v>
      </c>
    </row>
    <row r="2971" spans="1:9" x14ac:dyDescent="0.25">
      <c r="A2971" s="40" t="s">
        <v>216</v>
      </c>
      <c r="B2971" s="28">
        <v>3517</v>
      </c>
      <c r="C2971" s="28" t="s">
        <v>896</v>
      </c>
      <c r="D2971" s="28"/>
      <c r="E2971" s="41">
        <v>46140</v>
      </c>
      <c r="F2971" s="47">
        <v>0.65327546296296302</v>
      </c>
      <c r="G2971" s="44">
        <v>6.3</v>
      </c>
      <c r="H2971" s="43" t="s">
        <v>235</v>
      </c>
      <c r="I2971" s="40" t="s">
        <v>1281</v>
      </c>
    </row>
    <row r="2972" spans="1:9" x14ac:dyDescent="0.25">
      <c r="A2972" s="40" t="s">
        <v>216</v>
      </c>
      <c r="B2972" s="28">
        <v>3517</v>
      </c>
      <c r="C2972" s="28" t="s">
        <v>896</v>
      </c>
      <c r="D2972" s="28"/>
      <c r="E2972" s="41">
        <v>46140</v>
      </c>
      <c r="F2972" s="47">
        <v>0.66214120370370366</v>
      </c>
      <c r="G2972" s="44">
        <v>6.3</v>
      </c>
      <c r="H2972" s="43" t="s">
        <v>236</v>
      </c>
      <c r="I2972" s="40" t="s">
        <v>1281</v>
      </c>
    </row>
    <row r="2973" spans="1:9" x14ac:dyDescent="0.25">
      <c r="A2973" s="40" t="s">
        <v>216</v>
      </c>
      <c r="B2973" s="28">
        <v>3517</v>
      </c>
      <c r="C2973" s="28" t="s">
        <v>897</v>
      </c>
      <c r="D2973" s="28"/>
      <c r="E2973" s="41">
        <v>46140</v>
      </c>
      <c r="F2973" s="47">
        <v>0.72915509259259259</v>
      </c>
      <c r="G2973" s="44">
        <v>6.3</v>
      </c>
      <c r="H2973" s="43" t="s">
        <v>237</v>
      </c>
      <c r="I2973" s="40" t="s">
        <v>1281</v>
      </c>
    </row>
    <row r="2974" spans="1:9" x14ac:dyDescent="0.25">
      <c r="A2974" s="40" t="s">
        <v>216</v>
      </c>
      <c r="B2974" s="28">
        <v>3517</v>
      </c>
      <c r="C2974" s="28" t="s">
        <v>897</v>
      </c>
      <c r="D2974" s="28"/>
      <c r="E2974" s="41">
        <v>46140</v>
      </c>
      <c r="F2974" s="47">
        <v>0.75173611111111116</v>
      </c>
      <c r="G2974" s="44">
        <v>6.3</v>
      </c>
      <c r="H2974" s="43" t="s">
        <v>234</v>
      </c>
      <c r="I2974" s="40" t="s">
        <v>1281</v>
      </c>
    </row>
    <row r="2975" spans="1:9" x14ac:dyDescent="0.25">
      <c r="A2975" s="40" t="s">
        <v>216</v>
      </c>
      <c r="B2975" s="28">
        <v>3517</v>
      </c>
      <c r="C2975" s="28" t="s">
        <v>898</v>
      </c>
      <c r="D2975" s="28"/>
      <c r="E2975" s="41">
        <v>46142</v>
      </c>
      <c r="F2975" s="47">
        <v>0.40967592592592594</v>
      </c>
      <c r="G2975" s="44">
        <v>6.3</v>
      </c>
      <c r="H2975" s="43" t="s">
        <v>237</v>
      </c>
      <c r="I2975" s="40" t="s">
        <v>1281</v>
      </c>
    </row>
    <row r="2976" spans="1:9" x14ac:dyDescent="0.25">
      <c r="A2976" s="40" t="s">
        <v>216</v>
      </c>
      <c r="B2976" s="28">
        <v>3517</v>
      </c>
      <c r="C2976" s="28" t="s">
        <v>898</v>
      </c>
      <c r="D2976" s="28"/>
      <c r="E2976" s="41">
        <v>46142</v>
      </c>
      <c r="F2976" s="47">
        <v>0.42516203703703703</v>
      </c>
      <c r="G2976" s="44">
        <v>6.3</v>
      </c>
      <c r="H2976" s="43" t="s">
        <v>234</v>
      </c>
      <c r="I2976" s="40" t="s">
        <v>1281</v>
      </c>
    </row>
    <row r="2977" spans="1:9" x14ac:dyDescent="0.25">
      <c r="A2977" s="40" t="s">
        <v>216</v>
      </c>
      <c r="B2977" s="28">
        <v>3517</v>
      </c>
      <c r="C2977" s="28" t="s">
        <v>899</v>
      </c>
      <c r="D2977" s="28"/>
      <c r="E2977" s="41">
        <v>46142</v>
      </c>
      <c r="F2977" s="47">
        <v>0.68686342592592597</v>
      </c>
      <c r="G2977" s="44">
        <v>6.3</v>
      </c>
      <c r="H2977" s="43" t="s">
        <v>235</v>
      </c>
      <c r="I2977" s="40" t="s">
        <v>1281</v>
      </c>
    </row>
    <row r="2978" spans="1:9" x14ac:dyDescent="0.25">
      <c r="A2978" s="40" t="s">
        <v>216</v>
      </c>
      <c r="B2978" s="28">
        <v>3517</v>
      </c>
      <c r="C2978" s="28" t="s">
        <v>899</v>
      </c>
      <c r="D2978" s="28"/>
      <c r="E2978" s="41">
        <v>46142</v>
      </c>
      <c r="F2978" s="47">
        <v>0.70234953703703706</v>
      </c>
      <c r="G2978" s="42">
        <v>6.3</v>
      </c>
      <c r="H2978" s="40" t="s">
        <v>236</v>
      </c>
      <c r="I2978" s="40" t="s">
        <v>1281</v>
      </c>
    </row>
    <row r="2979" spans="1:9" x14ac:dyDescent="0.25">
      <c r="A2979" s="40" t="s">
        <v>216</v>
      </c>
      <c r="B2979" s="28">
        <v>3517</v>
      </c>
      <c r="C2979" s="28" t="s">
        <v>900</v>
      </c>
      <c r="D2979" s="28"/>
      <c r="E2979" s="41">
        <v>46142</v>
      </c>
      <c r="F2979" s="47">
        <v>0.85267361111111106</v>
      </c>
      <c r="G2979" s="42">
        <v>6.3</v>
      </c>
      <c r="H2979" s="40" t="s">
        <v>234</v>
      </c>
      <c r="I2979" s="40" t="s">
        <v>1281</v>
      </c>
    </row>
    <row r="2980" spans="1:9" x14ac:dyDescent="0.25">
      <c r="A2980" s="40" t="s">
        <v>216</v>
      </c>
      <c r="B2980" s="28">
        <v>3517</v>
      </c>
      <c r="C2980" s="28" t="s">
        <v>901</v>
      </c>
      <c r="D2980" s="28"/>
      <c r="E2980" s="41">
        <v>46142</v>
      </c>
      <c r="F2980" s="47">
        <v>0.98311342592592588</v>
      </c>
      <c r="G2980" s="42">
        <v>6.3</v>
      </c>
      <c r="H2980" s="40" t="s">
        <v>235</v>
      </c>
      <c r="I2980" s="40" t="s">
        <v>1282</v>
      </c>
    </row>
    <row r="2981" spans="1:9" x14ac:dyDescent="0.25">
      <c r="A2981" s="40" t="s">
        <v>216</v>
      </c>
      <c r="B2981" s="28">
        <v>3517</v>
      </c>
      <c r="C2981" s="28" t="s">
        <v>901</v>
      </c>
      <c r="D2981" s="28"/>
      <c r="E2981" s="41">
        <v>46143</v>
      </c>
      <c r="F2981" s="47">
        <v>1.1828703703703704E-2</v>
      </c>
      <c r="G2981" s="42">
        <v>6.3</v>
      </c>
      <c r="H2981" s="40" t="s">
        <v>236</v>
      </c>
      <c r="I2981" s="40" t="s">
        <v>1282</v>
      </c>
    </row>
    <row r="2982" spans="1:9" x14ac:dyDescent="0.25">
      <c r="A2982" s="40" t="s">
        <v>216</v>
      </c>
      <c r="B2982" s="28">
        <v>3517</v>
      </c>
      <c r="C2982" s="28" t="s">
        <v>902</v>
      </c>
      <c r="D2982" s="28"/>
      <c r="E2982" s="41">
        <v>46145</v>
      </c>
      <c r="F2982" s="47">
        <v>0.48496527777777776</v>
      </c>
      <c r="G2982" s="42">
        <v>6.3</v>
      </c>
      <c r="H2982" s="40" t="s">
        <v>237</v>
      </c>
      <c r="I2982" s="40" t="s">
        <v>1282</v>
      </c>
    </row>
    <row r="2983" spans="1:9" x14ac:dyDescent="0.25">
      <c r="A2983" s="40" t="s">
        <v>216</v>
      </c>
      <c r="B2983" s="28">
        <v>3517</v>
      </c>
      <c r="C2983" s="28" t="s">
        <v>902</v>
      </c>
      <c r="D2983" s="28"/>
      <c r="E2983" s="45">
        <v>46145</v>
      </c>
      <c r="F2983" s="48">
        <v>0.49009259259259258</v>
      </c>
      <c r="G2983" s="44">
        <v>6.3</v>
      </c>
      <c r="H2983" s="43" t="s">
        <v>234</v>
      </c>
      <c r="I2983" s="40" t="s">
        <v>1282</v>
      </c>
    </row>
    <row r="2984" spans="1:9" x14ac:dyDescent="0.25">
      <c r="A2984" s="40" t="s">
        <v>216</v>
      </c>
      <c r="B2984" s="28">
        <v>3517</v>
      </c>
      <c r="C2984" s="28">
        <v>5647639</v>
      </c>
      <c r="D2984" s="28"/>
      <c r="E2984" s="41">
        <v>46145</v>
      </c>
      <c r="F2984" s="47">
        <v>0.55230324074074078</v>
      </c>
      <c r="G2984" s="44">
        <v>6.3</v>
      </c>
      <c r="H2984" s="43" t="s">
        <v>235</v>
      </c>
      <c r="I2984" s="40" t="s">
        <v>1282</v>
      </c>
    </row>
    <row r="2985" spans="1:9" x14ac:dyDescent="0.25">
      <c r="A2985" s="40" t="s">
        <v>216</v>
      </c>
      <c r="B2985" s="28">
        <v>3517</v>
      </c>
      <c r="C2985" s="28">
        <v>5647639</v>
      </c>
      <c r="D2985" s="28"/>
      <c r="E2985" s="41">
        <v>46145</v>
      </c>
      <c r="F2985" s="47">
        <v>0.55947916666666664</v>
      </c>
      <c r="G2985" s="44">
        <v>6.3</v>
      </c>
      <c r="H2985" s="43" t="s">
        <v>239</v>
      </c>
      <c r="I2985" s="40" t="s">
        <v>1282</v>
      </c>
    </row>
    <row r="2986" spans="1:9" x14ac:dyDescent="0.25">
      <c r="A2986" s="40" t="s">
        <v>304</v>
      </c>
      <c r="B2986" s="28">
        <v>3565</v>
      </c>
      <c r="C2986" s="28">
        <v>5637045</v>
      </c>
      <c r="D2986" s="28"/>
      <c r="E2986" s="41">
        <v>46139</v>
      </c>
      <c r="F2986" s="47">
        <v>0.20446759259259259</v>
      </c>
      <c r="G2986" s="44">
        <v>6.3</v>
      </c>
      <c r="H2986" s="43" t="s">
        <v>238</v>
      </c>
      <c r="I2986" s="40" t="s">
        <v>1281</v>
      </c>
    </row>
    <row r="2987" spans="1:9" x14ac:dyDescent="0.25">
      <c r="A2987" s="40" t="s">
        <v>304</v>
      </c>
      <c r="B2987" s="28">
        <v>3565</v>
      </c>
      <c r="C2987" s="28">
        <v>5637045</v>
      </c>
      <c r="D2987" s="28"/>
      <c r="E2987" s="41">
        <v>46139</v>
      </c>
      <c r="F2987" s="47">
        <v>0.20884259259259258</v>
      </c>
      <c r="G2987" s="44">
        <v>6.3</v>
      </c>
      <c r="H2987" s="43" t="s">
        <v>234</v>
      </c>
      <c r="I2987" s="40" t="s">
        <v>1281</v>
      </c>
    </row>
    <row r="2988" spans="1:9" x14ac:dyDescent="0.25">
      <c r="A2988" s="40" t="s">
        <v>304</v>
      </c>
      <c r="B2988" s="28">
        <v>3565</v>
      </c>
      <c r="C2988" s="28">
        <v>5639229</v>
      </c>
      <c r="D2988" s="28"/>
      <c r="E2988" s="41">
        <v>46140</v>
      </c>
      <c r="F2988" s="47">
        <v>0.24050925925925926</v>
      </c>
      <c r="G2988" s="44">
        <v>6.3</v>
      </c>
      <c r="H2988" s="43" t="s">
        <v>233</v>
      </c>
      <c r="I2988" s="40" t="s">
        <v>1281</v>
      </c>
    </row>
    <row r="2989" spans="1:9" x14ac:dyDescent="0.25">
      <c r="A2989" s="40" t="s">
        <v>304</v>
      </c>
      <c r="B2989" s="28">
        <v>3565</v>
      </c>
      <c r="C2989" s="28">
        <v>5639229</v>
      </c>
      <c r="D2989" s="28"/>
      <c r="E2989" s="41">
        <v>46140</v>
      </c>
      <c r="F2989" s="47">
        <v>0.24552083333333333</v>
      </c>
      <c r="G2989" s="44">
        <v>6.3</v>
      </c>
      <c r="H2989" s="43" t="s">
        <v>234</v>
      </c>
      <c r="I2989" s="40" t="s">
        <v>1281</v>
      </c>
    </row>
    <row r="2990" spans="1:9" x14ac:dyDescent="0.25">
      <c r="A2990" s="40" t="s">
        <v>304</v>
      </c>
      <c r="B2990" s="28">
        <v>3565</v>
      </c>
      <c r="C2990" s="28" t="s">
        <v>35</v>
      </c>
      <c r="D2990" s="28" t="s">
        <v>38</v>
      </c>
      <c r="E2990" s="41">
        <v>46140</v>
      </c>
      <c r="F2990" s="47">
        <v>0.50395833333333329</v>
      </c>
      <c r="G2990" s="44">
        <v>6.3</v>
      </c>
      <c r="H2990" s="43" t="s">
        <v>235</v>
      </c>
      <c r="I2990" s="40" t="s">
        <v>1281</v>
      </c>
    </row>
    <row r="2991" spans="1:9" x14ac:dyDescent="0.25">
      <c r="A2991" s="40" t="s">
        <v>304</v>
      </c>
      <c r="B2991" s="28">
        <v>3565</v>
      </c>
      <c r="C2991" s="28" t="s">
        <v>35</v>
      </c>
      <c r="D2991" s="28" t="s">
        <v>38</v>
      </c>
      <c r="E2991" s="41">
        <v>46140</v>
      </c>
      <c r="F2991" s="47">
        <v>0.60339120370370369</v>
      </c>
      <c r="G2991" s="44">
        <v>6.3</v>
      </c>
      <c r="H2991" s="43" t="s">
        <v>237</v>
      </c>
      <c r="I2991" s="40" t="s">
        <v>1281</v>
      </c>
    </row>
    <row r="2992" spans="1:9" x14ac:dyDescent="0.25">
      <c r="A2992" s="40" t="s">
        <v>304</v>
      </c>
      <c r="B2992" s="28">
        <v>3565</v>
      </c>
      <c r="C2992" s="28" t="s">
        <v>35</v>
      </c>
      <c r="D2992" s="28" t="s">
        <v>38</v>
      </c>
      <c r="E2992" s="45">
        <v>46140</v>
      </c>
      <c r="F2992" s="48">
        <v>0.61085648148148153</v>
      </c>
      <c r="G2992" s="44">
        <v>6.3</v>
      </c>
      <c r="H2992" s="43" t="s">
        <v>234</v>
      </c>
      <c r="I2992" s="40" t="s">
        <v>1281</v>
      </c>
    </row>
    <row r="2993" spans="1:9" x14ac:dyDescent="0.25">
      <c r="A2993" s="40" t="s">
        <v>304</v>
      </c>
      <c r="B2993" s="28">
        <v>3565</v>
      </c>
      <c r="C2993" s="28">
        <v>5641269</v>
      </c>
      <c r="D2993" s="28"/>
      <c r="E2993" s="45">
        <v>46140</v>
      </c>
      <c r="F2993" s="48">
        <v>0.88648148148148154</v>
      </c>
      <c r="G2993" s="44">
        <v>6.3</v>
      </c>
      <c r="H2993" s="43" t="s">
        <v>235</v>
      </c>
      <c r="I2993" s="40" t="s">
        <v>1281</v>
      </c>
    </row>
    <row r="2994" spans="1:9" x14ac:dyDescent="0.25">
      <c r="A2994" s="40" t="s">
        <v>304</v>
      </c>
      <c r="B2994" s="28">
        <v>3565</v>
      </c>
      <c r="C2994" s="28">
        <v>5641269</v>
      </c>
      <c r="D2994" s="28"/>
      <c r="E2994" s="41">
        <v>46140</v>
      </c>
      <c r="F2994" s="47">
        <v>0.89324074074074078</v>
      </c>
      <c r="G2994" s="44">
        <v>6.3</v>
      </c>
      <c r="H2994" s="43" t="s">
        <v>236</v>
      </c>
      <c r="I2994" s="40" t="s">
        <v>1281</v>
      </c>
    </row>
    <row r="2995" spans="1:9" x14ac:dyDescent="0.25">
      <c r="A2995" s="40" t="s">
        <v>304</v>
      </c>
      <c r="B2995" s="28">
        <v>3565</v>
      </c>
      <c r="C2995" s="28">
        <v>5641477</v>
      </c>
      <c r="D2995" s="28"/>
      <c r="E2995" s="41">
        <v>46141</v>
      </c>
      <c r="F2995" s="47">
        <v>0.14011574074074074</v>
      </c>
      <c r="G2995" s="44">
        <v>6.3</v>
      </c>
      <c r="H2995" s="43" t="s">
        <v>241</v>
      </c>
      <c r="I2995" s="40" t="s">
        <v>1281</v>
      </c>
    </row>
    <row r="2996" spans="1:9" x14ac:dyDescent="0.25">
      <c r="A2996" s="40" t="s">
        <v>304</v>
      </c>
      <c r="B2996" s="28">
        <v>3565</v>
      </c>
      <c r="C2996" s="28">
        <v>5641477</v>
      </c>
      <c r="D2996" s="28"/>
      <c r="E2996" s="41">
        <v>46141</v>
      </c>
      <c r="F2996" s="47">
        <v>0.14278935185185185</v>
      </c>
      <c r="G2996" s="44">
        <v>6.3</v>
      </c>
      <c r="H2996" s="43" t="s">
        <v>234</v>
      </c>
      <c r="I2996" s="40" t="s">
        <v>1281</v>
      </c>
    </row>
    <row r="2997" spans="1:9" x14ac:dyDescent="0.25">
      <c r="A2997" s="40" t="s">
        <v>304</v>
      </c>
      <c r="B2997" s="28">
        <v>3565</v>
      </c>
      <c r="C2997" s="28" t="s">
        <v>35</v>
      </c>
      <c r="D2997" s="28" t="s">
        <v>38</v>
      </c>
      <c r="E2997" s="41">
        <v>46144</v>
      </c>
      <c r="F2997" s="47">
        <v>0.66905092592592597</v>
      </c>
      <c r="G2997" s="44">
        <v>6.3</v>
      </c>
      <c r="H2997" s="43" t="s">
        <v>235</v>
      </c>
      <c r="I2997" s="40" t="s">
        <v>1282</v>
      </c>
    </row>
    <row r="2998" spans="1:9" x14ac:dyDescent="0.25">
      <c r="A2998" s="40" t="s">
        <v>304</v>
      </c>
      <c r="B2998" s="28">
        <v>3565</v>
      </c>
      <c r="C2998" s="28" t="s">
        <v>35</v>
      </c>
      <c r="D2998" s="28" t="s">
        <v>38</v>
      </c>
      <c r="E2998" s="41">
        <v>46144</v>
      </c>
      <c r="F2998" s="47">
        <v>0.67656249999999996</v>
      </c>
      <c r="G2998" s="44">
        <v>6.3</v>
      </c>
      <c r="H2998" s="43" t="s">
        <v>236</v>
      </c>
      <c r="I2998" s="40" t="s">
        <v>1282</v>
      </c>
    </row>
    <row r="2999" spans="1:9" x14ac:dyDescent="0.25">
      <c r="A2999" s="40" t="s">
        <v>304</v>
      </c>
      <c r="B2999" s="28">
        <v>3565</v>
      </c>
      <c r="C2999" s="28">
        <v>5647402</v>
      </c>
      <c r="D2999" s="28"/>
      <c r="E2999" s="41">
        <v>46145</v>
      </c>
      <c r="F2999" s="47">
        <v>0.14273148148148149</v>
      </c>
      <c r="G2999" s="44">
        <v>6.3</v>
      </c>
      <c r="H2999" s="43" t="s">
        <v>241</v>
      </c>
      <c r="I2999" s="40" t="s">
        <v>1282</v>
      </c>
    </row>
    <row r="3000" spans="1:9" x14ac:dyDescent="0.25">
      <c r="A3000" s="40" t="s">
        <v>304</v>
      </c>
      <c r="B3000" s="28">
        <v>3565</v>
      </c>
      <c r="C3000" s="28">
        <v>5647402</v>
      </c>
      <c r="D3000" s="28"/>
      <c r="E3000" s="41">
        <v>46145</v>
      </c>
      <c r="F3000" s="47">
        <v>0.14561342592592594</v>
      </c>
      <c r="G3000" s="44">
        <v>6.3</v>
      </c>
      <c r="H3000" s="43" t="s">
        <v>234</v>
      </c>
      <c r="I3000" s="40" t="s">
        <v>1282</v>
      </c>
    </row>
    <row r="3001" spans="1:9" x14ac:dyDescent="0.25">
      <c r="A3001" s="40" t="s">
        <v>304</v>
      </c>
      <c r="B3001" s="28">
        <v>3565</v>
      </c>
      <c r="C3001" s="28">
        <v>5647991</v>
      </c>
      <c r="D3001" s="28" t="s">
        <v>37</v>
      </c>
      <c r="E3001" s="41">
        <v>46145</v>
      </c>
      <c r="F3001" s="47">
        <v>0.33398148148148149</v>
      </c>
      <c r="G3001" s="44">
        <v>6.3</v>
      </c>
      <c r="H3001" s="43" t="s">
        <v>234</v>
      </c>
      <c r="I3001" s="40" t="s">
        <v>1282</v>
      </c>
    </row>
    <row r="3002" spans="1:9" x14ac:dyDescent="0.25">
      <c r="A3002" s="40" t="s">
        <v>412</v>
      </c>
      <c r="B3002" s="28">
        <v>3568</v>
      </c>
      <c r="C3002" s="28">
        <v>5638405</v>
      </c>
      <c r="D3002" s="28"/>
      <c r="E3002" s="41">
        <v>46140</v>
      </c>
      <c r="F3002" s="47">
        <v>0.94180555555555556</v>
      </c>
      <c r="G3002" s="44">
        <v>6.3</v>
      </c>
      <c r="H3002" s="43" t="s">
        <v>235</v>
      </c>
      <c r="I3002" s="40" t="s">
        <v>1281</v>
      </c>
    </row>
    <row r="3003" spans="1:9" x14ac:dyDescent="0.25">
      <c r="A3003" s="40" t="s">
        <v>412</v>
      </c>
      <c r="B3003" s="28">
        <v>3568</v>
      </c>
      <c r="C3003" s="28">
        <v>5638405</v>
      </c>
      <c r="D3003" s="28"/>
      <c r="E3003" s="41">
        <v>46140</v>
      </c>
      <c r="F3003" s="47">
        <v>0.94853009259259258</v>
      </c>
      <c r="G3003" s="44">
        <v>6.3</v>
      </c>
      <c r="H3003" s="43" t="s">
        <v>236</v>
      </c>
      <c r="I3003" s="40" t="s">
        <v>1281</v>
      </c>
    </row>
    <row r="3004" spans="1:9" x14ac:dyDescent="0.25">
      <c r="A3004" s="40" t="s">
        <v>412</v>
      </c>
      <c r="B3004" s="28">
        <v>3568</v>
      </c>
      <c r="C3004" s="28">
        <v>5644942</v>
      </c>
      <c r="D3004" s="28" t="s">
        <v>36</v>
      </c>
      <c r="E3004" s="41">
        <v>46144</v>
      </c>
      <c r="F3004" s="47">
        <v>0.37418981481481484</v>
      </c>
      <c r="G3004" s="44">
        <v>6.3</v>
      </c>
      <c r="H3004" s="43" t="s">
        <v>235</v>
      </c>
      <c r="I3004" s="40" t="s">
        <v>1282</v>
      </c>
    </row>
    <row r="3005" spans="1:9" x14ac:dyDescent="0.25">
      <c r="A3005" s="40" t="s">
        <v>412</v>
      </c>
      <c r="B3005" s="28">
        <v>3568</v>
      </c>
      <c r="C3005" s="28" t="s">
        <v>35</v>
      </c>
      <c r="D3005" s="28" t="s">
        <v>38</v>
      </c>
      <c r="E3005" s="41">
        <v>46144</v>
      </c>
      <c r="F3005" s="47">
        <v>0.71663194444444445</v>
      </c>
      <c r="G3005" s="44">
        <v>6.3</v>
      </c>
      <c r="H3005" s="43" t="s">
        <v>237</v>
      </c>
      <c r="I3005" s="40" t="s">
        <v>1282</v>
      </c>
    </row>
    <row r="3006" spans="1:9" x14ac:dyDescent="0.25">
      <c r="A3006" s="40" t="s">
        <v>903</v>
      </c>
      <c r="B3006" s="28">
        <v>3572</v>
      </c>
      <c r="C3006" s="28" t="s">
        <v>35</v>
      </c>
      <c r="D3006" s="28" t="s">
        <v>38</v>
      </c>
      <c r="E3006" s="45">
        <v>46143</v>
      </c>
      <c r="F3006" s="48">
        <v>0.98760416666666662</v>
      </c>
      <c r="G3006" s="44">
        <v>6.3</v>
      </c>
      <c r="H3006" s="43" t="s">
        <v>235</v>
      </c>
      <c r="I3006" s="40" t="s">
        <v>1282</v>
      </c>
    </row>
    <row r="3007" spans="1:9" x14ac:dyDescent="0.25">
      <c r="A3007" s="40" t="s">
        <v>903</v>
      </c>
      <c r="B3007" s="28">
        <v>3572</v>
      </c>
      <c r="C3007" s="28" t="s">
        <v>35</v>
      </c>
      <c r="D3007" s="28" t="s">
        <v>38</v>
      </c>
      <c r="E3007" s="45">
        <v>46143</v>
      </c>
      <c r="F3007" s="48">
        <v>0.99827546296296299</v>
      </c>
      <c r="G3007" s="44">
        <v>6.3</v>
      </c>
      <c r="H3007" s="43" t="s">
        <v>236</v>
      </c>
      <c r="I3007" s="40" t="s">
        <v>1282</v>
      </c>
    </row>
    <row r="3008" spans="1:9" x14ac:dyDescent="0.25">
      <c r="A3008" s="40" t="s">
        <v>903</v>
      </c>
      <c r="B3008" s="28">
        <v>3572</v>
      </c>
      <c r="C3008" s="28">
        <v>5647061</v>
      </c>
      <c r="D3008" s="28"/>
      <c r="E3008" s="45">
        <v>46144</v>
      </c>
      <c r="F3008" s="48">
        <v>0.26722222222222225</v>
      </c>
      <c r="G3008" s="44">
        <v>6.3</v>
      </c>
      <c r="H3008" s="43" t="s">
        <v>233</v>
      </c>
      <c r="I3008" s="40" t="s">
        <v>1282</v>
      </c>
    </row>
    <row r="3009" spans="1:9" x14ac:dyDescent="0.25">
      <c r="A3009" s="40" t="s">
        <v>903</v>
      </c>
      <c r="B3009" s="28">
        <v>3572</v>
      </c>
      <c r="C3009" s="28">
        <v>5647061</v>
      </c>
      <c r="D3009" s="28"/>
      <c r="E3009" s="45">
        <v>46144</v>
      </c>
      <c r="F3009" s="48">
        <v>0.27258101851851851</v>
      </c>
      <c r="G3009" s="44">
        <v>6.3</v>
      </c>
      <c r="H3009" s="43" t="s">
        <v>234</v>
      </c>
      <c r="I3009" s="40" t="s">
        <v>1282</v>
      </c>
    </row>
    <row r="3010" spans="1:9" x14ac:dyDescent="0.25">
      <c r="A3010" s="40" t="s">
        <v>903</v>
      </c>
      <c r="B3010" s="28">
        <v>3572</v>
      </c>
      <c r="C3010" s="28">
        <v>5646773</v>
      </c>
      <c r="D3010" s="28"/>
      <c r="E3010" s="41">
        <v>46144</v>
      </c>
      <c r="F3010" s="47">
        <v>0.95802083333333332</v>
      </c>
      <c r="G3010" s="44">
        <v>6.3</v>
      </c>
      <c r="H3010" s="43" t="s">
        <v>235</v>
      </c>
      <c r="I3010" s="40" t="s">
        <v>1282</v>
      </c>
    </row>
    <row r="3011" spans="1:9" x14ac:dyDescent="0.25">
      <c r="A3011" s="40" t="s">
        <v>903</v>
      </c>
      <c r="B3011" s="28">
        <v>3572</v>
      </c>
      <c r="C3011" s="28">
        <v>5647657</v>
      </c>
      <c r="D3011" s="28"/>
      <c r="E3011" s="41">
        <v>46145</v>
      </c>
      <c r="F3011" s="47">
        <v>0.88782407407407404</v>
      </c>
      <c r="G3011" s="44">
        <v>6.3</v>
      </c>
      <c r="H3011" s="43" t="s">
        <v>235</v>
      </c>
      <c r="I3011" s="40" t="s">
        <v>1282</v>
      </c>
    </row>
    <row r="3012" spans="1:9" x14ac:dyDescent="0.25">
      <c r="A3012" s="40" t="s">
        <v>903</v>
      </c>
      <c r="B3012" s="28">
        <v>3572</v>
      </c>
      <c r="C3012" s="28">
        <v>5647657</v>
      </c>
      <c r="D3012" s="28"/>
      <c r="E3012" s="41">
        <v>46145</v>
      </c>
      <c r="F3012" s="47">
        <v>0.89420138888888889</v>
      </c>
      <c r="G3012" s="44">
        <v>6.3</v>
      </c>
      <c r="H3012" s="43" t="s">
        <v>236</v>
      </c>
      <c r="I3012" s="40" t="s">
        <v>1282</v>
      </c>
    </row>
    <row r="3013" spans="1:9" x14ac:dyDescent="0.25">
      <c r="A3013" s="40" t="s">
        <v>903</v>
      </c>
      <c r="B3013" s="28">
        <v>3572</v>
      </c>
      <c r="C3013" s="28">
        <v>5649502</v>
      </c>
      <c r="D3013" s="28"/>
      <c r="E3013" s="41">
        <v>46145</v>
      </c>
      <c r="F3013" s="47">
        <v>0.98032407407407407</v>
      </c>
      <c r="G3013" s="44">
        <v>6.3</v>
      </c>
      <c r="H3013" s="43" t="s">
        <v>235</v>
      </c>
      <c r="I3013" s="40" t="s">
        <v>1282</v>
      </c>
    </row>
    <row r="3014" spans="1:9" x14ac:dyDescent="0.25">
      <c r="A3014" s="40" t="s">
        <v>903</v>
      </c>
      <c r="B3014" s="28">
        <v>3572</v>
      </c>
      <c r="C3014" s="28">
        <v>5649502</v>
      </c>
      <c r="D3014" s="28"/>
      <c r="E3014" s="41">
        <v>46145</v>
      </c>
      <c r="F3014" s="47">
        <v>0.98673611111111115</v>
      </c>
      <c r="G3014" s="44">
        <v>6.3</v>
      </c>
      <c r="H3014" s="43" t="s">
        <v>236</v>
      </c>
      <c r="I3014" s="40" t="s">
        <v>1282</v>
      </c>
    </row>
    <row r="3015" spans="1:9" x14ac:dyDescent="0.25">
      <c r="A3015" s="40" t="s">
        <v>274</v>
      </c>
      <c r="B3015" s="28">
        <v>3575</v>
      </c>
      <c r="C3015" s="28" t="s">
        <v>35</v>
      </c>
      <c r="D3015" s="28" t="s">
        <v>38</v>
      </c>
      <c r="E3015" s="41">
        <v>46141</v>
      </c>
      <c r="F3015" s="47">
        <v>0.18659722222222222</v>
      </c>
      <c r="G3015" s="44">
        <v>6.3</v>
      </c>
      <c r="H3015" s="43" t="s">
        <v>235</v>
      </c>
      <c r="I3015" s="40" t="s">
        <v>1281</v>
      </c>
    </row>
    <row r="3016" spans="1:9" x14ac:dyDescent="0.25">
      <c r="A3016" s="40" t="s">
        <v>274</v>
      </c>
      <c r="B3016" s="28">
        <v>3575</v>
      </c>
      <c r="C3016" s="28" t="s">
        <v>35</v>
      </c>
      <c r="D3016" s="28" t="s">
        <v>38</v>
      </c>
      <c r="E3016" s="41">
        <v>46141</v>
      </c>
      <c r="F3016" s="47">
        <v>0.19537037037037036</v>
      </c>
      <c r="G3016" s="42">
        <v>6.3</v>
      </c>
      <c r="H3016" s="40" t="s">
        <v>240</v>
      </c>
      <c r="I3016" s="40" t="s">
        <v>1281</v>
      </c>
    </row>
    <row r="3017" spans="1:9" x14ac:dyDescent="0.25">
      <c r="A3017" s="40" t="s">
        <v>274</v>
      </c>
      <c r="B3017" s="28">
        <v>3575</v>
      </c>
      <c r="C3017" s="28" t="s">
        <v>35</v>
      </c>
      <c r="D3017" s="28" t="s">
        <v>38</v>
      </c>
      <c r="E3017" s="41">
        <v>46142</v>
      </c>
      <c r="F3017" s="47">
        <v>0.37873842592592594</v>
      </c>
      <c r="G3017" s="42">
        <v>6.3</v>
      </c>
      <c r="H3017" s="40" t="s">
        <v>235</v>
      </c>
      <c r="I3017" s="40" t="s">
        <v>1281</v>
      </c>
    </row>
    <row r="3018" spans="1:9" x14ac:dyDescent="0.25">
      <c r="A3018" s="40" t="s">
        <v>274</v>
      </c>
      <c r="B3018" s="28">
        <v>3575</v>
      </c>
      <c r="C3018" s="28" t="s">
        <v>35</v>
      </c>
      <c r="D3018" s="28" t="s">
        <v>38</v>
      </c>
      <c r="E3018" s="41">
        <v>46142</v>
      </c>
      <c r="F3018" s="47">
        <v>0.39510416666666665</v>
      </c>
      <c r="G3018" s="44">
        <v>6.3</v>
      </c>
      <c r="H3018" s="43" t="s">
        <v>240</v>
      </c>
      <c r="I3018" s="40" t="s">
        <v>1281</v>
      </c>
    </row>
    <row r="3019" spans="1:9" x14ac:dyDescent="0.25">
      <c r="A3019" s="40" t="s">
        <v>274</v>
      </c>
      <c r="B3019" s="28">
        <v>3575</v>
      </c>
      <c r="C3019" s="28" t="s">
        <v>35</v>
      </c>
      <c r="D3019" s="28" t="s">
        <v>38</v>
      </c>
      <c r="E3019" s="41">
        <v>46143</v>
      </c>
      <c r="F3019" s="47">
        <v>0.29048611111111111</v>
      </c>
      <c r="G3019" s="44">
        <v>6.3</v>
      </c>
      <c r="H3019" s="43" t="s">
        <v>233</v>
      </c>
      <c r="I3019" s="40" t="s">
        <v>1282</v>
      </c>
    </row>
    <row r="3020" spans="1:9" x14ac:dyDescent="0.25">
      <c r="A3020" s="40" t="s">
        <v>274</v>
      </c>
      <c r="B3020" s="28">
        <v>3575</v>
      </c>
      <c r="C3020" s="28" t="s">
        <v>35</v>
      </c>
      <c r="D3020" s="28" t="s">
        <v>38</v>
      </c>
      <c r="E3020" s="41">
        <v>46143</v>
      </c>
      <c r="F3020" s="47">
        <v>0.57379629629629625</v>
      </c>
      <c r="G3020" s="44">
        <v>6.3</v>
      </c>
      <c r="H3020" s="43" t="s">
        <v>236</v>
      </c>
      <c r="I3020" s="40" t="s">
        <v>1282</v>
      </c>
    </row>
    <row r="3021" spans="1:9" x14ac:dyDescent="0.25">
      <c r="A3021" s="40" t="s">
        <v>274</v>
      </c>
      <c r="B3021" s="28">
        <v>3575</v>
      </c>
      <c r="C3021" s="28" t="s">
        <v>904</v>
      </c>
      <c r="D3021" s="28"/>
      <c r="E3021" s="41">
        <v>46145</v>
      </c>
      <c r="F3021" s="47">
        <v>0.27304398148148146</v>
      </c>
      <c r="G3021" s="44">
        <v>6.3</v>
      </c>
      <c r="H3021" s="43" t="s">
        <v>237</v>
      </c>
      <c r="I3021" s="40" t="s">
        <v>1282</v>
      </c>
    </row>
    <row r="3022" spans="1:9" x14ac:dyDescent="0.25">
      <c r="A3022" s="40" t="s">
        <v>274</v>
      </c>
      <c r="B3022" s="28">
        <v>3575</v>
      </c>
      <c r="C3022" s="28" t="s">
        <v>904</v>
      </c>
      <c r="D3022" s="28"/>
      <c r="E3022" s="41">
        <v>46145</v>
      </c>
      <c r="F3022" s="47">
        <v>0.2784375</v>
      </c>
      <c r="G3022" s="44">
        <v>6.3</v>
      </c>
      <c r="H3022" s="43" t="s">
        <v>234</v>
      </c>
      <c r="I3022" s="40" t="s">
        <v>1282</v>
      </c>
    </row>
    <row r="3023" spans="1:9" x14ac:dyDescent="0.25">
      <c r="A3023" s="40" t="s">
        <v>314</v>
      </c>
      <c r="B3023" s="28">
        <v>3594</v>
      </c>
      <c r="C3023" s="28" t="s">
        <v>905</v>
      </c>
      <c r="D3023" s="28"/>
      <c r="E3023" s="41">
        <v>46139</v>
      </c>
      <c r="F3023" s="47">
        <v>0.15479166666666666</v>
      </c>
      <c r="G3023" s="44">
        <v>6.3</v>
      </c>
      <c r="H3023" s="43" t="s">
        <v>238</v>
      </c>
      <c r="I3023" s="40" t="s">
        <v>1281</v>
      </c>
    </row>
    <row r="3024" spans="1:9" x14ac:dyDescent="0.25">
      <c r="A3024" s="40" t="s">
        <v>314</v>
      </c>
      <c r="B3024" s="28">
        <v>3594</v>
      </c>
      <c r="C3024" s="28" t="s">
        <v>905</v>
      </c>
      <c r="D3024" s="28"/>
      <c r="E3024" s="41">
        <v>46139</v>
      </c>
      <c r="F3024" s="47">
        <v>0.15988425925925925</v>
      </c>
      <c r="G3024" s="44">
        <v>6.3</v>
      </c>
      <c r="H3024" s="43" t="s">
        <v>234</v>
      </c>
      <c r="I3024" s="40" t="s">
        <v>1281</v>
      </c>
    </row>
    <row r="3025" spans="1:9" x14ac:dyDescent="0.25">
      <c r="A3025" s="40" t="s">
        <v>314</v>
      </c>
      <c r="B3025" s="28">
        <v>3594</v>
      </c>
      <c r="C3025" s="28" t="s">
        <v>906</v>
      </c>
      <c r="D3025" s="28"/>
      <c r="E3025" s="41">
        <v>46139</v>
      </c>
      <c r="F3025" s="47">
        <v>0.34674768518518517</v>
      </c>
      <c r="G3025" s="44">
        <v>6.3</v>
      </c>
      <c r="H3025" s="43" t="s">
        <v>235</v>
      </c>
      <c r="I3025" s="40" t="s">
        <v>1281</v>
      </c>
    </row>
    <row r="3026" spans="1:9" x14ac:dyDescent="0.25">
      <c r="A3026" s="40" t="s">
        <v>314</v>
      </c>
      <c r="B3026" s="28">
        <v>3594</v>
      </c>
      <c r="C3026" s="28" t="s">
        <v>906</v>
      </c>
      <c r="D3026" s="28"/>
      <c r="E3026" s="41">
        <v>46139</v>
      </c>
      <c r="F3026" s="47">
        <v>0.37784722222222222</v>
      </c>
      <c r="G3026" s="44">
        <v>6.3</v>
      </c>
      <c r="H3026" s="43" t="s">
        <v>236</v>
      </c>
      <c r="I3026" s="40" t="s">
        <v>1281</v>
      </c>
    </row>
    <row r="3027" spans="1:9" x14ac:dyDescent="0.25">
      <c r="A3027" s="40" t="s">
        <v>314</v>
      </c>
      <c r="B3027" s="28">
        <v>3594</v>
      </c>
      <c r="C3027" s="28" t="s">
        <v>907</v>
      </c>
      <c r="D3027" s="28"/>
      <c r="E3027" s="41">
        <v>46139</v>
      </c>
      <c r="F3027" s="47">
        <v>0.50708333333333333</v>
      </c>
      <c r="G3027" s="44">
        <v>6.3</v>
      </c>
      <c r="H3027" s="43" t="s">
        <v>235</v>
      </c>
      <c r="I3027" s="40" t="s">
        <v>1281</v>
      </c>
    </row>
    <row r="3028" spans="1:9" x14ac:dyDescent="0.25">
      <c r="A3028" s="40" t="s">
        <v>314</v>
      </c>
      <c r="B3028" s="28">
        <v>3594</v>
      </c>
      <c r="C3028" s="28" t="s">
        <v>907</v>
      </c>
      <c r="D3028" s="28"/>
      <c r="E3028" s="45">
        <v>46139</v>
      </c>
      <c r="F3028" s="48">
        <v>0.51728009259259256</v>
      </c>
      <c r="G3028" s="44">
        <v>6.3</v>
      </c>
      <c r="H3028" s="43" t="s">
        <v>236</v>
      </c>
      <c r="I3028" s="40" t="s">
        <v>1281</v>
      </c>
    </row>
    <row r="3029" spans="1:9" x14ac:dyDescent="0.25">
      <c r="A3029" s="40" t="s">
        <v>314</v>
      </c>
      <c r="B3029" s="28">
        <v>3594</v>
      </c>
      <c r="C3029" s="28" t="s">
        <v>35</v>
      </c>
      <c r="D3029" s="28" t="s">
        <v>38</v>
      </c>
      <c r="E3029" s="41">
        <v>46140</v>
      </c>
      <c r="F3029" s="47">
        <v>0.3054513888888889</v>
      </c>
      <c r="G3029" s="44">
        <v>6.3</v>
      </c>
      <c r="H3029" s="43" t="s">
        <v>233</v>
      </c>
      <c r="I3029" s="40" t="s">
        <v>1281</v>
      </c>
    </row>
    <row r="3030" spans="1:9" x14ac:dyDescent="0.25">
      <c r="A3030" s="40" t="s">
        <v>314</v>
      </c>
      <c r="B3030" s="28">
        <v>3594</v>
      </c>
      <c r="C3030" s="28" t="s">
        <v>35</v>
      </c>
      <c r="D3030" s="28" t="s">
        <v>38</v>
      </c>
      <c r="E3030" s="41">
        <v>46140</v>
      </c>
      <c r="F3030" s="47">
        <v>0.3127199074074074</v>
      </c>
      <c r="G3030" s="44">
        <v>6.3</v>
      </c>
      <c r="H3030" s="43" t="s">
        <v>234</v>
      </c>
      <c r="I3030" s="40" t="s">
        <v>1281</v>
      </c>
    </row>
    <row r="3031" spans="1:9" x14ac:dyDescent="0.25">
      <c r="A3031" s="40" t="s">
        <v>314</v>
      </c>
      <c r="B3031" s="28">
        <v>3594</v>
      </c>
      <c r="C3031" s="28" t="s">
        <v>35</v>
      </c>
      <c r="D3031" s="28" t="s">
        <v>38</v>
      </c>
      <c r="E3031" s="41">
        <v>46140</v>
      </c>
      <c r="F3031" s="47">
        <v>0.50717592592592597</v>
      </c>
      <c r="G3031" s="44">
        <v>6.3</v>
      </c>
      <c r="H3031" s="43" t="s">
        <v>235</v>
      </c>
      <c r="I3031" s="40" t="s">
        <v>1281</v>
      </c>
    </row>
    <row r="3032" spans="1:9" x14ac:dyDescent="0.25">
      <c r="A3032" s="40" t="s">
        <v>314</v>
      </c>
      <c r="B3032" s="28">
        <v>3594</v>
      </c>
      <c r="C3032" s="28" t="s">
        <v>35</v>
      </c>
      <c r="D3032" s="28" t="s">
        <v>38</v>
      </c>
      <c r="E3032" s="41">
        <v>46140</v>
      </c>
      <c r="F3032" s="47">
        <v>0.51962962962962966</v>
      </c>
      <c r="G3032" s="44">
        <v>6.3</v>
      </c>
      <c r="H3032" s="43" t="s">
        <v>236</v>
      </c>
      <c r="I3032" s="40" t="s">
        <v>1281</v>
      </c>
    </row>
    <row r="3033" spans="1:9" x14ac:dyDescent="0.25">
      <c r="A3033" s="40" t="s">
        <v>314</v>
      </c>
      <c r="B3033" s="28">
        <v>3594</v>
      </c>
      <c r="C3033" s="28" t="s">
        <v>908</v>
      </c>
      <c r="D3033" s="28"/>
      <c r="E3033" s="41">
        <v>46141</v>
      </c>
      <c r="F3033" s="47">
        <v>0.24210648148148148</v>
      </c>
      <c r="G3033" s="44">
        <v>6.3</v>
      </c>
      <c r="H3033" s="43" t="s">
        <v>237</v>
      </c>
      <c r="I3033" s="40" t="s">
        <v>1281</v>
      </c>
    </row>
    <row r="3034" spans="1:9" x14ac:dyDescent="0.25">
      <c r="A3034" s="40" t="s">
        <v>314</v>
      </c>
      <c r="B3034" s="28">
        <v>3594</v>
      </c>
      <c r="C3034" s="28" t="s">
        <v>908</v>
      </c>
      <c r="D3034" s="28"/>
      <c r="E3034" s="41">
        <v>46141</v>
      </c>
      <c r="F3034" s="47">
        <v>0.24847222222222223</v>
      </c>
      <c r="G3034" s="44">
        <v>6.3</v>
      </c>
      <c r="H3034" s="43" t="s">
        <v>234</v>
      </c>
      <c r="I3034" s="40" t="s">
        <v>1281</v>
      </c>
    </row>
    <row r="3035" spans="1:9" x14ac:dyDescent="0.25">
      <c r="A3035" s="40" t="s">
        <v>314</v>
      </c>
      <c r="B3035" s="28">
        <v>3594</v>
      </c>
      <c r="C3035" s="28" t="s">
        <v>909</v>
      </c>
      <c r="D3035" s="28"/>
      <c r="E3035" s="41">
        <v>46141</v>
      </c>
      <c r="F3035" s="47">
        <v>0.32366898148148149</v>
      </c>
      <c r="G3035" s="44">
        <v>6.3</v>
      </c>
      <c r="H3035" s="43" t="s">
        <v>235</v>
      </c>
      <c r="I3035" s="40" t="s">
        <v>1281</v>
      </c>
    </row>
    <row r="3036" spans="1:9" x14ac:dyDescent="0.25">
      <c r="A3036" s="40" t="s">
        <v>314</v>
      </c>
      <c r="B3036" s="28">
        <v>3594</v>
      </c>
      <c r="C3036" s="28" t="s">
        <v>909</v>
      </c>
      <c r="D3036" s="28"/>
      <c r="E3036" s="41">
        <v>46141</v>
      </c>
      <c r="F3036" s="47">
        <v>0.33598379629629632</v>
      </c>
      <c r="G3036" s="44">
        <v>6.3</v>
      </c>
      <c r="H3036" s="43" t="s">
        <v>236</v>
      </c>
      <c r="I3036" s="40" t="s">
        <v>1281</v>
      </c>
    </row>
    <row r="3037" spans="1:9" x14ac:dyDescent="0.25">
      <c r="A3037" s="40" t="s">
        <v>314</v>
      </c>
      <c r="B3037" s="28">
        <v>3594</v>
      </c>
      <c r="C3037" s="28" t="s">
        <v>910</v>
      </c>
      <c r="D3037" s="28"/>
      <c r="E3037" s="41">
        <v>46142</v>
      </c>
      <c r="F3037" s="47">
        <v>0.24357638888888888</v>
      </c>
      <c r="G3037" s="42">
        <v>6.3</v>
      </c>
      <c r="H3037" s="40" t="s">
        <v>233</v>
      </c>
      <c r="I3037" s="40" t="s">
        <v>1281</v>
      </c>
    </row>
    <row r="3038" spans="1:9" x14ac:dyDescent="0.25">
      <c r="A3038" s="40" t="s">
        <v>314</v>
      </c>
      <c r="B3038" s="28">
        <v>3594</v>
      </c>
      <c r="C3038" s="28" t="s">
        <v>910</v>
      </c>
      <c r="D3038" s="28"/>
      <c r="E3038" s="41">
        <v>46142</v>
      </c>
      <c r="F3038" s="47">
        <v>0.24966435185185185</v>
      </c>
      <c r="G3038" s="44">
        <v>6.3</v>
      </c>
      <c r="H3038" s="43" t="s">
        <v>234</v>
      </c>
      <c r="I3038" s="40" t="s">
        <v>1281</v>
      </c>
    </row>
    <row r="3039" spans="1:9" x14ac:dyDescent="0.25">
      <c r="A3039" s="40" t="s">
        <v>314</v>
      </c>
      <c r="B3039" s="28">
        <v>3594</v>
      </c>
      <c r="C3039" s="28" t="s">
        <v>911</v>
      </c>
      <c r="D3039" s="28"/>
      <c r="E3039" s="45">
        <v>46142</v>
      </c>
      <c r="F3039" s="48">
        <v>0.55557870370370366</v>
      </c>
      <c r="G3039" s="44">
        <v>6.3</v>
      </c>
      <c r="H3039" s="43" t="s">
        <v>235</v>
      </c>
      <c r="I3039" s="40" t="s">
        <v>1281</v>
      </c>
    </row>
    <row r="3040" spans="1:9" x14ac:dyDescent="0.25">
      <c r="A3040" s="40" t="s">
        <v>314</v>
      </c>
      <c r="B3040" s="28">
        <v>3594</v>
      </c>
      <c r="C3040" s="28" t="s">
        <v>911</v>
      </c>
      <c r="D3040" s="28"/>
      <c r="E3040" s="41">
        <v>46142</v>
      </c>
      <c r="F3040" s="47">
        <v>0.572662037037037</v>
      </c>
      <c r="G3040" s="44">
        <v>6.3</v>
      </c>
      <c r="H3040" s="43" t="s">
        <v>236</v>
      </c>
      <c r="I3040" s="40" t="s">
        <v>1281</v>
      </c>
    </row>
    <row r="3041" spans="1:9" x14ac:dyDescent="0.25">
      <c r="A3041" s="40" t="s">
        <v>314</v>
      </c>
      <c r="B3041" s="28">
        <v>3594</v>
      </c>
      <c r="C3041" s="28" t="s">
        <v>912</v>
      </c>
      <c r="D3041" s="28"/>
      <c r="E3041" s="45">
        <v>46144</v>
      </c>
      <c r="F3041" s="48">
        <v>0.18006944444444445</v>
      </c>
      <c r="G3041" s="44">
        <v>6.3</v>
      </c>
      <c r="H3041" s="43" t="s">
        <v>237</v>
      </c>
      <c r="I3041" s="40" t="s">
        <v>1282</v>
      </c>
    </row>
    <row r="3042" spans="1:9" x14ac:dyDescent="0.25">
      <c r="A3042" s="40" t="s">
        <v>314</v>
      </c>
      <c r="B3042" s="28">
        <v>3594</v>
      </c>
      <c r="C3042" s="28" t="s">
        <v>912</v>
      </c>
      <c r="D3042" s="28"/>
      <c r="E3042" s="41">
        <v>46144</v>
      </c>
      <c r="F3042" s="47">
        <v>0.18559027777777778</v>
      </c>
      <c r="G3042" s="44">
        <v>6.3</v>
      </c>
      <c r="H3042" s="43" t="s">
        <v>234</v>
      </c>
      <c r="I3042" s="40" t="s">
        <v>1282</v>
      </c>
    </row>
    <row r="3043" spans="1:9" x14ac:dyDescent="0.25">
      <c r="A3043" s="40" t="s">
        <v>314</v>
      </c>
      <c r="B3043" s="28">
        <v>3594</v>
      </c>
      <c r="C3043" s="28" t="s">
        <v>913</v>
      </c>
      <c r="D3043" s="28"/>
      <c r="E3043" s="41">
        <v>46144</v>
      </c>
      <c r="F3043" s="47">
        <v>0.3893287037037037</v>
      </c>
      <c r="G3043" s="44">
        <v>6.3</v>
      </c>
      <c r="H3043" s="43" t="s">
        <v>237</v>
      </c>
      <c r="I3043" s="40" t="s">
        <v>1282</v>
      </c>
    </row>
    <row r="3044" spans="1:9" x14ac:dyDescent="0.25">
      <c r="A3044" s="40" t="s">
        <v>314</v>
      </c>
      <c r="B3044" s="28">
        <v>3594</v>
      </c>
      <c r="C3044" s="28" t="s">
        <v>913</v>
      </c>
      <c r="D3044" s="28"/>
      <c r="E3044" s="41">
        <v>46144</v>
      </c>
      <c r="F3044" s="47">
        <v>0.39761574074074074</v>
      </c>
      <c r="G3044" s="42">
        <v>6.3</v>
      </c>
      <c r="H3044" s="40" t="s">
        <v>234</v>
      </c>
      <c r="I3044" s="40" t="s">
        <v>1282</v>
      </c>
    </row>
    <row r="3045" spans="1:9" x14ac:dyDescent="0.25">
      <c r="A3045" s="40" t="s">
        <v>314</v>
      </c>
      <c r="B3045" s="28">
        <v>3594</v>
      </c>
      <c r="C3045" s="28" t="s">
        <v>914</v>
      </c>
      <c r="D3045" s="28"/>
      <c r="E3045" s="41">
        <v>46145</v>
      </c>
      <c r="F3045" s="47">
        <v>0.29381944444444447</v>
      </c>
      <c r="G3045" s="44">
        <v>6.3</v>
      </c>
      <c r="H3045" s="43" t="s">
        <v>237</v>
      </c>
      <c r="I3045" s="40" t="s">
        <v>1282</v>
      </c>
    </row>
    <row r="3046" spans="1:9" x14ac:dyDescent="0.25">
      <c r="A3046" s="40" t="s">
        <v>314</v>
      </c>
      <c r="B3046" s="28">
        <v>3594</v>
      </c>
      <c r="C3046" s="28" t="s">
        <v>914</v>
      </c>
      <c r="D3046" s="28"/>
      <c r="E3046" s="41">
        <v>46145</v>
      </c>
      <c r="F3046" s="47">
        <v>0.29929398148148151</v>
      </c>
      <c r="G3046" s="44">
        <v>6.3</v>
      </c>
      <c r="H3046" s="43" t="s">
        <v>234</v>
      </c>
      <c r="I3046" s="40" t="s">
        <v>1282</v>
      </c>
    </row>
    <row r="3047" spans="1:9" x14ac:dyDescent="0.25">
      <c r="A3047" s="40" t="s">
        <v>195</v>
      </c>
      <c r="B3047" s="28">
        <v>3607</v>
      </c>
      <c r="C3047" s="28">
        <v>10551908</v>
      </c>
      <c r="D3047" s="28"/>
      <c r="E3047" s="41">
        <v>46139</v>
      </c>
      <c r="F3047" s="47">
        <v>0.99281249999999999</v>
      </c>
      <c r="G3047" s="44">
        <v>6.3</v>
      </c>
      <c r="H3047" s="43" t="s">
        <v>237</v>
      </c>
      <c r="I3047" s="40" t="s">
        <v>1281</v>
      </c>
    </row>
    <row r="3048" spans="1:9" x14ac:dyDescent="0.25">
      <c r="A3048" s="40" t="s">
        <v>195</v>
      </c>
      <c r="B3048" s="28">
        <v>3607</v>
      </c>
      <c r="C3048" s="28">
        <v>10551908</v>
      </c>
      <c r="D3048" s="28"/>
      <c r="E3048" s="41">
        <v>46139</v>
      </c>
      <c r="F3048" s="47">
        <v>0.99839120370370371</v>
      </c>
      <c r="G3048" s="44">
        <v>6.3</v>
      </c>
      <c r="H3048" s="43" t="s">
        <v>234</v>
      </c>
      <c r="I3048" s="40" t="s">
        <v>1281</v>
      </c>
    </row>
    <row r="3049" spans="1:9" x14ac:dyDescent="0.25">
      <c r="A3049" s="40" t="s">
        <v>195</v>
      </c>
      <c r="B3049" s="28">
        <v>3607</v>
      </c>
      <c r="C3049" s="28" t="s">
        <v>915</v>
      </c>
      <c r="D3049" s="28"/>
      <c r="E3049" s="41">
        <v>46140</v>
      </c>
      <c r="F3049" s="47">
        <v>0.89078703703703699</v>
      </c>
      <c r="G3049" s="44">
        <v>6.3</v>
      </c>
      <c r="H3049" s="43" t="s">
        <v>235</v>
      </c>
      <c r="I3049" s="40" t="s">
        <v>1281</v>
      </c>
    </row>
    <row r="3050" spans="1:9" x14ac:dyDescent="0.25">
      <c r="A3050" s="40" t="s">
        <v>195</v>
      </c>
      <c r="B3050" s="28">
        <v>3607</v>
      </c>
      <c r="C3050" s="28" t="s">
        <v>915</v>
      </c>
      <c r="D3050" s="28"/>
      <c r="E3050" s="45">
        <v>46140</v>
      </c>
      <c r="F3050" s="48">
        <v>0.89849537037037042</v>
      </c>
      <c r="G3050" s="44">
        <v>6.3</v>
      </c>
      <c r="H3050" s="43" t="s">
        <v>236</v>
      </c>
      <c r="I3050" s="40" t="s">
        <v>1281</v>
      </c>
    </row>
    <row r="3051" spans="1:9" x14ac:dyDescent="0.25">
      <c r="A3051" s="40" t="s">
        <v>195</v>
      </c>
      <c r="B3051" s="28">
        <v>3607</v>
      </c>
      <c r="C3051" s="28" t="s">
        <v>916</v>
      </c>
      <c r="D3051" s="28"/>
      <c r="E3051" s="41">
        <v>46141</v>
      </c>
      <c r="F3051" s="47">
        <v>4.2037037037037039E-2</v>
      </c>
      <c r="G3051" s="44">
        <v>6.3</v>
      </c>
      <c r="H3051" s="43" t="s">
        <v>235</v>
      </c>
      <c r="I3051" s="40" t="s">
        <v>1281</v>
      </c>
    </row>
    <row r="3052" spans="1:9" x14ac:dyDescent="0.25">
      <c r="A3052" s="40" t="s">
        <v>195</v>
      </c>
      <c r="B3052" s="28">
        <v>3607</v>
      </c>
      <c r="C3052" s="28" t="s">
        <v>916</v>
      </c>
      <c r="D3052" s="28"/>
      <c r="E3052" s="41">
        <v>46141</v>
      </c>
      <c r="F3052" s="47">
        <v>4.9849537037037039E-2</v>
      </c>
      <c r="G3052" s="44">
        <v>6.3</v>
      </c>
      <c r="H3052" s="43" t="s">
        <v>236</v>
      </c>
      <c r="I3052" s="40" t="s">
        <v>1281</v>
      </c>
    </row>
    <row r="3053" spans="1:9" x14ac:dyDescent="0.25">
      <c r="A3053" s="40" t="s">
        <v>195</v>
      </c>
      <c r="B3053" s="28">
        <v>3607</v>
      </c>
      <c r="C3053" s="28" t="s">
        <v>917</v>
      </c>
      <c r="D3053" s="28"/>
      <c r="E3053" s="41">
        <v>46143</v>
      </c>
      <c r="F3053" s="47">
        <v>0.78930555555555559</v>
      </c>
      <c r="G3053" s="44">
        <v>6.3</v>
      </c>
      <c r="H3053" s="43" t="s">
        <v>235</v>
      </c>
      <c r="I3053" s="40" t="s">
        <v>1282</v>
      </c>
    </row>
    <row r="3054" spans="1:9" x14ac:dyDescent="0.25">
      <c r="A3054" s="40" t="s">
        <v>195</v>
      </c>
      <c r="B3054" s="28">
        <v>3607</v>
      </c>
      <c r="C3054" s="28" t="s">
        <v>917</v>
      </c>
      <c r="D3054" s="28"/>
      <c r="E3054" s="41">
        <v>46143</v>
      </c>
      <c r="F3054" s="47">
        <v>0.79644675925925923</v>
      </c>
      <c r="G3054" s="44">
        <v>6.3</v>
      </c>
      <c r="H3054" s="43" t="s">
        <v>236</v>
      </c>
      <c r="I3054" s="40" t="s">
        <v>1282</v>
      </c>
    </row>
    <row r="3055" spans="1:9" x14ac:dyDescent="0.25">
      <c r="A3055" s="40" t="s">
        <v>195</v>
      </c>
      <c r="B3055" s="28">
        <v>3607</v>
      </c>
      <c r="C3055" s="28" t="s">
        <v>918</v>
      </c>
      <c r="D3055" s="28"/>
      <c r="E3055" s="41">
        <v>46143</v>
      </c>
      <c r="F3055" s="47">
        <v>0.86754629629629632</v>
      </c>
      <c r="G3055" s="42">
        <v>6.3</v>
      </c>
      <c r="H3055" s="40" t="s">
        <v>237</v>
      </c>
      <c r="I3055" s="40" t="s">
        <v>1282</v>
      </c>
    </row>
    <row r="3056" spans="1:9" x14ac:dyDescent="0.25">
      <c r="A3056" s="40" t="s">
        <v>195</v>
      </c>
      <c r="B3056" s="28">
        <v>3607</v>
      </c>
      <c r="C3056" s="28" t="s">
        <v>918</v>
      </c>
      <c r="D3056" s="28"/>
      <c r="E3056" s="41">
        <v>46143</v>
      </c>
      <c r="F3056" s="47">
        <v>0.87310185185185185</v>
      </c>
      <c r="G3056" s="44">
        <v>6.3</v>
      </c>
      <c r="H3056" s="43" t="s">
        <v>234</v>
      </c>
      <c r="I3056" s="40" t="s">
        <v>1282</v>
      </c>
    </row>
    <row r="3057" spans="1:9" x14ac:dyDescent="0.25">
      <c r="A3057" s="40" t="s">
        <v>251</v>
      </c>
      <c r="B3057" s="28">
        <v>3613</v>
      </c>
      <c r="C3057" s="28">
        <v>10551888</v>
      </c>
      <c r="D3057" s="28" t="s">
        <v>36</v>
      </c>
      <c r="E3057" s="41">
        <v>46140</v>
      </c>
      <c r="F3057" s="47">
        <v>0.51949074074074075</v>
      </c>
      <c r="G3057" s="44">
        <v>6.3</v>
      </c>
      <c r="H3057" s="43" t="s">
        <v>234</v>
      </c>
      <c r="I3057" s="40" t="s">
        <v>1281</v>
      </c>
    </row>
    <row r="3058" spans="1:9" x14ac:dyDescent="0.25">
      <c r="A3058" s="40" t="s">
        <v>251</v>
      </c>
      <c r="B3058" s="28">
        <v>3613</v>
      </c>
      <c r="C3058" s="28">
        <v>10556361</v>
      </c>
      <c r="D3058" s="28"/>
      <c r="E3058" s="41">
        <v>46140</v>
      </c>
      <c r="F3058" s="47">
        <v>0.6731597222222222</v>
      </c>
      <c r="G3058" s="44">
        <v>6.3</v>
      </c>
      <c r="H3058" s="43" t="s">
        <v>235</v>
      </c>
      <c r="I3058" s="40" t="s">
        <v>1281</v>
      </c>
    </row>
    <row r="3059" spans="1:9" x14ac:dyDescent="0.25">
      <c r="A3059" s="40" t="s">
        <v>251</v>
      </c>
      <c r="B3059" s="28">
        <v>3613</v>
      </c>
      <c r="C3059" s="28">
        <v>10556361</v>
      </c>
      <c r="D3059" s="28"/>
      <c r="E3059" s="41">
        <v>46140</v>
      </c>
      <c r="F3059" s="47">
        <v>0.68212962962962964</v>
      </c>
      <c r="G3059" s="44">
        <v>6.3</v>
      </c>
      <c r="H3059" s="43" t="s">
        <v>239</v>
      </c>
      <c r="I3059" s="40" t="s">
        <v>1281</v>
      </c>
    </row>
    <row r="3060" spans="1:9" x14ac:dyDescent="0.25">
      <c r="A3060" s="40" t="s">
        <v>251</v>
      </c>
      <c r="B3060" s="28">
        <v>3613</v>
      </c>
      <c r="C3060" s="28" t="s">
        <v>919</v>
      </c>
      <c r="D3060" s="28"/>
      <c r="E3060" s="41">
        <v>46140</v>
      </c>
      <c r="F3060" s="47">
        <v>0.80579861111111106</v>
      </c>
      <c r="G3060" s="44">
        <v>6.3</v>
      </c>
      <c r="H3060" s="43" t="s">
        <v>233</v>
      </c>
      <c r="I3060" s="40" t="s">
        <v>1281</v>
      </c>
    </row>
    <row r="3061" spans="1:9" x14ac:dyDescent="0.25">
      <c r="A3061" s="40" t="s">
        <v>251</v>
      </c>
      <c r="B3061" s="28">
        <v>3613</v>
      </c>
      <c r="C3061" s="28" t="s">
        <v>919</v>
      </c>
      <c r="D3061" s="28"/>
      <c r="E3061" s="41">
        <v>46140</v>
      </c>
      <c r="F3061" s="47">
        <v>0.83091435185185181</v>
      </c>
      <c r="G3061" s="44">
        <v>6.3</v>
      </c>
      <c r="H3061" s="43" t="s">
        <v>234</v>
      </c>
      <c r="I3061" s="40" t="s">
        <v>1281</v>
      </c>
    </row>
    <row r="3062" spans="1:9" x14ac:dyDescent="0.25">
      <c r="A3062" s="40" t="s">
        <v>251</v>
      </c>
      <c r="B3062" s="28">
        <v>3613</v>
      </c>
      <c r="C3062" s="28" t="s">
        <v>35</v>
      </c>
      <c r="D3062" s="28" t="s">
        <v>38</v>
      </c>
      <c r="E3062" s="41">
        <v>46140</v>
      </c>
      <c r="F3062" s="47">
        <v>0.86853009259259262</v>
      </c>
      <c r="G3062" s="44">
        <v>6.3</v>
      </c>
      <c r="H3062" s="43" t="s">
        <v>235</v>
      </c>
      <c r="I3062" s="40" t="s">
        <v>1281</v>
      </c>
    </row>
    <row r="3063" spans="1:9" x14ac:dyDescent="0.25">
      <c r="A3063" s="40" t="s">
        <v>158</v>
      </c>
      <c r="B3063" s="28">
        <v>3621</v>
      </c>
      <c r="C3063" s="28" t="s">
        <v>920</v>
      </c>
      <c r="D3063" s="28"/>
      <c r="E3063" s="45">
        <v>46139</v>
      </c>
      <c r="F3063" s="48">
        <v>0.31180555555555556</v>
      </c>
      <c r="G3063" s="44">
        <v>6.3</v>
      </c>
      <c r="H3063" s="43" t="s">
        <v>235</v>
      </c>
      <c r="I3063" s="40" t="s">
        <v>1281</v>
      </c>
    </row>
    <row r="3064" spans="1:9" x14ac:dyDescent="0.25">
      <c r="A3064" s="40" t="s">
        <v>158</v>
      </c>
      <c r="B3064" s="28">
        <v>3621</v>
      </c>
      <c r="C3064" s="28" t="s">
        <v>920</v>
      </c>
      <c r="D3064" s="28"/>
      <c r="E3064" s="41">
        <v>46139</v>
      </c>
      <c r="F3064" s="47">
        <v>0.33143518518518517</v>
      </c>
      <c r="G3064" s="44">
        <v>6.3</v>
      </c>
      <c r="H3064" s="43" t="s">
        <v>236</v>
      </c>
      <c r="I3064" s="40" t="s">
        <v>1281</v>
      </c>
    </row>
    <row r="3065" spans="1:9" x14ac:dyDescent="0.25">
      <c r="A3065" s="40" t="s">
        <v>158</v>
      </c>
      <c r="B3065" s="28">
        <v>3621</v>
      </c>
      <c r="C3065" s="28" t="s">
        <v>921</v>
      </c>
      <c r="D3065" s="28"/>
      <c r="E3065" s="41">
        <v>46141</v>
      </c>
      <c r="F3065" s="47">
        <v>0.22769675925925925</v>
      </c>
      <c r="G3065" s="44">
        <v>6.3</v>
      </c>
      <c r="H3065" s="43" t="s">
        <v>237</v>
      </c>
      <c r="I3065" s="40" t="s">
        <v>1281</v>
      </c>
    </row>
    <row r="3066" spans="1:9" x14ac:dyDescent="0.25">
      <c r="A3066" s="40" t="s">
        <v>158</v>
      </c>
      <c r="B3066" s="28">
        <v>3621</v>
      </c>
      <c r="C3066" s="28" t="s">
        <v>921</v>
      </c>
      <c r="D3066" s="28"/>
      <c r="E3066" s="41">
        <v>46141</v>
      </c>
      <c r="F3066" s="47">
        <v>0.23402777777777778</v>
      </c>
      <c r="G3066" s="44">
        <v>6.3</v>
      </c>
      <c r="H3066" s="43" t="s">
        <v>234</v>
      </c>
      <c r="I3066" s="40" t="s">
        <v>1281</v>
      </c>
    </row>
    <row r="3067" spans="1:9" x14ac:dyDescent="0.25">
      <c r="A3067" s="40" t="s">
        <v>158</v>
      </c>
      <c r="B3067" s="28">
        <v>3621</v>
      </c>
      <c r="C3067" s="28" t="s">
        <v>35</v>
      </c>
      <c r="D3067" s="28" t="s">
        <v>38</v>
      </c>
      <c r="E3067" s="41">
        <v>46145</v>
      </c>
      <c r="F3067" s="47">
        <v>0.57636574074074076</v>
      </c>
      <c r="G3067" s="42">
        <v>6.3</v>
      </c>
      <c r="H3067" s="40" t="s">
        <v>235</v>
      </c>
      <c r="I3067" s="40" t="s">
        <v>1282</v>
      </c>
    </row>
    <row r="3068" spans="1:9" x14ac:dyDescent="0.25">
      <c r="A3068" s="40" t="s">
        <v>398</v>
      </c>
      <c r="B3068" s="28">
        <v>3638</v>
      </c>
      <c r="C3068" s="28" t="s">
        <v>922</v>
      </c>
      <c r="D3068" s="28"/>
      <c r="E3068" s="41">
        <v>46141</v>
      </c>
      <c r="F3068" s="47">
        <v>0.16637731481481483</v>
      </c>
      <c r="G3068" s="42">
        <v>6.3</v>
      </c>
      <c r="H3068" s="40" t="s">
        <v>237</v>
      </c>
      <c r="I3068" s="40" t="s">
        <v>1281</v>
      </c>
    </row>
    <row r="3069" spans="1:9" x14ac:dyDescent="0.25">
      <c r="A3069" s="40" t="s">
        <v>398</v>
      </c>
      <c r="B3069" s="28">
        <v>3638</v>
      </c>
      <c r="C3069" s="28" t="s">
        <v>922</v>
      </c>
      <c r="D3069" s="28"/>
      <c r="E3069" s="45">
        <v>46141</v>
      </c>
      <c r="F3069" s="48">
        <v>0.17140046296296296</v>
      </c>
      <c r="G3069" s="42">
        <v>6.3</v>
      </c>
      <c r="H3069" s="40" t="s">
        <v>234</v>
      </c>
      <c r="I3069" s="40" t="s">
        <v>1281</v>
      </c>
    </row>
    <row r="3070" spans="1:9" x14ac:dyDescent="0.25">
      <c r="A3070" s="40" t="s">
        <v>398</v>
      </c>
      <c r="B3070" s="28">
        <v>3638</v>
      </c>
      <c r="C3070" s="28">
        <v>5640800</v>
      </c>
      <c r="D3070" s="28"/>
      <c r="E3070" s="41">
        <v>46141</v>
      </c>
      <c r="F3070" s="47">
        <v>0.31314814814814818</v>
      </c>
      <c r="G3070" s="42">
        <v>6.3</v>
      </c>
      <c r="H3070" s="40" t="s">
        <v>237</v>
      </c>
      <c r="I3070" s="40" t="s">
        <v>1281</v>
      </c>
    </row>
    <row r="3071" spans="1:9" x14ac:dyDescent="0.25">
      <c r="A3071" s="40" t="s">
        <v>398</v>
      </c>
      <c r="B3071" s="28">
        <v>3638</v>
      </c>
      <c r="C3071" s="28">
        <v>5640800</v>
      </c>
      <c r="D3071" s="28"/>
      <c r="E3071" s="41">
        <v>46141</v>
      </c>
      <c r="F3071" s="47">
        <v>0.31927083333333334</v>
      </c>
      <c r="G3071" s="42">
        <v>6.3</v>
      </c>
      <c r="H3071" s="40" t="s">
        <v>234</v>
      </c>
      <c r="I3071" s="40" t="s">
        <v>1281</v>
      </c>
    </row>
    <row r="3072" spans="1:9" x14ac:dyDescent="0.25">
      <c r="A3072" s="40" t="s">
        <v>398</v>
      </c>
      <c r="B3072" s="28">
        <v>3638</v>
      </c>
      <c r="C3072" s="28" t="s">
        <v>923</v>
      </c>
      <c r="D3072" s="28"/>
      <c r="E3072" s="45">
        <v>46142</v>
      </c>
      <c r="F3072" s="48">
        <v>0.24916666666666668</v>
      </c>
      <c r="G3072" s="44">
        <v>6.3</v>
      </c>
      <c r="H3072" s="43" t="s">
        <v>235</v>
      </c>
      <c r="I3072" s="40" t="s">
        <v>1281</v>
      </c>
    </row>
    <row r="3073" spans="1:9" x14ac:dyDescent="0.25">
      <c r="A3073" s="40" t="s">
        <v>398</v>
      </c>
      <c r="B3073" s="28">
        <v>3638</v>
      </c>
      <c r="C3073" s="28" t="s">
        <v>923</v>
      </c>
      <c r="D3073" s="28"/>
      <c r="E3073" s="41">
        <v>46142</v>
      </c>
      <c r="F3073" s="47">
        <v>0.25671296296296298</v>
      </c>
      <c r="G3073" s="44">
        <v>6.3</v>
      </c>
      <c r="H3073" s="43" t="s">
        <v>239</v>
      </c>
      <c r="I3073" s="40" t="s">
        <v>1281</v>
      </c>
    </row>
    <row r="3074" spans="1:9" x14ac:dyDescent="0.25">
      <c r="A3074" s="40" t="s">
        <v>398</v>
      </c>
      <c r="B3074" s="28">
        <v>3638</v>
      </c>
      <c r="C3074" s="28">
        <v>5642725</v>
      </c>
      <c r="D3074" s="28"/>
      <c r="E3074" s="41">
        <v>46142</v>
      </c>
      <c r="F3074" s="47">
        <v>0.32313657407407409</v>
      </c>
      <c r="G3074" s="44">
        <v>6.3</v>
      </c>
      <c r="H3074" s="43" t="s">
        <v>237</v>
      </c>
      <c r="I3074" s="40" t="s">
        <v>1281</v>
      </c>
    </row>
    <row r="3075" spans="1:9" x14ac:dyDescent="0.25">
      <c r="A3075" s="40" t="s">
        <v>398</v>
      </c>
      <c r="B3075" s="28">
        <v>3638</v>
      </c>
      <c r="C3075" s="28">
        <v>5642725</v>
      </c>
      <c r="D3075" s="28"/>
      <c r="E3075" s="45">
        <v>46142</v>
      </c>
      <c r="F3075" s="48">
        <v>0.33135416666666667</v>
      </c>
      <c r="G3075" s="44">
        <v>6.3</v>
      </c>
      <c r="H3075" s="43" t="s">
        <v>234</v>
      </c>
      <c r="I3075" s="40" t="s">
        <v>1281</v>
      </c>
    </row>
    <row r="3076" spans="1:9" x14ac:dyDescent="0.25">
      <c r="A3076" s="40" t="s">
        <v>398</v>
      </c>
      <c r="B3076" s="28">
        <v>3638</v>
      </c>
      <c r="C3076" s="28">
        <v>5645860</v>
      </c>
      <c r="D3076" s="28" t="s">
        <v>37</v>
      </c>
      <c r="E3076" s="41">
        <v>46143</v>
      </c>
      <c r="F3076" s="47">
        <v>0.30467592592592591</v>
      </c>
      <c r="G3076" s="44">
        <v>6.3</v>
      </c>
      <c r="H3076" s="43" t="s">
        <v>237</v>
      </c>
      <c r="I3076" s="40" t="s">
        <v>1282</v>
      </c>
    </row>
    <row r="3077" spans="1:9" x14ac:dyDescent="0.25">
      <c r="A3077" s="40" t="s">
        <v>398</v>
      </c>
      <c r="B3077" s="28">
        <v>3638</v>
      </c>
      <c r="C3077" s="28">
        <v>5645860</v>
      </c>
      <c r="D3077" s="28" t="s">
        <v>37</v>
      </c>
      <c r="E3077" s="41">
        <v>46143</v>
      </c>
      <c r="F3077" s="47">
        <v>0.30980324074074073</v>
      </c>
      <c r="G3077" s="44">
        <v>6.3</v>
      </c>
      <c r="H3077" s="43" t="s">
        <v>234</v>
      </c>
      <c r="I3077" s="40" t="s">
        <v>1282</v>
      </c>
    </row>
    <row r="3078" spans="1:9" x14ac:dyDescent="0.25">
      <c r="A3078" s="40" t="s">
        <v>283</v>
      </c>
      <c r="B3078" s="28">
        <v>3643</v>
      </c>
      <c r="C3078" s="28" t="s">
        <v>924</v>
      </c>
      <c r="D3078" s="28"/>
      <c r="E3078" s="41">
        <v>46139</v>
      </c>
      <c r="F3078" s="47">
        <v>0.2225462962962963</v>
      </c>
      <c r="G3078" s="44">
        <v>6.3</v>
      </c>
      <c r="H3078" s="43" t="s">
        <v>236</v>
      </c>
      <c r="I3078" s="40" t="s">
        <v>1281</v>
      </c>
    </row>
    <row r="3079" spans="1:9" x14ac:dyDescent="0.25">
      <c r="A3079" s="40" t="s">
        <v>283</v>
      </c>
      <c r="B3079" s="28">
        <v>3643</v>
      </c>
      <c r="C3079" s="28">
        <v>5644635</v>
      </c>
      <c r="D3079" s="28"/>
      <c r="E3079" s="41">
        <v>46143</v>
      </c>
      <c r="F3079" s="47">
        <v>0.3565625</v>
      </c>
      <c r="G3079" s="44">
        <v>6.3</v>
      </c>
      <c r="H3079" s="43" t="s">
        <v>235</v>
      </c>
      <c r="I3079" s="40" t="s">
        <v>1282</v>
      </c>
    </row>
    <row r="3080" spans="1:9" x14ac:dyDescent="0.25">
      <c r="A3080" s="40" t="s">
        <v>283</v>
      </c>
      <c r="B3080" s="28">
        <v>3643</v>
      </c>
      <c r="C3080" s="28">
        <v>5644635</v>
      </c>
      <c r="D3080" s="28"/>
      <c r="E3080" s="41">
        <v>46143</v>
      </c>
      <c r="F3080" s="47">
        <v>0.3631597222222222</v>
      </c>
      <c r="G3080" s="44">
        <v>6.3</v>
      </c>
      <c r="H3080" s="43" t="s">
        <v>239</v>
      </c>
      <c r="I3080" s="40" t="s">
        <v>1282</v>
      </c>
    </row>
    <row r="3081" spans="1:9" x14ac:dyDescent="0.25">
      <c r="A3081" s="40" t="s">
        <v>283</v>
      </c>
      <c r="B3081" s="28">
        <v>3643</v>
      </c>
      <c r="C3081" s="28" t="s">
        <v>925</v>
      </c>
      <c r="D3081" s="28"/>
      <c r="E3081" s="41">
        <v>46145</v>
      </c>
      <c r="F3081" s="47">
        <v>0.90567129629629628</v>
      </c>
      <c r="G3081" s="44">
        <v>6.3</v>
      </c>
      <c r="H3081" s="43" t="s">
        <v>235</v>
      </c>
      <c r="I3081" s="40" t="s">
        <v>1282</v>
      </c>
    </row>
    <row r="3082" spans="1:9" x14ac:dyDescent="0.25">
      <c r="A3082" s="40" t="s">
        <v>283</v>
      </c>
      <c r="B3082" s="28">
        <v>3643</v>
      </c>
      <c r="C3082" s="28" t="s">
        <v>925</v>
      </c>
      <c r="D3082" s="28"/>
      <c r="E3082" s="41">
        <v>46145</v>
      </c>
      <c r="F3082" s="47">
        <v>0.914525462962963</v>
      </c>
      <c r="G3082" s="44">
        <v>6.3</v>
      </c>
      <c r="H3082" s="43" t="s">
        <v>236</v>
      </c>
      <c r="I3082" s="40" t="s">
        <v>1282</v>
      </c>
    </row>
    <row r="3083" spans="1:9" x14ac:dyDescent="0.25">
      <c r="A3083" s="40" t="s">
        <v>926</v>
      </c>
      <c r="B3083" s="28">
        <v>3646</v>
      </c>
      <c r="C3083" s="28" t="s">
        <v>35</v>
      </c>
      <c r="D3083" s="28" t="s">
        <v>38</v>
      </c>
      <c r="E3083" s="41">
        <v>46139</v>
      </c>
      <c r="F3083" s="47">
        <v>1.5740740740740739E-2</v>
      </c>
      <c r="G3083" s="44">
        <v>6.3</v>
      </c>
      <c r="H3083" s="43" t="s">
        <v>233</v>
      </c>
      <c r="I3083" s="40" t="s">
        <v>1281</v>
      </c>
    </row>
    <row r="3084" spans="1:9" x14ac:dyDescent="0.25">
      <c r="A3084" s="40" t="s">
        <v>926</v>
      </c>
      <c r="B3084" s="28">
        <v>3646</v>
      </c>
      <c r="C3084" s="28" t="s">
        <v>35</v>
      </c>
      <c r="D3084" s="28" t="s">
        <v>38</v>
      </c>
      <c r="E3084" s="41">
        <v>46139</v>
      </c>
      <c r="F3084" s="47">
        <v>0.36861111111111111</v>
      </c>
      <c r="G3084" s="44">
        <v>6.3</v>
      </c>
      <c r="H3084" s="43" t="s">
        <v>235</v>
      </c>
      <c r="I3084" s="40" t="s">
        <v>1281</v>
      </c>
    </row>
    <row r="3085" spans="1:9" x14ac:dyDescent="0.25">
      <c r="A3085" s="40" t="s">
        <v>926</v>
      </c>
      <c r="B3085" s="28">
        <v>3646</v>
      </c>
      <c r="C3085" s="28" t="s">
        <v>35</v>
      </c>
      <c r="D3085" s="28" t="s">
        <v>38</v>
      </c>
      <c r="E3085" s="41">
        <v>46139</v>
      </c>
      <c r="F3085" s="47">
        <v>0.77813657407407411</v>
      </c>
      <c r="G3085" s="44">
        <v>6.3</v>
      </c>
      <c r="H3085" s="43" t="s">
        <v>233</v>
      </c>
      <c r="I3085" s="40" t="s">
        <v>1281</v>
      </c>
    </row>
    <row r="3086" spans="1:9" x14ac:dyDescent="0.25">
      <c r="A3086" s="40" t="s">
        <v>926</v>
      </c>
      <c r="B3086" s="28">
        <v>3646</v>
      </c>
      <c r="C3086" s="28" t="s">
        <v>35</v>
      </c>
      <c r="D3086" s="28" t="s">
        <v>38</v>
      </c>
      <c r="E3086" s="41">
        <v>46139</v>
      </c>
      <c r="F3086" s="47">
        <v>0.81295138888888885</v>
      </c>
      <c r="G3086" s="44">
        <v>6.3</v>
      </c>
      <c r="H3086" s="43" t="s">
        <v>234</v>
      </c>
      <c r="I3086" s="40" t="s">
        <v>1281</v>
      </c>
    </row>
    <row r="3087" spans="1:9" x14ac:dyDescent="0.25">
      <c r="A3087" s="40" t="s">
        <v>926</v>
      </c>
      <c r="B3087" s="28">
        <v>3646</v>
      </c>
      <c r="C3087" s="28" t="s">
        <v>35</v>
      </c>
      <c r="D3087" s="28" t="s">
        <v>38</v>
      </c>
      <c r="E3087" s="41">
        <v>46141</v>
      </c>
      <c r="F3087" s="47">
        <v>0.72723379629629625</v>
      </c>
      <c r="G3087" s="44">
        <v>6.3</v>
      </c>
      <c r="H3087" s="43" t="s">
        <v>233</v>
      </c>
      <c r="I3087" s="40" t="s">
        <v>1281</v>
      </c>
    </row>
    <row r="3088" spans="1:9" x14ac:dyDescent="0.25">
      <c r="A3088" s="40" t="s">
        <v>282</v>
      </c>
      <c r="B3088" s="28">
        <v>3661</v>
      </c>
      <c r="C3088" s="28">
        <v>5643774</v>
      </c>
      <c r="D3088" s="28" t="s">
        <v>37</v>
      </c>
      <c r="E3088" s="41">
        <v>46141</v>
      </c>
      <c r="F3088" s="47">
        <v>0.92402777777777778</v>
      </c>
      <c r="G3088" s="44">
        <v>6.3</v>
      </c>
      <c r="H3088" s="43" t="s">
        <v>235</v>
      </c>
      <c r="I3088" s="40" t="s">
        <v>1281</v>
      </c>
    </row>
    <row r="3089" spans="1:9" x14ac:dyDescent="0.25">
      <c r="A3089" s="40" t="s">
        <v>282</v>
      </c>
      <c r="B3089" s="28">
        <v>3661</v>
      </c>
      <c r="C3089" s="28">
        <v>5643774</v>
      </c>
      <c r="D3089" s="28" t="s">
        <v>37</v>
      </c>
      <c r="E3089" s="45">
        <v>46141</v>
      </c>
      <c r="F3089" s="48">
        <v>0.93064814814814811</v>
      </c>
      <c r="G3089" s="44">
        <v>6.3</v>
      </c>
      <c r="H3089" s="43" t="s">
        <v>239</v>
      </c>
      <c r="I3089" s="40" t="s">
        <v>1281</v>
      </c>
    </row>
    <row r="3090" spans="1:9" x14ac:dyDescent="0.25">
      <c r="A3090" s="40" t="s">
        <v>282</v>
      </c>
      <c r="B3090" s="28">
        <v>3661</v>
      </c>
      <c r="C3090" s="28" t="s">
        <v>35</v>
      </c>
      <c r="D3090" s="28" t="s">
        <v>38</v>
      </c>
      <c r="E3090" s="41">
        <v>46141</v>
      </c>
      <c r="F3090" s="47">
        <v>0.94291666666666663</v>
      </c>
      <c r="G3090" s="44">
        <v>6.3</v>
      </c>
      <c r="H3090" s="43" t="s">
        <v>238</v>
      </c>
      <c r="I3090" s="40" t="s">
        <v>1281</v>
      </c>
    </row>
    <row r="3091" spans="1:9" x14ac:dyDescent="0.25">
      <c r="A3091" s="40" t="s">
        <v>282</v>
      </c>
      <c r="B3091" s="28">
        <v>3661</v>
      </c>
      <c r="C3091" s="28" t="s">
        <v>35</v>
      </c>
      <c r="D3091" s="28" t="s">
        <v>38</v>
      </c>
      <c r="E3091" s="41">
        <v>46141</v>
      </c>
      <c r="F3091" s="47">
        <v>0.94807870370370373</v>
      </c>
      <c r="G3091" s="44">
        <v>6.3</v>
      </c>
      <c r="H3091" s="43" t="s">
        <v>234</v>
      </c>
      <c r="I3091" s="40" t="s">
        <v>1281</v>
      </c>
    </row>
    <row r="3092" spans="1:9" x14ac:dyDescent="0.25">
      <c r="A3092" s="40" t="s">
        <v>282</v>
      </c>
      <c r="B3092" s="28">
        <v>3661</v>
      </c>
      <c r="C3092" s="28" t="s">
        <v>927</v>
      </c>
      <c r="D3092" s="28"/>
      <c r="E3092" s="41">
        <v>46141</v>
      </c>
      <c r="F3092" s="47">
        <v>0.98783564814814817</v>
      </c>
      <c r="G3092" s="44">
        <v>6.3</v>
      </c>
      <c r="H3092" s="43" t="s">
        <v>235</v>
      </c>
      <c r="I3092" s="40" t="s">
        <v>1281</v>
      </c>
    </row>
    <row r="3093" spans="1:9" x14ac:dyDescent="0.25">
      <c r="A3093" s="40" t="s">
        <v>282</v>
      </c>
      <c r="B3093" s="28">
        <v>3661</v>
      </c>
      <c r="C3093" s="28" t="s">
        <v>927</v>
      </c>
      <c r="D3093" s="28"/>
      <c r="E3093" s="41">
        <v>46141</v>
      </c>
      <c r="F3093" s="47">
        <v>0.99440972222222224</v>
      </c>
      <c r="G3093" s="44">
        <v>6.3</v>
      </c>
      <c r="H3093" s="43" t="s">
        <v>236</v>
      </c>
      <c r="I3093" s="40" t="s">
        <v>1281</v>
      </c>
    </row>
    <row r="3094" spans="1:9" x14ac:dyDescent="0.25">
      <c r="A3094" s="40" t="s">
        <v>282</v>
      </c>
      <c r="B3094" s="28">
        <v>3661</v>
      </c>
      <c r="C3094" s="28">
        <v>5649084</v>
      </c>
      <c r="D3094" s="28"/>
      <c r="E3094" s="41">
        <v>46145</v>
      </c>
      <c r="F3094" s="47">
        <v>0.85641203703703705</v>
      </c>
      <c r="G3094" s="44">
        <v>6.3</v>
      </c>
      <c r="H3094" s="43" t="s">
        <v>235</v>
      </c>
      <c r="I3094" s="40" t="s">
        <v>1282</v>
      </c>
    </row>
    <row r="3095" spans="1:9" x14ac:dyDescent="0.25">
      <c r="A3095" s="40" t="s">
        <v>282</v>
      </c>
      <c r="B3095" s="28">
        <v>3661</v>
      </c>
      <c r="C3095" s="28">
        <v>5649084</v>
      </c>
      <c r="D3095" s="28"/>
      <c r="E3095" s="41">
        <v>46145</v>
      </c>
      <c r="F3095" s="47">
        <v>0.86348379629629635</v>
      </c>
      <c r="G3095" s="44">
        <v>6.3</v>
      </c>
      <c r="H3095" s="43" t="s">
        <v>236</v>
      </c>
      <c r="I3095" s="40" t="s">
        <v>1282</v>
      </c>
    </row>
    <row r="3096" spans="1:9" x14ac:dyDescent="0.25">
      <c r="A3096" s="40" t="s">
        <v>282</v>
      </c>
      <c r="B3096" s="28">
        <v>3661</v>
      </c>
      <c r="C3096" s="28" t="s">
        <v>35</v>
      </c>
      <c r="D3096" s="28" t="s">
        <v>38</v>
      </c>
      <c r="E3096" s="41">
        <v>46145</v>
      </c>
      <c r="F3096" s="47">
        <v>0.8746990740740741</v>
      </c>
      <c r="G3096" s="44">
        <v>6.3</v>
      </c>
      <c r="H3096" s="43" t="s">
        <v>237</v>
      </c>
      <c r="I3096" s="40" t="s">
        <v>1282</v>
      </c>
    </row>
    <row r="3097" spans="1:9" x14ac:dyDescent="0.25">
      <c r="A3097" s="40" t="s">
        <v>282</v>
      </c>
      <c r="B3097" s="28">
        <v>3661</v>
      </c>
      <c r="C3097" s="28" t="s">
        <v>35</v>
      </c>
      <c r="D3097" s="28" t="s">
        <v>38</v>
      </c>
      <c r="E3097" s="45">
        <v>46145</v>
      </c>
      <c r="F3097" s="48">
        <v>0.8805439814814815</v>
      </c>
      <c r="G3097" s="44">
        <v>6.3</v>
      </c>
      <c r="H3097" s="43" t="s">
        <v>234</v>
      </c>
      <c r="I3097" s="40" t="s">
        <v>1282</v>
      </c>
    </row>
    <row r="3098" spans="1:9" x14ac:dyDescent="0.25">
      <c r="A3098" s="40" t="s">
        <v>282</v>
      </c>
      <c r="B3098" s="28">
        <v>3661</v>
      </c>
      <c r="C3098" s="28">
        <v>5649617</v>
      </c>
      <c r="D3098" s="28"/>
      <c r="E3098" s="41">
        <v>46145</v>
      </c>
      <c r="F3098" s="47">
        <v>0.97890046296296296</v>
      </c>
      <c r="G3098" s="44">
        <v>6.3</v>
      </c>
      <c r="H3098" s="43" t="s">
        <v>235</v>
      </c>
      <c r="I3098" s="40" t="s">
        <v>1282</v>
      </c>
    </row>
    <row r="3099" spans="1:9" x14ac:dyDescent="0.25">
      <c r="A3099" s="40" t="s">
        <v>282</v>
      </c>
      <c r="B3099" s="28">
        <v>3661</v>
      </c>
      <c r="C3099" s="28">
        <v>5649617</v>
      </c>
      <c r="D3099" s="28"/>
      <c r="E3099" s="41">
        <v>46145</v>
      </c>
      <c r="F3099" s="47">
        <v>0.98521990740740739</v>
      </c>
      <c r="G3099" s="44">
        <v>6.3</v>
      </c>
      <c r="H3099" s="43" t="s">
        <v>236</v>
      </c>
      <c r="I3099" s="40" t="s">
        <v>1282</v>
      </c>
    </row>
    <row r="3100" spans="1:9" x14ac:dyDescent="0.25">
      <c r="A3100" s="40" t="s">
        <v>281</v>
      </c>
      <c r="B3100" s="28">
        <v>3662</v>
      </c>
      <c r="C3100" s="28">
        <v>5645362</v>
      </c>
      <c r="D3100" s="28"/>
      <c r="E3100" s="41">
        <v>46142</v>
      </c>
      <c r="F3100" s="47">
        <v>0.78751157407407413</v>
      </c>
      <c r="G3100" s="44">
        <v>6.3</v>
      </c>
      <c r="H3100" s="43" t="s">
        <v>235</v>
      </c>
      <c r="I3100" s="40" t="s">
        <v>1282</v>
      </c>
    </row>
    <row r="3101" spans="1:9" x14ac:dyDescent="0.25">
      <c r="A3101" s="40" t="s">
        <v>281</v>
      </c>
      <c r="B3101" s="28">
        <v>3662</v>
      </c>
      <c r="C3101" s="28">
        <v>5631645</v>
      </c>
      <c r="D3101" s="28"/>
      <c r="E3101" s="41">
        <v>46143</v>
      </c>
      <c r="F3101" s="47">
        <v>4.9756944444444444E-2</v>
      </c>
      <c r="G3101" s="44">
        <v>6.3</v>
      </c>
      <c r="H3101" s="43" t="s">
        <v>235</v>
      </c>
      <c r="I3101" s="40" t="s">
        <v>1282</v>
      </c>
    </row>
    <row r="3102" spans="1:9" x14ac:dyDescent="0.25">
      <c r="A3102" s="40" t="s">
        <v>281</v>
      </c>
      <c r="B3102" s="28">
        <v>3662</v>
      </c>
      <c r="C3102" s="28">
        <v>5631645</v>
      </c>
      <c r="D3102" s="28"/>
      <c r="E3102" s="41">
        <v>46143</v>
      </c>
      <c r="F3102" s="47">
        <v>5.7743055555555554E-2</v>
      </c>
      <c r="G3102" s="42">
        <v>6.3</v>
      </c>
      <c r="H3102" s="40" t="s">
        <v>236</v>
      </c>
      <c r="I3102" s="40" t="s">
        <v>1282</v>
      </c>
    </row>
    <row r="3103" spans="1:9" x14ac:dyDescent="0.25">
      <c r="A3103" s="40" t="s">
        <v>281</v>
      </c>
      <c r="B3103" s="28">
        <v>3662</v>
      </c>
      <c r="C3103" s="28">
        <v>5648865</v>
      </c>
      <c r="D3103" s="28"/>
      <c r="E3103" s="45">
        <v>46145</v>
      </c>
      <c r="F3103" s="48">
        <v>0.74508101851851849</v>
      </c>
      <c r="G3103" s="42">
        <v>6.3</v>
      </c>
      <c r="H3103" s="40" t="s">
        <v>235</v>
      </c>
      <c r="I3103" s="40" t="s">
        <v>1282</v>
      </c>
    </row>
    <row r="3104" spans="1:9" x14ac:dyDescent="0.25">
      <c r="A3104" s="40" t="s">
        <v>281</v>
      </c>
      <c r="B3104" s="28">
        <v>3662</v>
      </c>
      <c r="C3104" s="28">
        <v>5648865</v>
      </c>
      <c r="D3104" s="28"/>
      <c r="E3104" s="41">
        <v>46145</v>
      </c>
      <c r="F3104" s="47">
        <v>0.75262731481481482</v>
      </c>
      <c r="G3104" s="42">
        <v>6.3</v>
      </c>
      <c r="H3104" s="40" t="s">
        <v>236</v>
      </c>
      <c r="I3104" s="40" t="s">
        <v>1282</v>
      </c>
    </row>
    <row r="3105" spans="1:9" x14ac:dyDescent="0.25">
      <c r="A3105" s="40" t="s">
        <v>285</v>
      </c>
      <c r="B3105" s="28">
        <v>3663</v>
      </c>
      <c r="C3105" s="28" t="s">
        <v>928</v>
      </c>
      <c r="D3105" s="28"/>
      <c r="E3105" s="41">
        <v>46139</v>
      </c>
      <c r="F3105" s="47">
        <v>0.54694444444444446</v>
      </c>
      <c r="G3105" s="42">
        <v>6.3</v>
      </c>
      <c r="H3105" s="40" t="s">
        <v>235</v>
      </c>
      <c r="I3105" s="40" t="s">
        <v>1281</v>
      </c>
    </row>
    <row r="3106" spans="1:9" x14ac:dyDescent="0.25">
      <c r="A3106" s="40" t="s">
        <v>285</v>
      </c>
      <c r="B3106" s="28">
        <v>3663</v>
      </c>
      <c r="C3106" s="28" t="s">
        <v>928</v>
      </c>
      <c r="D3106" s="28"/>
      <c r="E3106" s="41">
        <v>46139</v>
      </c>
      <c r="F3106" s="47">
        <v>0.55589120370370371</v>
      </c>
      <c r="G3106" s="42">
        <v>6.3</v>
      </c>
      <c r="H3106" s="40" t="s">
        <v>236</v>
      </c>
      <c r="I3106" s="40" t="s">
        <v>1281</v>
      </c>
    </row>
    <row r="3107" spans="1:9" x14ac:dyDescent="0.25">
      <c r="A3107" s="40" t="s">
        <v>285</v>
      </c>
      <c r="B3107" s="28">
        <v>3663</v>
      </c>
      <c r="C3107" s="28" t="s">
        <v>929</v>
      </c>
      <c r="D3107" s="28"/>
      <c r="E3107" s="41">
        <v>46140</v>
      </c>
      <c r="F3107" s="47">
        <v>0.63784722222222223</v>
      </c>
      <c r="G3107" s="42">
        <v>6.3</v>
      </c>
      <c r="H3107" s="40" t="s">
        <v>235</v>
      </c>
      <c r="I3107" s="40" t="s">
        <v>1281</v>
      </c>
    </row>
    <row r="3108" spans="1:9" x14ac:dyDescent="0.25">
      <c r="A3108" s="40" t="s">
        <v>285</v>
      </c>
      <c r="B3108" s="28">
        <v>3663</v>
      </c>
      <c r="C3108" s="28" t="s">
        <v>929</v>
      </c>
      <c r="D3108" s="28"/>
      <c r="E3108" s="41">
        <v>46140</v>
      </c>
      <c r="F3108" s="47">
        <v>0.64473379629629635</v>
      </c>
      <c r="G3108" s="42">
        <v>6.3</v>
      </c>
      <c r="H3108" s="40" t="s">
        <v>236</v>
      </c>
      <c r="I3108" s="40" t="s">
        <v>1281</v>
      </c>
    </row>
    <row r="3109" spans="1:9" x14ac:dyDescent="0.25">
      <c r="A3109" s="40" t="s">
        <v>285</v>
      </c>
      <c r="B3109" s="28">
        <v>3663</v>
      </c>
      <c r="C3109" s="28" t="s">
        <v>35</v>
      </c>
      <c r="D3109" s="28" t="s">
        <v>38</v>
      </c>
      <c r="E3109" s="41">
        <v>46140</v>
      </c>
      <c r="F3109" s="47">
        <v>0.66074074074074074</v>
      </c>
      <c r="G3109" s="42">
        <v>6.3</v>
      </c>
      <c r="H3109" s="40" t="s">
        <v>237</v>
      </c>
      <c r="I3109" s="40" t="s">
        <v>1281</v>
      </c>
    </row>
    <row r="3110" spans="1:9" x14ac:dyDescent="0.25">
      <c r="A3110" s="40" t="s">
        <v>285</v>
      </c>
      <c r="B3110" s="28">
        <v>3663</v>
      </c>
      <c r="C3110" s="28" t="s">
        <v>35</v>
      </c>
      <c r="D3110" s="28" t="s">
        <v>38</v>
      </c>
      <c r="E3110" s="41">
        <v>46140</v>
      </c>
      <c r="F3110" s="47">
        <v>0.67277777777777781</v>
      </c>
      <c r="G3110" s="44">
        <v>6.3</v>
      </c>
      <c r="H3110" s="43" t="s">
        <v>234</v>
      </c>
      <c r="I3110" s="40" t="s">
        <v>1281</v>
      </c>
    </row>
    <row r="3111" spans="1:9" x14ac:dyDescent="0.25">
      <c r="A3111" s="40" t="s">
        <v>285</v>
      </c>
      <c r="B3111" s="28">
        <v>3663</v>
      </c>
      <c r="C3111" s="28" t="s">
        <v>930</v>
      </c>
      <c r="D3111" s="28"/>
      <c r="E3111" s="41">
        <v>46142</v>
      </c>
      <c r="F3111" s="47">
        <v>4.6296296296296298E-4</v>
      </c>
      <c r="G3111" s="44">
        <v>6.3</v>
      </c>
      <c r="H3111" s="43" t="s">
        <v>235</v>
      </c>
      <c r="I3111" s="40" t="s">
        <v>1281</v>
      </c>
    </row>
    <row r="3112" spans="1:9" x14ac:dyDescent="0.25">
      <c r="A3112" s="40" t="s">
        <v>285</v>
      </c>
      <c r="B3112" s="28">
        <v>3663</v>
      </c>
      <c r="C3112" s="28" t="s">
        <v>930</v>
      </c>
      <c r="D3112" s="28"/>
      <c r="E3112" s="41">
        <v>46142</v>
      </c>
      <c r="F3112" s="47">
        <v>6.5624999999999998E-3</v>
      </c>
      <c r="G3112" s="44">
        <v>6.3</v>
      </c>
      <c r="H3112" s="43" t="s">
        <v>240</v>
      </c>
      <c r="I3112" s="40" t="s">
        <v>1281</v>
      </c>
    </row>
    <row r="3113" spans="1:9" x14ac:dyDescent="0.25">
      <c r="A3113" s="40" t="s">
        <v>285</v>
      </c>
      <c r="B3113" s="28">
        <v>3663</v>
      </c>
      <c r="C3113" s="28">
        <v>5638578</v>
      </c>
      <c r="D3113" s="28"/>
      <c r="E3113" s="45">
        <v>46142</v>
      </c>
      <c r="F3113" s="48">
        <v>0.88730324074074074</v>
      </c>
      <c r="G3113" s="44">
        <v>6.3</v>
      </c>
      <c r="H3113" s="43" t="s">
        <v>235</v>
      </c>
      <c r="I3113" s="40" t="s">
        <v>1281</v>
      </c>
    </row>
    <row r="3114" spans="1:9" x14ac:dyDescent="0.25">
      <c r="A3114" s="40" t="s">
        <v>285</v>
      </c>
      <c r="B3114" s="28">
        <v>3663</v>
      </c>
      <c r="C3114" s="28">
        <v>5638578</v>
      </c>
      <c r="D3114" s="28"/>
      <c r="E3114" s="45">
        <v>46142</v>
      </c>
      <c r="F3114" s="48">
        <v>0.89505787037037032</v>
      </c>
      <c r="G3114" s="44">
        <v>6.3</v>
      </c>
      <c r="H3114" s="43" t="s">
        <v>236</v>
      </c>
      <c r="I3114" s="40" t="s">
        <v>1281</v>
      </c>
    </row>
    <row r="3115" spans="1:9" x14ac:dyDescent="0.25">
      <c r="A3115" s="40" t="s">
        <v>285</v>
      </c>
      <c r="B3115" s="28">
        <v>3663</v>
      </c>
      <c r="C3115" s="28">
        <v>5647228</v>
      </c>
      <c r="D3115" s="28"/>
      <c r="E3115" s="41">
        <v>46144</v>
      </c>
      <c r="F3115" s="47">
        <v>0.25300925925925927</v>
      </c>
      <c r="G3115" s="44">
        <v>6.3</v>
      </c>
      <c r="H3115" s="43" t="s">
        <v>235</v>
      </c>
      <c r="I3115" s="40" t="s">
        <v>1282</v>
      </c>
    </row>
    <row r="3116" spans="1:9" x14ac:dyDescent="0.25">
      <c r="A3116" s="40" t="s">
        <v>285</v>
      </c>
      <c r="B3116" s="28">
        <v>3663</v>
      </c>
      <c r="C3116" s="28">
        <v>5647228</v>
      </c>
      <c r="D3116" s="28"/>
      <c r="E3116" s="41">
        <v>46144</v>
      </c>
      <c r="F3116" s="47">
        <v>0.2603240740740741</v>
      </c>
      <c r="G3116" s="44">
        <v>6.3</v>
      </c>
      <c r="H3116" s="43" t="s">
        <v>236</v>
      </c>
      <c r="I3116" s="40" t="s">
        <v>1282</v>
      </c>
    </row>
    <row r="3117" spans="1:9" x14ac:dyDescent="0.25">
      <c r="A3117" s="40" t="s">
        <v>285</v>
      </c>
      <c r="B3117" s="28">
        <v>3663</v>
      </c>
      <c r="C3117" s="28">
        <v>5648569</v>
      </c>
      <c r="D3117" s="28"/>
      <c r="E3117" s="41">
        <v>46145</v>
      </c>
      <c r="F3117" s="47">
        <v>0.5307291666666667</v>
      </c>
      <c r="G3117" s="44">
        <v>6.3</v>
      </c>
      <c r="H3117" s="43" t="s">
        <v>235</v>
      </c>
      <c r="I3117" s="40" t="s">
        <v>1282</v>
      </c>
    </row>
    <row r="3118" spans="1:9" x14ac:dyDescent="0.25">
      <c r="A3118" s="40" t="s">
        <v>285</v>
      </c>
      <c r="B3118" s="28">
        <v>3663</v>
      </c>
      <c r="C3118" s="28">
        <v>5648569</v>
      </c>
      <c r="D3118" s="28"/>
      <c r="E3118" s="45">
        <v>46145</v>
      </c>
      <c r="F3118" s="48">
        <v>0.53760416666666666</v>
      </c>
      <c r="G3118" s="44">
        <v>6.3</v>
      </c>
      <c r="H3118" s="43" t="s">
        <v>239</v>
      </c>
      <c r="I3118" s="40" t="s">
        <v>1282</v>
      </c>
    </row>
    <row r="3119" spans="1:9" x14ac:dyDescent="0.25">
      <c r="A3119" s="40" t="s">
        <v>290</v>
      </c>
      <c r="B3119" s="28">
        <v>3664</v>
      </c>
      <c r="C3119" s="28" t="s">
        <v>931</v>
      </c>
      <c r="D3119" s="28"/>
      <c r="E3119" s="41">
        <v>46141</v>
      </c>
      <c r="F3119" s="47">
        <v>0.8122800925925926</v>
      </c>
      <c r="G3119" s="44">
        <v>6.3</v>
      </c>
      <c r="H3119" s="43" t="s">
        <v>235</v>
      </c>
      <c r="I3119" s="40" t="s">
        <v>1281</v>
      </c>
    </row>
    <row r="3120" spans="1:9" x14ac:dyDescent="0.25">
      <c r="A3120" s="40" t="s">
        <v>290</v>
      </c>
      <c r="B3120" s="28">
        <v>3664</v>
      </c>
      <c r="C3120" s="28" t="s">
        <v>35</v>
      </c>
      <c r="D3120" s="28" t="s">
        <v>38</v>
      </c>
      <c r="E3120" s="41">
        <v>46141</v>
      </c>
      <c r="F3120" s="47">
        <v>0.83148148148148149</v>
      </c>
      <c r="G3120" s="44">
        <v>6.3</v>
      </c>
      <c r="H3120" s="43" t="s">
        <v>236</v>
      </c>
      <c r="I3120" s="40" t="s">
        <v>1281</v>
      </c>
    </row>
    <row r="3121" spans="1:9" x14ac:dyDescent="0.25">
      <c r="A3121" s="40" t="s">
        <v>290</v>
      </c>
      <c r="B3121" s="28">
        <v>3664</v>
      </c>
      <c r="C3121" s="28" t="s">
        <v>932</v>
      </c>
      <c r="D3121" s="28"/>
      <c r="E3121" s="41">
        <v>46142</v>
      </c>
      <c r="F3121" s="47">
        <v>0.84714120370370372</v>
      </c>
      <c r="G3121" s="44">
        <v>6.3</v>
      </c>
      <c r="H3121" s="43" t="s">
        <v>235</v>
      </c>
      <c r="I3121" s="40" t="s">
        <v>1281</v>
      </c>
    </row>
    <row r="3122" spans="1:9" x14ac:dyDescent="0.25">
      <c r="A3122" s="40" t="s">
        <v>290</v>
      </c>
      <c r="B3122" s="28">
        <v>3664</v>
      </c>
      <c r="C3122" s="28" t="s">
        <v>932</v>
      </c>
      <c r="D3122" s="28"/>
      <c r="E3122" s="41">
        <v>46142</v>
      </c>
      <c r="F3122" s="47">
        <v>0.85642361111111109</v>
      </c>
      <c r="G3122" s="44">
        <v>6.3</v>
      </c>
      <c r="H3122" s="43" t="s">
        <v>236</v>
      </c>
      <c r="I3122" s="40" t="s">
        <v>1282</v>
      </c>
    </row>
    <row r="3123" spans="1:9" x14ac:dyDescent="0.25">
      <c r="A3123" s="40" t="s">
        <v>290</v>
      </c>
      <c r="B3123" s="28">
        <v>3664</v>
      </c>
      <c r="C3123" s="28" t="s">
        <v>933</v>
      </c>
      <c r="D3123" s="28"/>
      <c r="E3123" s="41">
        <v>46145</v>
      </c>
      <c r="F3123" s="47">
        <v>1.3159722222222222E-2</v>
      </c>
      <c r="G3123" s="44">
        <v>6.3</v>
      </c>
      <c r="H3123" s="43" t="s">
        <v>235</v>
      </c>
      <c r="I3123" s="40" t="s">
        <v>1282</v>
      </c>
    </row>
    <row r="3124" spans="1:9" x14ac:dyDescent="0.25">
      <c r="A3124" s="40" t="s">
        <v>290</v>
      </c>
      <c r="B3124" s="28">
        <v>3664</v>
      </c>
      <c r="C3124" s="28" t="s">
        <v>933</v>
      </c>
      <c r="D3124" s="28"/>
      <c r="E3124" s="41">
        <v>46145</v>
      </c>
      <c r="F3124" s="47">
        <v>2.0173611111111111E-2</v>
      </c>
      <c r="G3124" s="44">
        <v>6.3</v>
      </c>
      <c r="H3124" s="43" t="s">
        <v>236</v>
      </c>
      <c r="I3124" s="40" t="s">
        <v>1282</v>
      </c>
    </row>
    <row r="3125" spans="1:9" x14ac:dyDescent="0.25">
      <c r="A3125" s="40" t="s">
        <v>290</v>
      </c>
      <c r="B3125" s="28">
        <v>3664</v>
      </c>
      <c r="C3125" s="28">
        <v>5648131</v>
      </c>
      <c r="D3125" s="28"/>
      <c r="E3125" s="41">
        <v>46145</v>
      </c>
      <c r="F3125" s="47">
        <v>0.63324074074074077</v>
      </c>
      <c r="G3125" s="44">
        <v>6.3</v>
      </c>
      <c r="H3125" s="43" t="s">
        <v>235</v>
      </c>
      <c r="I3125" s="40" t="s">
        <v>1282</v>
      </c>
    </row>
    <row r="3126" spans="1:9" x14ac:dyDescent="0.25">
      <c r="A3126" s="40" t="s">
        <v>290</v>
      </c>
      <c r="B3126" s="28">
        <v>3664</v>
      </c>
      <c r="C3126" s="28">
        <v>5648131</v>
      </c>
      <c r="D3126" s="28"/>
      <c r="E3126" s="41">
        <v>46145</v>
      </c>
      <c r="F3126" s="47">
        <v>0.63942129629629629</v>
      </c>
      <c r="G3126" s="44">
        <v>6.3</v>
      </c>
      <c r="H3126" s="43" t="s">
        <v>236</v>
      </c>
      <c r="I3126" s="40" t="s">
        <v>1282</v>
      </c>
    </row>
    <row r="3127" spans="1:9" x14ac:dyDescent="0.25">
      <c r="A3127" s="40" t="s">
        <v>934</v>
      </c>
      <c r="B3127" s="28">
        <v>3666</v>
      </c>
      <c r="C3127" s="28" t="s">
        <v>935</v>
      </c>
      <c r="D3127" s="28"/>
      <c r="E3127" s="41">
        <v>46139</v>
      </c>
      <c r="F3127" s="47">
        <v>0.96031250000000001</v>
      </c>
      <c r="G3127" s="44">
        <v>6.3</v>
      </c>
      <c r="H3127" s="43" t="s">
        <v>235</v>
      </c>
      <c r="I3127" s="40" t="s">
        <v>1281</v>
      </c>
    </row>
    <row r="3128" spans="1:9" x14ac:dyDescent="0.25">
      <c r="A3128" s="40" t="s">
        <v>934</v>
      </c>
      <c r="B3128" s="28">
        <v>3666</v>
      </c>
      <c r="C3128" s="28" t="s">
        <v>935</v>
      </c>
      <c r="D3128" s="28"/>
      <c r="E3128" s="41">
        <v>46139</v>
      </c>
      <c r="F3128" s="47">
        <v>0.96712962962962967</v>
      </c>
      <c r="G3128" s="44">
        <v>6.3</v>
      </c>
      <c r="H3128" s="43" t="s">
        <v>236</v>
      </c>
      <c r="I3128" s="40" t="s">
        <v>1281</v>
      </c>
    </row>
    <row r="3129" spans="1:9" x14ac:dyDescent="0.25">
      <c r="A3129" s="40" t="s">
        <v>934</v>
      </c>
      <c r="B3129" s="28">
        <v>3666</v>
      </c>
      <c r="C3129" s="28">
        <v>5645600</v>
      </c>
      <c r="D3129" s="28"/>
      <c r="E3129" s="45">
        <v>46143</v>
      </c>
      <c r="F3129" s="48">
        <v>0.17243055555555556</v>
      </c>
      <c r="G3129" s="44">
        <v>6.3</v>
      </c>
      <c r="H3129" s="43" t="s">
        <v>237</v>
      </c>
      <c r="I3129" s="40" t="s">
        <v>1282</v>
      </c>
    </row>
    <row r="3130" spans="1:9" x14ac:dyDescent="0.25">
      <c r="A3130" s="40" t="s">
        <v>934</v>
      </c>
      <c r="B3130" s="28">
        <v>3666</v>
      </c>
      <c r="C3130" s="28">
        <v>5645600</v>
      </c>
      <c r="D3130" s="28"/>
      <c r="E3130" s="41">
        <v>46143</v>
      </c>
      <c r="F3130" s="47">
        <v>0.1776851851851852</v>
      </c>
      <c r="G3130" s="44">
        <v>6.3</v>
      </c>
      <c r="H3130" s="43" t="s">
        <v>234</v>
      </c>
      <c r="I3130" s="40" t="s">
        <v>1282</v>
      </c>
    </row>
    <row r="3131" spans="1:9" x14ac:dyDescent="0.25">
      <c r="A3131" s="40" t="s">
        <v>289</v>
      </c>
      <c r="B3131" s="28">
        <v>3683</v>
      </c>
      <c r="C3131" s="28">
        <v>10548995</v>
      </c>
      <c r="D3131" s="28"/>
      <c r="E3131" s="45">
        <v>46139</v>
      </c>
      <c r="F3131" s="48">
        <v>1.525462962962963E-2</v>
      </c>
      <c r="G3131" s="44">
        <v>6.3</v>
      </c>
      <c r="H3131" s="43" t="s">
        <v>235</v>
      </c>
      <c r="I3131" s="40" t="s">
        <v>1281</v>
      </c>
    </row>
    <row r="3132" spans="1:9" x14ac:dyDescent="0.25">
      <c r="A3132" s="40" t="s">
        <v>289</v>
      </c>
      <c r="B3132" s="28">
        <v>3683</v>
      </c>
      <c r="C3132" s="28">
        <v>10548995</v>
      </c>
      <c r="D3132" s="28"/>
      <c r="E3132" s="41">
        <v>46139</v>
      </c>
      <c r="F3132" s="47">
        <v>2.2094907407407407E-2</v>
      </c>
      <c r="G3132" s="44">
        <v>6.3</v>
      </c>
      <c r="H3132" s="43" t="s">
        <v>236</v>
      </c>
      <c r="I3132" s="40" t="s">
        <v>1281</v>
      </c>
    </row>
    <row r="3133" spans="1:9" x14ac:dyDescent="0.25">
      <c r="A3133" s="40" t="s">
        <v>336</v>
      </c>
      <c r="B3133" s="28">
        <v>3685</v>
      </c>
      <c r="C3133" s="28" t="s">
        <v>936</v>
      </c>
      <c r="D3133" s="28"/>
      <c r="E3133" s="41">
        <v>46139</v>
      </c>
      <c r="F3133" s="47">
        <v>8.7152777777777784E-3</v>
      </c>
      <c r="G3133" s="44">
        <v>6.3</v>
      </c>
      <c r="H3133" s="43" t="s">
        <v>235</v>
      </c>
      <c r="I3133" s="40" t="s">
        <v>1281</v>
      </c>
    </row>
    <row r="3134" spans="1:9" x14ac:dyDescent="0.25">
      <c r="A3134" s="40" t="s">
        <v>336</v>
      </c>
      <c r="B3134" s="28">
        <v>3685</v>
      </c>
      <c r="C3134" s="28" t="s">
        <v>936</v>
      </c>
      <c r="D3134" s="28"/>
      <c r="E3134" s="41">
        <v>46139</v>
      </c>
      <c r="F3134" s="47">
        <v>1.650462962962963E-2</v>
      </c>
      <c r="G3134" s="44">
        <v>6.3</v>
      </c>
      <c r="H3134" s="43" t="s">
        <v>236</v>
      </c>
      <c r="I3134" s="40" t="s">
        <v>1281</v>
      </c>
    </row>
    <row r="3135" spans="1:9" x14ac:dyDescent="0.25">
      <c r="A3135" s="40" t="s">
        <v>336</v>
      </c>
      <c r="B3135" s="28">
        <v>3685</v>
      </c>
      <c r="C3135" s="28" t="s">
        <v>937</v>
      </c>
      <c r="D3135" s="28"/>
      <c r="E3135" s="41">
        <v>46143</v>
      </c>
      <c r="F3135" s="47">
        <v>0.46019675925925924</v>
      </c>
      <c r="G3135" s="44">
        <v>6.3</v>
      </c>
      <c r="H3135" s="43" t="s">
        <v>237</v>
      </c>
      <c r="I3135" s="40" t="s">
        <v>1282</v>
      </c>
    </row>
    <row r="3136" spans="1:9" x14ac:dyDescent="0.25">
      <c r="A3136" s="40" t="s">
        <v>336</v>
      </c>
      <c r="B3136" s="28">
        <v>3685</v>
      </c>
      <c r="C3136" s="28" t="s">
        <v>937</v>
      </c>
      <c r="D3136" s="28"/>
      <c r="E3136" s="45">
        <v>46143</v>
      </c>
      <c r="F3136" s="48">
        <v>0.46520833333333333</v>
      </c>
      <c r="G3136" s="44">
        <v>6.3</v>
      </c>
      <c r="H3136" s="43" t="s">
        <v>234</v>
      </c>
      <c r="I3136" s="40" t="s">
        <v>1282</v>
      </c>
    </row>
    <row r="3137" spans="1:9" x14ac:dyDescent="0.25">
      <c r="A3137" s="40" t="s">
        <v>336</v>
      </c>
      <c r="B3137" s="28">
        <v>3685</v>
      </c>
      <c r="C3137" s="28" t="s">
        <v>938</v>
      </c>
      <c r="D3137" s="28"/>
      <c r="E3137" s="45">
        <v>46143</v>
      </c>
      <c r="F3137" s="48">
        <v>0.50629629629629624</v>
      </c>
      <c r="G3137" s="44">
        <v>6.3</v>
      </c>
      <c r="H3137" s="43" t="s">
        <v>235</v>
      </c>
      <c r="I3137" s="40" t="s">
        <v>1282</v>
      </c>
    </row>
    <row r="3138" spans="1:9" x14ac:dyDescent="0.25">
      <c r="A3138" s="40" t="s">
        <v>336</v>
      </c>
      <c r="B3138" s="28">
        <v>3685</v>
      </c>
      <c r="C3138" s="28" t="s">
        <v>938</v>
      </c>
      <c r="D3138" s="28"/>
      <c r="E3138" s="41">
        <v>46143</v>
      </c>
      <c r="F3138" s="47">
        <v>0.51391203703703703</v>
      </c>
      <c r="G3138" s="44">
        <v>6.3</v>
      </c>
      <c r="H3138" s="43" t="s">
        <v>236</v>
      </c>
      <c r="I3138" s="40" t="s">
        <v>1282</v>
      </c>
    </row>
    <row r="3139" spans="1:9" x14ac:dyDescent="0.25">
      <c r="A3139" s="40" t="s">
        <v>336</v>
      </c>
      <c r="B3139" s="28">
        <v>3685</v>
      </c>
      <c r="C3139" s="28" t="s">
        <v>939</v>
      </c>
      <c r="D3139" s="28"/>
      <c r="E3139" s="45">
        <v>46143</v>
      </c>
      <c r="F3139" s="48">
        <v>0.62289351851851849</v>
      </c>
      <c r="G3139" s="42">
        <v>6.3</v>
      </c>
      <c r="H3139" s="40" t="s">
        <v>237</v>
      </c>
      <c r="I3139" s="40" t="s">
        <v>1282</v>
      </c>
    </row>
    <row r="3140" spans="1:9" x14ac:dyDescent="0.25">
      <c r="A3140" s="40" t="s">
        <v>336</v>
      </c>
      <c r="B3140" s="28">
        <v>3685</v>
      </c>
      <c r="C3140" s="28" t="s">
        <v>939</v>
      </c>
      <c r="D3140" s="28"/>
      <c r="E3140" s="41">
        <v>46143</v>
      </c>
      <c r="F3140" s="47">
        <v>0.62774305555555554</v>
      </c>
      <c r="G3140" s="42">
        <v>6.3</v>
      </c>
      <c r="H3140" s="40" t="s">
        <v>234</v>
      </c>
      <c r="I3140" s="40" t="s">
        <v>1282</v>
      </c>
    </row>
    <row r="3141" spans="1:9" x14ac:dyDescent="0.25">
      <c r="A3141" s="40" t="s">
        <v>336</v>
      </c>
      <c r="B3141" s="28">
        <v>3685</v>
      </c>
      <c r="C3141" s="28" t="s">
        <v>940</v>
      </c>
      <c r="D3141" s="28"/>
      <c r="E3141" s="41">
        <v>46143</v>
      </c>
      <c r="F3141" s="47">
        <v>0.65616898148148151</v>
      </c>
      <c r="G3141" s="42">
        <v>6.3</v>
      </c>
      <c r="H3141" s="40" t="s">
        <v>235</v>
      </c>
      <c r="I3141" s="40" t="s">
        <v>1282</v>
      </c>
    </row>
    <row r="3142" spans="1:9" x14ac:dyDescent="0.25">
      <c r="A3142" s="40" t="s">
        <v>336</v>
      </c>
      <c r="B3142" s="28">
        <v>3685</v>
      </c>
      <c r="C3142" s="28" t="s">
        <v>940</v>
      </c>
      <c r="D3142" s="28"/>
      <c r="E3142" s="41">
        <v>46143</v>
      </c>
      <c r="F3142" s="47">
        <v>0.66296296296296298</v>
      </c>
      <c r="G3142" s="42">
        <v>6.3</v>
      </c>
      <c r="H3142" s="40" t="s">
        <v>236</v>
      </c>
      <c r="I3142" s="40" t="s">
        <v>1282</v>
      </c>
    </row>
    <row r="3143" spans="1:9" x14ac:dyDescent="0.25">
      <c r="A3143" s="40" t="s">
        <v>336</v>
      </c>
      <c r="B3143" s="28">
        <v>3685</v>
      </c>
      <c r="C3143" s="28" t="s">
        <v>941</v>
      </c>
      <c r="D3143" s="28"/>
      <c r="E3143" s="41">
        <v>46143</v>
      </c>
      <c r="F3143" s="47">
        <v>0.72996527777777775</v>
      </c>
      <c r="G3143" s="42">
        <v>6.3</v>
      </c>
      <c r="H3143" s="40" t="s">
        <v>234</v>
      </c>
      <c r="I3143" s="40" t="s">
        <v>1282</v>
      </c>
    </row>
    <row r="3144" spans="1:9" x14ac:dyDescent="0.25">
      <c r="A3144" s="40" t="s">
        <v>336</v>
      </c>
      <c r="B3144" s="28">
        <v>3685</v>
      </c>
      <c r="C3144" s="28" t="s">
        <v>942</v>
      </c>
      <c r="D3144" s="28"/>
      <c r="E3144" s="45">
        <v>46143</v>
      </c>
      <c r="F3144" s="48">
        <v>0.8172800925925926</v>
      </c>
      <c r="G3144" s="42">
        <v>6.3</v>
      </c>
      <c r="H3144" s="40" t="s">
        <v>235</v>
      </c>
      <c r="I3144" s="40" t="s">
        <v>1282</v>
      </c>
    </row>
    <row r="3145" spans="1:9" x14ac:dyDescent="0.25">
      <c r="A3145" s="40" t="s">
        <v>336</v>
      </c>
      <c r="B3145" s="28">
        <v>3685</v>
      </c>
      <c r="C3145" s="28" t="s">
        <v>942</v>
      </c>
      <c r="D3145" s="28"/>
      <c r="E3145" s="41">
        <v>46143</v>
      </c>
      <c r="F3145" s="47">
        <v>0.82475694444444447</v>
      </c>
      <c r="G3145" s="42">
        <v>6.3</v>
      </c>
      <c r="H3145" s="40" t="s">
        <v>236</v>
      </c>
      <c r="I3145" s="40" t="s">
        <v>1282</v>
      </c>
    </row>
    <row r="3146" spans="1:9" x14ac:dyDescent="0.25">
      <c r="A3146" s="40" t="s">
        <v>336</v>
      </c>
      <c r="B3146" s="28">
        <v>3685</v>
      </c>
      <c r="C3146" s="28" t="s">
        <v>943</v>
      </c>
      <c r="D3146" s="28"/>
      <c r="E3146" s="45">
        <v>46143</v>
      </c>
      <c r="F3146" s="48">
        <v>0.91395833333333332</v>
      </c>
      <c r="G3146" s="42">
        <v>6.3</v>
      </c>
      <c r="H3146" s="40" t="s">
        <v>237</v>
      </c>
      <c r="I3146" s="40" t="s">
        <v>1282</v>
      </c>
    </row>
    <row r="3147" spans="1:9" x14ac:dyDescent="0.25">
      <c r="A3147" s="40" t="s">
        <v>336</v>
      </c>
      <c r="B3147" s="28">
        <v>3685</v>
      </c>
      <c r="C3147" s="28" t="s">
        <v>943</v>
      </c>
      <c r="D3147" s="28"/>
      <c r="E3147" s="41">
        <v>46143</v>
      </c>
      <c r="F3147" s="47">
        <v>0.91893518518518513</v>
      </c>
      <c r="G3147" s="42">
        <v>6.3</v>
      </c>
      <c r="H3147" s="40" t="s">
        <v>234</v>
      </c>
      <c r="I3147" s="40" t="s">
        <v>1282</v>
      </c>
    </row>
    <row r="3148" spans="1:9" x14ac:dyDescent="0.25">
      <c r="A3148" s="40" t="s">
        <v>336</v>
      </c>
      <c r="B3148" s="28">
        <v>3685</v>
      </c>
      <c r="C3148" s="28" t="s">
        <v>944</v>
      </c>
      <c r="D3148" s="28"/>
      <c r="E3148" s="41">
        <v>46145</v>
      </c>
      <c r="F3148" s="47">
        <v>0.18395833333333333</v>
      </c>
      <c r="G3148" s="42">
        <v>6.3</v>
      </c>
      <c r="H3148" s="40" t="s">
        <v>234</v>
      </c>
      <c r="I3148" s="40" t="s">
        <v>1282</v>
      </c>
    </row>
    <row r="3149" spans="1:9" x14ac:dyDescent="0.25">
      <c r="A3149" s="40" t="s">
        <v>336</v>
      </c>
      <c r="B3149" s="28">
        <v>3685</v>
      </c>
      <c r="C3149" s="28" t="s">
        <v>945</v>
      </c>
      <c r="D3149" s="28"/>
      <c r="E3149" s="41">
        <v>46145</v>
      </c>
      <c r="F3149" s="47">
        <v>0.38178240740740743</v>
      </c>
      <c r="G3149" s="42">
        <v>6.3</v>
      </c>
      <c r="H3149" s="40" t="s">
        <v>235</v>
      </c>
      <c r="I3149" s="40" t="s">
        <v>1282</v>
      </c>
    </row>
    <row r="3150" spans="1:9" x14ac:dyDescent="0.25">
      <c r="A3150" s="40" t="s">
        <v>336</v>
      </c>
      <c r="B3150" s="28">
        <v>3685</v>
      </c>
      <c r="C3150" s="28" t="s">
        <v>945</v>
      </c>
      <c r="D3150" s="28"/>
      <c r="E3150" s="41">
        <v>46145</v>
      </c>
      <c r="F3150" s="47">
        <v>0.38984953703703706</v>
      </c>
      <c r="G3150" s="42">
        <v>6.3</v>
      </c>
      <c r="H3150" s="40" t="s">
        <v>236</v>
      </c>
      <c r="I3150" s="40" t="s">
        <v>1282</v>
      </c>
    </row>
    <row r="3151" spans="1:9" x14ac:dyDescent="0.25">
      <c r="A3151" s="40" t="s">
        <v>336</v>
      </c>
      <c r="B3151" s="28">
        <v>3685</v>
      </c>
      <c r="C3151" s="28" t="s">
        <v>946</v>
      </c>
      <c r="D3151" s="28"/>
      <c r="E3151" s="41">
        <v>46145</v>
      </c>
      <c r="F3151" s="47">
        <v>0.44452546296296297</v>
      </c>
      <c r="G3151" s="42">
        <v>6.3</v>
      </c>
      <c r="H3151" s="40" t="s">
        <v>237</v>
      </c>
      <c r="I3151" s="40" t="s">
        <v>1282</v>
      </c>
    </row>
    <row r="3152" spans="1:9" x14ac:dyDescent="0.25">
      <c r="A3152" s="40" t="s">
        <v>336</v>
      </c>
      <c r="B3152" s="28">
        <v>3685</v>
      </c>
      <c r="C3152" s="28" t="s">
        <v>946</v>
      </c>
      <c r="D3152" s="28"/>
      <c r="E3152" s="45">
        <v>46145</v>
      </c>
      <c r="F3152" s="48">
        <v>0.44949074074074075</v>
      </c>
      <c r="G3152" s="42">
        <v>6.3</v>
      </c>
      <c r="H3152" s="40" t="s">
        <v>234</v>
      </c>
      <c r="I3152" s="40" t="s">
        <v>1282</v>
      </c>
    </row>
    <row r="3153" spans="1:9" x14ac:dyDescent="0.25">
      <c r="A3153" s="40" t="s">
        <v>336</v>
      </c>
      <c r="B3153" s="28">
        <v>3685</v>
      </c>
      <c r="C3153" s="28" t="s">
        <v>947</v>
      </c>
      <c r="D3153" s="28"/>
      <c r="E3153" s="41">
        <v>46145</v>
      </c>
      <c r="F3153" s="47">
        <v>0.49431712962962965</v>
      </c>
      <c r="G3153" s="42">
        <v>6.3</v>
      </c>
      <c r="H3153" s="40" t="s">
        <v>235</v>
      </c>
      <c r="I3153" s="40" t="s">
        <v>1282</v>
      </c>
    </row>
    <row r="3154" spans="1:9" x14ac:dyDescent="0.25">
      <c r="A3154" s="40" t="s">
        <v>336</v>
      </c>
      <c r="B3154" s="28">
        <v>3685</v>
      </c>
      <c r="C3154" s="28" t="s">
        <v>947</v>
      </c>
      <c r="D3154" s="28"/>
      <c r="E3154" s="41">
        <v>46145</v>
      </c>
      <c r="F3154" s="47">
        <v>0.50094907407407407</v>
      </c>
      <c r="G3154" s="42">
        <v>6.3</v>
      </c>
      <c r="H3154" s="40" t="s">
        <v>236</v>
      </c>
      <c r="I3154" s="40" t="s">
        <v>1282</v>
      </c>
    </row>
    <row r="3155" spans="1:9" x14ac:dyDescent="0.25">
      <c r="A3155" s="40" t="s">
        <v>336</v>
      </c>
      <c r="B3155" s="28">
        <v>3685</v>
      </c>
      <c r="C3155" s="28" t="s">
        <v>948</v>
      </c>
      <c r="D3155" s="28"/>
      <c r="E3155" s="41">
        <v>46145</v>
      </c>
      <c r="F3155" s="47">
        <v>0.62232638888888892</v>
      </c>
      <c r="G3155" s="44">
        <v>6.3</v>
      </c>
      <c r="H3155" s="43" t="s">
        <v>235</v>
      </c>
      <c r="I3155" s="40" t="s">
        <v>1282</v>
      </c>
    </row>
    <row r="3156" spans="1:9" x14ac:dyDescent="0.25">
      <c r="A3156" s="40" t="s">
        <v>336</v>
      </c>
      <c r="B3156" s="28">
        <v>3685</v>
      </c>
      <c r="C3156" s="28" t="s">
        <v>948</v>
      </c>
      <c r="D3156" s="28"/>
      <c r="E3156" s="45">
        <v>46145</v>
      </c>
      <c r="F3156" s="48">
        <v>0.6293981481481481</v>
      </c>
      <c r="G3156" s="44">
        <v>6.3</v>
      </c>
      <c r="H3156" s="43" t="s">
        <v>236</v>
      </c>
      <c r="I3156" s="40" t="s">
        <v>1282</v>
      </c>
    </row>
    <row r="3157" spans="1:9" x14ac:dyDescent="0.25">
      <c r="A3157" s="40" t="s">
        <v>336</v>
      </c>
      <c r="B3157" s="28">
        <v>3685</v>
      </c>
      <c r="C3157" s="28" t="s">
        <v>949</v>
      </c>
      <c r="D3157" s="28"/>
      <c r="E3157" s="41">
        <v>46145</v>
      </c>
      <c r="F3157" s="47">
        <v>0.69913194444444449</v>
      </c>
      <c r="G3157" s="44">
        <v>6.3</v>
      </c>
      <c r="H3157" s="43" t="s">
        <v>237</v>
      </c>
      <c r="I3157" s="40" t="s">
        <v>1282</v>
      </c>
    </row>
    <row r="3158" spans="1:9" x14ac:dyDescent="0.25">
      <c r="A3158" s="40" t="s">
        <v>336</v>
      </c>
      <c r="B3158" s="28">
        <v>3685</v>
      </c>
      <c r="C3158" s="28" t="s">
        <v>949</v>
      </c>
      <c r="D3158" s="28"/>
      <c r="E3158" s="41">
        <v>46145</v>
      </c>
      <c r="F3158" s="47">
        <v>0.70491898148148147</v>
      </c>
      <c r="G3158" s="44">
        <v>6.3</v>
      </c>
      <c r="H3158" s="43" t="s">
        <v>234</v>
      </c>
      <c r="I3158" s="40" t="s">
        <v>1282</v>
      </c>
    </row>
    <row r="3159" spans="1:9" x14ac:dyDescent="0.25">
      <c r="A3159" s="40" t="s">
        <v>336</v>
      </c>
      <c r="B3159" s="28">
        <v>3685</v>
      </c>
      <c r="C3159" s="28" t="s">
        <v>950</v>
      </c>
      <c r="D3159" s="28"/>
      <c r="E3159" s="41">
        <v>46145</v>
      </c>
      <c r="F3159" s="47">
        <v>0.84599537037037043</v>
      </c>
      <c r="G3159" s="44">
        <v>6.3</v>
      </c>
      <c r="H3159" s="43" t="s">
        <v>237</v>
      </c>
      <c r="I3159" s="40" t="s">
        <v>1282</v>
      </c>
    </row>
    <row r="3160" spans="1:9" x14ac:dyDescent="0.25">
      <c r="A3160" s="40" t="s">
        <v>336</v>
      </c>
      <c r="B3160" s="28">
        <v>3685</v>
      </c>
      <c r="C3160" s="28" t="s">
        <v>950</v>
      </c>
      <c r="D3160" s="28"/>
      <c r="E3160" s="41">
        <v>46145</v>
      </c>
      <c r="F3160" s="47">
        <v>0.85111111111111115</v>
      </c>
      <c r="G3160" s="44">
        <v>6.3</v>
      </c>
      <c r="H3160" s="43" t="s">
        <v>234</v>
      </c>
      <c r="I3160" s="40" t="s">
        <v>1282</v>
      </c>
    </row>
    <row r="3161" spans="1:9" x14ac:dyDescent="0.25">
      <c r="A3161" s="40" t="s">
        <v>336</v>
      </c>
      <c r="B3161" s="28">
        <v>3685</v>
      </c>
      <c r="C3161" s="28" t="s">
        <v>951</v>
      </c>
      <c r="D3161" s="28"/>
      <c r="E3161" s="41">
        <v>46145</v>
      </c>
      <c r="F3161" s="47">
        <v>0.95413194444444449</v>
      </c>
      <c r="G3161" s="44">
        <v>6.3</v>
      </c>
      <c r="H3161" s="43" t="s">
        <v>235</v>
      </c>
      <c r="I3161" s="40" t="s">
        <v>1282</v>
      </c>
    </row>
    <row r="3162" spans="1:9" x14ac:dyDescent="0.25">
      <c r="A3162" s="40" t="s">
        <v>336</v>
      </c>
      <c r="B3162" s="28">
        <v>3685</v>
      </c>
      <c r="C3162" s="28" t="s">
        <v>951</v>
      </c>
      <c r="D3162" s="28"/>
      <c r="E3162" s="45">
        <v>46145</v>
      </c>
      <c r="F3162" s="48">
        <v>0.96266203703703701</v>
      </c>
      <c r="G3162" s="44">
        <v>6.3</v>
      </c>
      <c r="H3162" s="43" t="s">
        <v>236</v>
      </c>
      <c r="I3162" s="40" t="s">
        <v>1282</v>
      </c>
    </row>
    <row r="3163" spans="1:9" x14ac:dyDescent="0.25">
      <c r="A3163" s="40" t="s">
        <v>410</v>
      </c>
      <c r="B3163" s="28">
        <v>3691</v>
      </c>
      <c r="C3163" s="28" t="s">
        <v>35</v>
      </c>
      <c r="D3163" s="28" t="s">
        <v>38</v>
      </c>
      <c r="E3163" s="41">
        <v>46141</v>
      </c>
      <c r="F3163" s="47">
        <v>0.71128472222222228</v>
      </c>
      <c r="G3163" s="44">
        <v>6.3</v>
      </c>
      <c r="H3163" s="43" t="s">
        <v>234</v>
      </c>
      <c r="I3163" s="40" t="s">
        <v>1281</v>
      </c>
    </row>
    <row r="3164" spans="1:9" x14ac:dyDescent="0.25">
      <c r="A3164" s="40" t="s">
        <v>410</v>
      </c>
      <c r="B3164" s="28">
        <v>3691</v>
      </c>
      <c r="C3164" s="28">
        <v>5643681</v>
      </c>
      <c r="D3164" s="28" t="s">
        <v>37</v>
      </c>
      <c r="E3164" s="45">
        <v>46141</v>
      </c>
      <c r="F3164" s="48">
        <v>0.98004629629629625</v>
      </c>
      <c r="G3164" s="44">
        <v>6.3</v>
      </c>
      <c r="H3164" s="43" t="s">
        <v>235</v>
      </c>
      <c r="I3164" s="40" t="s">
        <v>1281</v>
      </c>
    </row>
    <row r="3165" spans="1:9" x14ac:dyDescent="0.25">
      <c r="A3165" s="40" t="s">
        <v>410</v>
      </c>
      <c r="B3165" s="28">
        <v>3691</v>
      </c>
      <c r="C3165" s="28">
        <v>5644556</v>
      </c>
      <c r="D3165" s="28" t="s">
        <v>37</v>
      </c>
      <c r="E3165" s="45">
        <v>46142</v>
      </c>
      <c r="F3165" s="48">
        <v>0.72619212962962965</v>
      </c>
      <c r="G3165" s="44">
        <v>6.3</v>
      </c>
      <c r="H3165" s="43" t="s">
        <v>234</v>
      </c>
      <c r="I3165" s="40" t="s">
        <v>1281</v>
      </c>
    </row>
    <row r="3166" spans="1:9" x14ac:dyDescent="0.25">
      <c r="A3166" s="40" t="s">
        <v>410</v>
      </c>
      <c r="B3166" s="28">
        <v>3691</v>
      </c>
      <c r="C3166" s="28">
        <v>5645353</v>
      </c>
      <c r="D3166" s="28"/>
      <c r="E3166" s="45">
        <v>46142</v>
      </c>
      <c r="F3166" s="48">
        <v>0.78651620370370368</v>
      </c>
      <c r="G3166" s="44">
        <v>6.3</v>
      </c>
      <c r="H3166" s="43" t="s">
        <v>235</v>
      </c>
      <c r="I3166" s="40" t="s">
        <v>1281</v>
      </c>
    </row>
    <row r="3167" spans="1:9" x14ac:dyDescent="0.25">
      <c r="A3167" s="40" t="s">
        <v>410</v>
      </c>
      <c r="B3167" s="28">
        <v>3691</v>
      </c>
      <c r="C3167" s="28">
        <v>5645353</v>
      </c>
      <c r="D3167" s="28"/>
      <c r="E3167" s="41">
        <v>46142</v>
      </c>
      <c r="F3167" s="47">
        <v>0.7963541666666667</v>
      </c>
      <c r="G3167" s="44">
        <v>6.3</v>
      </c>
      <c r="H3167" s="43" t="s">
        <v>236</v>
      </c>
      <c r="I3167" s="40" t="s">
        <v>1281</v>
      </c>
    </row>
    <row r="3168" spans="1:9" x14ac:dyDescent="0.25">
      <c r="A3168" s="40" t="s">
        <v>410</v>
      </c>
      <c r="B3168" s="28">
        <v>3691</v>
      </c>
      <c r="C3168" s="28" t="s">
        <v>952</v>
      </c>
      <c r="D3168" s="28"/>
      <c r="E3168" s="41">
        <v>46145</v>
      </c>
      <c r="F3168" s="47">
        <v>0.88657407407407407</v>
      </c>
      <c r="G3168" s="44">
        <v>6.3</v>
      </c>
      <c r="H3168" s="43" t="s">
        <v>235</v>
      </c>
      <c r="I3168" s="40" t="s">
        <v>1282</v>
      </c>
    </row>
    <row r="3169" spans="1:9" x14ac:dyDescent="0.25">
      <c r="A3169" s="40" t="s">
        <v>410</v>
      </c>
      <c r="B3169" s="28">
        <v>3691</v>
      </c>
      <c r="C3169" s="28" t="s">
        <v>952</v>
      </c>
      <c r="D3169" s="28"/>
      <c r="E3169" s="41">
        <v>46145</v>
      </c>
      <c r="F3169" s="47">
        <v>0.89163194444444449</v>
      </c>
      <c r="G3169" s="44">
        <v>6.3</v>
      </c>
      <c r="H3169" s="43" t="s">
        <v>240</v>
      </c>
      <c r="I3169" s="40" t="s">
        <v>1282</v>
      </c>
    </row>
    <row r="3170" spans="1:9" x14ac:dyDescent="0.25">
      <c r="A3170" s="40" t="s">
        <v>295</v>
      </c>
      <c r="B3170" s="28">
        <v>3695</v>
      </c>
      <c r="C3170" s="28" t="s">
        <v>35</v>
      </c>
      <c r="D3170" s="28" t="s">
        <v>38</v>
      </c>
      <c r="E3170" s="41">
        <v>46139</v>
      </c>
      <c r="F3170" s="47">
        <v>0.6807523148148148</v>
      </c>
      <c r="G3170" s="44">
        <v>6.3</v>
      </c>
      <c r="H3170" s="43" t="s">
        <v>234</v>
      </c>
      <c r="I3170" s="40" t="s">
        <v>1281</v>
      </c>
    </row>
    <row r="3171" spans="1:9" x14ac:dyDescent="0.25">
      <c r="A3171" s="40" t="s">
        <v>295</v>
      </c>
      <c r="B3171" s="28">
        <v>3695</v>
      </c>
      <c r="C3171" s="28">
        <v>5637935</v>
      </c>
      <c r="D3171" s="28"/>
      <c r="E3171" s="41">
        <v>46139</v>
      </c>
      <c r="F3171" s="47">
        <v>0.98217592592592595</v>
      </c>
      <c r="G3171" s="44">
        <v>6.3</v>
      </c>
      <c r="H3171" s="43" t="s">
        <v>235</v>
      </c>
      <c r="I3171" s="40" t="s">
        <v>1281</v>
      </c>
    </row>
    <row r="3172" spans="1:9" x14ac:dyDescent="0.25">
      <c r="A3172" s="40" t="s">
        <v>295</v>
      </c>
      <c r="B3172" s="28">
        <v>3695</v>
      </c>
      <c r="C3172" s="28">
        <v>5637935</v>
      </c>
      <c r="D3172" s="28"/>
      <c r="E3172" s="41">
        <v>46139</v>
      </c>
      <c r="F3172" s="47">
        <v>0.98946759259259254</v>
      </c>
      <c r="G3172" s="44">
        <v>6.3</v>
      </c>
      <c r="H3172" s="43" t="s">
        <v>236</v>
      </c>
      <c r="I3172" s="40" t="s">
        <v>1281</v>
      </c>
    </row>
    <row r="3173" spans="1:9" x14ac:dyDescent="0.25">
      <c r="A3173" s="40" t="s">
        <v>295</v>
      </c>
      <c r="B3173" s="28">
        <v>3695</v>
      </c>
      <c r="C3173" s="28">
        <v>5641965</v>
      </c>
      <c r="D3173" s="28"/>
      <c r="E3173" s="41">
        <v>46141</v>
      </c>
      <c r="F3173" s="47">
        <v>2.4340277777777777E-2</v>
      </c>
      <c r="G3173" s="44">
        <v>6.3</v>
      </c>
      <c r="H3173" s="43" t="s">
        <v>235</v>
      </c>
      <c r="I3173" s="40" t="s">
        <v>1281</v>
      </c>
    </row>
    <row r="3174" spans="1:9" x14ac:dyDescent="0.25">
      <c r="A3174" s="40" t="s">
        <v>295</v>
      </c>
      <c r="B3174" s="28">
        <v>3695</v>
      </c>
      <c r="C3174" s="28">
        <v>5641965</v>
      </c>
      <c r="D3174" s="28" t="s">
        <v>36</v>
      </c>
      <c r="E3174" s="41">
        <v>46141</v>
      </c>
      <c r="F3174" s="47">
        <v>6.6087962962962959E-2</v>
      </c>
      <c r="G3174" s="44">
        <v>6.3</v>
      </c>
      <c r="H3174" s="43" t="s">
        <v>234</v>
      </c>
      <c r="I3174" s="40" t="s">
        <v>1281</v>
      </c>
    </row>
    <row r="3175" spans="1:9" x14ac:dyDescent="0.25">
      <c r="A3175" s="40" t="s">
        <v>295</v>
      </c>
      <c r="B3175" s="28">
        <v>3695</v>
      </c>
      <c r="C3175" s="28" t="s">
        <v>953</v>
      </c>
      <c r="D3175" s="28"/>
      <c r="E3175" s="41">
        <v>46141</v>
      </c>
      <c r="F3175" s="47">
        <v>0.98251157407407408</v>
      </c>
      <c r="G3175" s="44">
        <v>6.3</v>
      </c>
      <c r="H3175" s="43" t="s">
        <v>235</v>
      </c>
      <c r="I3175" s="40" t="s">
        <v>1281</v>
      </c>
    </row>
    <row r="3176" spans="1:9" x14ac:dyDescent="0.25">
      <c r="A3176" s="40" t="s">
        <v>295</v>
      </c>
      <c r="B3176" s="28">
        <v>3695</v>
      </c>
      <c r="C3176" s="28" t="s">
        <v>953</v>
      </c>
      <c r="D3176" s="28"/>
      <c r="E3176" s="41">
        <v>46141</v>
      </c>
      <c r="F3176" s="47">
        <v>0.98957175925925922</v>
      </c>
      <c r="G3176" s="44">
        <v>6.3</v>
      </c>
      <c r="H3176" s="43" t="s">
        <v>236</v>
      </c>
      <c r="I3176" s="40" t="s">
        <v>1281</v>
      </c>
    </row>
    <row r="3177" spans="1:9" x14ac:dyDescent="0.25">
      <c r="A3177" s="40" t="s">
        <v>295</v>
      </c>
      <c r="B3177" s="28">
        <v>3695</v>
      </c>
      <c r="C3177" s="28">
        <v>5644742</v>
      </c>
      <c r="D3177" s="28"/>
      <c r="E3177" s="41">
        <v>46142</v>
      </c>
      <c r="F3177" s="47">
        <v>0.58152777777777775</v>
      </c>
      <c r="G3177" s="44">
        <v>6.3</v>
      </c>
      <c r="H3177" s="43" t="s">
        <v>235</v>
      </c>
      <c r="I3177" s="40" t="s">
        <v>1281</v>
      </c>
    </row>
    <row r="3178" spans="1:9" x14ac:dyDescent="0.25">
      <c r="A3178" s="40" t="s">
        <v>295</v>
      </c>
      <c r="B3178" s="28">
        <v>3695</v>
      </c>
      <c r="C3178" s="28">
        <v>5644742</v>
      </c>
      <c r="D3178" s="28"/>
      <c r="E3178" s="41">
        <v>46142</v>
      </c>
      <c r="F3178" s="47">
        <v>0.59646990740740746</v>
      </c>
      <c r="G3178" s="44">
        <v>6.3</v>
      </c>
      <c r="H3178" s="43" t="s">
        <v>236</v>
      </c>
      <c r="I3178" s="40" t="s">
        <v>1281</v>
      </c>
    </row>
    <row r="3179" spans="1:9" x14ac:dyDescent="0.25">
      <c r="A3179" s="40" t="s">
        <v>295</v>
      </c>
      <c r="B3179" s="28">
        <v>3695</v>
      </c>
      <c r="C3179" s="28" t="s">
        <v>954</v>
      </c>
      <c r="D3179" s="28"/>
      <c r="E3179" s="41">
        <v>46142</v>
      </c>
      <c r="F3179" s="47">
        <v>0.7103356481481482</v>
      </c>
      <c r="G3179" s="44">
        <v>6.3</v>
      </c>
      <c r="H3179" s="43" t="s">
        <v>235</v>
      </c>
      <c r="I3179" s="40" t="s">
        <v>1281</v>
      </c>
    </row>
    <row r="3180" spans="1:9" x14ac:dyDescent="0.25">
      <c r="A3180" s="40" t="s">
        <v>295</v>
      </c>
      <c r="B3180" s="28">
        <v>3695</v>
      </c>
      <c r="C3180" s="28" t="s">
        <v>35</v>
      </c>
      <c r="D3180" s="28" t="s">
        <v>38</v>
      </c>
      <c r="E3180" s="45">
        <v>46142</v>
      </c>
      <c r="F3180" s="48">
        <v>0.79089120370370369</v>
      </c>
      <c r="G3180" s="44">
        <v>6.3</v>
      </c>
      <c r="H3180" s="43" t="s">
        <v>234</v>
      </c>
      <c r="I3180" s="40" t="s">
        <v>1281</v>
      </c>
    </row>
    <row r="3181" spans="1:9" x14ac:dyDescent="0.25">
      <c r="A3181" s="40" t="s">
        <v>295</v>
      </c>
      <c r="B3181" s="28">
        <v>3695</v>
      </c>
      <c r="C3181" s="28">
        <v>5645839</v>
      </c>
      <c r="D3181" s="28"/>
      <c r="E3181" s="41">
        <v>46142</v>
      </c>
      <c r="F3181" s="47">
        <v>0.98581018518518515</v>
      </c>
      <c r="G3181" s="44">
        <v>6.3</v>
      </c>
      <c r="H3181" s="43" t="s">
        <v>235</v>
      </c>
      <c r="I3181" s="40" t="s">
        <v>1282</v>
      </c>
    </row>
    <row r="3182" spans="1:9" x14ac:dyDescent="0.25">
      <c r="A3182" s="40" t="s">
        <v>295</v>
      </c>
      <c r="B3182" s="28">
        <v>3695</v>
      </c>
      <c r="C3182" s="28">
        <v>5645839</v>
      </c>
      <c r="D3182" s="28"/>
      <c r="E3182" s="45">
        <v>46143</v>
      </c>
      <c r="F3182" s="48">
        <v>1.7430555555555557E-2</v>
      </c>
      <c r="G3182" s="44">
        <v>6.3</v>
      </c>
      <c r="H3182" s="43" t="s">
        <v>236</v>
      </c>
      <c r="I3182" s="40" t="s">
        <v>1282</v>
      </c>
    </row>
    <row r="3183" spans="1:9" x14ac:dyDescent="0.25">
      <c r="A3183" s="40" t="s">
        <v>295</v>
      </c>
      <c r="B3183" s="28">
        <v>3695</v>
      </c>
      <c r="C3183" s="28">
        <v>5646028</v>
      </c>
      <c r="D3183" s="28"/>
      <c r="E3183" s="41">
        <v>46143</v>
      </c>
      <c r="F3183" s="47">
        <v>0.30056712962962961</v>
      </c>
      <c r="G3183" s="44">
        <v>6.3</v>
      </c>
      <c r="H3183" s="43" t="s">
        <v>235</v>
      </c>
      <c r="I3183" s="40" t="s">
        <v>1282</v>
      </c>
    </row>
    <row r="3184" spans="1:9" x14ac:dyDescent="0.25">
      <c r="A3184" s="40" t="s">
        <v>295</v>
      </c>
      <c r="B3184" s="28">
        <v>3695</v>
      </c>
      <c r="C3184" s="28">
        <v>5646028</v>
      </c>
      <c r="D3184" s="28"/>
      <c r="E3184" s="41">
        <v>46143</v>
      </c>
      <c r="F3184" s="47">
        <v>0.30755787037037036</v>
      </c>
      <c r="G3184" s="44">
        <v>6.3</v>
      </c>
      <c r="H3184" s="43" t="s">
        <v>236</v>
      </c>
      <c r="I3184" s="40" t="s">
        <v>1282</v>
      </c>
    </row>
    <row r="3185" spans="1:9" x14ac:dyDescent="0.25">
      <c r="A3185" s="40" t="s">
        <v>295</v>
      </c>
      <c r="B3185" s="28">
        <v>3695</v>
      </c>
      <c r="C3185" s="28" t="s">
        <v>35</v>
      </c>
      <c r="D3185" s="28" t="s">
        <v>38</v>
      </c>
      <c r="E3185" s="41">
        <v>46143</v>
      </c>
      <c r="F3185" s="47">
        <v>0.33324074074074073</v>
      </c>
      <c r="G3185" s="44">
        <v>6.3</v>
      </c>
      <c r="H3185" s="43" t="s">
        <v>237</v>
      </c>
      <c r="I3185" s="40" t="s">
        <v>1282</v>
      </c>
    </row>
    <row r="3186" spans="1:9" x14ac:dyDescent="0.25">
      <c r="A3186" s="40" t="s">
        <v>295</v>
      </c>
      <c r="B3186" s="28">
        <v>3695</v>
      </c>
      <c r="C3186" s="28">
        <v>5646141</v>
      </c>
      <c r="D3186" s="28"/>
      <c r="E3186" s="41">
        <v>46143</v>
      </c>
      <c r="F3186" s="47">
        <v>0.40333333333333332</v>
      </c>
      <c r="G3186" s="44">
        <v>6.3</v>
      </c>
      <c r="H3186" s="43" t="s">
        <v>235</v>
      </c>
      <c r="I3186" s="40" t="s">
        <v>1282</v>
      </c>
    </row>
    <row r="3187" spans="1:9" x14ac:dyDescent="0.25">
      <c r="A3187" s="40" t="s">
        <v>295</v>
      </c>
      <c r="B3187" s="28">
        <v>3695</v>
      </c>
      <c r="C3187" s="28">
        <v>5646141</v>
      </c>
      <c r="D3187" s="28"/>
      <c r="E3187" s="41">
        <v>46143</v>
      </c>
      <c r="F3187" s="47">
        <v>0.40958333333333335</v>
      </c>
      <c r="G3187" s="44">
        <v>6.3</v>
      </c>
      <c r="H3187" s="43" t="s">
        <v>239</v>
      </c>
      <c r="I3187" s="40" t="s">
        <v>1282</v>
      </c>
    </row>
    <row r="3188" spans="1:9" x14ac:dyDescent="0.25">
      <c r="A3188" s="40" t="s">
        <v>295</v>
      </c>
      <c r="B3188" s="28">
        <v>3695</v>
      </c>
      <c r="C3188" s="28" t="s">
        <v>35</v>
      </c>
      <c r="D3188" s="28" t="s">
        <v>38</v>
      </c>
      <c r="E3188" s="41">
        <v>46143</v>
      </c>
      <c r="F3188" s="47">
        <v>0.4400115740740741</v>
      </c>
      <c r="G3188" s="44">
        <v>6.3</v>
      </c>
      <c r="H3188" s="43" t="s">
        <v>233</v>
      </c>
      <c r="I3188" s="40" t="s">
        <v>1282</v>
      </c>
    </row>
    <row r="3189" spans="1:9" x14ac:dyDescent="0.25">
      <c r="A3189" s="40" t="s">
        <v>295</v>
      </c>
      <c r="B3189" s="28">
        <v>3695</v>
      </c>
      <c r="C3189" s="28">
        <v>5646083</v>
      </c>
      <c r="D3189" s="28"/>
      <c r="E3189" s="45">
        <v>46143</v>
      </c>
      <c r="F3189" s="48">
        <v>0.84309027777777779</v>
      </c>
      <c r="G3189" s="44">
        <v>6.3</v>
      </c>
      <c r="H3189" s="43" t="s">
        <v>235</v>
      </c>
      <c r="I3189" s="40" t="s">
        <v>1282</v>
      </c>
    </row>
    <row r="3190" spans="1:9" x14ac:dyDescent="0.25">
      <c r="A3190" s="40" t="s">
        <v>295</v>
      </c>
      <c r="B3190" s="28">
        <v>3695</v>
      </c>
      <c r="C3190" s="28">
        <v>5646083</v>
      </c>
      <c r="D3190" s="28"/>
      <c r="E3190" s="41">
        <v>46143</v>
      </c>
      <c r="F3190" s="47">
        <v>0.8495138888888889</v>
      </c>
      <c r="G3190" s="44">
        <v>6.3</v>
      </c>
      <c r="H3190" s="43" t="s">
        <v>239</v>
      </c>
      <c r="I3190" s="40" t="s">
        <v>1282</v>
      </c>
    </row>
    <row r="3191" spans="1:9" x14ac:dyDescent="0.25">
      <c r="A3191" s="40" t="s">
        <v>295</v>
      </c>
      <c r="B3191" s="28">
        <v>3695</v>
      </c>
      <c r="C3191" s="28" t="s">
        <v>955</v>
      </c>
      <c r="D3191" s="28"/>
      <c r="E3191" s="41">
        <v>46144</v>
      </c>
      <c r="F3191" s="47">
        <v>0.46519675925925924</v>
      </c>
      <c r="G3191" s="44">
        <v>6.3</v>
      </c>
      <c r="H3191" s="43" t="s">
        <v>235</v>
      </c>
      <c r="I3191" s="40" t="s">
        <v>1282</v>
      </c>
    </row>
    <row r="3192" spans="1:9" x14ac:dyDescent="0.25">
      <c r="A3192" s="40" t="s">
        <v>295</v>
      </c>
      <c r="B3192" s="28">
        <v>3695</v>
      </c>
      <c r="C3192" s="28" t="s">
        <v>955</v>
      </c>
      <c r="D3192" s="28"/>
      <c r="E3192" s="41">
        <v>46144</v>
      </c>
      <c r="F3192" s="47">
        <v>0.47175925925925927</v>
      </c>
      <c r="G3192" s="42">
        <v>6.3</v>
      </c>
      <c r="H3192" s="40" t="s">
        <v>239</v>
      </c>
      <c r="I3192" s="40" t="s">
        <v>1282</v>
      </c>
    </row>
    <row r="3193" spans="1:9" x14ac:dyDescent="0.25">
      <c r="A3193" s="40" t="s">
        <v>295</v>
      </c>
      <c r="B3193" s="28">
        <v>3695</v>
      </c>
      <c r="C3193" s="28" t="s">
        <v>35</v>
      </c>
      <c r="D3193" s="28" t="s">
        <v>38</v>
      </c>
      <c r="E3193" s="41">
        <v>46144</v>
      </c>
      <c r="F3193" s="47">
        <v>0.50350694444444444</v>
      </c>
      <c r="G3193" s="42">
        <v>6.3</v>
      </c>
      <c r="H3193" s="40" t="s">
        <v>233</v>
      </c>
      <c r="I3193" s="40" t="s">
        <v>1282</v>
      </c>
    </row>
    <row r="3194" spans="1:9" x14ac:dyDescent="0.25">
      <c r="A3194" s="40" t="s">
        <v>295</v>
      </c>
      <c r="B3194" s="28">
        <v>3695</v>
      </c>
      <c r="C3194" s="28" t="s">
        <v>35</v>
      </c>
      <c r="D3194" s="28" t="s">
        <v>38</v>
      </c>
      <c r="E3194" s="41">
        <v>46144</v>
      </c>
      <c r="F3194" s="47">
        <v>0.5100810185185185</v>
      </c>
      <c r="G3194" s="42">
        <v>6.3</v>
      </c>
      <c r="H3194" s="40" t="s">
        <v>234</v>
      </c>
      <c r="I3194" s="40" t="s">
        <v>1282</v>
      </c>
    </row>
    <row r="3195" spans="1:9" x14ac:dyDescent="0.25">
      <c r="A3195" s="40" t="s">
        <v>295</v>
      </c>
      <c r="B3195" s="28">
        <v>3695</v>
      </c>
      <c r="C3195" s="28">
        <v>5647917</v>
      </c>
      <c r="D3195" s="28"/>
      <c r="E3195" s="41">
        <v>46144</v>
      </c>
      <c r="F3195" s="47">
        <v>0.94442129629629634</v>
      </c>
      <c r="G3195" s="42">
        <v>6.3</v>
      </c>
      <c r="H3195" s="40" t="s">
        <v>235</v>
      </c>
      <c r="I3195" s="40" t="s">
        <v>1282</v>
      </c>
    </row>
    <row r="3196" spans="1:9" x14ac:dyDescent="0.25">
      <c r="A3196" s="40" t="s">
        <v>295</v>
      </c>
      <c r="B3196" s="28">
        <v>3695</v>
      </c>
      <c r="C3196" s="28">
        <v>5647917</v>
      </c>
      <c r="D3196" s="28"/>
      <c r="E3196" s="41">
        <v>46144</v>
      </c>
      <c r="F3196" s="47">
        <v>0.95170138888888889</v>
      </c>
      <c r="G3196" s="44">
        <v>6.3</v>
      </c>
      <c r="H3196" s="43" t="s">
        <v>236</v>
      </c>
      <c r="I3196" s="40" t="s">
        <v>1282</v>
      </c>
    </row>
    <row r="3197" spans="1:9" x14ac:dyDescent="0.25">
      <c r="A3197" s="40" t="s">
        <v>295</v>
      </c>
      <c r="B3197" s="28">
        <v>3695</v>
      </c>
      <c r="C3197" s="28">
        <v>5647624</v>
      </c>
      <c r="D3197" s="28"/>
      <c r="E3197" s="41">
        <v>46145</v>
      </c>
      <c r="F3197" s="47">
        <v>0.18356481481481482</v>
      </c>
      <c r="G3197" s="44">
        <v>6.3</v>
      </c>
      <c r="H3197" s="43" t="s">
        <v>233</v>
      </c>
      <c r="I3197" s="40" t="s">
        <v>1282</v>
      </c>
    </row>
    <row r="3198" spans="1:9" x14ac:dyDescent="0.25">
      <c r="A3198" s="40" t="s">
        <v>295</v>
      </c>
      <c r="B3198" s="28">
        <v>3695</v>
      </c>
      <c r="C3198" s="28">
        <v>5647624</v>
      </c>
      <c r="D3198" s="28"/>
      <c r="E3198" s="41">
        <v>46145</v>
      </c>
      <c r="F3198" s="47">
        <v>0.18858796296296296</v>
      </c>
      <c r="G3198" s="44">
        <v>6.3</v>
      </c>
      <c r="H3198" s="43" t="s">
        <v>234</v>
      </c>
      <c r="I3198" s="40" t="s">
        <v>1282</v>
      </c>
    </row>
    <row r="3199" spans="1:9" x14ac:dyDescent="0.25">
      <c r="A3199" s="40" t="s">
        <v>295</v>
      </c>
      <c r="B3199" s="28">
        <v>3695</v>
      </c>
      <c r="C3199" s="28" t="s">
        <v>35</v>
      </c>
      <c r="D3199" s="28" t="s">
        <v>38</v>
      </c>
      <c r="E3199" s="41">
        <v>46145</v>
      </c>
      <c r="F3199" s="47">
        <v>0.39123842592592595</v>
      </c>
      <c r="G3199" s="44">
        <v>6.3</v>
      </c>
      <c r="H3199" s="43" t="s">
        <v>235</v>
      </c>
      <c r="I3199" s="40" t="s">
        <v>1282</v>
      </c>
    </row>
    <row r="3200" spans="1:9" x14ac:dyDescent="0.25">
      <c r="A3200" s="40" t="s">
        <v>295</v>
      </c>
      <c r="B3200" s="28">
        <v>3695</v>
      </c>
      <c r="C3200" s="28" t="s">
        <v>956</v>
      </c>
      <c r="D3200" s="28"/>
      <c r="E3200" s="41">
        <v>46145</v>
      </c>
      <c r="F3200" s="47">
        <v>0.5428587962962963</v>
      </c>
      <c r="G3200" s="44">
        <v>6.3</v>
      </c>
      <c r="H3200" s="43" t="s">
        <v>235</v>
      </c>
      <c r="I3200" s="40" t="s">
        <v>1282</v>
      </c>
    </row>
    <row r="3201" spans="1:9" x14ac:dyDescent="0.25">
      <c r="A3201" s="40" t="s">
        <v>295</v>
      </c>
      <c r="B3201" s="28">
        <v>3695</v>
      </c>
      <c r="C3201" s="28" t="s">
        <v>956</v>
      </c>
      <c r="D3201" s="28"/>
      <c r="E3201" s="41">
        <v>46145</v>
      </c>
      <c r="F3201" s="47">
        <v>0.57960648148148153</v>
      </c>
      <c r="G3201" s="44">
        <v>6.3</v>
      </c>
      <c r="H3201" s="43" t="s">
        <v>237</v>
      </c>
      <c r="I3201" s="40" t="s">
        <v>1282</v>
      </c>
    </row>
    <row r="3202" spans="1:9" x14ac:dyDescent="0.25">
      <c r="A3202" s="40" t="s">
        <v>190</v>
      </c>
      <c r="B3202" s="28">
        <v>3703</v>
      </c>
      <c r="C3202" s="28" t="s">
        <v>957</v>
      </c>
      <c r="D3202" s="28"/>
      <c r="E3202" s="41">
        <v>46140</v>
      </c>
      <c r="F3202" s="47">
        <v>0.15138888888888888</v>
      </c>
      <c r="G3202" s="44">
        <v>6.3</v>
      </c>
      <c r="H3202" s="43" t="s">
        <v>237</v>
      </c>
      <c r="I3202" s="40" t="s">
        <v>1281</v>
      </c>
    </row>
    <row r="3203" spans="1:9" x14ac:dyDescent="0.25">
      <c r="A3203" s="40" t="s">
        <v>190</v>
      </c>
      <c r="B3203" s="28">
        <v>3703</v>
      </c>
      <c r="C3203" s="28" t="s">
        <v>957</v>
      </c>
      <c r="D3203" s="28"/>
      <c r="E3203" s="45">
        <v>46140</v>
      </c>
      <c r="F3203" s="48">
        <v>0.15642361111111111</v>
      </c>
      <c r="G3203" s="44">
        <v>6.3</v>
      </c>
      <c r="H3203" s="43" t="s">
        <v>234</v>
      </c>
      <c r="I3203" s="40" t="s">
        <v>1281</v>
      </c>
    </row>
    <row r="3204" spans="1:9" x14ac:dyDescent="0.25">
      <c r="A3204" s="40" t="s">
        <v>190</v>
      </c>
      <c r="B3204" s="28">
        <v>3703</v>
      </c>
      <c r="C3204" s="28" t="s">
        <v>958</v>
      </c>
      <c r="D3204" s="28"/>
      <c r="E3204" s="41">
        <v>46141</v>
      </c>
      <c r="F3204" s="47">
        <v>0.16630787037037037</v>
      </c>
      <c r="G3204" s="44">
        <v>6.3</v>
      </c>
      <c r="H3204" s="43" t="s">
        <v>237</v>
      </c>
      <c r="I3204" s="40" t="s">
        <v>1281</v>
      </c>
    </row>
    <row r="3205" spans="1:9" x14ac:dyDescent="0.25">
      <c r="A3205" s="40" t="s">
        <v>190</v>
      </c>
      <c r="B3205" s="28">
        <v>3703</v>
      </c>
      <c r="C3205" s="28" t="s">
        <v>958</v>
      </c>
      <c r="D3205" s="28"/>
      <c r="E3205" s="45">
        <v>46141</v>
      </c>
      <c r="F3205" s="48">
        <v>0.17127314814814815</v>
      </c>
      <c r="G3205" s="44">
        <v>6.3</v>
      </c>
      <c r="H3205" s="43" t="s">
        <v>234</v>
      </c>
      <c r="I3205" s="40" t="s">
        <v>1281</v>
      </c>
    </row>
    <row r="3206" spans="1:9" x14ac:dyDescent="0.25">
      <c r="A3206" s="40" t="s">
        <v>190</v>
      </c>
      <c r="B3206" s="28">
        <v>3703</v>
      </c>
      <c r="C3206" s="28" t="s">
        <v>959</v>
      </c>
      <c r="D3206" s="28"/>
      <c r="E3206" s="41">
        <v>46141</v>
      </c>
      <c r="F3206" s="47">
        <v>0.8763657407407407</v>
      </c>
      <c r="G3206" s="44">
        <v>6.3</v>
      </c>
      <c r="H3206" s="43" t="s">
        <v>235</v>
      </c>
      <c r="I3206" s="40" t="s">
        <v>1281</v>
      </c>
    </row>
    <row r="3207" spans="1:9" x14ac:dyDescent="0.25">
      <c r="A3207" s="40" t="s">
        <v>190</v>
      </c>
      <c r="B3207" s="28">
        <v>3703</v>
      </c>
      <c r="C3207" s="28" t="s">
        <v>959</v>
      </c>
      <c r="D3207" s="28"/>
      <c r="E3207" s="41">
        <v>46141</v>
      </c>
      <c r="F3207" s="47">
        <v>0.88435185185185183</v>
      </c>
      <c r="G3207" s="44">
        <v>6.3</v>
      </c>
      <c r="H3207" s="43" t="s">
        <v>236</v>
      </c>
      <c r="I3207" s="40" t="s">
        <v>1281</v>
      </c>
    </row>
    <row r="3208" spans="1:9" x14ac:dyDescent="0.25">
      <c r="A3208" s="40" t="s">
        <v>190</v>
      </c>
      <c r="B3208" s="28">
        <v>3703</v>
      </c>
      <c r="C3208" s="28" t="s">
        <v>960</v>
      </c>
      <c r="D3208" s="28"/>
      <c r="E3208" s="41">
        <v>46142</v>
      </c>
      <c r="F3208" s="47">
        <v>2.238425925925926E-2</v>
      </c>
      <c r="G3208" s="44">
        <v>6.3</v>
      </c>
      <c r="H3208" s="43" t="s">
        <v>235</v>
      </c>
      <c r="I3208" s="40" t="s">
        <v>1281</v>
      </c>
    </row>
    <row r="3209" spans="1:9" x14ac:dyDescent="0.25">
      <c r="A3209" s="40" t="s">
        <v>190</v>
      </c>
      <c r="B3209" s="28">
        <v>3703</v>
      </c>
      <c r="C3209" s="28" t="s">
        <v>960</v>
      </c>
      <c r="D3209" s="28"/>
      <c r="E3209" s="41">
        <v>46142</v>
      </c>
      <c r="F3209" s="47">
        <v>3.1608796296296295E-2</v>
      </c>
      <c r="G3209" s="44">
        <v>6.3</v>
      </c>
      <c r="H3209" s="43" t="s">
        <v>236</v>
      </c>
      <c r="I3209" s="40" t="s">
        <v>1281</v>
      </c>
    </row>
    <row r="3210" spans="1:9" x14ac:dyDescent="0.25">
      <c r="A3210" s="40" t="s">
        <v>190</v>
      </c>
      <c r="B3210" s="28">
        <v>3703</v>
      </c>
      <c r="C3210" s="28" t="s">
        <v>961</v>
      </c>
      <c r="D3210" s="28"/>
      <c r="E3210" s="41">
        <v>46142</v>
      </c>
      <c r="F3210" s="47">
        <v>0.87498842592592596</v>
      </c>
      <c r="G3210" s="44">
        <v>6.3</v>
      </c>
      <c r="H3210" s="43" t="s">
        <v>235</v>
      </c>
      <c r="I3210" s="40" t="s">
        <v>1281</v>
      </c>
    </row>
    <row r="3211" spans="1:9" x14ac:dyDescent="0.25">
      <c r="A3211" s="40" t="s">
        <v>190</v>
      </c>
      <c r="B3211" s="28">
        <v>3703</v>
      </c>
      <c r="C3211" s="28" t="s">
        <v>961</v>
      </c>
      <c r="D3211" s="28"/>
      <c r="E3211" s="41">
        <v>46142</v>
      </c>
      <c r="F3211" s="47">
        <v>0.88238425925925923</v>
      </c>
      <c r="G3211" s="44">
        <v>6.3</v>
      </c>
      <c r="H3211" s="43" t="s">
        <v>236</v>
      </c>
      <c r="I3211" s="40" t="s">
        <v>1281</v>
      </c>
    </row>
    <row r="3212" spans="1:9" x14ac:dyDescent="0.25">
      <c r="A3212" s="40" t="s">
        <v>190</v>
      </c>
      <c r="B3212" s="28">
        <v>3703</v>
      </c>
      <c r="C3212" s="28" t="s">
        <v>962</v>
      </c>
      <c r="D3212" s="28"/>
      <c r="E3212" s="41">
        <v>46142</v>
      </c>
      <c r="F3212" s="47">
        <v>0.98789351851851848</v>
      </c>
      <c r="G3212" s="42">
        <v>6.3</v>
      </c>
      <c r="H3212" s="40" t="s">
        <v>235</v>
      </c>
      <c r="I3212" s="40" t="s">
        <v>1282</v>
      </c>
    </row>
    <row r="3213" spans="1:9" x14ac:dyDescent="0.25">
      <c r="A3213" s="40" t="s">
        <v>190</v>
      </c>
      <c r="B3213" s="28">
        <v>3703</v>
      </c>
      <c r="C3213" s="28" t="s">
        <v>962</v>
      </c>
      <c r="D3213" s="28"/>
      <c r="E3213" s="41">
        <v>46143</v>
      </c>
      <c r="F3213" s="47">
        <v>1.4849537037037038E-2</v>
      </c>
      <c r="G3213" s="42">
        <v>6.3</v>
      </c>
      <c r="H3213" s="40" t="s">
        <v>236</v>
      </c>
      <c r="I3213" s="40" t="s">
        <v>1282</v>
      </c>
    </row>
    <row r="3214" spans="1:9" x14ac:dyDescent="0.25">
      <c r="A3214" s="40" t="s">
        <v>190</v>
      </c>
      <c r="B3214" s="28">
        <v>3703</v>
      </c>
      <c r="C3214" s="28" t="s">
        <v>35</v>
      </c>
      <c r="D3214" s="28" t="s">
        <v>38</v>
      </c>
      <c r="E3214" s="41">
        <v>46143</v>
      </c>
      <c r="F3214" s="47">
        <v>0.22283564814814816</v>
      </c>
      <c r="G3214" s="44">
        <v>6.3</v>
      </c>
      <c r="H3214" s="43" t="s">
        <v>236</v>
      </c>
      <c r="I3214" s="40" t="s">
        <v>1282</v>
      </c>
    </row>
    <row r="3215" spans="1:9" x14ac:dyDescent="0.25">
      <c r="A3215" s="40" t="s">
        <v>190</v>
      </c>
      <c r="B3215" s="28">
        <v>3703</v>
      </c>
      <c r="C3215" s="28" t="s">
        <v>35</v>
      </c>
      <c r="D3215" s="28" t="s">
        <v>38</v>
      </c>
      <c r="E3215" s="41">
        <v>46143</v>
      </c>
      <c r="F3215" s="47">
        <v>0.36959490740740741</v>
      </c>
      <c r="G3215" s="44">
        <v>6.3</v>
      </c>
      <c r="H3215" s="43" t="s">
        <v>237</v>
      </c>
      <c r="I3215" s="40" t="s">
        <v>1282</v>
      </c>
    </row>
    <row r="3216" spans="1:9" x14ac:dyDescent="0.25">
      <c r="A3216" s="40" t="s">
        <v>181</v>
      </c>
      <c r="B3216" s="28">
        <v>3708</v>
      </c>
      <c r="C3216" s="28" t="s">
        <v>963</v>
      </c>
      <c r="D3216" s="28"/>
      <c r="E3216" s="41">
        <v>46140</v>
      </c>
      <c r="F3216" s="47">
        <v>0.90371527777777783</v>
      </c>
      <c r="G3216" s="44">
        <v>6.3</v>
      </c>
      <c r="H3216" s="43" t="s">
        <v>237</v>
      </c>
      <c r="I3216" s="40" t="s">
        <v>1281</v>
      </c>
    </row>
    <row r="3217" spans="1:9" x14ac:dyDescent="0.25">
      <c r="A3217" s="40" t="s">
        <v>181</v>
      </c>
      <c r="B3217" s="28">
        <v>3708</v>
      </c>
      <c r="C3217" s="28" t="s">
        <v>963</v>
      </c>
      <c r="D3217" s="28"/>
      <c r="E3217" s="41">
        <v>46140</v>
      </c>
      <c r="F3217" s="47">
        <v>0.90886574074074078</v>
      </c>
      <c r="G3217" s="44">
        <v>6.3</v>
      </c>
      <c r="H3217" s="43" t="s">
        <v>234</v>
      </c>
      <c r="I3217" s="40" t="s">
        <v>1281</v>
      </c>
    </row>
    <row r="3218" spans="1:9" x14ac:dyDescent="0.25">
      <c r="A3218" s="40" t="s">
        <v>181</v>
      </c>
      <c r="B3218" s="28">
        <v>3708</v>
      </c>
      <c r="C3218" s="28">
        <v>5641614</v>
      </c>
      <c r="D3218" s="28"/>
      <c r="E3218" s="41">
        <v>46141</v>
      </c>
      <c r="F3218" s="47">
        <v>0.9290856481481482</v>
      </c>
      <c r="G3218" s="44">
        <v>6.3</v>
      </c>
      <c r="H3218" s="43" t="s">
        <v>233</v>
      </c>
      <c r="I3218" s="40" t="s">
        <v>1281</v>
      </c>
    </row>
    <row r="3219" spans="1:9" x14ac:dyDescent="0.25">
      <c r="A3219" s="40" t="s">
        <v>181</v>
      </c>
      <c r="B3219" s="28">
        <v>3708</v>
      </c>
      <c r="C3219" s="28">
        <v>5641614</v>
      </c>
      <c r="D3219" s="28"/>
      <c r="E3219" s="41">
        <v>46141</v>
      </c>
      <c r="F3219" s="47">
        <v>0.93406250000000002</v>
      </c>
      <c r="G3219" s="44">
        <v>6.3</v>
      </c>
      <c r="H3219" s="43" t="s">
        <v>234</v>
      </c>
      <c r="I3219" s="40" t="s">
        <v>1281</v>
      </c>
    </row>
    <row r="3220" spans="1:9" x14ac:dyDescent="0.25">
      <c r="A3220" s="40" t="s">
        <v>181</v>
      </c>
      <c r="B3220" s="28">
        <v>3708</v>
      </c>
      <c r="C3220" s="28">
        <v>10579982</v>
      </c>
      <c r="D3220" s="28" t="s">
        <v>36</v>
      </c>
      <c r="E3220" s="41">
        <v>46144</v>
      </c>
      <c r="F3220" s="47">
        <v>0.84548611111111116</v>
      </c>
      <c r="G3220" s="44">
        <v>6.3</v>
      </c>
      <c r="H3220" s="43" t="s">
        <v>235</v>
      </c>
      <c r="I3220" s="40" t="s">
        <v>1282</v>
      </c>
    </row>
    <row r="3221" spans="1:9" x14ac:dyDescent="0.25">
      <c r="A3221" s="40" t="s">
        <v>181</v>
      </c>
      <c r="B3221" s="28">
        <v>3708</v>
      </c>
      <c r="C3221" s="28">
        <v>10579982</v>
      </c>
      <c r="D3221" s="28" t="s">
        <v>36</v>
      </c>
      <c r="E3221" s="41">
        <v>46144</v>
      </c>
      <c r="F3221" s="47">
        <v>0.85285879629629635</v>
      </c>
      <c r="G3221" s="44">
        <v>6.3</v>
      </c>
      <c r="H3221" s="43" t="s">
        <v>236</v>
      </c>
      <c r="I3221" s="40" t="s">
        <v>1282</v>
      </c>
    </row>
    <row r="3222" spans="1:9" x14ac:dyDescent="0.25">
      <c r="A3222" s="40" t="s">
        <v>181</v>
      </c>
      <c r="B3222" s="28">
        <v>3708</v>
      </c>
      <c r="C3222" s="28">
        <v>5638184</v>
      </c>
      <c r="D3222" s="28" t="s">
        <v>37</v>
      </c>
      <c r="E3222" s="45">
        <v>46145</v>
      </c>
      <c r="F3222" s="48">
        <v>0.28946759259259258</v>
      </c>
      <c r="G3222" s="44">
        <v>6.3</v>
      </c>
      <c r="H3222" s="43" t="s">
        <v>237</v>
      </c>
      <c r="I3222" s="40" t="s">
        <v>1282</v>
      </c>
    </row>
    <row r="3223" spans="1:9" x14ac:dyDescent="0.25">
      <c r="A3223" s="40" t="s">
        <v>181</v>
      </c>
      <c r="B3223" s="28">
        <v>3708</v>
      </c>
      <c r="C3223" s="28">
        <v>5638184</v>
      </c>
      <c r="D3223" s="28" t="s">
        <v>37</v>
      </c>
      <c r="E3223" s="41">
        <v>46145</v>
      </c>
      <c r="F3223" s="47">
        <v>0.2945949074074074</v>
      </c>
      <c r="G3223" s="44">
        <v>6.3</v>
      </c>
      <c r="H3223" s="43" t="s">
        <v>234</v>
      </c>
      <c r="I3223" s="40" t="s">
        <v>1282</v>
      </c>
    </row>
    <row r="3224" spans="1:9" x14ac:dyDescent="0.25">
      <c r="A3224" s="40" t="s">
        <v>964</v>
      </c>
      <c r="B3224" s="28">
        <v>3719</v>
      </c>
      <c r="C3224" s="28" t="s">
        <v>965</v>
      </c>
      <c r="D3224" s="28"/>
      <c r="E3224" s="45">
        <v>46143</v>
      </c>
      <c r="F3224" s="48">
        <v>0.24186342592592591</v>
      </c>
      <c r="G3224" s="44">
        <v>6.3</v>
      </c>
      <c r="H3224" s="43" t="s">
        <v>235</v>
      </c>
      <c r="I3224" s="40" t="s">
        <v>1282</v>
      </c>
    </row>
    <row r="3225" spans="1:9" x14ac:dyDescent="0.25">
      <c r="A3225" s="40" t="s">
        <v>964</v>
      </c>
      <c r="B3225" s="28">
        <v>3719</v>
      </c>
      <c r="C3225" s="28" t="s">
        <v>965</v>
      </c>
      <c r="D3225" s="28"/>
      <c r="E3225" s="41">
        <v>46143</v>
      </c>
      <c r="F3225" s="47">
        <v>0.24810185185185185</v>
      </c>
      <c r="G3225" s="44">
        <v>6.3</v>
      </c>
      <c r="H3225" s="43" t="s">
        <v>239</v>
      </c>
      <c r="I3225" s="40" t="s">
        <v>1282</v>
      </c>
    </row>
    <row r="3226" spans="1:9" x14ac:dyDescent="0.25">
      <c r="A3226" s="40" t="s">
        <v>964</v>
      </c>
      <c r="B3226" s="28">
        <v>3719</v>
      </c>
      <c r="C3226" s="28" t="s">
        <v>966</v>
      </c>
      <c r="D3226" s="28"/>
      <c r="E3226" s="41">
        <v>46143</v>
      </c>
      <c r="F3226" s="47">
        <v>0.41684027777777777</v>
      </c>
      <c r="G3226" s="44">
        <v>6.3</v>
      </c>
      <c r="H3226" s="43" t="s">
        <v>235</v>
      </c>
      <c r="I3226" s="40" t="s">
        <v>1282</v>
      </c>
    </row>
    <row r="3227" spans="1:9" x14ac:dyDescent="0.25">
      <c r="A3227" s="40" t="s">
        <v>964</v>
      </c>
      <c r="B3227" s="28">
        <v>3719</v>
      </c>
      <c r="C3227" s="28" t="s">
        <v>966</v>
      </c>
      <c r="D3227" s="28"/>
      <c r="E3227" s="41">
        <v>46143</v>
      </c>
      <c r="F3227" s="47">
        <v>0.42358796296296297</v>
      </c>
      <c r="G3227" s="44">
        <v>6.3</v>
      </c>
      <c r="H3227" s="43" t="s">
        <v>236</v>
      </c>
      <c r="I3227" s="40" t="s">
        <v>1282</v>
      </c>
    </row>
    <row r="3228" spans="1:9" x14ac:dyDescent="0.25">
      <c r="A3228" s="40" t="s">
        <v>964</v>
      </c>
      <c r="B3228" s="28">
        <v>3719</v>
      </c>
      <c r="C3228" s="28">
        <v>5646171</v>
      </c>
      <c r="D3228" s="28"/>
      <c r="E3228" s="41">
        <v>46143</v>
      </c>
      <c r="F3228" s="47">
        <v>0.45930555555555558</v>
      </c>
      <c r="G3228" s="44">
        <v>6.3</v>
      </c>
      <c r="H3228" s="43" t="s">
        <v>234</v>
      </c>
      <c r="I3228" s="40" t="s">
        <v>1282</v>
      </c>
    </row>
    <row r="3229" spans="1:9" x14ac:dyDescent="0.25">
      <c r="A3229" s="40" t="s">
        <v>311</v>
      </c>
      <c r="B3229" s="28">
        <v>3730</v>
      </c>
      <c r="C3229" s="28">
        <v>5636738</v>
      </c>
      <c r="D3229" s="28"/>
      <c r="E3229" s="41">
        <v>46139</v>
      </c>
      <c r="F3229" s="47">
        <v>0.8778125</v>
      </c>
      <c r="G3229" s="44">
        <v>6.3</v>
      </c>
      <c r="H3229" s="43" t="s">
        <v>235</v>
      </c>
      <c r="I3229" s="40" t="s">
        <v>1281</v>
      </c>
    </row>
    <row r="3230" spans="1:9" x14ac:dyDescent="0.25">
      <c r="A3230" s="40" t="s">
        <v>311</v>
      </c>
      <c r="B3230" s="28">
        <v>3730</v>
      </c>
      <c r="C3230" s="28">
        <v>5636738</v>
      </c>
      <c r="D3230" s="28"/>
      <c r="E3230" s="41">
        <v>46139</v>
      </c>
      <c r="F3230" s="47">
        <v>0.88506944444444446</v>
      </c>
      <c r="G3230" s="44">
        <v>6.3</v>
      </c>
      <c r="H3230" s="43" t="s">
        <v>236</v>
      </c>
      <c r="I3230" s="40" t="s">
        <v>1281</v>
      </c>
    </row>
    <row r="3231" spans="1:9" x14ac:dyDescent="0.25">
      <c r="A3231" s="40" t="s">
        <v>311</v>
      </c>
      <c r="B3231" s="28">
        <v>3730</v>
      </c>
      <c r="C3231" s="28">
        <v>5636760</v>
      </c>
      <c r="D3231" s="28"/>
      <c r="E3231" s="41">
        <v>46140</v>
      </c>
      <c r="F3231" s="47">
        <v>2.1180555555555558E-3</v>
      </c>
      <c r="G3231" s="44">
        <v>6.3</v>
      </c>
      <c r="H3231" s="43" t="s">
        <v>235</v>
      </c>
      <c r="I3231" s="40" t="s">
        <v>1281</v>
      </c>
    </row>
    <row r="3232" spans="1:9" x14ac:dyDescent="0.25">
      <c r="A3232" s="40" t="s">
        <v>311</v>
      </c>
      <c r="B3232" s="28">
        <v>3730</v>
      </c>
      <c r="C3232" s="28">
        <v>5636760</v>
      </c>
      <c r="D3232" s="28"/>
      <c r="E3232" s="41">
        <v>46140</v>
      </c>
      <c r="F3232" s="47">
        <v>8.8888888888888889E-3</v>
      </c>
      <c r="G3232" s="44">
        <v>6.3</v>
      </c>
      <c r="H3232" s="43" t="s">
        <v>236</v>
      </c>
      <c r="I3232" s="40" t="s">
        <v>1281</v>
      </c>
    </row>
    <row r="3233" spans="1:9" x14ac:dyDescent="0.25">
      <c r="A3233" s="40" t="s">
        <v>311</v>
      </c>
      <c r="B3233" s="28">
        <v>3730</v>
      </c>
      <c r="C3233" s="28">
        <v>5642757</v>
      </c>
      <c r="D3233" s="28"/>
      <c r="E3233" s="41">
        <v>46142</v>
      </c>
      <c r="F3233" s="47">
        <v>0.8411805555555556</v>
      </c>
      <c r="G3233" s="44">
        <v>6.3</v>
      </c>
      <c r="H3233" s="43" t="s">
        <v>235</v>
      </c>
      <c r="I3233" s="40" t="s">
        <v>1281</v>
      </c>
    </row>
    <row r="3234" spans="1:9" x14ac:dyDescent="0.25">
      <c r="A3234" s="40" t="s">
        <v>311</v>
      </c>
      <c r="B3234" s="28">
        <v>3730</v>
      </c>
      <c r="C3234" s="28" t="s">
        <v>35</v>
      </c>
      <c r="D3234" s="28" t="s">
        <v>38</v>
      </c>
      <c r="E3234" s="41">
        <v>46142</v>
      </c>
      <c r="F3234" s="47">
        <v>0.86511574074074071</v>
      </c>
      <c r="G3234" s="44">
        <v>6.3</v>
      </c>
      <c r="H3234" s="43" t="s">
        <v>234</v>
      </c>
      <c r="I3234" s="40" t="s">
        <v>1281</v>
      </c>
    </row>
    <row r="3235" spans="1:9" x14ac:dyDescent="0.25">
      <c r="A3235" s="40" t="s">
        <v>311</v>
      </c>
      <c r="B3235" s="28">
        <v>3730</v>
      </c>
      <c r="C3235" s="28">
        <v>5645257</v>
      </c>
      <c r="D3235" s="28"/>
      <c r="E3235" s="45">
        <v>46143</v>
      </c>
      <c r="F3235" s="48">
        <v>0.97851851851851857</v>
      </c>
      <c r="G3235" s="44">
        <v>6.3</v>
      </c>
      <c r="H3235" s="43" t="s">
        <v>235</v>
      </c>
      <c r="I3235" s="40" t="s">
        <v>1282</v>
      </c>
    </row>
    <row r="3236" spans="1:9" x14ac:dyDescent="0.25">
      <c r="A3236" s="40" t="s">
        <v>311</v>
      </c>
      <c r="B3236" s="28">
        <v>3730</v>
      </c>
      <c r="C3236" s="28">
        <v>5645257</v>
      </c>
      <c r="D3236" s="28"/>
      <c r="E3236" s="41">
        <v>46143</v>
      </c>
      <c r="F3236" s="47">
        <v>0.99177083333333338</v>
      </c>
      <c r="G3236" s="42">
        <v>6.3</v>
      </c>
      <c r="H3236" s="40" t="s">
        <v>236</v>
      </c>
      <c r="I3236" s="40" t="s">
        <v>1282</v>
      </c>
    </row>
    <row r="3237" spans="1:9" x14ac:dyDescent="0.25">
      <c r="A3237" s="40" t="s">
        <v>311</v>
      </c>
      <c r="B3237" s="28">
        <v>3730</v>
      </c>
      <c r="C3237" s="28" t="s">
        <v>35</v>
      </c>
      <c r="D3237" s="28" t="s">
        <v>38</v>
      </c>
      <c r="E3237" s="41">
        <v>46144</v>
      </c>
      <c r="F3237" s="47">
        <v>0.24019675925925926</v>
      </c>
      <c r="G3237" s="42">
        <v>6.3</v>
      </c>
      <c r="H3237" s="40" t="s">
        <v>235</v>
      </c>
      <c r="I3237" s="40" t="s">
        <v>1282</v>
      </c>
    </row>
    <row r="3238" spans="1:9" x14ac:dyDescent="0.25">
      <c r="A3238" s="40" t="s">
        <v>311</v>
      </c>
      <c r="B3238" s="28">
        <v>3730</v>
      </c>
      <c r="C3238" s="28" t="s">
        <v>35</v>
      </c>
      <c r="D3238" s="28" t="s">
        <v>38</v>
      </c>
      <c r="E3238" s="41">
        <v>46144</v>
      </c>
      <c r="F3238" s="47">
        <v>0.24864583333333334</v>
      </c>
      <c r="G3238" s="44">
        <v>6.3</v>
      </c>
      <c r="H3238" s="43" t="s">
        <v>236</v>
      </c>
      <c r="I3238" s="40" t="s">
        <v>1282</v>
      </c>
    </row>
    <row r="3239" spans="1:9" x14ac:dyDescent="0.25">
      <c r="A3239" s="40" t="s">
        <v>311</v>
      </c>
      <c r="B3239" s="28">
        <v>3730</v>
      </c>
      <c r="C3239" s="28">
        <v>5646532</v>
      </c>
      <c r="D3239" s="28"/>
      <c r="E3239" s="41">
        <v>46144</v>
      </c>
      <c r="F3239" s="47">
        <v>0.29641203703703706</v>
      </c>
      <c r="G3239" s="44">
        <v>6.3</v>
      </c>
      <c r="H3239" s="43" t="s">
        <v>237</v>
      </c>
      <c r="I3239" s="40" t="s">
        <v>1282</v>
      </c>
    </row>
    <row r="3240" spans="1:9" x14ac:dyDescent="0.25">
      <c r="A3240" s="40" t="s">
        <v>311</v>
      </c>
      <c r="B3240" s="28">
        <v>3730</v>
      </c>
      <c r="C3240" s="28">
        <v>5646532</v>
      </c>
      <c r="D3240" s="28"/>
      <c r="E3240" s="41">
        <v>46144</v>
      </c>
      <c r="F3240" s="47">
        <v>0.30209490740740741</v>
      </c>
      <c r="G3240" s="44">
        <v>6.3</v>
      </c>
      <c r="H3240" s="43" t="s">
        <v>234</v>
      </c>
      <c r="I3240" s="40" t="s">
        <v>1282</v>
      </c>
    </row>
    <row r="3241" spans="1:9" x14ac:dyDescent="0.25">
      <c r="A3241" s="40" t="s">
        <v>311</v>
      </c>
      <c r="B3241" s="28">
        <v>3730</v>
      </c>
      <c r="C3241" s="28">
        <v>5647868</v>
      </c>
      <c r="D3241" s="28"/>
      <c r="E3241" s="45">
        <v>46145</v>
      </c>
      <c r="F3241" s="48">
        <v>0.24954861111111112</v>
      </c>
      <c r="G3241" s="44">
        <v>6.3</v>
      </c>
      <c r="H3241" s="43" t="s">
        <v>237</v>
      </c>
      <c r="I3241" s="40" t="s">
        <v>1282</v>
      </c>
    </row>
    <row r="3242" spans="1:9" x14ac:dyDescent="0.25">
      <c r="A3242" s="40" t="s">
        <v>311</v>
      </c>
      <c r="B3242" s="28">
        <v>3730</v>
      </c>
      <c r="C3242" s="28">
        <v>5647868</v>
      </c>
      <c r="D3242" s="28"/>
      <c r="E3242" s="41">
        <v>46145</v>
      </c>
      <c r="F3242" s="47">
        <v>0.25472222222222224</v>
      </c>
      <c r="G3242" s="44">
        <v>6.3</v>
      </c>
      <c r="H3242" s="43" t="s">
        <v>234</v>
      </c>
      <c r="I3242" s="40" t="s">
        <v>1282</v>
      </c>
    </row>
    <row r="3243" spans="1:9" x14ac:dyDescent="0.25">
      <c r="A3243" s="40" t="s">
        <v>328</v>
      </c>
      <c r="B3243" s="28">
        <v>3740</v>
      </c>
      <c r="C3243" s="28" t="s">
        <v>967</v>
      </c>
      <c r="D3243" s="28"/>
      <c r="E3243" s="45">
        <v>46139</v>
      </c>
      <c r="F3243" s="48">
        <v>0.69967592592592598</v>
      </c>
      <c r="G3243" s="44">
        <v>6.3</v>
      </c>
      <c r="H3243" s="43" t="s">
        <v>235</v>
      </c>
      <c r="I3243" s="40" t="s">
        <v>1281</v>
      </c>
    </row>
    <row r="3244" spans="1:9" x14ac:dyDescent="0.25">
      <c r="A3244" s="40" t="s">
        <v>328</v>
      </c>
      <c r="B3244" s="28">
        <v>3740</v>
      </c>
      <c r="C3244" s="28" t="s">
        <v>967</v>
      </c>
      <c r="D3244" s="28"/>
      <c r="E3244" s="41">
        <v>46139</v>
      </c>
      <c r="F3244" s="47">
        <v>0.71103009259259264</v>
      </c>
      <c r="G3244" s="44">
        <v>6.3</v>
      </c>
      <c r="H3244" s="43" t="s">
        <v>236</v>
      </c>
      <c r="I3244" s="40" t="s">
        <v>1281</v>
      </c>
    </row>
    <row r="3245" spans="1:9" x14ac:dyDescent="0.25">
      <c r="A3245" s="40" t="s">
        <v>328</v>
      </c>
      <c r="B3245" s="28">
        <v>3740</v>
      </c>
      <c r="C3245" s="28" t="s">
        <v>968</v>
      </c>
      <c r="D3245" s="28"/>
      <c r="E3245" s="41">
        <v>46140</v>
      </c>
      <c r="F3245" s="47">
        <v>0.79774305555555558</v>
      </c>
      <c r="G3245" s="44">
        <v>6.3</v>
      </c>
      <c r="H3245" s="43" t="s">
        <v>235</v>
      </c>
      <c r="I3245" s="40" t="s">
        <v>1281</v>
      </c>
    </row>
    <row r="3246" spans="1:9" x14ac:dyDescent="0.25">
      <c r="A3246" s="40" t="s">
        <v>328</v>
      </c>
      <c r="B3246" s="28">
        <v>3740</v>
      </c>
      <c r="C3246" s="28" t="s">
        <v>968</v>
      </c>
      <c r="D3246" s="28"/>
      <c r="E3246" s="41">
        <v>46140</v>
      </c>
      <c r="F3246" s="47">
        <v>0.81482638888888892</v>
      </c>
      <c r="G3246" s="44">
        <v>6.3</v>
      </c>
      <c r="H3246" s="43" t="s">
        <v>236</v>
      </c>
      <c r="I3246" s="40" t="s">
        <v>1281</v>
      </c>
    </row>
    <row r="3247" spans="1:9" x14ac:dyDescent="0.25">
      <c r="A3247" s="40" t="s">
        <v>969</v>
      </c>
      <c r="B3247" s="28">
        <v>3744</v>
      </c>
      <c r="C3247" s="28">
        <v>5640968</v>
      </c>
      <c r="D3247" s="28"/>
      <c r="E3247" s="41">
        <v>46140</v>
      </c>
      <c r="F3247" s="47">
        <v>0.69930555555555551</v>
      </c>
      <c r="G3247" s="42">
        <v>6.3</v>
      </c>
      <c r="H3247" s="40" t="s">
        <v>235</v>
      </c>
      <c r="I3247" s="40" t="s">
        <v>1281</v>
      </c>
    </row>
    <row r="3248" spans="1:9" x14ac:dyDescent="0.25">
      <c r="A3248" s="40" t="s">
        <v>969</v>
      </c>
      <c r="B3248" s="28">
        <v>3744</v>
      </c>
      <c r="C3248" s="28">
        <v>5640968</v>
      </c>
      <c r="D3248" s="28"/>
      <c r="E3248" s="41">
        <v>46140</v>
      </c>
      <c r="F3248" s="47">
        <v>0.71637731481481481</v>
      </c>
      <c r="G3248" s="42">
        <v>6.3</v>
      </c>
      <c r="H3248" s="40" t="s">
        <v>236</v>
      </c>
      <c r="I3248" s="40" t="s">
        <v>1281</v>
      </c>
    </row>
    <row r="3249" spans="1:9" x14ac:dyDescent="0.25">
      <c r="A3249" s="40" t="s">
        <v>969</v>
      </c>
      <c r="B3249" s="28">
        <v>3744</v>
      </c>
      <c r="C3249" s="28">
        <v>5641334</v>
      </c>
      <c r="D3249" s="28"/>
      <c r="E3249" s="45">
        <v>46140</v>
      </c>
      <c r="F3249" s="48">
        <v>0.8266782407407407</v>
      </c>
      <c r="G3249" s="44">
        <v>6.3</v>
      </c>
      <c r="H3249" s="43" t="s">
        <v>233</v>
      </c>
      <c r="I3249" s="40" t="s">
        <v>1281</v>
      </c>
    </row>
    <row r="3250" spans="1:9" x14ac:dyDescent="0.25">
      <c r="A3250" s="40" t="s">
        <v>969</v>
      </c>
      <c r="B3250" s="28">
        <v>3744</v>
      </c>
      <c r="C3250" s="28">
        <v>5641334</v>
      </c>
      <c r="D3250" s="28"/>
      <c r="E3250" s="45">
        <v>46140</v>
      </c>
      <c r="F3250" s="48">
        <v>0.85354166666666664</v>
      </c>
      <c r="G3250" s="44">
        <v>6.3</v>
      </c>
      <c r="H3250" s="43" t="s">
        <v>234</v>
      </c>
      <c r="I3250" s="40" t="s">
        <v>1281</v>
      </c>
    </row>
    <row r="3251" spans="1:9" x14ac:dyDescent="0.25">
      <c r="A3251" s="40" t="s">
        <v>969</v>
      </c>
      <c r="B3251" s="28">
        <v>3744</v>
      </c>
      <c r="C3251" s="28" t="s">
        <v>970</v>
      </c>
      <c r="D3251" s="28"/>
      <c r="E3251" s="41">
        <v>46142</v>
      </c>
      <c r="F3251" s="47">
        <v>0.80085648148148147</v>
      </c>
      <c r="G3251" s="44">
        <v>6.3</v>
      </c>
      <c r="H3251" s="43" t="s">
        <v>235</v>
      </c>
      <c r="I3251" s="40" t="s">
        <v>1281</v>
      </c>
    </row>
    <row r="3252" spans="1:9" x14ac:dyDescent="0.25">
      <c r="A3252" s="40" t="s">
        <v>969</v>
      </c>
      <c r="B3252" s="28">
        <v>3744</v>
      </c>
      <c r="C3252" s="28" t="s">
        <v>970</v>
      </c>
      <c r="D3252" s="28"/>
      <c r="E3252" s="45">
        <v>46142</v>
      </c>
      <c r="F3252" s="48">
        <v>0.81156249999999996</v>
      </c>
      <c r="G3252" s="44">
        <v>6.3</v>
      </c>
      <c r="H3252" s="43" t="s">
        <v>236</v>
      </c>
      <c r="I3252" s="40" t="s">
        <v>1281</v>
      </c>
    </row>
    <row r="3253" spans="1:9" x14ac:dyDescent="0.25">
      <c r="A3253" s="40" t="s">
        <v>969</v>
      </c>
      <c r="B3253" s="28">
        <v>3744</v>
      </c>
      <c r="C3253" s="28">
        <v>5645838</v>
      </c>
      <c r="D3253" s="28"/>
      <c r="E3253" s="45">
        <v>46142</v>
      </c>
      <c r="F3253" s="48">
        <v>0.98693287037037036</v>
      </c>
      <c r="G3253" s="44">
        <v>6.3</v>
      </c>
      <c r="H3253" s="43" t="s">
        <v>235</v>
      </c>
      <c r="I3253" s="40" t="s">
        <v>1282</v>
      </c>
    </row>
    <row r="3254" spans="1:9" x14ac:dyDescent="0.25">
      <c r="A3254" s="40" t="s">
        <v>969</v>
      </c>
      <c r="B3254" s="28">
        <v>3744</v>
      </c>
      <c r="C3254" s="28">
        <v>5645838</v>
      </c>
      <c r="D3254" s="28"/>
      <c r="E3254" s="45">
        <v>46143</v>
      </c>
      <c r="F3254" s="48">
        <v>1.5787037037037037E-2</v>
      </c>
      <c r="G3254" s="44">
        <v>6.3</v>
      </c>
      <c r="H3254" s="43" t="s">
        <v>236</v>
      </c>
      <c r="I3254" s="40" t="s">
        <v>1282</v>
      </c>
    </row>
    <row r="3255" spans="1:9" x14ac:dyDescent="0.25">
      <c r="A3255" s="40" t="s">
        <v>969</v>
      </c>
      <c r="B3255" s="28">
        <v>3744</v>
      </c>
      <c r="C3255" s="28">
        <v>5649052</v>
      </c>
      <c r="D3255" s="28" t="s">
        <v>37</v>
      </c>
      <c r="E3255" s="41">
        <v>46145</v>
      </c>
      <c r="F3255" s="47">
        <v>0.90025462962962965</v>
      </c>
      <c r="G3255" s="44">
        <v>6.3</v>
      </c>
      <c r="H3255" s="43" t="s">
        <v>235</v>
      </c>
      <c r="I3255" s="40" t="s">
        <v>1282</v>
      </c>
    </row>
    <row r="3256" spans="1:9" x14ac:dyDescent="0.25">
      <c r="A3256" s="40" t="s">
        <v>969</v>
      </c>
      <c r="B3256" s="28">
        <v>3744</v>
      </c>
      <c r="C3256" s="28">
        <v>5649052</v>
      </c>
      <c r="D3256" s="28" t="s">
        <v>37</v>
      </c>
      <c r="E3256" s="41">
        <v>46145</v>
      </c>
      <c r="F3256" s="47">
        <v>0.90864583333333337</v>
      </c>
      <c r="G3256" s="42">
        <v>6.3</v>
      </c>
      <c r="H3256" s="40" t="s">
        <v>236</v>
      </c>
      <c r="I3256" s="40" t="s">
        <v>1282</v>
      </c>
    </row>
    <row r="3257" spans="1:9" x14ac:dyDescent="0.25">
      <c r="A3257" s="40" t="s">
        <v>298</v>
      </c>
      <c r="B3257" s="28">
        <v>3768</v>
      </c>
      <c r="C3257" s="28">
        <v>5637834</v>
      </c>
      <c r="D3257" s="28"/>
      <c r="E3257" s="41">
        <v>46139</v>
      </c>
      <c r="F3257" s="47">
        <v>0.38815972222222223</v>
      </c>
      <c r="G3257" s="42">
        <v>6.3</v>
      </c>
      <c r="H3257" s="40" t="s">
        <v>235</v>
      </c>
      <c r="I3257" s="40" t="s">
        <v>1281</v>
      </c>
    </row>
    <row r="3258" spans="1:9" x14ac:dyDescent="0.25">
      <c r="A3258" s="40" t="s">
        <v>298</v>
      </c>
      <c r="B3258" s="28">
        <v>3768</v>
      </c>
      <c r="C3258" s="28">
        <v>5637834</v>
      </c>
      <c r="D3258" s="28"/>
      <c r="E3258" s="41">
        <v>46139</v>
      </c>
      <c r="F3258" s="47">
        <v>0.40680555555555553</v>
      </c>
      <c r="G3258" s="42">
        <v>6.3</v>
      </c>
      <c r="H3258" s="40" t="s">
        <v>236</v>
      </c>
      <c r="I3258" s="40" t="s">
        <v>1281</v>
      </c>
    </row>
    <row r="3259" spans="1:9" x14ac:dyDescent="0.25">
      <c r="A3259" s="40" t="s">
        <v>298</v>
      </c>
      <c r="B3259" s="28">
        <v>3768</v>
      </c>
      <c r="C3259" s="28">
        <v>5606738</v>
      </c>
      <c r="D3259" s="28"/>
      <c r="E3259" s="41">
        <v>46141</v>
      </c>
      <c r="F3259" s="47">
        <v>0.98568287037037039</v>
      </c>
      <c r="G3259" s="42">
        <v>6.3</v>
      </c>
      <c r="H3259" s="40" t="s">
        <v>235</v>
      </c>
      <c r="I3259" s="40" t="s">
        <v>1281</v>
      </c>
    </row>
    <row r="3260" spans="1:9" x14ac:dyDescent="0.25">
      <c r="A3260" s="40" t="s">
        <v>298</v>
      </c>
      <c r="B3260" s="28">
        <v>3768</v>
      </c>
      <c r="C3260" s="28">
        <v>5606738</v>
      </c>
      <c r="D3260" s="28"/>
      <c r="E3260" s="41">
        <v>46141</v>
      </c>
      <c r="F3260" s="47">
        <v>0.99331018518518521</v>
      </c>
      <c r="G3260" s="44">
        <v>6.3</v>
      </c>
      <c r="H3260" s="43" t="s">
        <v>236</v>
      </c>
      <c r="I3260" s="40" t="s">
        <v>1281</v>
      </c>
    </row>
    <row r="3261" spans="1:9" x14ac:dyDescent="0.25">
      <c r="A3261" s="40" t="s">
        <v>298</v>
      </c>
      <c r="B3261" s="28">
        <v>3768</v>
      </c>
      <c r="C3261" s="28">
        <v>5641591</v>
      </c>
      <c r="D3261" s="28"/>
      <c r="E3261" s="45">
        <v>46142</v>
      </c>
      <c r="F3261" s="48">
        <v>0.85317129629629629</v>
      </c>
      <c r="G3261" s="44">
        <v>6.3</v>
      </c>
      <c r="H3261" s="43" t="s">
        <v>237</v>
      </c>
      <c r="I3261" s="40" t="s">
        <v>1281</v>
      </c>
    </row>
    <row r="3262" spans="1:9" x14ac:dyDescent="0.25">
      <c r="A3262" s="40" t="s">
        <v>298</v>
      </c>
      <c r="B3262" s="28">
        <v>3768</v>
      </c>
      <c r="C3262" s="28">
        <v>5641591</v>
      </c>
      <c r="D3262" s="28"/>
      <c r="E3262" s="41">
        <v>46142</v>
      </c>
      <c r="F3262" s="47">
        <v>0.87231481481481477</v>
      </c>
      <c r="G3262" s="42">
        <v>6.3</v>
      </c>
      <c r="H3262" s="40" t="s">
        <v>234</v>
      </c>
      <c r="I3262" s="40" t="s">
        <v>1281</v>
      </c>
    </row>
    <row r="3263" spans="1:9" x14ac:dyDescent="0.25">
      <c r="A3263" s="40" t="s">
        <v>301</v>
      </c>
      <c r="B3263" s="28">
        <v>3775</v>
      </c>
      <c r="C3263" s="28">
        <v>5641371</v>
      </c>
      <c r="D3263" s="28"/>
      <c r="E3263" s="41">
        <v>46141</v>
      </c>
      <c r="F3263" s="47">
        <v>0.29773148148148149</v>
      </c>
      <c r="G3263" s="42">
        <v>6.3</v>
      </c>
      <c r="H3263" s="40" t="s">
        <v>239</v>
      </c>
      <c r="I3263" s="40" t="s">
        <v>1281</v>
      </c>
    </row>
    <row r="3264" spans="1:9" x14ac:dyDescent="0.25">
      <c r="A3264" s="40" t="s">
        <v>301</v>
      </c>
      <c r="B3264" s="28">
        <v>3775</v>
      </c>
      <c r="C3264" s="28" t="s">
        <v>35</v>
      </c>
      <c r="D3264" s="28" t="s">
        <v>38</v>
      </c>
      <c r="E3264" s="41">
        <v>46143</v>
      </c>
      <c r="F3264" s="47">
        <v>0.74962962962962965</v>
      </c>
      <c r="G3264" s="44">
        <v>6.3</v>
      </c>
      <c r="H3264" s="43" t="s">
        <v>237</v>
      </c>
      <c r="I3264" s="40" t="s">
        <v>1282</v>
      </c>
    </row>
    <row r="3265" spans="1:9" x14ac:dyDescent="0.25">
      <c r="A3265" s="40" t="s">
        <v>301</v>
      </c>
      <c r="B3265" s="28">
        <v>3775</v>
      </c>
      <c r="C3265" s="28">
        <v>5647378</v>
      </c>
      <c r="D3265" s="28"/>
      <c r="E3265" s="41">
        <v>46145</v>
      </c>
      <c r="F3265" s="47">
        <v>0.49313657407407407</v>
      </c>
      <c r="G3265" s="44">
        <v>6.3</v>
      </c>
      <c r="H3265" s="43" t="s">
        <v>235</v>
      </c>
      <c r="I3265" s="40" t="s">
        <v>1282</v>
      </c>
    </row>
    <row r="3266" spans="1:9" x14ac:dyDescent="0.25">
      <c r="A3266" s="40" t="s">
        <v>301</v>
      </c>
      <c r="B3266" s="28">
        <v>3775</v>
      </c>
      <c r="C3266" s="28">
        <v>5647378</v>
      </c>
      <c r="D3266" s="28"/>
      <c r="E3266" s="41">
        <v>46145</v>
      </c>
      <c r="F3266" s="47">
        <v>0.49968750000000001</v>
      </c>
      <c r="G3266" s="44">
        <v>6.3</v>
      </c>
      <c r="H3266" s="43" t="s">
        <v>236</v>
      </c>
      <c r="I3266" s="40" t="s">
        <v>1282</v>
      </c>
    </row>
    <row r="3267" spans="1:9" x14ac:dyDescent="0.25">
      <c r="A3267" s="40" t="s">
        <v>971</v>
      </c>
      <c r="B3267" s="28">
        <v>3786</v>
      </c>
      <c r="C3267" s="28">
        <v>5637917</v>
      </c>
      <c r="D3267" s="28"/>
      <c r="E3267" s="41">
        <v>46139</v>
      </c>
      <c r="F3267" s="47">
        <v>0.36920138888888887</v>
      </c>
      <c r="G3267" s="44">
        <v>6.3</v>
      </c>
      <c r="H3267" s="43" t="s">
        <v>235</v>
      </c>
      <c r="I3267" s="40" t="s">
        <v>1281</v>
      </c>
    </row>
    <row r="3268" spans="1:9" x14ac:dyDescent="0.25">
      <c r="A3268" s="40" t="s">
        <v>971</v>
      </c>
      <c r="B3268" s="28">
        <v>3786</v>
      </c>
      <c r="C3268" s="28">
        <v>5637917</v>
      </c>
      <c r="D3268" s="28"/>
      <c r="E3268" s="45">
        <v>46139</v>
      </c>
      <c r="F3268" s="48">
        <v>0.39645833333333336</v>
      </c>
      <c r="G3268" s="44">
        <v>6.3</v>
      </c>
      <c r="H3268" s="43" t="s">
        <v>236</v>
      </c>
      <c r="I3268" s="40" t="s">
        <v>1281</v>
      </c>
    </row>
    <row r="3269" spans="1:9" x14ac:dyDescent="0.25">
      <c r="A3269" s="40" t="s">
        <v>971</v>
      </c>
      <c r="B3269" s="28">
        <v>3786</v>
      </c>
      <c r="C3269" s="28">
        <v>10551967</v>
      </c>
      <c r="D3269" s="28"/>
      <c r="E3269" s="41">
        <v>46140</v>
      </c>
      <c r="F3269" s="47">
        <v>0.68574074074074076</v>
      </c>
      <c r="G3269" s="44">
        <v>6.3</v>
      </c>
      <c r="H3269" s="43" t="s">
        <v>237</v>
      </c>
      <c r="I3269" s="40" t="s">
        <v>1281</v>
      </c>
    </row>
    <row r="3270" spans="1:9" x14ac:dyDescent="0.25">
      <c r="A3270" s="40" t="s">
        <v>971</v>
      </c>
      <c r="B3270" s="28">
        <v>3786</v>
      </c>
      <c r="C3270" s="28">
        <v>10551967</v>
      </c>
      <c r="D3270" s="28"/>
      <c r="E3270" s="41">
        <v>46140</v>
      </c>
      <c r="F3270" s="47">
        <v>0.69861111111111107</v>
      </c>
      <c r="G3270" s="42">
        <v>6.3</v>
      </c>
      <c r="H3270" s="40" t="s">
        <v>234</v>
      </c>
      <c r="I3270" s="40" t="s">
        <v>1281</v>
      </c>
    </row>
    <row r="3271" spans="1:9" x14ac:dyDescent="0.25">
      <c r="A3271" s="40" t="s">
        <v>383</v>
      </c>
      <c r="B3271" s="28">
        <v>3787</v>
      </c>
      <c r="C3271" s="28" t="s">
        <v>35</v>
      </c>
      <c r="D3271" s="28" t="s">
        <v>38</v>
      </c>
      <c r="E3271" s="45">
        <v>46139</v>
      </c>
      <c r="F3271" s="48">
        <v>0.53170138888888885</v>
      </c>
      <c r="G3271" s="42">
        <v>6.3</v>
      </c>
      <c r="H3271" s="40" t="s">
        <v>239</v>
      </c>
      <c r="I3271" s="40" t="s">
        <v>1281</v>
      </c>
    </row>
    <row r="3272" spans="1:9" x14ac:dyDescent="0.25">
      <c r="A3272" s="40" t="s">
        <v>383</v>
      </c>
      <c r="B3272" s="28">
        <v>3787</v>
      </c>
      <c r="C3272" s="28" t="s">
        <v>35</v>
      </c>
      <c r="D3272" s="28" t="s">
        <v>38</v>
      </c>
      <c r="E3272" s="41">
        <v>46140</v>
      </c>
      <c r="F3272" s="47">
        <v>0.56499999999999995</v>
      </c>
      <c r="G3272" s="44">
        <v>6.3</v>
      </c>
      <c r="H3272" s="43" t="s">
        <v>236</v>
      </c>
      <c r="I3272" s="40" t="s">
        <v>1281</v>
      </c>
    </row>
    <row r="3273" spans="1:9" x14ac:dyDescent="0.25">
      <c r="A3273" s="40" t="s">
        <v>383</v>
      </c>
      <c r="B3273" s="28">
        <v>3787</v>
      </c>
      <c r="C3273" s="28">
        <v>5640791</v>
      </c>
      <c r="D3273" s="28"/>
      <c r="E3273" s="41">
        <v>46141</v>
      </c>
      <c r="F3273" s="47">
        <v>0.18325231481481483</v>
      </c>
      <c r="G3273" s="44">
        <v>6.3</v>
      </c>
      <c r="H3273" s="43" t="s">
        <v>233</v>
      </c>
      <c r="I3273" s="40" t="s">
        <v>1281</v>
      </c>
    </row>
    <row r="3274" spans="1:9" x14ac:dyDescent="0.25">
      <c r="A3274" s="40" t="s">
        <v>383</v>
      </c>
      <c r="B3274" s="28">
        <v>3787</v>
      </c>
      <c r="C3274" s="28">
        <v>5640791</v>
      </c>
      <c r="D3274" s="28"/>
      <c r="E3274" s="41">
        <v>46141</v>
      </c>
      <c r="F3274" s="47">
        <v>0.1875</v>
      </c>
      <c r="G3274" s="44">
        <v>6.3</v>
      </c>
      <c r="H3274" s="43" t="s">
        <v>234</v>
      </c>
      <c r="I3274" s="40" t="s">
        <v>1281</v>
      </c>
    </row>
    <row r="3275" spans="1:9" x14ac:dyDescent="0.25">
      <c r="A3275" s="40" t="s">
        <v>383</v>
      </c>
      <c r="B3275" s="28">
        <v>3787</v>
      </c>
      <c r="C3275" s="28">
        <v>5641772</v>
      </c>
      <c r="D3275" s="28" t="s">
        <v>37</v>
      </c>
      <c r="E3275" s="41">
        <v>46141</v>
      </c>
      <c r="F3275" s="47">
        <v>0.28282407407407406</v>
      </c>
      <c r="G3275" s="44">
        <v>6.3</v>
      </c>
      <c r="H3275" s="43" t="s">
        <v>234</v>
      </c>
      <c r="I3275" s="40" t="s">
        <v>1281</v>
      </c>
    </row>
    <row r="3276" spans="1:9" x14ac:dyDescent="0.25">
      <c r="A3276" s="40" t="s">
        <v>383</v>
      </c>
      <c r="B3276" s="28">
        <v>3787</v>
      </c>
      <c r="C3276" s="28" t="s">
        <v>35</v>
      </c>
      <c r="D3276" s="28" t="s">
        <v>38</v>
      </c>
      <c r="E3276" s="41">
        <v>46142</v>
      </c>
      <c r="F3276" s="47">
        <v>0.90871527777777783</v>
      </c>
      <c r="G3276" s="44">
        <v>6.3</v>
      </c>
      <c r="H3276" s="43" t="s">
        <v>241</v>
      </c>
      <c r="I3276" s="40" t="s">
        <v>1281</v>
      </c>
    </row>
    <row r="3277" spans="1:9" x14ac:dyDescent="0.25">
      <c r="A3277" s="40" t="s">
        <v>383</v>
      </c>
      <c r="B3277" s="28">
        <v>3787</v>
      </c>
      <c r="C3277" s="28" t="s">
        <v>35</v>
      </c>
      <c r="D3277" s="28" t="s">
        <v>38</v>
      </c>
      <c r="E3277" s="41">
        <v>46142</v>
      </c>
      <c r="F3277" s="47">
        <v>0.94668981481481485</v>
      </c>
      <c r="G3277" s="42">
        <v>6.3</v>
      </c>
      <c r="H3277" s="40" t="s">
        <v>239</v>
      </c>
      <c r="I3277" s="40" t="s">
        <v>1281</v>
      </c>
    </row>
    <row r="3278" spans="1:9" x14ac:dyDescent="0.25">
      <c r="A3278" s="40" t="s">
        <v>383</v>
      </c>
      <c r="B3278" s="28">
        <v>3787</v>
      </c>
      <c r="C3278" s="28">
        <v>5646516</v>
      </c>
      <c r="D3278" s="28"/>
      <c r="E3278" s="45">
        <v>46144</v>
      </c>
      <c r="F3278" s="48">
        <v>0.17070601851851852</v>
      </c>
      <c r="G3278" s="42">
        <v>6.3</v>
      </c>
      <c r="H3278" s="40" t="s">
        <v>238</v>
      </c>
      <c r="I3278" s="40" t="s">
        <v>1282</v>
      </c>
    </row>
    <row r="3279" spans="1:9" x14ac:dyDescent="0.25">
      <c r="A3279" s="40" t="s">
        <v>383</v>
      </c>
      <c r="B3279" s="28">
        <v>3787</v>
      </c>
      <c r="C3279" s="28">
        <v>5646516</v>
      </c>
      <c r="D3279" s="28"/>
      <c r="E3279" s="45">
        <v>46144</v>
      </c>
      <c r="F3279" s="48">
        <v>0.17491898148148149</v>
      </c>
      <c r="G3279" s="42">
        <v>6.3</v>
      </c>
      <c r="H3279" s="40" t="s">
        <v>234</v>
      </c>
      <c r="I3279" s="40" t="s">
        <v>1282</v>
      </c>
    </row>
    <row r="3280" spans="1:9" x14ac:dyDescent="0.25">
      <c r="A3280" s="40" t="s">
        <v>383</v>
      </c>
      <c r="B3280" s="28">
        <v>3787</v>
      </c>
      <c r="C3280" s="28">
        <v>5647104</v>
      </c>
      <c r="D3280" s="28" t="s">
        <v>37</v>
      </c>
      <c r="E3280" s="41">
        <v>46144</v>
      </c>
      <c r="F3280" s="47">
        <v>0.27182870370370371</v>
      </c>
      <c r="G3280" s="42">
        <v>6.3</v>
      </c>
      <c r="H3280" s="40" t="s">
        <v>240</v>
      </c>
      <c r="I3280" s="40" t="s">
        <v>1282</v>
      </c>
    </row>
    <row r="3281" spans="1:9" x14ac:dyDescent="0.25">
      <c r="A3281" s="40" t="s">
        <v>383</v>
      </c>
      <c r="B3281" s="28">
        <v>3787</v>
      </c>
      <c r="C3281" s="28">
        <v>5646769</v>
      </c>
      <c r="D3281" s="28"/>
      <c r="E3281" s="41">
        <v>46144</v>
      </c>
      <c r="F3281" s="47">
        <v>0.48907407407407405</v>
      </c>
      <c r="G3281" s="44">
        <v>6.3</v>
      </c>
      <c r="H3281" s="43" t="s">
        <v>237</v>
      </c>
      <c r="I3281" s="40" t="s">
        <v>1282</v>
      </c>
    </row>
    <row r="3282" spans="1:9" x14ac:dyDescent="0.25">
      <c r="A3282" s="40" t="s">
        <v>383</v>
      </c>
      <c r="B3282" s="28">
        <v>3787</v>
      </c>
      <c r="C3282" s="28">
        <v>5646769</v>
      </c>
      <c r="D3282" s="28"/>
      <c r="E3282" s="41">
        <v>46144</v>
      </c>
      <c r="F3282" s="47">
        <v>0.49483796296296295</v>
      </c>
      <c r="G3282" s="44">
        <v>6.3</v>
      </c>
      <c r="H3282" s="43" t="s">
        <v>234</v>
      </c>
      <c r="I3282" s="40" t="s">
        <v>1282</v>
      </c>
    </row>
    <row r="3283" spans="1:9" x14ac:dyDescent="0.25">
      <c r="A3283" s="40" t="s">
        <v>383</v>
      </c>
      <c r="B3283" s="28">
        <v>3787</v>
      </c>
      <c r="C3283" s="28">
        <v>5646529</v>
      </c>
      <c r="D3283" s="28"/>
      <c r="E3283" s="41">
        <v>46144</v>
      </c>
      <c r="F3283" s="47">
        <v>0.57517361111111109</v>
      </c>
      <c r="G3283" s="44">
        <v>6.3</v>
      </c>
      <c r="H3283" s="43" t="s">
        <v>235</v>
      </c>
      <c r="I3283" s="40" t="s">
        <v>1282</v>
      </c>
    </row>
    <row r="3284" spans="1:9" x14ac:dyDescent="0.25">
      <c r="A3284" s="40" t="s">
        <v>383</v>
      </c>
      <c r="B3284" s="28">
        <v>3787</v>
      </c>
      <c r="C3284" s="28">
        <v>5646529</v>
      </c>
      <c r="D3284" s="28"/>
      <c r="E3284" s="45">
        <v>46144</v>
      </c>
      <c r="F3284" s="48">
        <v>0.58224537037037039</v>
      </c>
      <c r="G3284" s="44">
        <v>6.3</v>
      </c>
      <c r="H3284" s="43" t="s">
        <v>236</v>
      </c>
      <c r="I3284" s="40" t="s">
        <v>1282</v>
      </c>
    </row>
    <row r="3285" spans="1:9" x14ac:dyDescent="0.25">
      <c r="A3285" s="40" t="s">
        <v>383</v>
      </c>
      <c r="B3285" s="28">
        <v>3787</v>
      </c>
      <c r="C3285" s="28" t="s">
        <v>35</v>
      </c>
      <c r="D3285" s="28" t="s">
        <v>38</v>
      </c>
      <c r="E3285" s="41">
        <v>46144</v>
      </c>
      <c r="F3285" s="47">
        <v>0.81976851851851851</v>
      </c>
      <c r="G3285" s="44">
        <v>6.3</v>
      </c>
      <c r="H3285" s="43" t="s">
        <v>233</v>
      </c>
      <c r="I3285" s="40" t="s">
        <v>1282</v>
      </c>
    </row>
    <row r="3286" spans="1:9" x14ac:dyDescent="0.25">
      <c r="A3286" s="40" t="s">
        <v>383</v>
      </c>
      <c r="B3286" s="28">
        <v>3787</v>
      </c>
      <c r="C3286" s="28" t="s">
        <v>35</v>
      </c>
      <c r="D3286" s="28" t="s">
        <v>38</v>
      </c>
      <c r="E3286" s="41">
        <v>46144</v>
      </c>
      <c r="F3286" s="47">
        <v>0.82565972222222217</v>
      </c>
      <c r="G3286" s="44">
        <v>6.3</v>
      </c>
      <c r="H3286" s="43" t="s">
        <v>234</v>
      </c>
      <c r="I3286" s="40" t="s">
        <v>1282</v>
      </c>
    </row>
    <row r="3287" spans="1:9" x14ac:dyDescent="0.25">
      <c r="A3287" s="40" t="s">
        <v>383</v>
      </c>
      <c r="B3287" s="28">
        <v>3787</v>
      </c>
      <c r="C3287" s="28">
        <v>5646794</v>
      </c>
      <c r="D3287" s="28"/>
      <c r="E3287" s="45">
        <v>46144</v>
      </c>
      <c r="F3287" s="48">
        <v>0.99515046296296295</v>
      </c>
      <c r="G3287" s="44">
        <v>6.3</v>
      </c>
      <c r="H3287" s="43" t="s">
        <v>235</v>
      </c>
      <c r="I3287" s="40" t="s">
        <v>1282</v>
      </c>
    </row>
    <row r="3288" spans="1:9" x14ac:dyDescent="0.25">
      <c r="A3288" s="40" t="s">
        <v>383</v>
      </c>
      <c r="B3288" s="28">
        <v>3787</v>
      </c>
      <c r="C3288" s="28">
        <v>5647616</v>
      </c>
      <c r="D3288" s="28"/>
      <c r="E3288" s="41">
        <v>46145</v>
      </c>
      <c r="F3288" s="47">
        <v>0.14521990740740739</v>
      </c>
      <c r="G3288" s="44">
        <v>6.3</v>
      </c>
      <c r="H3288" s="43" t="s">
        <v>238</v>
      </c>
      <c r="I3288" s="40" t="s">
        <v>1282</v>
      </c>
    </row>
    <row r="3289" spans="1:9" x14ac:dyDescent="0.25">
      <c r="A3289" s="40" t="s">
        <v>383</v>
      </c>
      <c r="B3289" s="28">
        <v>3787</v>
      </c>
      <c r="C3289" s="28">
        <v>5647616</v>
      </c>
      <c r="D3289" s="28"/>
      <c r="E3289" s="41">
        <v>46145</v>
      </c>
      <c r="F3289" s="47">
        <v>0.14934027777777778</v>
      </c>
      <c r="G3289" s="44">
        <v>6.3</v>
      </c>
      <c r="H3289" s="43" t="s">
        <v>234</v>
      </c>
      <c r="I3289" s="40" t="s">
        <v>1282</v>
      </c>
    </row>
    <row r="3290" spans="1:9" x14ac:dyDescent="0.25">
      <c r="A3290" s="40" t="s">
        <v>329</v>
      </c>
      <c r="B3290" s="28">
        <v>3788</v>
      </c>
      <c r="C3290" s="28" t="s">
        <v>35</v>
      </c>
      <c r="D3290" s="28" t="s">
        <v>38</v>
      </c>
      <c r="E3290" s="41">
        <v>46139</v>
      </c>
      <c r="F3290" s="47">
        <v>0.81364583333333329</v>
      </c>
      <c r="G3290" s="44">
        <v>6.3</v>
      </c>
      <c r="H3290" s="43" t="s">
        <v>237</v>
      </c>
      <c r="I3290" s="40" t="s">
        <v>1281</v>
      </c>
    </row>
    <row r="3291" spans="1:9" x14ac:dyDescent="0.25">
      <c r="A3291" s="40" t="s">
        <v>329</v>
      </c>
      <c r="B3291" s="28">
        <v>3788</v>
      </c>
      <c r="C3291" s="28" t="s">
        <v>35</v>
      </c>
      <c r="D3291" s="28" t="s">
        <v>38</v>
      </c>
      <c r="E3291" s="41">
        <v>46139</v>
      </c>
      <c r="F3291" s="47">
        <v>0.84320601851851851</v>
      </c>
      <c r="G3291" s="44">
        <v>6.3</v>
      </c>
      <c r="H3291" s="43" t="s">
        <v>234</v>
      </c>
      <c r="I3291" s="40" t="s">
        <v>1281</v>
      </c>
    </row>
    <row r="3292" spans="1:9" x14ac:dyDescent="0.25">
      <c r="A3292" s="40" t="s">
        <v>329</v>
      </c>
      <c r="B3292" s="28">
        <v>3788</v>
      </c>
      <c r="C3292" s="28" t="s">
        <v>35</v>
      </c>
      <c r="D3292" s="28" t="s">
        <v>38</v>
      </c>
      <c r="E3292" s="41">
        <v>46139</v>
      </c>
      <c r="F3292" s="47">
        <v>0.90356481481481477</v>
      </c>
      <c r="G3292" s="44">
        <v>6.3</v>
      </c>
      <c r="H3292" s="43" t="s">
        <v>235</v>
      </c>
      <c r="I3292" s="40" t="s">
        <v>1281</v>
      </c>
    </row>
    <row r="3293" spans="1:9" x14ac:dyDescent="0.25">
      <c r="A3293" s="40" t="s">
        <v>329</v>
      </c>
      <c r="B3293" s="28">
        <v>3788</v>
      </c>
      <c r="C3293" s="28" t="s">
        <v>35</v>
      </c>
      <c r="D3293" s="28" t="s">
        <v>38</v>
      </c>
      <c r="E3293" s="41">
        <v>46139</v>
      </c>
      <c r="F3293" s="47">
        <v>0.9106481481481481</v>
      </c>
      <c r="G3293" s="42">
        <v>6.3</v>
      </c>
      <c r="H3293" s="40" t="s">
        <v>236</v>
      </c>
      <c r="I3293" s="40" t="s">
        <v>1281</v>
      </c>
    </row>
    <row r="3294" spans="1:9" x14ac:dyDescent="0.25">
      <c r="A3294" s="40" t="s">
        <v>329</v>
      </c>
      <c r="B3294" s="28">
        <v>3788</v>
      </c>
      <c r="C3294" s="28" t="s">
        <v>35</v>
      </c>
      <c r="D3294" s="28" t="s">
        <v>38</v>
      </c>
      <c r="E3294" s="41">
        <v>46140</v>
      </c>
      <c r="F3294" s="47">
        <v>3.5729166666666666E-2</v>
      </c>
      <c r="G3294" s="42">
        <v>6.3</v>
      </c>
      <c r="H3294" s="40" t="s">
        <v>235</v>
      </c>
      <c r="I3294" s="40" t="s">
        <v>1281</v>
      </c>
    </row>
    <row r="3295" spans="1:9" x14ac:dyDescent="0.25">
      <c r="A3295" s="40" t="s">
        <v>329</v>
      </c>
      <c r="B3295" s="28">
        <v>3788</v>
      </c>
      <c r="C3295" s="28" t="s">
        <v>35</v>
      </c>
      <c r="D3295" s="28" t="s">
        <v>38</v>
      </c>
      <c r="E3295" s="41">
        <v>46140</v>
      </c>
      <c r="F3295" s="47">
        <v>4.2800925925925923E-2</v>
      </c>
      <c r="G3295" s="42">
        <v>6.3</v>
      </c>
      <c r="H3295" s="40" t="s">
        <v>236</v>
      </c>
      <c r="I3295" s="40" t="s">
        <v>1281</v>
      </c>
    </row>
    <row r="3296" spans="1:9" x14ac:dyDescent="0.25">
      <c r="A3296" s="40" t="s">
        <v>329</v>
      </c>
      <c r="B3296" s="28">
        <v>3788</v>
      </c>
      <c r="C3296" s="28">
        <v>10573299</v>
      </c>
      <c r="D3296" s="28"/>
      <c r="E3296" s="41">
        <v>46143</v>
      </c>
      <c r="F3296" s="47">
        <v>0.52469907407407412</v>
      </c>
      <c r="G3296" s="42">
        <v>6.3</v>
      </c>
      <c r="H3296" s="40" t="s">
        <v>237</v>
      </c>
      <c r="I3296" s="40" t="s">
        <v>1282</v>
      </c>
    </row>
    <row r="3297" spans="1:9" x14ac:dyDescent="0.25">
      <c r="A3297" s="40" t="s">
        <v>329</v>
      </c>
      <c r="B3297" s="28">
        <v>3788</v>
      </c>
      <c r="C3297" s="28">
        <v>10573299</v>
      </c>
      <c r="D3297" s="28"/>
      <c r="E3297" s="41">
        <v>46143</v>
      </c>
      <c r="F3297" s="47">
        <v>0.53129629629629627</v>
      </c>
      <c r="G3297" s="42">
        <v>6.3</v>
      </c>
      <c r="H3297" s="40" t="s">
        <v>234</v>
      </c>
      <c r="I3297" s="40" t="s">
        <v>1282</v>
      </c>
    </row>
    <row r="3298" spans="1:9" x14ac:dyDescent="0.25">
      <c r="A3298" s="40" t="s">
        <v>318</v>
      </c>
      <c r="B3298" s="28">
        <v>3799</v>
      </c>
      <c r="C3298" s="28">
        <v>5644731</v>
      </c>
      <c r="D3298" s="28"/>
      <c r="E3298" s="41">
        <v>46142</v>
      </c>
      <c r="F3298" s="47">
        <v>0.66872685185185188</v>
      </c>
      <c r="G3298" s="42">
        <v>6.3</v>
      </c>
      <c r="H3298" s="40" t="s">
        <v>235</v>
      </c>
      <c r="I3298" s="40" t="s">
        <v>1281</v>
      </c>
    </row>
    <row r="3299" spans="1:9" x14ac:dyDescent="0.25">
      <c r="A3299" s="40" t="s">
        <v>318</v>
      </c>
      <c r="B3299" s="28">
        <v>3799</v>
      </c>
      <c r="C3299" s="28">
        <v>5644731</v>
      </c>
      <c r="D3299" s="28"/>
      <c r="E3299" s="41">
        <v>46142</v>
      </c>
      <c r="F3299" s="47">
        <v>0.68255787037037041</v>
      </c>
      <c r="G3299" s="42">
        <v>6.3</v>
      </c>
      <c r="H3299" s="40" t="s">
        <v>240</v>
      </c>
      <c r="I3299" s="40" t="s">
        <v>1281</v>
      </c>
    </row>
    <row r="3300" spans="1:9" x14ac:dyDescent="0.25">
      <c r="A3300" s="40" t="s">
        <v>318</v>
      </c>
      <c r="B3300" s="28">
        <v>3799</v>
      </c>
      <c r="C3300" s="28">
        <v>5645038</v>
      </c>
      <c r="D3300" s="28"/>
      <c r="E3300" s="45">
        <v>46142</v>
      </c>
      <c r="F3300" s="48">
        <v>0.79526620370370371</v>
      </c>
      <c r="G3300" s="42">
        <v>6.3</v>
      </c>
      <c r="H3300" s="40" t="s">
        <v>234</v>
      </c>
      <c r="I3300" s="40" t="s">
        <v>1281</v>
      </c>
    </row>
    <row r="3301" spans="1:9" x14ac:dyDescent="0.25">
      <c r="A3301" s="40" t="s">
        <v>318</v>
      </c>
      <c r="B3301" s="28">
        <v>3799</v>
      </c>
      <c r="C3301" s="28" t="s">
        <v>35</v>
      </c>
      <c r="D3301" s="28" t="s">
        <v>38</v>
      </c>
      <c r="E3301" s="41">
        <v>46144</v>
      </c>
      <c r="F3301" s="47">
        <v>0.94964120370370375</v>
      </c>
      <c r="G3301" s="44">
        <v>6.3</v>
      </c>
      <c r="H3301" s="43" t="s">
        <v>235</v>
      </c>
      <c r="I3301" s="40" t="s">
        <v>1282</v>
      </c>
    </row>
    <row r="3302" spans="1:9" x14ac:dyDescent="0.25">
      <c r="A3302" s="40" t="s">
        <v>312</v>
      </c>
      <c r="B3302" s="28">
        <v>3806</v>
      </c>
      <c r="C3302" s="28" t="s">
        <v>972</v>
      </c>
      <c r="D3302" s="28"/>
      <c r="E3302" s="41">
        <v>46145</v>
      </c>
      <c r="F3302" s="47">
        <v>0.24890046296296298</v>
      </c>
      <c r="G3302" s="44">
        <v>6.3</v>
      </c>
      <c r="H3302" s="43" t="s">
        <v>235</v>
      </c>
      <c r="I3302" s="40" t="s">
        <v>1282</v>
      </c>
    </row>
    <row r="3303" spans="1:9" x14ac:dyDescent="0.25">
      <c r="A3303" s="40" t="s">
        <v>303</v>
      </c>
      <c r="B3303" s="28">
        <v>3809</v>
      </c>
      <c r="C3303" s="28" t="s">
        <v>973</v>
      </c>
      <c r="D3303" s="28"/>
      <c r="E3303" s="45">
        <v>46142</v>
      </c>
      <c r="F3303" s="48">
        <v>0.63129629629629624</v>
      </c>
      <c r="G3303" s="44">
        <v>6.3</v>
      </c>
      <c r="H3303" s="43" t="s">
        <v>235</v>
      </c>
      <c r="I3303" s="40" t="s">
        <v>1281</v>
      </c>
    </row>
    <row r="3304" spans="1:9" x14ac:dyDescent="0.25">
      <c r="A3304" s="40" t="s">
        <v>303</v>
      </c>
      <c r="B3304" s="28">
        <v>3809</v>
      </c>
      <c r="C3304" s="28">
        <v>5644238</v>
      </c>
      <c r="D3304" s="28"/>
      <c r="E3304" s="41">
        <v>46142</v>
      </c>
      <c r="F3304" s="47">
        <v>0.68374999999999997</v>
      </c>
      <c r="G3304" s="44">
        <v>6.3</v>
      </c>
      <c r="H3304" s="43" t="s">
        <v>237</v>
      </c>
      <c r="I3304" s="40" t="s">
        <v>1281</v>
      </c>
    </row>
    <row r="3305" spans="1:9" x14ac:dyDescent="0.25">
      <c r="A3305" s="40" t="s">
        <v>303</v>
      </c>
      <c r="B3305" s="28">
        <v>3809</v>
      </c>
      <c r="C3305" s="28">
        <v>5644238</v>
      </c>
      <c r="D3305" s="28"/>
      <c r="E3305" s="45">
        <v>46142</v>
      </c>
      <c r="F3305" s="48">
        <v>0.69630787037037034</v>
      </c>
      <c r="G3305" s="44">
        <v>6.3</v>
      </c>
      <c r="H3305" s="43" t="s">
        <v>234</v>
      </c>
      <c r="I3305" s="40" t="s">
        <v>1281</v>
      </c>
    </row>
    <row r="3306" spans="1:9" x14ac:dyDescent="0.25">
      <c r="A3306" s="40" t="s">
        <v>303</v>
      </c>
      <c r="B3306" s="28">
        <v>3809</v>
      </c>
      <c r="C3306" s="28" t="s">
        <v>974</v>
      </c>
      <c r="D3306" s="28"/>
      <c r="E3306" s="41">
        <v>46142</v>
      </c>
      <c r="F3306" s="47">
        <v>0.75244212962962964</v>
      </c>
      <c r="G3306" s="44">
        <v>6.3</v>
      </c>
      <c r="H3306" s="43" t="s">
        <v>235</v>
      </c>
      <c r="I3306" s="40" t="s">
        <v>1281</v>
      </c>
    </row>
    <row r="3307" spans="1:9" x14ac:dyDescent="0.25">
      <c r="A3307" s="40" t="s">
        <v>303</v>
      </c>
      <c r="B3307" s="28">
        <v>3809</v>
      </c>
      <c r="C3307" s="28" t="s">
        <v>974</v>
      </c>
      <c r="D3307" s="28"/>
      <c r="E3307" s="45">
        <v>46142</v>
      </c>
      <c r="F3307" s="48">
        <v>0.76723379629629629</v>
      </c>
      <c r="G3307" s="44">
        <v>6.3</v>
      </c>
      <c r="H3307" s="43" t="s">
        <v>236</v>
      </c>
      <c r="I3307" s="40" t="s">
        <v>1281</v>
      </c>
    </row>
    <row r="3308" spans="1:9" x14ac:dyDescent="0.25">
      <c r="A3308" s="40" t="s">
        <v>303</v>
      </c>
      <c r="B3308" s="28">
        <v>3809</v>
      </c>
      <c r="C3308" s="28">
        <v>5644088</v>
      </c>
      <c r="D3308" s="28"/>
      <c r="E3308" s="41">
        <v>46142</v>
      </c>
      <c r="F3308" s="47">
        <v>0.92905092592592597</v>
      </c>
      <c r="G3308" s="44">
        <v>6.3</v>
      </c>
      <c r="H3308" s="43" t="s">
        <v>235</v>
      </c>
      <c r="I3308" s="40" t="s">
        <v>1281</v>
      </c>
    </row>
    <row r="3309" spans="1:9" x14ac:dyDescent="0.25">
      <c r="A3309" s="40" t="s">
        <v>303</v>
      </c>
      <c r="B3309" s="28">
        <v>3809</v>
      </c>
      <c r="C3309" s="28">
        <v>5644088</v>
      </c>
      <c r="D3309" s="28"/>
      <c r="E3309" s="45">
        <v>46142</v>
      </c>
      <c r="F3309" s="48">
        <v>0.93741898148148151</v>
      </c>
      <c r="G3309" s="44">
        <v>6.3</v>
      </c>
      <c r="H3309" s="43" t="s">
        <v>236</v>
      </c>
      <c r="I3309" s="40" t="s">
        <v>1282</v>
      </c>
    </row>
    <row r="3310" spans="1:9" x14ac:dyDescent="0.25">
      <c r="A3310" s="40" t="s">
        <v>308</v>
      </c>
      <c r="B3310" s="28">
        <v>3810</v>
      </c>
      <c r="C3310" s="28">
        <v>5639515</v>
      </c>
      <c r="D3310" s="28"/>
      <c r="E3310" s="41">
        <v>46139</v>
      </c>
      <c r="F3310" s="47">
        <v>0.91475694444444444</v>
      </c>
      <c r="G3310" s="44">
        <v>6.3</v>
      </c>
      <c r="H3310" s="43" t="s">
        <v>235</v>
      </c>
      <c r="I3310" s="40" t="s">
        <v>1281</v>
      </c>
    </row>
    <row r="3311" spans="1:9" x14ac:dyDescent="0.25">
      <c r="A3311" s="40" t="s">
        <v>308</v>
      </c>
      <c r="B3311" s="28">
        <v>3810</v>
      </c>
      <c r="C3311" s="28">
        <v>5639515</v>
      </c>
      <c r="D3311" s="28"/>
      <c r="E3311" s="41">
        <v>46139</v>
      </c>
      <c r="F3311" s="47">
        <v>0.9229398148148148</v>
      </c>
      <c r="G3311" s="44">
        <v>6.3</v>
      </c>
      <c r="H3311" s="43" t="s">
        <v>236</v>
      </c>
      <c r="I3311" s="40" t="s">
        <v>1281</v>
      </c>
    </row>
    <row r="3312" spans="1:9" x14ac:dyDescent="0.25">
      <c r="A3312" s="40" t="s">
        <v>308</v>
      </c>
      <c r="B3312" s="28">
        <v>3810</v>
      </c>
      <c r="C3312" s="28" t="s">
        <v>35</v>
      </c>
      <c r="D3312" s="28" t="s">
        <v>38</v>
      </c>
      <c r="E3312" s="41">
        <v>46139</v>
      </c>
      <c r="F3312" s="47">
        <v>0.95475694444444448</v>
      </c>
      <c r="G3312" s="44">
        <v>6.3</v>
      </c>
      <c r="H3312" s="43" t="s">
        <v>237</v>
      </c>
      <c r="I3312" s="40" t="s">
        <v>1281</v>
      </c>
    </row>
    <row r="3313" spans="1:9" x14ac:dyDescent="0.25">
      <c r="A3313" s="40" t="s">
        <v>308</v>
      </c>
      <c r="B3313" s="28">
        <v>3810</v>
      </c>
      <c r="C3313" s="28" t="s">
        <v>35</v>
      </c>
      <c r="D3313" s="28" t="s">
        <v>38</v>
      </c>
      <c r="E3313" s="41">
        <v>46139</v>
      </c>
      <c r="F3313" s="47">
        <v>0.96052083333333338</v>
      </c>
      <c r="G3313" s="44">
        <v>6.3</v>
      </c>
      <c r="H3313" s="43" t="s">
        <v>234</v>
      </c>
      <c r="I3313" s="40" t="s">
        <v>1281</v>
      </c>
    </row>
    <row r="3314" spans="1:9" x14ac:dyDescent="0.25">
      <c r="A3314" s="40" t="s">
        <v>308</v>
      </c>
      <c r="B3314" s="28">
        <v>3810</v>
      </c>
      <c r="C3314" s="28">
        <v>5641337</v>
      </c>
      <c r="D3314" s="28"/>
      <c r="E3314" s="41">
        <v>46143</v>
      </c>
      <c r="F3314" s="47">
        <v>0.38880787037037035</v>
      </c>
      <c r="G3314" s="44">
        <v>6.3</v>
      </c>
      <c r="H3314" s="43" t="s">
        <v>235</v>
      </c>
      <c r="I3314" s="40" t="s">
        <v>1282</v>
      </c>
    </row>
    <row r="3315" spans="1:9" x14ac:dyDescent="0.25">
      <c r="A3315" s="40" t="s">
        <v>308</v>
      </c>
      <c r="B3315" s="28">
        <v>3810</v>
      </c>
      <c r="C3315" s="28">
        <v>5641337</v>
      </c>
      <c r="D3315" s="28"/>
      <c r="E3315" s="41">
        <v>46143</v>
      </c>
      <c r="F3315" s="47">
        <v>0.39559027777777778</v>
      </c>
      <c r="G3315" s="44">
        <v>6.3</v>
      </c>
      <c r="H3315" s="43" t="s">
        <v>236</v>
      </c>
      <c r="I3315" s="40" t="s">
        <v>1282</v>
      </c>
    </row>
    <row r="3316" spans="1:9" x14ac:dyDescent="0.25">
      <c r="A3316" s="40" t="s">
        <v>308</v>
      </c>
      <c r="B3316" s="28">
        <v>3810</v>
      </c>
      <c r="C3316" s="28">
        <v>5646628</v>
      </c>
      <c r="D3316" s="28"/>
      <c r="E3316" s="41">
        <v>46143</v>
      </c>
      <c r="F3316" s="47">
        <v>0.93995370370370368</v>
      </c>
      <c r="G3316" s="42">
        <v>6.3</v>
      </c>
      <c r="H3316" s="40" t="s">
        <v>235</v>
      </c>
      <c r="I3316" s="40" t="s">
        <v>1282</v>
      </c>
    </row>
    <row r="3317" spans="1:9" x14ac:dyDescent="0.25">
      <c r="A3317" s="40" t="s">
        <v>308</v>
      </c>
      <c r="B3317" s="28">
        <v>3810</v>
      </c>
      <c r="C3317" s="28">
        <v>5646628</v>
      </c>
      <c r="D3317" s="28"/>
      <c r="E3317" s="41">
        <v>46143</v>
      </c>
      <c r="F3317" s="47">
        <v>0.94725694444444442</v>
      </c>
      <c r="G3317" s="42">
        <v>6.3</v>
      </c>
      <c r="H3317" s="40" t="s">
        <v>236</v>
      </c>
      <c r="I3317" s="40" t="s">
        <v>1282</v>
      </c>
    </row>
    <row r="3318" spans="1:9" x14ac:dyDescent="0.25">
      <c r="A3318" s="40" t="s">
        <v>308</v>
      </c>
      <c r="B3318" s="28">
        <v>3810</v>
      </c>
      <c r="C3318" s="28" t="s">
        <v>35</v>
      </c>
      <c r="D3318" s="28" t="s">
        <v>38</v>
      </c>
      <c r="E3318" s="41">
        <v>46143</v>
      </c>
      <c r="F3318" s="47">
        <v>0.98429398148148151</v>
      </c>
      <c r="G3318" s="44">
        <v>6.3</v>
      </c>
      <c r="H3318" s="43" t="s">
        <v>233</v>
      </c>
      <c r="I3318" s="40" t="s">
        <v>1282</v>
      </c>
    </row>
    <row r="3319" spans="1:9" x14ac:dyDescent="0.25">
      <c r="A3319" s="40" t="s">
        <v>308</v>
      </c>
      <c r="B3319" s="28">
        <v>3810</v>
      </c>
      <c r="C3319" s="28" t="s">
        <v>35</v>
      </c>
      <c r="D3319" s="28" t="s">
        <v>38</v>
      </c>
      <c r="E3319" s="41">
        <v>46143</v>
      </c>
      <c r="F3319" s="47">
        <v>0.98957175925925922</v>
      </c>
      <c r="G3319" s="44">
        <v>6.3</v>
      </c>
      <c r="H3319" s="43" t="s">
        <v>234</v>
      </c>
      <c r="I3319" s="40" t="s">
        <v>1282</v>
      </c>
    </row>
    <row r="3320" spans="1:9" x14ac:dyDescent="0.25">
      <c r="A3320" s="40" t="s">
        <v>276</v>
      </c>
      <c r="B3320" s="28">
        <v>3812</v>
      </c>
      <c r="C3320" s="28">
        <v>5640249</v>
      </c>
      <c r="D3320" s="28"/>
      <c r="E3320" s="41">
        <v>46140</v>
      </c>
      <c r="F3320" s="47">
        <v>0.49783564814814812</v>
      </c>
      <c r="G3320" s="44">
        <v>6.3</v>
      </c>
      <c r="H3320" s="43" t="s">
        <v>237</v>
      </c>
      <c r="I3320" s="40" t="s">
        <v>1281</v>
      </c>
    </row>
    <row r="3321" spans="1:9" x14ac:dyDescent="0.25">
      <c r="A3321" s="40" t="s">
        <v>276</v>
      </c>
      <c r="B3321" s="28">
        <v>3812</v>
      </c>
      <c r="C3321" s="28">
        <v>5638384</v>
      </c>
      <c r="D3321" s="28"/>
      <c r="E3321" s="41">
        <v>46140</v>
      </c>
      <c r="F3321" s="47">
        <v>0.61427083333333332</v>
      </c>
      <c r="G3321" s="44">
        <v>6.3</v>
      </c>
      <c r="H3321" s="43" t="s">
        <v>235</v>
      </c>
      <c r="I3321" s="40" t="s">
        <v>1281</v>
      </c>
    </row>
    <row r="3322" spans="1:9" x14ac:dyDescent="0.25">
      <c r="A3322" s="40" t="s">
        <v>276</v>
      </c>
      <c r="B3322" s="28">
        <v>3812</v>
      </c>
      <c r="C3322" s="28">
        <v>5638384</v>
      </c>
      <c r="D3322" s="28"/>
      <c r="E3322" s="45">
        <v>46140</v>
      </c>
      <c r="F3322" s="48">
        <v>0.62523148148148144</v>
      </c>
      <c r="G3322" s="44">
        <v>6.3</v>
      </c>
      <c r="H3322" s="43" t="s">
        <v>236</v>
      </c>
      <c r="I3322" s="40" t="s">
        <v>1281</v>
      </c>
    </row>
    <row r="3323" spans="1:9" x14ac:dyDescent="0.25">
      <c r="A3323" s="40" t="s">
        <v>276</v>
      </c>
      <c r="B3323" s="28">
        <v>3812</v>
      </c>
      <c r="C3323" s="28" t="s">
        <v>975</v>
      </c>
      <c r="D3323" s="28"/>
      <c r="E3323" s="41">
        <v>46141</v>
      </c>
      <c r="F3323" s="47">
        <v>4.43287037037037E-3</v>
      </c>
      <c r="G3323" s="44">
        <v>6.3</v>
      </c>
      <c r="H3323" s="43" t="s">
        <v>235</v>
      </c>
      <c r="I3323" s="40" t="s">
        <v>1281</v>
      </c>
    </row>
    <row r="3324" spans="1:9" x14ac:dyDescent="0.25">
      <c r="A3324" s="40" t="s">
        <v>276</v>
      </c>
      <c r="B3324" s="28">
        <v>3812</v>
      </c>
      <c r="C3324" s="28" t="s">
        <v>975</v>
      </c>
      <c r="D3324" s="28"/>
      <c r="E3324" s="45">
        <v>46141</v>
      </c>
      <c r="F3324" s="48">
        <v>1.1608796296296296E-2</v>
      </c>
      <c r="G3324" s="44">
        <v>6.3</v>
      </c>
      <c r="H3324" s="43" t="s">
        <v>236</v>
      </c>
      <c r="I3324" s="40" t="s">
        <v>1281</v>
      </c>
    </row>
    <row r="3325" spans="1:9" x14ac:dyDescent="0.25">
      <c r="A3325" s="40" t="s">
        <v>276</v>
      </c>
      <c r="B3325" s="28">
        <v>3812</v>
      </c>
      <c r="C3325" s="28">
        <v>5645852</v>
      </c>
      <c r="D3325" s="28"/>
      <c r="E3325" s="41">
        <v>46142</v>
      </c>
      <c r="F3325" s="47">
        <v>0.99292824074074071</v>
      </c>
      <c r="G3325" s="44">
        <v>6.3</v>
      </c>
      <c r="H3325" s="43" t="s">
        <v>235</v>
      </c>
      <c r="I3325" s="40" t="s">
        <v>1282</v>
      </c>
    </row>
    <row r="3326" spans="1:9" x14ac:dyDescent="0.25">
      <c r="A3326" s="40" t="s">
        <v>276</v>
      </c>
      <c r="B3326" s="28">
        <v>3812</v>
      </c>
      <c r="C3326" s="28">
        <v>5645852</v>
      </c>
      <c r="D3326" s="28"/>
      <c r="E3326" s="45">
        <v>46143</v>
      </c>
      <c r="F3326" s="48">
        <v>2.6458333333333334E-2</v>
      </c>
      <c r="G3326" s="44">
        <v>6.3</v>
      </c>
      <c r="H3326" s="43" t="s">
        <v>236</v>
      </c>
      <c r="I3326" s="40" t="s">
        <v>1282</v>
      </c>
    </row>
    <row r="3327" spans="1:9" x14ac:dyDescent="0.25">
      <c r="A3327" s="40" t="s">
        <v>276</v>
      </c>
      <c r="B3327" s="28">
        <v>3812</v>
      </c>
      <c r="C3327" s="28" t="s">
        <v>35</v>
      </c>
      <c r="D3327" s="28" t="s">
        <v>38</v>
      </c>
      <c r="E3327" s="41">
        <v>46143</v>
      </c>
      <c r="F3327" s="47">
        <v>0.19196759259259261</v>
      </c>
      <c r="G3327" s="44">
        <v>6.3</v>
      </c>
      <c r="H3327" s="43" t="s">
        <v>237</v>
      </c>
      <c r="I3327" s="40" t="s">
        <v>1282</v>
      </c>
    </row>
    <row r="3328" spans="1:9" x14ac:dyDescent="0.25">
      <c r="A3328" s="40" t="s">
        <v>276</v>
      </c>
      <c r="B3328" s="28">
        <v>3812</v>
      </c>
      <c r="C3328" s="28" t="s">
        <v>976</v>
      </c>
      <c r="D3328" s="28"/>
      <c r="E3328" s="41">
        <v>46143</v>
      </c>
      <c r="F3328" s="47">
        <v>0.97193287037037035</v>
      </c>
      <c r="G3328" s="44">
        <v>6.3</v>
      </c>
      <c r="H3328" s="43" t="s">
        <v>235</v>
      </c>
      <c r="I3328" s="40" t="s">
        <v>1282</v>
      </c>
    </row>
    <row r="3329" spans="1:9" x14ac:dyDescent="0.25">
      <c r="A3329" s="40" t="s">
        <v>276</v>
      </c>
      <c r="B3329" s="28">
        <v>3812</v>
      </c>
      <c r="C3329" s="28" t="s">
        <v>976</v>
      </c>
      <c r="D3329" s="28"/>
      <c r="E3329" s="45">
        <v>46143</v>
      </c>
      <c r="F3329" s="48">
        <v>0.97843749999999996</v>
      </c>
      <c r="G3329" s="44">
        <v>6.3</v>
      </c>
      <c r="H3329" s="43" t="s">
        <v>236</v>
      </c>
      <c r="I3329" s="40" t="s">
        <v>1282</v>
      </c>
    </row>
    <row r="3330" spans="1:9" x14ac:dyDescent="0.25">
      <c r="A3330" s="40" t="s">
        <v>276</v>
      </c>
      <c r="B3330" s="28">
        <v>3812</v>
      </c>
      <c r="C3330" s="28" t="s">
        <v>977</v>
      </c>
      <c r="D3330" s="28"/>
      <c r="E3330" s="41">
        <v>46145</v>
      </c>
      <c r="F3330" s="47">
        <v>9.0752314814814813E-2</v>
      </c>
      <c r="G3330" s="44">
        <v>6.3</v>
      </c>
      <c r="H3330" s="43" t="s">
        <v>235</v>
      </c>
      <c r="I3330" s="40" t="s">
        <v>1282</v>
      </c>
    </row>
    <row r="3331" spans="1:9" x14ac:dyDescent="0.25">
      <c r="A3331" s="40" t="s">
        <v>276</v>
      </c>
      <c r="B3331" s="28">
        <v>3812</v>
      </c>
      <c r="C3331" s="28" t="s">
        <v>977</v>
      </c>
      <c r="D3331" s="28"/>
      <c r="E3331" s="45">
        <v>46145</v>
      </c>
      <c r="F3331" s="48">
        <v>9.7129629629629635E-2</v>
      </c>
      <c r="G3331" s="44">
        <v>6.3</v>
      </c>
      <c r="H3331" s="43" t="s">
        <v>239</v>
      </c>
      <c r="I3331" s="40" t="s">
        <v>1282</v>
      </c>
    </row>
    <row r="3332" spans="1:9" x14ac:dyDescent="0.25">
      <c r="A3332" s="40" t="s">
        <v>276</v>
      </c>
      <c r="B3332" s="28">
        <v>3812</v>
      </c>
      <c r="C3332" s="28" t="s">
        <v>978</v>
      </c>
      <c r="D3332" s="28"/>
      <c r="E3332" s="41">
        <v>46145</v>
      </c>
      <c r="F3332" s="47">
        <v>0.85846064814814815</v>
      </c>
      <c r="G3332" s="44">
        <v>6.3</v>
      </c>
      <c r="H3332" s="43" t="s">
        <v>235</v>
      </c>
      <c r="I3332" s="40" t="s">
        <v>1282</v>
      </c>
    </row>
    <row r="3333" spans="1:9" x14ac:dyDescent="0.25">
      <c r="A3333" s="40" t="s">
        <v>276</v>
      </c>
      <c r="B3333" s="28">
        <v>3812</v>
      </c>
      <c r="C3333" s="28" t="s">
        <v>978</v>
      </c>
      <c r="D3333" s="28"/>
      <c r="E3333" s="41">
        <v>46145</v>
      </c>
      <c r="F3333" s="47">
        <v>0.86561342592592594</v>
      </c>
      <c r="G3333" s="44">
        <v>6.3</v>
      </c>
      <c r="H3333" s="43" t="s">
        <v>236</v>
      </c>
      <c r="I3333" s="40" t="s">
        <v>1282</v>
      </c>
    </row>
    <row r="3334" spans="1:9" x14ac:dyDescent="0.25">
      <c r="A3334" s="40" t="s">
        <v>309</v>
      </c>
      <c r="B3334" s="28">
        <v>3815</v>
      </c>
      <c r="C3334" s="28">
        <v>5637622</v>
      </c>
      <c r="D3334" s="28"/>
      <c r="E3334" s="41">
        <v>46139</v>
      </c>
      <c r="F3334" s="47">
        <v>1.2025462962962963E-2</v>
      </c>
      <c r="G3334" s="44">
        <v>6.3</v>
      </c>
      <c r="H3334" s="43" t="s">
        <v>235</v>
      </c>
      <c r="I3334" s="40" t="s">
        <v>1281</v>
      </c>
    </row>
    <row r="3335" spans="1:9" x14ac:dyDescent="0.25">
      <c r="A3335" s="40" t="s">
        <v>309</v>
      </c>
      <c r="B3335" s="28">
        <v>3815</v>
      </c>
      <c r="C3335" s="28">
        <v>5637622</v>
      </c>
      <c r="D3335" s="28"/>
      <c r="E3335" s="41">
        <v>46139</v>
      </c>
      <c r="F3335" s="47">
        <v>1.8136574074074076E-2</v>
      </c>
      <c r="G3335" s="44">
        <v>6.3</v>
      </c>
      <c r="H3335" s="43" t="s">
        <v>236</v>
      </c>
      <c r="I3335" s="40" t="s">
        <v>1281</v>
      </c>
    </row>
    <row r="3336" spans="1:9" x14ac:dyDescent="0.25">
      <c r="A3336" s="40" t="s">
        <v>309</v>
      </c>
      <c r="B3336" s="28">
        <v>3815</v>
      </c>
      <c r="C3336" s="28" t="s">
        <v>35</v>
      </c>
      <c r="D3336" s="28" t="s">
        <v>38</v>
      </c>
      <c r="E3336" s="41">
        <v>46139</v>
      </c>
      <c r="F3336" s="47">
        <v>0.7277893518518519</v>
      </c>
      <c r="G3336" s="44">
        <v>6.3</v>
      </c>
      <c r="H3336" s="43" t="s">
        <v>237</v>
      </c>
      <c r="I3336" s="40" t="s">
        <v>1281</v>
      </c>
    </row>
    <row r="3337" spans="1:9" x14ac:dyDescent="0.25">
      <c r="A3337" s="40" t="s">
        <v>309</v>
      </c>
      <c r="B3337" s="28">
        <v>3815</v>
      </c>
      <c r="C3337" s="28">
        <v>5639825</v>
      </c>
      <c r="D3337" s="28" t="s">
        <v>37</v>
      </c>
      <c r="E3337" s="45">
        <v>46140</v>
      </c>
      <c r="F3337" s="48">
        <v>0.37282407407407409</v>
      </c>
      <c r="G3337" s="44">
        <v>6.3</v>
      </c>
      <c r="H3337" s="43" t="s">
        <v>235</v>
      </c>
      <c r="I3337" s="40" t="s">
        <v>1281</v>
      </c>
    </row>
    <row r="3338" spans="1:9" x14ac:dyDescent="0.25">
      <c r="A3338" s="40" t="s">
        <v>309</v>
      </c>
      <c r="B3338" s="28">
        <v>3815</v>
      </c>
      <c r="C3338" s="28">
        <v>5639825</v>
      </c>
      <c r="D3338" s="28" t="s">
        <v>37</v>
      </c>
      <c r="E3338" s="41">
        <v>46140</v>
      </c>
      <c r="F3338" s="47">
        <v>0.3929050925925926</v>
      </c>
      <c r="G3338" s="44">
        <v>6.3</v>
      </c>
      <c r="H3338" s="43" t="s">
        <v>236</v>
      </c>
      <c r="I3338" s="40" t="s">
        <v>1281</v>
      </c>
    </row>
    <row r="3339" spans="1:9" x14ac:dyDescent="0.25">
      <c r="A3339" s="40" t="s">
        <v>309</v>
      </c>
      <c r="B3339" s="28">
        <v>3815</v>
      </c>
      <c r="C3339" s="28" t="s">
        <v>979</v>
      </c>
      <c r="D3339" s="28"/>
      <c r="E3339" s="41">
        <v>46142</v>
      </c>
      <c r="F3339" s="47">
        <v>0.5950347222222222</v>
      </c>
      <c r="G3339" s="44">
        <v>6.3</v>
      </c>
      <c r="H3339" s="43" t="s">
        <v>235</v>
      </c>
      <c r="I3339" s="40" t="s">
        <v>1281</v>
      </c>
    </row>
    <row r="3340" spans="1:9" x14ac:dyDescent="0.25">
      <c r="A3340" s="40" t="s">
        <v>309</v>
      </c>
      <c r="B3340" s="28">
        <v>3815</v>
      </c>
      <c r="C3340" s="28" t="s">
        <v>979</v>
      </c>
      <c r="D3340" s="28"/>
      <c r="E3340" s="41">
        <v>46142</v>
      </c>
      <c r="F3340" s="47">
        <v>0.61721064814814819</v>
      </c>
      <c r="G3340" s="44">
        <v>6.3</v>
      </c>
      <c r="H3340" s="43" t="s">
        <v>239</v>
      </c>
      <c r="I3340" s="40" t="s">
        <v>1281</v>
      </c>
    </row>
    <row r="3341" spans="1:9" x14ac:dyDescent="0.25">
      <c r="A3341" s="40" t="s">
        <v>309</v>
      </c>
      <c r="B3341" s="28">
        <v>3815</v>
      </c>
      <c r="C3341" s="28" t="s">
        <v>35</v>
      </c>
      <c r="D3341" s="28" t="s">
        <v>38</v>
      </c>
      <c r="E3341" s="41">
        <v>46142</v>
      </c>
      <c r="F3341" s="47">
        <v>0.6413078703703704</v>
      </c>
      <c r="G3341" s="44">
        <v>6.3</v>
      </c>
      <c r="H3341" s="43" t="s">
        <v>233</v>
      </c>
      <c r="I3341" s="40" t="s">
        <v>1281</v>
      </c>
    </row>
    <row r="3342" spans="1:9" x14ac:dyDescent="0.25">
      <c r="A3342" s="40" t="s">
        <v>320</v>
      </c>
      <c r="B3342" s="28">
        <v>3816</v>
      </c>
      <c r="C3342" s="28">
        <v>5637199</v>
      </c>
      <c r="D3342" s="28"/>
      <c r="E3342" s="41">
        <v>46139</v>
      </c>
      <c r="F3342" s="47">
        <v>0.14046296296296296</v>
      </c>
      <c r="G3342" s="44">
        <v>6.3</v>
      </c>
      <c r="H3342" s="43" t="s">
        <v>237</v>
      </c>
      <c r="I3342" s="40" t="s">
        <v>1281</v>
      </c>
    </row>
    <row r="3343" spans="1:9" x14ac:dyDescent="0.25">
      <c r="A3343" s="40" t="s">
        <v>320</v>
      </c>
      <c r="B3343" s="28">
        <v>3816</v>
      </c>
      <c r="C3343" s="28">
        <v>5637199</v>
      </c>
      <c r="D3343" s="28"/>
      <c r="E3343" s="41">
        <v>46139</v>
      </c>
      <c r="F3343" s="47">
        <v>0.14537037037037037</v>
      </c>
      <c r="G3343" s="44">
        <v>6.3</v>
      </c>
      <c r="H3343" s="43" t="s">
        <v>234</v>
      </c>
      <c r="I3343" s="40" t="s">
        <v>1281</v>
      </c>
    </row>
    <row r="3344" spans="1:9" x14ac:dyDescent="0.25">
      <c r="A3344" s="40" t="s">
        <v>320</v>
      </c>
      <c r="B3344" s="28">
        <v>3816</v>
      </c>
      <c r="C3344" s="28" t="s">
        <v>980</v>
      </c>
      <c r="D3344" s="28"/>
      <c r="E3344" s="41">
        <v>46139</v>
      </c>
      <c r="F3344" s="47">
        <v>0.7459837962962963</v>
      </c>
      <c r="G3344" s="44">
        <v>6.3</v>
      </c>
      <c r="H3344" s="43" t="s">
        <v>235</v>
      </c>
      <c r="I3344" s="40" t="s">
        <v>1281</v>
      </c>
    </row>
    <row r="3345" spans="1:9" x14ac:dyDescent="0.25">
      <c r="A3345" s="40" t="s">
        <v>320</v>
      </c>
      <c r="B3345" s="28">
        <v>3816</v>
      </c>
      <c r="C3345" s="28" t="s">
        <v>980</v>
      </c>
      <c r="D3345" s="28"/>
      <c r="E3345" s="41">
        <v>46139</v>
      </c>
      <c r="F3345" s="47">
        <v>0.76021990740740741</v>
      </c>
      <c r="G3345" s="44">
        <v>6.3</v>
      </c>
      <c r="H3345" s="43" t="s">
        <v>239</v>
      </c>
      <c r="I3345" s="40" t="s">
        <v>1281</v>
      </c>
    </row>
    <row r="3346" spans="1:9" x14ac:dyDescent="0.25">
      <c r="A3346" s="40" t="s">
        <v>320</v>
      </c>
      <c r="B3346" s="28">
        <v>3816</v>
      </c>
      <c r="C3346" s="28">
        <v>5636412</v>
      </c>
      <c r="D3346" s="28" t="s">
        <v>37</v>
      </c>
      <c r="E3346" s="41">
        <v>46139</v>
      </c>
      <c r="F3346" s="47">
        <v>0.83491898148148147</v>
      </c>
      <c r="G3346" s="44">
        <v>6.3</v>
      </c>
      <c r="H3346" s="43" t="s">
        <v>237</v>
      </c>
      <c r="I3346" s="40" t="s">
        <v>1281</v>
      </c>
    </row>
    <row r="3347" spans="1:9" x14ac:dyDescent="0.25">
      <c r="A3347" s="40" t="s">
        <v>320</v>
      </c>
      <c r="B3347" s="28">
        <v>3816</v>
      </c>
      <c r="C3347" s="28">
        <v>5636412</v>
      </c>
      <c r="D3347" s="28" t="s">
        <v>37</v>
      </c>
      <c r="E3347" s="45">
        <v>46139</v>
      </c>
      <c r="F3347" s="48">
        <v>0.86214120370370373</v>
      </c>
      <c r="G3347" s="44">
        <v>6.3</v>
      </c>
      <c r="H3347" s="43" t="s">
        <v>234</v>
      </c>
      <c r="I3347" s="40" t="s">
        <v>1281</v>
      </c>
    </row>
    <row r="3348" spans="1:9" x14ac:dyDescent="0.25">
      <c r="A3348" s="40" t="s">
        <v>320</v>
      </c>
      <c r="B3348" s="28">
        <v>3816</v>
      </c>
      <c r="C3348" s="28">
        <v>5643606</v>
      </c>
      <c r="D3348" s="28"/>
      <c r="E3348" s="45">
        <v>46141</v>
      </c>
      <c r="F3348" s="48">
        <v>0.88515046296296296</v>
      </c>
      <c r="G3348" s="44">
        <v>6.3</v>
      </c>
      <c r="H3348" s="43" t="s">
        <v>235</v>
      </c>
      <c r="I3348" s="40" t="s">
        <v>1281</v>
      </c>
    </row>
    <row r="3349" spans="1:9" x14ac:dyDescent="0.25">
      <c r="A3349" s="40" t="s">
        <v>320</v>
      </c>
      <c r="B3349" s="28">
        <v>3816</v>
      </c>
      <c r="C3349" s="28">
        <v>5643606</v>
      </c>
      <c r="D3349" s="28"/>
      <c r="E3349" s="45">
        <v>46141</v>
      </c>
      <c r="F3349" s="48">
        <v>0.89314814814814814</v>
      </c>
      <c r="G3349" s="44">
        <v>6.3</v>
      </c>
      <c r="H3349" s="43" t="s">
        <v>236</v>
      </c>
      <c r="I3349" s="40" t="s">
        <v>1281</v>
      </c>
    </row>
    <row r="3350" spans="1:9" x14ac:dyDescent="0.25">
      <c r="A3350" s="40" t="s">
        <v>320</v>
      </c>
      <c r="B3350" s="28">
        <v>3816</v>
      </c>
      <c r="C3350" s="28" t="s">
        <v>35</v>
      </c>
      <c r="D3350" s="28" t="s">
        <v>38</v>
      </c>
      <c r="E3350" s="41">
        <v>46141</v>
      </c>
      <c r="F3350" s="47">
        <v>0.93729166666666663</v>
      </c>
      <c r="G3350" s="44">
        <v>6.3</v>
      </c>
      <c r="H3350" s="43" t="s">
        <v>237</v>
      </c>
      <c r="I3350" s="40" t="s">
        <v>1281</v>
      </c>
    </row>
    <row r="3351" spans="1:9" x14ac:dyDescent="0.25">
      <c r="A3351" s="40" t="s">
        <v>320</v>
      </c>
      <c r="B3351" s="28">
        <v>3816</v>
      </c>
      <c r="C3351" s="28" t="s">
        <v>35</v>
      </c>
      <c r="D3351" s="28" t="s">
        <v>38</v>
      </c>
      <c r="E3351" s="41">
        <v>46141</v>
      </c>
      <c r="F3351" s="47">
        <v>0.94306712962962957</v>
      </c>
      <c r="G3351" s="44">
        <v>6.3</v>
      </c>
      <c r="H3351" s="43" t="s">
        <v>234</v>
      </c>
      <c r="I3351" s="40" t="s">
        <v>1281</v>
      </c>
    </row>
    <row r="3352" spans="1:9" x14ac:dyDescent="0.25">
      <c r="A3352" s="40" t="s">
        <v>320</v>
      </c>
      <c r="B3352" s="28">
        <v>3816</v>
      </c>
      <c r="C3352" s="28" t="s">
        <v>981</v>
      </c>
      <c r="D3352" s="28"/>
      <c r="E3352" s="41">
        <v>46142</v>
      </c>
      <c r="F3352" s="47">
        <v>0.83797453703703706</v>
      </c>
      <c r="G3352" s="44">
        <v>6.3</v>
      </c>
      <c r="H3352" s="43" t="s">
        <v>235</v>
      </c>
      <c r="I3352" s="40" t="s">
        <v>1281</v>
      </c>
    </row>
    <row r="3353" spans="1:9" x14ac:dyDescent="0.25">
      <c r="A3353" s="40" t="s">
        <v>320</v>
      </c>
      <c r="B3353" s="28">
        <v>3816</v>
      </c>
      <c r="C3353" s="28" t="s">
        <v>981</v>
      </c>
      <c r="D3353" s="28"/>
      <c r="E3353" s="41">
        <v>46142</v>
      </c>
      <c r="F3353" s="47">
        <v>0.84592592592592597</v>
      </c>
      <c r="G3353" s="44">
        <v>6.3</v>
      </c>
      <c r="H3353" s="43" t="s">
        <v>236</v>
      </c>
      <c r="I3353" s="40" t="s">
        <v>1281</v>
      </c>
    </row>
    <row r="3354" spans="1:9" x14ac:dyDescent="0.25">
      <c r="A3354" s="40" t="s">
        <v>320</v>
      </c>
      <c r="B3354" s="28">
        <v>3816</v>
      </c>
      <c r="C3354" s="28">
        <v>5646989</v>
      </c>
      <c r="D3354" s="28"/>
      <c r="E3354" s="41">
        <v>46143</v>
      </c>
      <c r="F3354" s="47">
        <v>0.88642361111111112</v>
      </c>
      <c r="G3354" s="44">
        <v>6.3</v>
      </c>
      <c r="H3354" s="43" t="s">
        <v>235</v>
      </c>
      <c r="I3354" s="40" t="s">
        <v>1282</v>
      </c>
    </row>
    <row r="3355" spans="1:9" x14ac:dyDescent="0.25">
      <c r="A3355" s="40" t="s">
        <v>320</v>
      </c>
      <c r="B3355" s="28">
        <v>3816</v>
      </c>
      <c r="C3355" s="28">
        <v>5646989</v>
      </c>
      <c r="D3355" s="28"/>
      <c r="E3355" s="45">
        <v>46143</v>
      </c>
      <c r="F3355" s="48">
        <v>0.89328703703703705</v>
      </c>
      <c r="G3355" s="44">
        <v>6.3</v>
      </c>
      <c r="H3355" s="43" t="s">
        <v>236</v>
      </c>
      <c r="I3355" s="40" t="s">
        <v>1282</v>
      </c>
    </row>
    <row r="3356" spans="1:9" x14ac:dyDescent="0.25">
      <c r="A3356" s="40" t="s">
        <v>320</v>
      </c>
      <c r="B3356" s="28">
        <v>3816</v>
      </c>
      <c r="C3356" s="28" t="s">
        <v>35</v>
      </c>
      <c r="D3356" s="28" t="s">
        <v>38</v>
      </c>
      <c r="E3356" s="41">
        <v>46143</v>
      </c>
      <c r="F3356" s="47">
        <v>0.92596064814814816</v>
      </c>
      <c r="G3356" s="44">
        <v>6.3</v>
      </c>
      <c r="H3356" s="43" t="s">
        <v>237</v>
      </c>
      <c r="I3356" s="40" t="s">
        <v>1282</v>
      </c>
    </row>
    <row r="3357" spans="1:9" x14ac:dyDescent="0.25">
      <c r="A3357" s="40" t="s">
        <v>320</v>
      </c>
      <c r="B3357" s="28">
        <v>3816</v>
      </c>
      <c r="C3357" s="28" t="s">
        <v>35</v>
      </c>
      <c r="D3357" s="28" t="s">
        <v>38</v>
      </c>
      <c r="E3357" s="45">
        <v>46143</v>
      </c>
      <c r="F3357" s="48">
        <v>0.93125000000000002</v>
      </c>
      <c r="G3357" s="44">
        <v>6.3</v>
      </c>
      <c r="H3357" s="43" t="s">
        <v>234</v>
      </c>
      <c r="I3357" s="40" t="s">
        <v>1282</v>
      </c>
    </row>
    <row r="3358" spans="1:9" x14ac:dyDescent="0.25">
      <c r="A3358" s="40" t="s">
        <v>331</v>
      </c>
      <c r="B3358" s="28">
        <v>3818</v>
      </c>
      <c r="C3358" s="28">
        <v>5638626</v>
      </c>
      <c r="D3358" s="28"/>
      <c r="E3358" s="45">
        <v>46139</v>
      </c>
      <c r="F3358" s="48">
        <v>0.64311342592592591</v>
      </c>
      <c r="G3358" s="44">
        <v>6.3</v>
      </c>
      <c r="H3358" s="43" t="s">
        <v>234</v>
      </c>
      <c r="I3358" s="40" t="s">
        <v>1281</v>
      </c>
    </row>
    <row r="3359" spans="1:9" x14ac:dyDescent="0.25">
      <c r="A3359" s="40" t="s">
        <v>331</v>
      </c>
      <c r="B3359" s="28">
        <v>3818</v>
      </c>
      <c r="C3359" s="28" t="s">
        <v>35</v>
      </c>
      <c r="D3359" s="28" t="s">
        <v>38</v>
      </c>
      <c r="E3359" s="41">
        <v>46140</v>
      </c>
      <c r="F3359" s="47">
        <v>0.69385416666666666</v>
      </c>
      <c r="G3359" s="44">
        <v>6.3</v>
      </c>
      <c r="H3359" s="43" t="s">
        <v>234</v>
      </c>
      <c r="I3359" s="40" t="s">
        <v>1281</v>
      </c>
    </row>
    <row r="3360" spans="1:9" x14ac:dyDescent="0.25">
      <c r="A3360" s="40" t="s">
        <v>331</v>
      </c>
      <c r="B3360" s="28">
        <v>3818</v>
      </c>
      <c r="C3360" s="28" t="s">
        <v>35</v>
      </c>
      <c r="D3360" s="28" t="s">
        <v>38</v>
      </c>
      <c r="E3360" s="41">
        <v>46142</v>
      </c>
      <c r="F3360" s="47">
        <v>0.58195601851851853</v>
      </c>
      <c r="G3360" s="44">
        <v>6.3</v>
      </c>
      <c r="H3360" s="43" t="s">
        <v>239</v>
      </c>
      <c r="I3360" s="40" t="s">
        <v>1281</v>
      </c>
    </row>
    <row r="3361" spans="1:9" x14ac:dyDescent="0.25">
      <c r="A3361" s="40" t="s">
        <v>331</v>
      </c>
      <c r="B3361" s="28">
        <v>3818</v>
      </c>
      <c r="C3361" s="28">
        <v>5644172</v>
      </c>
      <c r="D3361" s="28"/>
      <c r="E3361" s="41">
        <v>46142</v>
      </c>
      <c r="F3361" s="47">
        <v>0.65554398148148152</v>
      </c>
      <c r="G3361" s="44">
        <v>6.3</v>
      </c>
      <c r="H3361" s="43" t="s">
        <v>233</v>
      </c>
      <c r="I3361" s="40" t="s">
        <v>1281</v>
      </c>
    </row>
    <row r="3362" spans="1:9" x14ac:dyDescent="0.25">
      <c r="A3362" s="40" t="s">
        <v>331</v>
      </c>
      <c r="B3362" s="28">
        <v>3818</v>
      </c>
      <c r="C3362" s="28">
        <v>5644172</v>
      </c>
      <c r="D3362" s="28"/>
      <c r="E3362" s="45">
        <v>46142</v>
      </c>
      <c r="F3362" s="48">
        <v>0.67457175925925927</v>
      </c>
      <c r="G3362" s="44">
        <v>6.3</v>
      </c>
      <c r="H3362" s="43" t="s">
        <v>234</v>
      </c>
      <c r="I3362" s="40" t="s">
        <v>1281</v>
      </c>
    </row>
    <row r="3363" spans="1:9" x14ac:dyDescent="0.25">
      <c r="A3363" s="40" t="s">
        <v>331</v>
      </c>
      <c r="B3363" s="28">
        <v>3818</v>
      </c>
      <c r="C3363" s="28">
        <v>5645735</v>
      </c>
      <c r="D3363" s="28"/>
      <c r="E3363" s="41">
        <v>46142</v>
      </c>
      <c r="F3363" s="47">
        <v>0.92940972222222218</v>
      </c>
      <c r="G3363" s="44">
        <v>6.3</v>
      </c>
      <c r="H3363" s="43" t="s">
        <v>235</v>
      </c>
      <c r="I3363" s="40" t="s">
        <v>1282</v>
      </c>
    </row>
    <row r="3364" spans="1:9" x14ac:dyDescent="0.25">
      <c r="A3364" s="40" t="s">
        <v>331</v>
      </c>
      <c r="B3364" s="28">
        <v>3818</v>
      </c>
      <c r="C3364" s="28">
        <v>5645735</v>
      </c>
      <c r="D3364" s="28"/>
      <c r="E3364" s="45">
        <v>46142</v>
      </c>
      <c r="F3364" s="48">
        <v>0.93724537037037037</v>
      </c>
      <c r="G3364" s="44">
        <v>6.3</v>
      </c>
      <c r="H3364" s="43" t="s">
        <v>236</v>
      </c>
      <c r="I3364" s="40" t="s">
        <v>1281</v>
      </c>
    </row>
    <row r="3365" spans="1:9" x14ac:dyDescent="0.25">
      <c r="A3365" s="40" t="s">
        <v>331</v>
      </c>
      <c r="B3365" s="28">
        <v>3818</v>
      </c>
      <c r="C3365" s="28" t="s">
        <v>982</v>
      </c>
      <c r="D3365" s="28"/>
      <c r="E3365" s="41">
        <v>46144</v>
      </c>
      <c r="F3365" s="47">
        <v>0.93252314814814818</v>
      </c>
      <c r="G3365" s="44">
        <v>6.3</v>
      </c>
      <c r="H3365" s="43" t="s">
        <v>235</v>
      </c>
      <c r="I3365" s="40" t="s">
        <v>1282</v>
      </c>
    </row>
    <row r="3366" spans="1:9" x14ac:dyDescent="0.25">
      <c r="A3366" s="40" t="s">
        <v>331</v>
      </c>
      <c r="B3366" s="28">
        <v>3818</v>
      </c>
      <c r="C3366" s="28" t="s">
        <v>982</v>
      </c>
      <c r="D3366" s="28"/>
      <c r="E3366" s="45">
        <v>46144</v>
      </c>
      <c r="F3366" s="48">
        <v>0.9403125</v>
      </c>
      <c r="G3366" s="44">
        <v>6.3</v>
      </c>
      <c r="H3366" s="43" t="s">
        <v>236</v>
      </c>
      <c r="I3366" s="40" t="s">
        <v>1282</v>
      </c>
    </row>
    <row r="3367" spans="1:9" x14ac:dyDescent="0.25">
      <c r="A3367" s="40" t="s">
        <v>331</v>
      </c>
      <c r="B3367" s="28">
        <v>3818</v>
      </c>
      <c r="C3367" s="28" t="s">
        <v>983</v>
      </c>
      <c r="D3367" s="28"/>
      <c r="E3367" s="41">
        <v>46145</v>
      </c>
      <c r="F3367" s="47">
        <v>0.61016203703703709</v>
      </c>
      <c r="G3367" s="44">
        <v>6.3</v>
      </c>
      <c r="H3367" s="43" t="s">
        <v>235</v>
      </c>
      <c r="I3367" s="40" t="s">
        <v>1282</v>
      </c>
    </row>
    <row r="3368" spans="1:9" x14ac:dyDescent="0.25">
      <c r="A3368" s="40" t="s">
        <v>331</v>
      </c>
      <c r="B3368" s="28">
        <v>3818</v>
      </c>
      <c r="C3368" s="28" t="s">
        <v>983</v>
      </c>
      <c r="D3368" s="28"/>
      <c r="E3368" s="41">
        <v>46145</v>
      </c>
      <c r="F3368" s="47">
        <v>0.61710648148148151</v>
      </c>
      <c r="G3368" s="44">
        <v>6.3</v>
      </c>
      <c r="H3368" s="43" t="s">
        <v>236</v>
      </c>
      <c r="I3368" s="40" t="s">
        <v>1282</v>
      </c>
    </row>
    <row r="3369" spans="1:9" x14ac:dyDescent="0.25">
      <c r="A3369" s="40" t="s">
        <v>331</v>
      </c>
      <c r="B3369" s="28">
        <v>3818</v>
      </c>
      <c r="C3369" s="28" t="s">
        <v>35</v>
      </c>
      <c r="D3369" s="28" t="s">
        <v>38</v>
      </c>
      <c r="E3369" s="41">
        <v>46145</v>
      </c>
      <c r="F3369" s="47">
        <v>0.6640625</v>
      </c>
      <c r="G3369" s="44">
        <v>6.3</v>
      </c>
      <c r="H3369" s="43" t="s">
        <v>234</v>
      </c>
      <c r="I3369" s="40" t="s">
        <v>1282</v>
      </c>
    </row>
    <row r="3370" spans="1:9" x14ac:dyDescent="0.25">
      <c r="A3370" s="40" t="s">
        <v>331</v>
      </c>
      <c r="B3370" s="28">
        <v>3818</v>
      </c>
      <c r="C3370" s="28" t="s">
        <v>984</v>
      </c>
      <c r="D3370" s="28"/>
      <c r="E3370" s="41">
        <v>46145</v>
      </c>
      <c r="F3370" s="47">
        <v>0.8162152777777778</v>
      </c>
      <c r="G3370" s="44">
        <v>6.3</v>
      </c>
      <c r="H3370" s="43" t="s">
        <v>235</v>
      </c>
      <c r="I3370" s="40" t="s">
        <v>1282</v>
      </c>
    </row>
    <row r="3371" spans="1:9" x14ac:dyDescent="0.25">
      <c r="A3371" s="40" t="s">
        <v>331</v>
      </c>
      <c r="B3371" s="28">
        <v>3818</v>
      </c>
      <c r="C3371" s="28" t="s">
        <v>984</v>
      </c>
      <c r="D3371" s="28"/>
      <c r="E3371" s="41">
        <v>46145</v>
      </c>
      <c r="F3371" s="47">
        <v>0.82361111111111107</v>
      </c>
      <c r="G3371" s="44">
        <v>6.3</v>
      </c>
      <c r="H3371" s="43" t="s">
        <v>236</v>
      </c>
      <c r="I3371" s="40" t="s">
        <v>1282</v>
      </c>
    </row>
    <row r="3372" spans="1:9" x14ac:dyDescent="0.25">
      <c r="A3372" s="40" t="s">
        <v>331</v>
      </c>
      <c r="B3372" s="28">
        <v>3818</v>
      </c>
      <c r="C3372" s="28" t="s">
        <v>35</v>
      </c>
      <c r="D3372" s="28" t="s">
        <v>38</v>
      </c>
      <c r="E3372" s="41">
        <v>46145</v>
      </c>
      <c r="F3372" s="47">
        <v>0.99133101851851857</v>
      </c>
      <c r="G3372" s="44">
        <v>6.3</v>
      </c>
      <c r="H3372" s="43" t="s">
        <v>235</v>
      </c>
      <c r="I3372" s="40" t="s">
        <v>1282</v>
      </c>
    </row>
    <row r="3373" spans="1:9" x14ac:dyDescent="0.25">
      <c r="A3373" s="40" t="s">
        <v>331</v>
      </c>
      <c r="B3373" s="28">
        <v>3818</v>
      </c>
      <c r="C3373" s="28" t="s">
        <v>35</v>
      </c>
      <c r="D3373" s="28" t="s">
        <v>38</v>
      </c>
      <c r="E3373" s="41">
        <v>46145</v>
      </c>
      <c r="F3373" s="47">
        <v>0.99902777777777774</v>
      </c>
      <c r="G3373" s="44">
        <v>6.3</v>
      </c>
      <c r="H3373" s="43" t="s">
        <v>236</v>
      </c>
      <c r="I3373" s="40" t="s">
        <v>1282</v>
      </c>
    </row>
    <row r="3374" spans="1:9" x14ac:dyDescent="0.25">
      <c r="A3374" s="40" t="s">
        <v>334</v>
      </c>
      <c r="B3374" s="28">
        <v>3829</v>
      </c>
      <c r="C3374" s="28" t="s">
        <v>985</v>
      </c>
      <c r="D3374" s="28"/>
      <c r="E3374" s="41">
        <v>46140</v>
      </c>
      <c r="F3374" s="47">
        <v>0.80440972222222218</v>
      </c>
      <c r="G3374" s="42">
        <v>6.3</v>
      </c>
      <c r="H3374" s="40" t="s">
        <v>235</v>
      </c>
      <c r="I3374" s="40" t="s">
        <v>1281</v>
      </c>
    </row>
    <row r="3375" spans="1:9" x14ac:dyDescent="0.25">
      <c r="A3375" s="40" t="s">
        <v>334</v>
      </c>
      <c r="B3375" s="28">
        <v>3829</v>
      </c>
      <c r="C3375" s="28" t="s">
        <v>985</v>
      </c>
      <c r="D3375" s="28"/>
      <c r="E3375" s="45">
        <v>46140</v>
      </c>
      <c r="F3375" s="48">
        <v>0.82131944444444449</v>
      </c>
      <c r="G3375" s="42">
        <v>6.3</v>
      </c>
      <c r="H3375" s="40" t="s">
        <v>236</v>
      </c>
      <c r="I3375" s="40" t="s">
        <v>1281</v>
      </c>
    </row>
    <row r="3376" spans="1:9" x14ac:dyDescent="0.25">
      <c r="A3376" s="40" t="s">
        <v>334</v>
      </c>
      <c r="B3376" s="28">
        <v>3829</v>
      </c>
      <c r="C3376" s="28" t="s">
        <v>986</v>
      </c>
      <c r="D3376" s="28"/>
      <c r="E3376" s="41">
        <v>46140</v>
      </c>
      <c r="F3376" s="47">
        <v>0.89377314814814812</v>
      </c>
      <c r="G3376" s="44">
        <v>6.3</v>
      </c>
      <c r="H3376" s="43" t="s">
        <v>237</v>
      </c>
      <c r="I3376" s="40" t="s">
        <v>1281</v>
      </c>
    </row>
    <row r="3377" spans="1:9" x14ac:dyDescent="0.25">
      <c r="A3377" s="40" t="s">
        <v>334</v>
      </c>
      <c r="B3377" s="28">
        <v>3829</v>
      </c>
      <c r="C3377" s="28" t="s">
        <v>986</v>
      </c>
      <c r="D3377" s="28"/>
      <c r="E3377" s="41">
        <v>46140</v>
      </c>
      <c r="F3377" s="47">
        <v>0.89907407407407403</v>
      </c>
      <c r="G3377" s="44">
        <v>6.3</v>
      </c>
      <c r="H3377" s="43" t="s">
        <v>234</v>
      </c>
      <c r="I3377" s="40" t="s">
        <v>1281</v>
      </c>
    </row>
    <row r="3378" spans="1:9" x14ac:dyDescent="0.25">
      <c r="A3378" s="40" t="s">
        <v>316</v>
      </c>
      <c r="B3378" s="28">
        <v>3833</v>
      </c>
      <c r="C3378" s="28">
        <v>5638846</v>
      </c>
      <c r="D3378" s="28" t="s">
        <v>37</v>
      </c>
      <c r="E3378" s="41">
        <v>46139</v>
      </c>
      <c r="F3378" s="47">
        <v>0.70724537037037039</v>
      </c>
      <c r="G3378" s="44">
        <v>6.3</v>
      </c>
      <c r="H3378" s="43" t="s">
        <v>235</v>
      </c>
      <c r="I3378" s="40" t="s">
        <v>1281</v>
      </c>
    </row>
    <row r="3379" spans="1:9" x14ac:dyDescent="0.25">
      <c r="A3379" s="40" t="s">
        <v>316</v>
      </c>
      <c r="B3379" s="28">
        <v>3833</v>
      </c>
      <c r="C3379" s="28">
        <v>5638846</v>
      </c>
      <c r="D3379" s="28" t="s">
        <v>37</v>
      </c>
      <c r="E3379" s="41">
        <v>46139</v>
      </c>
      <c r="F3379" s="47">
        <v>0.7181481481481482</v>
      </c>
      <c r="G3379" s="44">
        <v>6.3</v>
      </c>
      <c r="H3379" s="43" t="s">
        <v>236</v>
      </c>
      <c r="I3379" s="40" t="s">
        <v>1281</v>
      </c>
    </row>
    <row r="3380" spans="1:9" x14ac:dyDescent="0.25">
      <c r="A3380" s="40" t="s">
        <v>316</v>
      </c>
      <c r="B3380" s="28">
        <v>3833</v>
      </c>
      <c r="C3380" s="28">
        <v>5638351</v>
      </c>
      <c r="D3380" s="28"/>
      <c r="E3380" s="41">
        <v>46139</v>
      </c>
      <c r="F3380" s="47">
        <v>0.83251157407407406</v>
      </c>
      <c r="G3380" s="44">
        <v>6.3</v>
      </c>
      <c r="H3380" s="43" t="s">
        <v>233</v>
      </c>
      <c r="I3380" s="40" t="s">
        <v>1281</v>
      </c>
    </row>
    <row r="3381" spans="1:9" x14ac:dyDescent="0.25">
      <c r="A3381" s="40" t="s">
        <v>316</v>
      </c>
      <c r="B3381" s="28">
        <v>3833</v>
      </c>
      <c r="C3381" s="28">
        <v>5638351</v>
      </c>
      <c r="D3381" s="28"/>
      <c r="E3381" s="41">
        <v>46139</v>
      </c>
      <c r="F3381" s="47">
        <v>0.85796296296296293</v>
      </c>
      <c r="G3381" s="44">
        <v>6.3</v>
      </c>
      <c r="H3381" s="43" t="s">
        <v>234</v>
      </c>
      <c r="I3381" s="40" t="s">
        <v>1281</v>
      </c>
    </row>
    <row r="3382" spans="1:9" x14ac:dyDescent="0.25">
      <c r="A3382" s="40" t="s">
        <v>316</v>
      </c>
      <c r="B3382" s="28">
        <v>3833</v>
      </c>
      <c r="C3382" s="28">
        <v>5638926</v>
      </c>
      <c r="D3382" s="28" t="s">
        <v>37</v>
      </c>
      <c r="E3382" s="41">
        <v>46140</v>
      </c>
      <c r="F3382" s="47">
        <v>0.71420138888888884</v>
      </c>
      <c r="G3382" s="44">
        <v>6.3</v>
      </c>
      <c r="H3382" s="43" t="s">
        <v>235</v>
      </c>
      <c r="I3382" s="40" t="s">
        <v>1281</v>
      </c>
    </row>
    <row r="3383" spans="1:9" x14ac:dyDescent="0.25">
      <c r="A3383" s="40" t="s">
        <v>316</v>
      </c>
      <c r="B3383" s="28">
        <v>3833</v>
      </c>
      <c r="C3383" s="28">
        <v>5643084</v>
      </c>
      <c r="D3383" s="28"/>
      <c r="E3383" s="45">
        <v>46141</v>
      </c>
      <c r="F3383" s="48">
        <v>0.66704861111111113</v>
      </c>
      <c r="G3383" s="44">
        <v>6.3</v>
      </c>
      <c r="H3383" s="43" t="s">
        <v>235</v>
      </c>
      <c r="I3383" s="40" t="s">
        <v>1281</v>
      </c>
    </row>
    <row r="3384" spans="1:9" x14ac:dyDescent="0.25">
      <c r="A3384" s="40" t="s">
        <v>316</v>
      </c>
      <c r="B3384" s="28">
        <v>3833</v>
      </c>
      <c r="C3384" s="28">
        <v>5643084</v>
      </c>
      <c r="D3384" s="28"/>
      <c r="E3384" s="41">
        <v>46141</v>
      </c>
      <c r="F3384" s="47">
        <v>0.68311342592592594</v>
      </c>
      <c r="G3384" s="44">
        <v>6.3</v>
      </c>
      <c r="H3384" s="43" t="s">
        <v>236</v>
      </c>
      <c r="I3384" s="40" t="s">
        <v>1281</v>
      </c>
    </row>
    <row r="3385" spans="1:9" x14ac:dyDescent="0.25">
      <c r="A3385" s="40" t="s">
        <v>316</v>
      </c>
      <c r="B3385" s="28">
        <v>3833</v>
      </c>
      <c r="C3385" s="28">
        <v>5643113</v>
      </c>
      <c r="D3385" s="28"/>
      <c r="E3385" s="41">
        <v>46141</v>
      </c>
      <c r="F3385" s="47">
        <v>0.7675925925925926</v>
      </c>
      <c r="G3385" s="44">
        <v>6.3</v>
      </c>
      <c r="H3385" s="43" t="s">
        <v>237</v>
      </c>
      <c r="I3385" s="40" t="s">
        <v>1281</v>
      </c>
    </row>
    <row r="3386" spans="1:9" x14ac:dyDescent="0.25">
      <c r="A3386" s="40" t="s">
        <v>316</v>
      </c>
      <c r="B3386" s="28">
        <v>3833</v>
      </c>
      <c r="C3386" s="28" t="s">
        <v>987</v>
      </c>
      <c r="D3386" s="28"/>
      <c r="E3386" s="41">
        <v>46143</v>
      </c>
      <c r="F3386" s="47">
        <v>0.75237268518518519</v>
      </c>
      <c r="G3386" s="44">
        <v>6.3</v>
      </c>
      <c r="H3386" s="43" t="s">
        <v>235</v>
      </c>
      <c r="I3386" s="40" t="s">
        <v>1282</v>
      </c>
    </row>
    <row r="3387" spans="1:9" x14ac:dyDescent="0.25">
      <c r="A3387" s="40" t="s">
        <v>316</v>
      </c>
      <c r="B3387" s="28">
        <v>3833</v>
      </c>
      <c r="C3387" s="28" t="s">
        <v>987</v>
      </c>
      <c r="D3387" s="28"/>
      <c r="E3387" s="41">
        <v>46143</v>
      </c>
      <c r="F3387" s="47">
        <v>0.76026620370370368</v>
      </c>
      <c r="G3387" s="44">
        <v>6.3</v>
      </c>
      <c r="H3387" s="43" t="s">
        <v>236</v>
      </c>
      <c r="I3387" s="40" t="s">
        <v>1282</v>
      </c>
    </row>
    <row r="3388" spans="1:9" x14ac:dyDescent="0.25">
      <c r="A3388" s="40" t="s">
        <v>316</v>
      </c>
      <c r="B3388" s="28">
        <v>3833</v>
      </c>
      <c r="C3388" s="28" t="s">
        <v>988</v>
      </c>
      <c r="D3388" s="28"/>
      <c r="E3388" s="41">
        <v>46144</v>
      </c>
      <c r="F3388" s="47">
        <v>8.9560185185185187E-2</v>
      </c>
      <c r="G3388" s="44">
        <v>6.3</v>
      </c>
      <c r="H3388" s="43" t="s">
        <v>235</v>
      </c>
      <c r="I3388" s="40" t="s">
        <v>1282</v>
      </c>
    </row>
    <row r="3389" spans="1:9" x14ac:dyDescent="0.25">
      <c r="A3389" s="40" t="s">
        <v>316</v>
      </c>
      <c r="B3389" s="28">
        <v>3833</v>
      </c>
      <c r="C3389" s="28" t="s">
        <v>988</v>
      </c>
      <c r="D3389" s="28"/>
      <c r="E3389" s="41">
        <v>46144</v>
      </c>
      <c r="F3389" s="47">
        <v>9.7858796296296291E-2</v>
      </c>
      <c r="G3389" s="44">
        <v>6.3</v>
      </c>
      <c r="H3389" s="43" t="s">
        <v>236</v>
      </c>
      <c r="I3389" s="40" t="s">
        <v>1282</v>
      </c>
    </row>
    <row r="3390" spans="1:9" x14ac:dyDescent="0.25">
      <c r="A3390" s="40" t="s">
        <v>989</v>
      </c>
      <c r="B3390" s="28">
        <v>3838</v>
      </c>
      <c r="C3390" s="28" t="s">
        <v>35</v>
      </c>
      <c r="D3390" s="28" t="s">
        <v>38</v>
      </c>
      <c r="E3390" s="41">
        <v>46139</v>
      </c>
      <c r="F3390" s="47">
        <v>0.88028935185185186</v>
      </c>
      <c r="G3390" s="44">
        <v>6.3</v>
      </c>
      <c r="H3390" s="43" t="s">
        <v>237</v>
      </c>
      <c r="I3390" s="40" t="s">
        <v>1281</v>
      </c>
    </row>
    <row r="3391" spans="1:9" x14ac:dyDescent="0.25">
      <c r="A3391" s="40" t="s">
        <v>989</v>
      </c>
      <c r="B3391" s="28">
        <v>3838</v>
      </c>
      <c r="C3391" s="28" t="s">
        <v>35</v>
      </c>
      <c r="D3391" s="28" t="s">
        <v>38</v>
      </c>
      <c r="E3391" s="41">
        <v>46139</v>
      </c>
      <c r="F3391" s="47">
        <v>0.89614583333333331</v>
      </c>
      <c r="G3391" s="42">
        <v>6.3</v>
      </c>
      <c r="H3391" s="40" t="s">
        <v>234</v>
      </c>
      <c r="I3391" s="40" t="s">
        <v>1281</v>
      </c>
    </row>
    <row r="3392" spans="1:9" x14ac:dyDescent="0.25">
      <c r="A3392" s="40" t="s">
        <v>989</v>
      </c>
      <c r="B3392" s="28">
        <v>3838</v>
      </c>
      <c r="C3392" s="28" t="s">
        <v>35</v>
      </c>
      <c r="D3392" s="28" t="s">
        <v>38</v>
      </c>
      <c r="E3392" s="41">
        <v>46142</v>
      </c>
      <c r="F3392" s="47">
        <v>0.6306018518518518</v>
      </c>
      <c r="G3392" s="42">
        <v>6.3</v>
      </c>
      <c r="H3392" s="40" t="s">
        <v>235</v>
      </c>
      <c r="I3392" s="40" t="s">
        <v>1281</v>
      </c>
    </row>
    <row r="3393" spans="1:9" x14ac:dyDescent="0.25">
      <c r="A3393" s="40" t="s">
        <v>414</v>
      </c>
      <c r="B3393" s="28">
        <v>3840</v>
      </c>
      <c r="C3393" s="28" t="s">
        <v>990</v>
      </c>
      <c r="D3393" s="28"/>
      <c r="E3393" s="45">
        <v>46139</v>
      </c>
      <c r="F3393" s="48">
        <v>0.94888888888888889</v>
      </c>
      <c r="G3393" s="42">
        <v>6.3</v>
      </c>
      <c r="H3393" s="40" t="s">
        <v>235</v>
      </c>
      <c r="I3393" s="40" t="s">
        <v>1281</v>
      </c>
    </row>
    <row r="3394" spans="1:9" x14ac:dyDescent="0.25">
      <c r="A3394" s="40" t="s">
        <v>414</v>
      </c>
      <c r="B3394" s="28">
        <v>3840</v>
      </c>
      <c r="C3394" s="28" t="s">
        <v>990</v>
      </c>
      <c r="D3394" s="28"/>
      <c r="E3394" s="41">
        <v>46139</v>
      </c>
      <c r="F3394" s="47">
        <v>0.95528935185185182</v>
      </c>
      <c r="G3394" s="42">
        <v>6.3</v>
      </c>
      <c r="H3394" s="40" t="s">
        <v>236</v>
      </c>
      <c r="I3394" s="40" t="s">
        <v>1281</v>
      </c>
    </row>
    <row r="3395" spans="1:9" x14ac:dyDescent="0.25">
      <c r="A3395" s="40" t="s">
        <v>414</v>
      </c>
      <c r="B3395" s="28">
        <v>3840</v>
      </c>
      <c r="C3395" s="28" t="s">
        <v>35</v>
      </c>
      <c r="D3395" s="28" t="s">
        <v>38</v>
      </c>
      <c r="E3395" s="45">
        <v>46139</v>
      </c>
      <c r="F3395" s="48">
        <v>0.97017361111111111</v>
      </c>
      <c r="G3395" s="42">
        <v>6.3</v>
      </c>
      <c r="H3395" s="40" t="s">
        <v>237</v>
      </c>
      <c r="I3395" s="40" t="s">
        <v>1281</v>
      </c>
    </row>
    <row r="3396" spans="1:9" x14ac:dyDescent="0.25">
      <c r="A3396" s="40" t="s">
        <v>414</v>
      </c>
      <c r="B3396" s="28">
        <v>3840</v>
      </c>
      <c r="C3396" s="28" t="s">
        <v>35</v>
      </c>
      <c r="D3396" s="28" t="s">
        <v>38</v>
      </c>
      <c r="E3396" s="41">
        <v>46139</v>
      </c>
      <c r="F3396" s="47">
        <v>0.97619212962962965</v>
      </c>
      <c r="G3396" s="42">
        <v>6.3</v>
      </c>
      <c r="H3396" s="40" t="s">
        <v>234</v>
      </c>
      <c r="I3396" s="40" t="s">
        <v>1281</v>
      </c>
    </row>
    <row r="3397" spans="1:9" x14ac:dyDescent="0.25">
      <c r="A3397" s="40" t="s">
        <v>414</v>
      </c>
      <c r="B3397" s="28">
        <v>3840</v>
      </c>
      <c r="C3397" s="28" t="s">
        <v>991</v>
      </c>
      <c r="D3397" s="28"/>
      <c r="E3397" s="41">
        <v>46140</v>
      </c>
      <c r="F3397" s="47">
        <v>0.11539351851851852</v>
      </c>
      <c r="G3397" s="44">
        <v>6.3</v>
      </c>
      <c r="H3397" s="43" t="s">
        <v>235</v>
      </c>
      <c r="I3397" s="40" t="s">
        <v>1281</v>
      </c>
    </row>
    <row r="3398" spans="1:9" x14ac:dyDescent="0.25">
      <c r="A3398" s="40" t="s">
        <v>414</v>
      </c>
      <c r="B3398" s="28">
        <v>3840</v>
      </c>
      <c r="C3398" s="28" t="s">
        <v>991</v>
      </c>
      <c r="D3398" s="28"/>
      <c r="E3398" s="41">
        <v>46140</v>
      </c>
      <c r="F3398" s="47">
        <v>0.12131944444444444</v>
      </c>
      <c r="G3398" s="44">
        <v>6.3</v>
      </c>
      <c r="H3398" s="43" t="s">
        <v>236</v>
      </c>
      <c r="I3398" s="40" t="s">
        <v>1281</v>
      </c>
    </row>
    <row r="3399" spans="1:9" x14ac:dyDescent="0.25">
      <c r="A3399" s="40" t="s">
        <v>414</v>
      </c>
      <c r="B3399" s="28">
        <v>3840</v>
      </c>
      <c r="C3399" s="28" t="s">
        <v>35</v>
      </c>
      <c r="D3399" s="28" t="s">
        <v>38</v>
      </c>
      <c r="E3399" s="45">
        <v>46140</v>
      </c>
      <c r="F3399" s="48">
        <v>0.13858796296296297</v>
      </c>
      <c r="G3399" s="44">
        <v>6.3</v>
      </c>
      <c r="H3399" s="43" t="s">
        <v>237</v>
      </c>
      <c r="I3399" s="40" t="s">
        <v>1281</v>
      </c>
    </row>
    <row r="3400" spans="1:9" x14ac:dyDescent="0.25">
      <c r="A3400" s="40" t="s">
        <v>414</v>
      </c>
      <c r="B3400" s="28">
        <v>3840</v>
      </c>
      <c r="C3400" s="28">
        <v>5641415</v>
      </c>
      <c r="D3400" s="28"/>
      <c r="E3400" s="41">
        <v>46140</v>
      </c>
      <c r="F3400" s="47">
        <v>0.8948842592592593</v>
      </c>
      <c r="G3400" s="44">
        <v>6.3</v>
      </c>
      <c r="H3400" s="43" t="s">
        <v>235</v>
      </c>
      <c r="I3400" s="40" t="s">
        <v>1281</v>
      </c>
    </row>
    <row r="3401" spans="1:9" x14ac:dyDescent="0.25">
      <c r="A3401" s="40" t="s">
        <v>414</v>
      </c>
      <c r="B3401" s="28">
        <v>3840</v>
      </c>
      <c r="C3401" s="28">
        <v>5641415</v>
      </c>
      <c r="D3401" s="28"/>
      <c r="E3401" s="41">
        <v>46140</v>
      </c>
      <c r="F3401" s="47">
        <v>0.90104166666666663</v>
      </c>
      <c r="G3401" s="44">
        <v>6.3</v>
      </c>
      <c r="H3401" s="43" t="s">
        <v>239</v>
      </c>
      <c r="I3401" s="40" t="s">
        <v>1281</v>
      </c>
    </row>
    <row r="3402" spans="1:9" x14ac:dyDescent="0.25">
      <c r="A3402" s="40" t="s">
        <v>414</v>
      </c>
      <c r="B3402" s="28">
        <v>3840</v>
      </c>
      <c r="C3402" s="28">
        <v>5645523</v>
      </c>
      <c r="D3402" s="28"/>
      <c r="E3402" s="41">
        <v>46142</v>
      </c>
      <c r="F3402" s="47">
        <v>0.89291666666666669</v>
      </c>
      <c r="G3402" s="44">
        <v>6.3</v>
      </c>
      <c r="H3402" s="43" t="s">
        <v>235</v>
      </c>
      <c r="I3402" s="40" t="s">
        <v>1281</v>
      </c>
    </row>
    <row r="3403" spans="1:9" x14ac:dyDescent="0.25">
      <c r="A3403" s="40" t="s">
        <v>414</v>
      </c>
      <c r="B3403" s="28">
        <v>3840</v>
      </c>
      <c r="C3403" s="28">
        <v>5645523</v>
      </c>
      <c r="D3403" s="28"/>
      <c r="E3403" s="41">
        <v>46142</v>
      </c>
      <c r="F3403" s="47">
        <v>0.90017361111111116</v>
      </c>
      <c r="G3403" s="44">
        <v>6.3</v>
      </c>
      <c r="H3403" s="43" t="s">
        <v>236</v>
      </c>
      <c r="I3403" s="40" t="s">
        <v>1281</v>
      </c>
    </row>
    <row r="3404" spans="1:9" x14ac:dyDescent="0.25">
      <c r="A3404" s="40" t="s">
        <v>414</v>
      </c>
      <c r="B3404" s="28">
        <v>3840</v>
      </c>
      <c r="C3404" s="28" t="s">
        <v>35</v>
      </c>
      <c r="D3404" s="28" t="s">
        <v>38</v>
      </c>
      <c r="E3404" s="41">
        <v>46142</v>
      </c>
      <c r="F3404" s="47">
        <v>0.93540509259259264</v>
      </c>
      <c r="G3404" s="44">
        <v>6.3</v>
      </c>
      <c r="H3404" s="43" t="s">
        <v>233</v>
      </c>
      <c r="I3404" s="40" t="s">
        <v>1282</v>
      </c>
    </row>
    <row r="3405" spans="1:9" x14ac:dyDescent="0.25">
      <c r="A3405" s="40" t="s">
        <v>414</v>
      </c>
      <c r="B3405" s="28">
        <v>3840</v>
      </c>
      <c r="C3405" s="28" t="s">
        <v>35</v>
      </c>
      <c r="D3405" s="28" t="s">
        <v>38</v>
      </c>
      <c r="E3405" s="41">
        <v>46142</v>
      </c>
      <c r="F3405" s="47">
        <v>0.94833333333333336</v>
      </c>
      <c r="G3405" s="44">
        <v>6.3</v>
      </c>
      <c r="H3405" s="43" t="s">
        <v>234</v>
      </c>
      <c r="I3405" s="40" t="s">
        <v>1281</v>
      </c>
    </row>
    <row r="3406" spans="1:9" x14ac:dyDescent="0.25">
      <c r="A3406" s="40" t="s">
        <v>414</v>
      </c>
      <c r="B3406" s="28">
        <v>3840</v>
      </c>
      <c r="C3406" s="28" t="s">
        <v>35</v>
      </c>
      <c r="D3406" s="28" t="s">
        <v>38</v>
      </c>
      <c r="E3406" s="41">
        <v>46143</v>
      </c>
      <c r="F3406" s="47">
        <v>3.2256944444444442E-2</v>
      </c>
      <c r="G3406" s="44">
        <v>6.3</v>
      </c>
      <c r="H3406" s="43" t="s">
        <v>237</v>
      </c>
      <c r="I3406" s="40" t="s">
        <v>1282</v>
      </c>
    </row>
    <row r="3407" spans="1:9" x14ac:dyDescent="0.25">
      <c r="A3407" s="40" t="s">
        <v>414</v>
      </c>
      <c r="B3407" s="28">
        <v>3840</v>
      </c>
      <c r="C3407" s="28" t="s">
        <v>35</v>
      </c>
      <c r="D3407" s="28" t="s">
        <v>38</v>
      </c>
      <c r="E3407" s="41">
        <v>46143</v>
      </c>
      <c r="F3407" s="47">
        <v>3.7743055555555557E-2</v>
      </c>
      <c r="G3407" s="42">
        <v>6.3</v>
      </c>
      <c r="H3407" s="40" t="s">
        <v>234</v>
      </c>
      <c r="I3407" s="40" t="s">
        <v>1282</v>
      </c>
    </row>
    <row r="3408" spans="1:9" x14ac:dyDescent="0.25">
      <c r="A3408" s="40" t="s">
        <v>414</v>
      </c>
      <c r="B3408" s="28">
        <v>3840</v>
      </c>
      <c r="C3408" s="28" t="s">
        <v>992</v>
      </c>
      <c r="D3408" s="28"/>
      <c r="E3408" s="41">
        <v>46143</v>
      </c>
      <c r="F3408" s="47">
        <v>0.11341435185185185</v>
      </c>
      <c r="G3408" s="42">
        <v>6.3</v>
      </c>
      <c r="H3408" s="40" t="s">
        <v>235</v>
      </c>
      <c r="I3408" s="40" t="s">
        <v>1282</v>
      </c>
    </row>
    <row r="3409" spans="1:9" x14ac:dyDescent="0.25">
      <c r="A3409" s="40" t="s">
        <v>414</v>
      </c>
      <c r="B3409" s="28">
        <v>3840</v>
      </c>
      <c r="C3409" s="28" t="s">
        <v>992</v>
      </c>
      <c r="D3409" s="28"/>
      <c r="E3409" s="41">
        <v>46143</v>
      </c>
      <c r="F3409" s="47">
        <v>0.12061342592592593</v>
      </c>
      <c r="G3409" s="44">
        <v>6.3</v>
      </c>
      <c r="H3409" s="43" t="s">
        <v>236</v>
      </c>
      <c r="I3409" s="40" t="s">
        <v>1282</v>
      </c>
    </row>
    <row r="3410" spans="1:9" x14ac:dyDescent="0.25">
      <c r="A3410" s="40" t="s">
        <v>414</v>
      </c>
      <c r="B3410" s="28">
        <v>3840</v>
      </c>
      <c r="C3410" s="28" t="s">
        <v>993</v>
      </c>
      <c r="D3410" s="28"/>
      <c r="E3410" s="41">
        <v>46144</v>
      </c>
      <c r="F3410" s="47">
        <v>0.41811342592592593</v>
      </c>
      <c r="G3410" s="44">
        <v>6.3</v>
      </c>
      <c r="H3410" s="43" t="s">
        <v>235</v>
      </c>
      <c r="I3410" s="40" t="s">
        <v>1282</v>
      </c>
    </row>
    <row r="3411" spans="1:9" x14ac:dyDescent="0.25">
      <c r="A3411" s="40" t="s">
        <v>414</v>
      </c>
      <c r="B3411" s="28">
        <v>3840</v>
      </c>
      <c r="C3411" s="28" t="s">
        <v>993</v>
      </c>
      <c r="D3411" s="28"/>
      <c r="E3411" s="41">
        <v>46144</v>
      </c>
      <c r="F3411" s="47">
        <v>0.4271875</v>
      </c>
      <c r="G3411" s="44">
        <v>6.3</v>
      </c>
      <c r="H3411" s="43" t="s">
        <v>236</v>
      </c>
      <c r="I3411" s="40" t="s">
        <v>1282</v>
      </c>
    </row>
    <row r="3412" spans="1:9" x14ac:dyDescent="0.25">
      <c r="A3412" s="40" t="s">
        <v>414</v>
      </c>
      <c r="B3412" s="28">
        <v>3840</v>
      </c>
      <c r="C3412" s="28" t="s">
        <v>35</v>
      </c>
      <c r="D3412" s="28" t="s">
        <v>38</v>
      </c>
      <c r="E3412" s="45">
        <v>46144</v>
      </c>
      <c r="F3412" s="48">
        <v>0.44292824074074072</v>
      </c>
      <c r="G3412" s="44">
        <v>6.3</v>
      </c>
      <c r="H3412" s="43" t="s">
        <v>237</v>
      </c>
      <c r="I3412" s="40" t="s">
        <v>1282</v>
      </c>
    </row>
    <row r="3413" spans="1:9" x14ac:dyDescent="0.25">
      <c r="A3413" s="40" t="s">
        <v>414</v>
      </c>
      <c r="B3413" s="28">
        <v>3840</v>
      </c>
      <c r="C3413" s="28" t="s">
        <v>35</v>
      </c>
      <c r="D3413" s="28" t="s">
        <v>38</v>
      </c>
      <c r="E3413" s="41">
        <v>46144</v>
      </c>
      <c r="F3413" s="47">
        <v>0.44850694444444444</v>
      </c>
      <c r="G3413" s="44">
        <v>6.3</v>
      </c>
      <c r="H3413" s="43" t="s">
        <v>234</v>
      </c>
      <c r="I3413" s="40" t="s">
        <v>1282</v>
      </c>
    </row>
    <row r="3414" spans="1:9" x14ac:dyDescent="0.25">
      <c r="A3414" s="40" t="s">
        <v>414</v>
      </c>
      <c r="B3414" s="28">
        <v>3840</v>
      </c>
      <c r="C3414" s="28">
        <v>5648291</v>
      </c>
      <c r="D3414" s="28"/>
      <c r="E3414" s="41">
        <v>46145</v>
      </c>
      <c r="F3414" s="47">
        <v>1.8310185185185186E-2</v>
      </c>
      <c r="G3414" s="44">
        <v>6.3</v>
      </c>
      <c r="H3414" s="43" t="s">
        <v>235</v>
      </c>
      <c r="I3414" s="40" t="s">
        <v>1282</v>
      </c>
    </row>
    <row r="3415" spans="1:9" x14ac:dyDescent="0.25">
      <c r="A3415" s="40" t="s">
        <v>414</v>
      </c>
      <c r="B3415" s="28">
        <v>3840</v>
      </c>
      <c r="C3415" s="28">
        <v>5648291</v>
      </c>
      <c r="D3415" s="28"/>
      <c r="E3415" s="41">
        <v>46145</v>
      </c>
      <c r="F3415" s="47">
        <v>2.4224537037037037E-2</v>
      </c>
      <c r="G3415" s="44">
        <v>6.3</v>
      </c>
      <c r="H3415" s="43" t="s">
        <v>239</v>
      </c>
      <c r="I3415" s="40" t="s">
        <v>1282</v>
      </c>
    </row>
    <row r="3416" spans="1:9" x14ac:dyDescent="0.25">
      <c r="A3416" s="40" t="s">
        <v>414</v>
      </c>
      <c r="B3416" s="28">
        <v>3840</v>
      </c>
      <c r="C3416" s="28" t="s">
        <v>35</v>
      </c>
      <c r="D3416" s="28" t="s">
        <v>38</v>
      </c>
      <c r="E3416" s="41">
        <v>46145</v>
      </c>
      <c r="F3416" s="47">
        <v>6.8888888888888888E-2</v>
      </c>
      <c r="G3416" s="44">
        <v>6.3</v>
      </c>
      <c r="H3416" s="43" t="s">
        <v>233</v>
      </c>
      <c r="I3416" s="40" t="s">
        <v>1282</v>
      </c>
    </row>
    <row r="3417" spans="1:9" x14ac:dyDescent="0.25">
      <c r="A3417" s="40" t="s">
        <v>321</v>
      </c>
      <c r="B3417" s="28">
        <v>3842</v>
      </c>
      <c r="C3417" s="28">
        <v>5644089</v>
      </c>
      <c r="D3417" s="28"/>
      <c r="E3417" s="41">
        <v>46142</v>
      </c>
      <c r="F3417" s="47">
        <v>0.46868055555555554</v>
      </c>
      <c r="G3417" s="44">
        <v>6.3</v>
      </c>
      <c r="H3417" s="43" t="s">
        <v>235</v>
      </c>
      <c r="I3417" s="40" t="s">
        <v>1281</v>
      </c>
    </row>
    <row r="3418" spans="1:9" x14ac:dyDescent="0.25">
      <c r="A3418" s="40" t="s">
        <v>321</v>
      </c>
      <c r="B3418" s="28">
        <v>3842</v>
      </c>
      <c r="C3418" s="28">
        <v>5644089</v>
      </c>
      <c r="D3418" s="28"/>
      <c r="E3418" s="45">
        <v>46142</v>
      </c>
      <c r="F3418" s="48">
        <v>0.48273148148148148</v>
      </c>
      <c r="G3418" s="44">
        <v>6.3</v>
      </c>
      <c r="H3418" s="43" t="s">
        <v>236</v>
      </c>
      <c r="I3418" s="40" t="s">
        <v>1281</v>
      </c>
    </row>
    <row r="3419" spans="1:9" x14ac:dyDescent="0.25">
      <c r="A3419" s="40" t="s">
        <v>321</v>
      </c>
      <c r="B3419" s="28">
        <v>3842</v>
      </c>
      <c r="C3419" s="28">
        <v>5642751</v>
      </c>
      <c r="D3419" s="28"/>
      <c r="E3419" s="41">
        <v>46142</v>
      </c>
      <c r="F3419" s="47">
        <v>0.54410879629629627</v>
      </c>
      <c r="G3419" s="44">
        <v>6.3</v>
      </c>
      <c r="H3419" s="43" t="s">
        <v>233</v>
      </c>
      <c r="I3419" s="40" t="s">
        <v>1281</v>
      </c>
    </row>
    <row r="3420" spans="1:9" x14ac:dyDescent="0.25">
      <c r="A3420" s="40" t="s">
        <v>321</v>
      </c>
      <c r="B3420" s="28">
        <v>3842</v>
      </c>
      <c r="C3420" s="28">
        <v>5642751</v>
      </c>
      <c r="D3420" s="28"/>
      <c r="E3420" s="41">
        <v>46142</v>
      </c>
      <c r="F3420" s="47">
        <v>0.55104166666666665</v>
      </c>
      <c r="G3420" s="44">
        <v>6.3</v>
      </c>
      <c r="H3420" s="43" t="s">
        <v>234</v>
      </c>
      <c r="I3420" s="40" t="s">
        <v>1281</v>
      </c>
    </row>
    <row r="3421" spans="1:9" x14ac:dyDescent="0.25">
      <c r="A3421" s="40" t="s">
        <v>322</v>
      </c>
      <c r="B3421" s="28">
        <v>3855</v>
      </c>
      <c r="C3421" s="28" t="s">
        <v>994</v>
      </c>
      <c r="D3421" s="28"/>
      <c r="E3421" s="41">
        <v>46141</v>
      </c>
      <c r="F3421" s="47">
        <v>0.78010416666666671</v>
      </c>
      <c r="G3421" s="44">
        <v>6.3</v>
      </c>
      <c r="H3421" s="43" t="s">
        <v>235</v>
      </c>
      <c r="I3421" s="40" t="s">
        <v>1281</v>
      </c>
    </row>
    <row r="3422" spans="1:9" x14ac:dyDescent="0.25">
      <c r="A3422" s="40" t="s">
        <v>322</v>
      </c>
      <c r="B3422" s="28">
        <v>3855</v>
      </c>
      <c r="C3422" s="28">
        <v>5644787</v>
      </c>
      <c r="D3422" s="28" t="s">
        <v>37</v>
      </c>
      <c r="E3422" s="41">
        <v>46142</v>
      </c>
      <c r="F3422" s="47">
        <v>0.86967592592592591</v>
      </c>
      <c r="G3422" s="44">
        <v>6.3</v>
      </c>
      <c r="H3422" s="43" t="s">
        <v>234</v>
      </c>
      <c r="I3422" s="40" t="s">
        <v>1281</v>
      </c>
    </row>
    <row r="3423" spans="1:9" x14ac:dyDescent="0.25">
      <c r="A3423" s="40" t="s">
        <v>322</v>
      </c>
      <c r="B3423" s="28">
        <v>3855</v>
      </c>
      <c r="C3423" s="28">
        <v>5646757</v>
      </c>
      <c r="D3423" s="28"/>
      <c r="E3423" s="41">
        <v>46143</v>
      </c>
      <c r="F3423" s="47">
        <v>0.79787037037037034</v>
      </c>
      <c r="G3423" s="44">
        <v>6.3</v>
      </c>
      <c r="H3423" s="43" t="s">
        <v>235</v>
      </c>
      <c r="I3423" s="40" t="s">
        <v>1282</v>
      </c>
    </row>
    <row r="3424" spans="1:9" x14ac:dyDescent="0.25">
      <c r="A3424" s="40" t="s">
        <v>322</v>
      </c>
      <c r="B3424" s="28">
        <v>3855</v>
      </c>
      <c r="C3424" s="28">
        <v>5646757</v>
      </c>
      <c r="D3424" s="28"/>
      <c r="E3424" s="41">
        <v>46143</v>
      </c>
      <c r="F3424" s="47">
        <v>0.80505787037037035</v>
      </c>
      <c r="G3424" s="42">
        <v>6.3</v>
      </c>
      <c r="H3424" s="40" t="s">
        <v>239</v>
      </c>
      <c r="I3424" s="40" t="s">
        <v>1282</v>
      </c>
    </row>
    <row r="3425" spans="1:9" x14ac:dyDescent="0.25">
      <c r="A3425" s="40" t="s">
        <v>322</v>
      </c>
      <c r="B3425" s="28">
        <v>3855</v>
      </c>
      <c r="C3425" s="28" t="s">
        <v>995</v>
      </c>
      <c r="D3425" s="28"/>
      <c r="E3425" s="41">
        <v>46144</v>
      </c>
      <c r="F3425" s="47">
        <v>0.83938657407407402</v>
      </c>
      <c r="G3425" s="42">
        <v>6.3</v>
      </c>
      <c r="H3425" s="40" t="s">
        <v>235</v>
      </c>
      <c r="I3425" s="40" t="s">
        <v>1282</v>
      </c>
    </row>
    <row r="3426" spans="1:9" x14ac:dyDescent="0.25">
      <c r="A3426" s="40" t="s">
        <v>996</v>
      </c>
      <c r="B3426" s="28">
        <v>3905</v>
      </c>
      <c r="C3426" s="28" t="s">
        <v>997</v>
      </c>
      <c r="D3426" s="28"/>
      <c r="E3426" s="41">
        <v>46139</v>
      </c>
      <c r="F3426" s="47">
        <v>0.74123842592592593</v>
      </c>
      <c r="G3426" s="42">
        <v>6.3</v>
      </c>
      <c r="H3426" s="40" t="s">
        <v>237</v>
      </c>
      <c r="I3426" s="40" t="s">
        <v>1281</v>
      </c>
    </row>
    <row r="3427" spans="1:9" x14ac:dyDescent="0.25">
      <c r="A3427" s="40" t="s">
        <v>996</v>
      </c>
      <c r="B3427" s="28">
        <v>3905</v>
      </c>
      <c r="C3427" s="28" t="s">
        <v>997</v>
      </c>
      <c r="D3427" s="28"/>
      <c r="E3427" s="41">
        <v>46139</v>
      </c>
      <c r="F3427" s="47">
        <v>0.76655092592592589</v>
      </c>
      <c r="G3427" s="44">
        <v>6.3</v>
      </c>
      <c r="H3427" s="43" t="s">
        <v>234</v>
      </c>
      <c r="I3427" s="40" t="s">
        <v>1281</v>
      </c>
    </row>
    <row r="3428" spans="1:9" x14ac:dyDescent="0.25">
      <c r="A3428" s="40" t="s">
        <v>996</v>
      </c>
      <c r="B3428" s="28">
        <v>3905</v>
      </c>
      <c r="C3428" s="28" t="s">
        <v>998</v>
      </c>
      <c r="D3428" s="28"/>
      <c r="E3428" s="41">
        <v>46139</v>
      </c>
      <c r="F3428" s="47">
        <v>0.95996527777777774</v>
      </c>
      <c r="G3428" s="44">
        <v>6.3</v>
      </c>
      <c r="H3428" s="43" t="s">
        <v>235</v>
      </c>
      <c r="I3428" s="40" t="s">
        <v>1281</v>
      </c>
    </row>
    <row r="3429" spans="1:9" x14ac:dyDescent="0.25">
      <c r="A3429" s="40" t="s">
        <v>996</v>
      </c>
      <c r="B3429" s="28">
        <v>3905</v>
      </c>
      <c r="C3429" s="28" t="s">
        <v>998</v>
      </c>
      <c r="D3429" s="28"/>
      <c r="E3429" s="41">
        <v>46139</v>
      </c>
      <c r="F3429" s="47">
        <v>0.96693287037037035</v>
      </c>
      <c r="G3429" s="44">
        <v>6.3</v>
      </c>
      <c r="H3429" s="43" t="s">
        <v>236</v>
      </c>
      <c r="I3429" s="40" t="s">
        <v>1281</v>
      </c>
    </row>
    <row r="3430" spans="1:9" x14ac:dyDescent="0.25">
      <c r="A3430" s="40" t="s">
        <v>996</v>
      </c>
      <c r="B3430" s="28">
        <v>3905</v>
      </c>
      <c r="C3430" s="28" t="s">
        <v>999</v>
      </c>
      <c r="D3430" s="28"/>
      <c r="E3430" s="45">
        <v>46140</v>
      </c>
      <c r="F3430" s="48">
        <v>0.86954861111111115</v>
      </c>
      <c r="G3430" s="44">
        <v>6.3</v>
      </c>
      <c r="H3430" s="43" t="s">
        <v>235</v>
      </c>
      <c r="I3430" s="40" t="s">
        <v>1281</v>
      </c>
    </row>
    <row r="3431" spans="1:9" x14ac:dyDescent="0.25">
      <c r="A3431" s="40" t="s">
        <v>996</v>
      </c>
      <c r="B3431" s="28">
        <v>3905</v>
      </c>
      <c r="C3431" s="28" t="s">
        <v>999</v>
      </c>
      <c r="D3431" s="28"/>
      <c r="E3431" s="41">
        <v>46140</v>
      </c>
      <c r="F3431" s="47">
        <v>0.87697916666666664</v>
      </c>
      <c r="G3431" s="44">
        <v>6.3</v>
      </c>
      <c r="H3431" s="43" t="s">
        <v>236</v>
      </c>
      <c r="I3431" s="40" t="s">
        <v>1281</v>
      </c>
    </row>
    <row r="3432" spans="1:9" x14ac:dyDescent="0.25">
      <c r="A3432" s="40" t="s">
        <v>996</v>
      </c>
      <c r="B3432" s="28">
        <v>3905</v>
      </c>
      <c r="C3432" s="28" t="s">
        <v>35</v>
      </c>
      <c r="D3432" s="28" t="s">
        <v>38</v>
      </c>
      <c r="E3432" s="41">
        <v>46141</v>
      </c>
      <c r="F3432" s="47">
        <v>0.96606481481481477</v>
      </c>
      <c r="G3432" s="44">
        <v>6.3</v>
      </c>
      <c r="H3432" s="43" t="s">
        <v>237</v>
      </c>
      <c r="I3432" s="40" t="s">
        <v>1281</v>
      </c>
    </row>
    <row r="3433" spans="1:9" x14ac:dyDescent="0.25">
      <c r="A3433" s="40" t="s">
        <v>996</v>
      </c>
      <c r="B3433" s="28">
        <v>3905</v>
      </c>
      <c r="C3433" s="28" t="s">
        <v>35</v>
      </c>
      <c r="D3433" s="28" t="s">
        <v>38</v>
      </c>
      <c r="E3433" s="41">
        <v>46141</v>
      </c>
      <c r="F3433" s="47">
        <v>0.97236111111111112</v>
      </c>
      <c r="G3433" s="44">
        <v>6.3</v>
      </c>
      <c r="H3433" s="43" t="s">
        <v>234</v>
      </c>
      <c r="I3433" s="40" t="s">
        <v>1281</v>
      </c>
    </row>
    <row r="3434" spans="1:9" x14ac:dyDescent="0.25">
      <c r="A3434" s="40" t="s">
        <v>996</v>
      </c>
      <c r="B3434" s="28">
        <v>3905</v>
      </c>
      <c r="C3434" s="28" t="s">
        <v>1000</v>
      </c>
      <c r="D3434" s="28"/>
      <c r="E3434" s="41">
        <v>46143</v>
      </c>
      <c r="F3434" s="47">
        <v>0.18182870370370371</v>
      </c>
      <c r="G3434" s="44">
        <v>6.3</v>
      </c>
      <c r="H3434" s="43" t="s">
        <v>237</v>
      </c>
      <c r="I3434" s="40" t="s">
        <v>1282</v>
      </c>
    </row>
    <row r="3435" spans="1:9" x14ac:dyDescent="0.25">
      <c r="A3435" s="40" t="s">
        <v>996</v>
      </c>
      <c r="B3435" s="28">
        <v>3905</v>
      </c>
      <c r="C3435" s="28" t="s">
        <v>1000</v>
      </c>
      <c r="D3435" s="28"/>
      <c r="E3435" s="41">
        <v>46143</v>
      </c>
      <c r="F3435" s="47">
        <v>0.18892361111111111</v>
      </c>
      <c r="G3435" s="44">
        <v>6.3</v>
      </c>
      <c r="H3435" s="43" t="s">
        <v>234</v>
      </c>
      <c r="I3435" s="40" t="s">
        <v>1282</v>
      </c>
    </row>
    <row r="3436" spans="1:9" x14ac:dyDescent="0.25">
      <c r="A3436" s="40" t="s">
        <v>996</v>
      </c>
      <c r="B3436" s="28">
        <v>3905</v>
      </c>
      <c r="C3436" s="28" t="s">
        <v>1001</v>
      </c>
      <c r="D3436" s="28"/>
      <c r="E3436" s="45">
        <v>46143</v>
      </c>
      <c r="F3436" s="48">
        <v>0.23215277777777779</v>
      </c>
      <c r="G3436" s="44">
        <v>6.3</v>
      </c>
      <c r="H3436" s="43" t="s">
        <v>235</v>
      </c>
      <c r="I3436" s="40" t="s">
        <v>1282</v>
      </c>
    </row>
    <row r="3437" spans="1:9" x14ac:dyDescent="0.25">
      <c r="A3437" s="40" t="s">
        <v>996</v>
      </c>
      <c r="B3437" s="28">
        <v>3905</v>
      </c>
      <c r="C3437" s="28" t="s">
        <v>1001</v>
      </c>
      <c r="D3437" s="28"/>
      <c r="E3437" s="41">
        <v>46143</v>
      </c>
      <c r="F3437" s="47">
        <v>0.23866898148148147</v>
      </c>
      <c r="G3437" s="44">
        <v>6.3</v>
      </c>
      <c r="H3437" s="43" t="s">
        <v>236</v>
      </c>
      <c r="I3437" s="40" t="s">
        <v>1282</v>
      </c>
    </row>
    <row r="3438" spans="1:9" x14ac:dyDescent="0.25">
      <c r="A3438" s="40" t="s">
        <v>996</v>
      </c>
      <c r="B3438" s="28">
        <v>3905</v>
      </c>
      <c r="C3438" s="28">
        <v>5645873</v>
      </c>
      <c r="D3438" s="28"/>
      <c r="E3438" s="41">
        <v>46143</v>
      </c>
      <c r="F3438" s="47">
        <v>0.30071759259259262</v>
      </c>
      <c r="G3438" s="44">
        <v>6.3</v>
      </c>
      <c r="H3438" s="43" t="s">
        <v>237</v>
      </c>
      <c r="I3438" s="40" t="s">
        <v>1282</v>
      </c>
    </row>
    <row r="3439" spans="1:9" x14ac:dyDescent="0.25">
      <c r="A3439" s="40" t="s">
        <v>996</v>
      </c>
      <c r="B3439" s="28">
        <v>3905</v>
      </c>
      <c r="C3439" s="28">
        <v>5645873</v>
      </c>
      <c r="D3439" s="28"/>
      <c r="E3439" s="41">
        <v>46143</v>
      </c>
      <c r="F3439" s="47">
        <v>0.3137847222222222</v>
      </c>
      <c r="G3439" s="44">
        <v>6.3</v>
      </c>
      <c r="H3439" s="43" t="s">
        <v>234</v>
      </c>
      <c r="I3439" s="40" t="s">
        <v>1282</v>
      </c>
    </row>
    <row r="3440" spans="1:9" x14ac:dyDescent="0.25">
      <c r="A3440" s="40" t="s">
        <v>996</v>
      </c>
      <c r="B3440" s="28">
        <v>3905</v>
      </c>
      <c r="C3440" s="28" t="s">
        <v>1002</v>
      </c>
      <c r="D3440" s="28"/>
      <c r="E3440" s="41">
        <v>46143</v>
      </c>
      <c r="F3440" s="47">
        <v>0.58090277777777777</v>
      </c>
      <c r="G3440" s="42">
        <v>6.3</v>
      </c>
      <c r="H3440" s="40" t="s">
        <v>235</v>
      </c>
      <c r="I3440" s="40" t="s">
        <v>1282</v>
      </c>
    </row>
    <row r="3441" spans="1:9" x14ac:dyDescent="0.25">
      <c r="A3441" s="40" t="s">
        <v>996</v>
      </c>
      <c r="B3441" s="28">
        <v>3905</v>
      </c>
      <c r="C3441" s="28" t="s">
        <v>1002</v>
      </c>
      <c r="D3441" s="28"/>
      <c r="E3441" s="41">
        <v>46143</v>
      </c>
      <c r="F3441" s="47">
        <v>0.58782407407407411</v>
      </c>
      <c r="G3441" s="42">
        <v>6.3</v>
      </c>
      <c r="H3441" s="40" t="s">
        <v>236</v>
      </c>
      <c r="I3441" s="40" t="s">
        <v>1282</v>
      </c>
    </row>
    <row r="3442" spans="1:9" x14ac:dyDescent="0.25">
      <c r="A3442" s="40" t="s">
        <v>408</v>
      </c>
      <c r="B3442" s="28">
        <v>3912</v>
      </c>
      <c r="C3442" s="28">
        <v>5641753</v>
      </c>
      <c r="D3442" s="28"/>
      <c r="E3442" s="41">
        <v>46140</v>
      </c>
      <c r="F3442" s="47">
        <v>0.92355324074074074</v>
      </c>
      <c r="G3442" s="44">
        <v>6.3</v>
      </c>
      <c r="H3442" s="43" t="s">
        <v>235</v>
      </c>
      <c r="I3442" s="40" t="s">
        <v>1281</v>
      </c>
    </row>
    <row r="3443" spans="1:9" x14ac:dyDescent="0.25">
      <c r="A3443" s="40" t="s">
        <v>408</v>
      </c>
      <c r="B3443" s="28">
        <v>3912</v>
      </c>
      <c r="C3443" s="28" t="s">
        <v>1003</v>
      </c>
      <c r="D3443" s="28"/>
      <c r="E3443" s="41">
        <v>46142</v>
      </c>
      <c r="F3443" s="47">
        <v>0.80559027777777781</v>
      </c>
      <c r="G3443" s="44">
        <v>6.3</v>
      </c>
      <c r="H3443" s="43" t="s">
        <v>235</v>
      </c>
      <c r="I3443" s="40" t="s">
        <v>1281</v>
      </c>
    </row>
    <row r="3444" spans="1:9" x14ac:dyDescent="0.25">
      <c r="A3444" s="40" t="s">
        <v>408</v>
      </c>
      <c r="B3444" s="28">
        <v>3912</v>
      </c>
      <c r="C3444" s="28" t="s">
        <v>1003</v>
      </c>
      <c r="D3444" s="28"/>
      <c r="E3444" s="41">
        <v>46142</v>
      </c>
      <c r="F3444" s="47">
        <v>0.81548611111111113</v>
      </c>
      <c r="G3444" s="44">
        <v>6.3</v>
      </c>
      <c r="H3444" s="43" t="s">
        <v>236</v>
      </c>
      <c r="I3444" s="40" t="s">
        <v>1281</v>
      </c>
    </row>
    <row r="3445" spans="1:9" x14ac:dyDescent="0.25">
      <c r="A3445" s="40" t="s">
        <v>408</v>
      </c>
      <c r="B3445" s="28">
        <v>3912</v>
      </c>
      <c r="C3445" s="28" t="s">
        <v>1004</v>
      </c>
      <c r="D3445" s="28"/>
      <c r="E3445" s="41">
        <v>46145</v>
      </c>
      <c r="F3445" s="47">
        <v>0.83379629629629626</v>
      </c>
      <c r="G3445" s="44">
        <v>6.3</v>
      </c>
      <c r="H3445" s="43" t="s">
        <v>235</v>
      </c>
      <c r="I3445" s="40" t="s">
        <v>1282</v>
      </c>
    </row>
    <row r="3446" spans="1:9" x14ac:dyDescent="0.25">
      <c r="A3446" s="40" t="s">
        <v>408</v>
      </c>
      <c r="B3446" s="28">
        <v>3912</v>
      </c>
      <c r="C3446" s="28" t="s">
        <v>1004</v>
      </c>
      <c r="D3446" s="28"/>
      <c r="E3446" s="41">
        <v>46145</v>
      </c>
      <c r="F3446" s="47">
        <v>0.84059027777777773</v>
      </c>
      <c r="G3446" s="44">
        <v>6.3</v>
      </c>
      <c r="H3446" s="43" t="s">
        <v>236</v>
      </c>
      <c r="I3446" s="40" t="s">
        <v>1282</v>
      </c>
    </row>
    <row r="3447" spans="1:9" x14ac:dyDescent="0.25">
      <c r="A3447" s="40" t="s">
        <v>408</v>
      </c>
      <c r="B3447" s="28">
        <v>3912</v>
      </c>
      <c r="C3447" s="28" t="s">
        <v>1005</v>
      </c>
      <c r="D3447" s="28"/>
      <c r="E3447" s="41">
        <v>46145</v>
      </c>
      <c r="F3447" s="47">
        <v>0.98917824074074079</v>
      </c>
      <c r="G3447" s="44">
        <v>6.3</v>
      </c>
      <c r="H3447" s="43" t="s">
        <v>235</v>
      </c>
      <c r="I3447" s="40" t="s">
        <v>1282</v>
      </c>
    </row>
    <row r="3448" spans="1:9" x14ac:dyDescent="0.25">
      <c r="A3448" s="40" t="s">
        <v>408</v>
      </c>
      <c r="B3448" s="28">
        <v>3912</v>
      </c>
      <c r="C3448" s="28" t="s">
        <v>1005</v>
      </c>
      <c r="D3448" s="28"/>
      <c r="E3448" s="45">
        <v>46145</v>
      </c>
      <c r="F3448" s="48">
        <v>0.99594907407407407</v>
      </c>
      <c r="G3448" s="44">
        <v>6.3</v>
      </c>
      <c r="H3448" s="43" t="s">
        <v>236</v>
      </c>
      <c r="I3448" s="40" t="s">
        <v>1282</v>
      </c>
    </row>
    <row r="3449" spans="1:9" x14ac:dyDescent="0.25">
      <c r="A3449" s="40" t="s">
        <v>353</v>
      </c>
      <c r="B3449" s="28">
        <v>3917</v>
      </c>
      <c r="C3449" s="28">
        <v>5640069</v>
      </c>
      <c r="D3449" s="28"/>
      <c r="E3449" s="45">
        <v>46140</v>
      </c>
      <c r="F3449" s="48">
        <v>0.36649305555555556</v>
      </c>
      <c r="G3449" s="44">
        <v>6.3</v>
      </c>
      <c r="H3449" s="43" t="s">
        <v>233</v>
      </c>
      <c r="I3449" s="40" t="s">
        <v>1281</v>
      </c>
    </row>
    <row r="3450" spans="1:9" x14ac:dyDescent="0.25">
      <c r="A3450" s="40" t="s">
        <v>353</v>
      </c>
      <c r="B3450" s="28">
        <v>3917</v>
      </c>
      <c r="C3450" s="28">
        <v>5640069</v>
      </c>
      <c r="D3450" s="28"/>
      <c r="E3450" s="41">
        <v>46140</v>
      </c>
      <c r="F3450" s="47">
        <v>0.38121527777777775</v>
      </c>
      <c r="G3450" s="42">
        <v>6.3</v>
      </c>
      <c r="H3450" s="40" t="s">
        <v>234</v>
      </c>
      <c r="I3450" s="40" t="s">
        <v>1281</v>
      </c>
    </row>
    <row r="3451" spans="1:9" x14ac:dyDescent="0.25">
      <c r="A3451" s="40" t="s">
        <v>353</v>
      </c>
      <c r="B3451" s="28">
        <v>3917</v>
      </c>
      <c r="C3451" s="28">
        <v>5640206</v>
      </c>
      <c r="D3451" s="28"/>
      <c r="E3451" s="45">
        <v>46140</v>
      </c>
      <c r="F3451" s="48">
        <v>0.69123842592592588</v>
      </c>
      <c r="G3451" s="42">
        <v>6.3</v>
      </c>
      <c r="H3451" s="40" t="s">
        <v>235</v>
      </c>
      <c r="I3451" s="40" t="s">
        <v>1281</v>
      </c>
    </row>
    <row r="3452" spans="1:9" x14ac:dyDescent="0.25">
      <c r="A3452" s="40" t="s">
        <v>353</v>
      </c>
      <c r="B3452" s="28">
        <v>3917</v>
      </c>
      <c r="C3452" s="28">
        <v>5641121</v>
      </c>
      <c r="D3452" s="28"/>
      <c r="E3452" s="41">
        <v>46141</v>
      </c>
      <c r="F3452" s="47">
        <v>0.21930555555555556</v>
      </c>
      <c r="G3452" s="42">
        <v>6.3</v>
      </c>
      <c r="H3452" s="40" t="s">
        <v>236</v>
      </c>
      <c r="I3452" s="40" t="s">
        <v>1281</v>
      </c>
    </row>
    <row r="3453" spans="1:9" x14ac:dyDescent="0.25">
      <c r="A3453" s="40" t="s">
        <v>353</v>
      </c>
      <c r="B3453" s="28">
        <v>3917</v>
      </c>
      <c r="C3453" s="28">
        <v>5641550</v>
      </c>
      <c r="D3453" s="28"/>
      <c r="E3453" s="41">
        <v>46141</v>
      </c>
      <c r="F3453" s="47">
        <v>0.48096064814814815</v>
      </c>
      <c r="G3453" s="42">
        <v>6.3</v>
      </c>
      <c r="H3453" s="40" t="s">
        <v>236</v>
      </c>
      <c r="I3453" s="40" t="s">
        <v>1281</v>
      </c>
    </row>
    <row r="3454" spans="1:9" x14ac:dyDescent="0.25">
      <c r="A3454" s="40" t="s">
        <v>353</v>
      </c>
      <c r="B3454" s="28">
        <v>3917</v>
      </c>
      <c r="C3454" s="28">
        <v>5642525</v>
      </c>
      <c r="D3454" s="28"/>
      <c r="E3454" s="41">
        <v>46141</v>
      </c>
      <c r="F3454" s="47">
        <v>0.61052083333333329</v>
      </c>
      <c r="G3454" s="42">
        <v>6.3</v>
      </c>
      <c r="H3454" s="40" t="s">
        <v>237</v>
      </c>
      <c r="I3454" s="40" t="s">
        <v>1281</v>
      </c>
    </row>
    <row r="3455" spans="1:9" x14ac:dyDescent="0.25">
      <c r="A3455" s="40" t="s">
        <v>353</v>
      </c>
      <c r="B3455" s="28">
        <v>3917</v>
      </c>
      <c r="C3455" s="28">
        <v>5643048</v>
      </c>
      <c r="D3455" s="28"/>
      <c r="E3455" s="41">
        <v>46141</v>
      </c>
      <c r="F3455" s="47">
        <v>0.73942129629629627</v>
      </c>
      <c r="G3455" s="42">
        <v>6.3</v>
      </c>
      <c r="H3455" s="40" t="s">
        <v>236</v>
      </c>
      <c r="I3455" s="40" t="s">
        <v>1281</v>
      </c>
    </row>
    <row r="3456" spans="1:9" x14ac:dyDescent="0.25">
      <c r="A3456" s="40" t="s">
        <v>404</v>
      </c>
      <c r="B3456" s="28">
        <v>3924</v>
      </c>
      <c r="C3456" s="28">
        <v>5636762</v>
      </c>
      <c r="D3456" s="28"/>
      <c r="E3456" s="41">
        <v>46139</v>
      </c>
      <c r="F3456" s="47">
        <v>0.50408564814814816</v>
      </c>
      <c r="G3456" s="44">
        <v>6.3</v>
      </c>
      <c r="H3456" s="43" t="s">
        <v>237</v>
      </c>
      <c r="I3456" s="40" t="s">
        <v>1281</v>
      </c>
    </row>
    <row r="3457" spans="1:9" x14ac:dyDescent="0.25">
      <c r="A3457" s="40" t="s">
        <v>404</v>
      </c>
      <c r="B3457" s="28">
        <v>3924</v>
      </c>
      <c r="C3457" s="28">
        <v>5636762</v>
      </c>
      <c r="D3457" s="28"/>
      <c r="E3457" s="45">
        <v>46139</v>
      </c>
      <c r="F3457" s="48">
        <v>0.5113657407407407</v>
      </c>
      <c r="G3457" s="44">
        <v>6.3</v>
      </c>
      <c r="H3457" s="43" t="s">
        <v>234</v>
      </c>
      <c r="I3457" s="40" t="s">
        <v>1281</v>
      </c>
    </row>
    <row r="3458" spans="1:9" x14ac:dyDescent="0.25">
      <c r="A3458" s="40" t="s">
        <v>404</v>
      </c>
      <c r="B3458" s="28">
        <v>3924</v>
      </c>
      <c r="C3458" s="28">
        <v>5636709</v>
      </c>
      <c r="D3458" s="28"/>
      <c r="E3458" s="41">
        <v>46139</v>
      </c>
      <c r="F3458" s="47">
        <v>0.59855324074074079</v>
      </c>
      <c r="G3458" s="44">
        <v>6.3</v>
      </c>
      <c r="H3458" s="43" t="s">
        <v>235</v>
      </c>
      <c r="I3458" s="40" t="s">
        <v>1281</v>
      </c>
    </row>
    <row r="3459" spans="1:9" x14ac:dyDescent="0.25">
      <c r="A3459" s="40" t="s">
        <v>404</v>
      </c>
      <c r="B3459" s="28">
        <v>3924</v>
      </c>
      <c r="C3459" s="28">
        <v>5636709</v>
      </c>
      <c r="D3459" s="28"/>
      <c r="E3459" s="41">
        <v>46139</v>
      </c>
      <c r="F3459" s="47">
        <v>0.60829861111111116</v>
      </c>
      <c r="G3459" s="44">
        <v>6.3</v>
      </c>
      <c r="H3459" s="43" t="s">
        <v>236</v>
      </c>
      <c r="I3459" s="40" t="s">
        <v>1281</v>
      </c>
    </row>
    <row r="3460" spans="1:9" x14ac:dyDescent="0.25">
      <c r="A3460" s="40" t="s">
        <v>404</v>
      </c>
      <c r="B3460" s="28">
        <v>3924</v>
      </c>
      <c r="C3460" s="28">
        <v>5638060</v>
      </c>
      <c r="D3460" s="28"/>
      <c r="E3460" s="41">
        <v>46139</v>
      </c>
      <c r="F3460" s="47">
        <v>0.7678935185185185</v>
      </c>
      <c r="G3460" s="44">
        <v>6.3</v>
      </c>
      <c r="H3460" s="43" t="s">
        <v>233</v>
      </c>
      <c r="I3460" s="40" t="s">
        <v>1281</v>
      </c>
    </row>
    <row r="3461" spans="1:9" x14ac:dyDescent="0.25">
      <c r="A3461" s="40" t="s">
        <v>404</v>
      </c>
      <c r="B3461" s="28">
        <v>3924</v>
      </c>
      <c r="C3461" s="28">
        <v>5638060</v>
      </c>
      <c r="D3461" s="28"/>
      <c r="E3461" s="45">
        <v>46139</v>
      </c>
      <c r="F3461" s="48">
        <v>0.80653935185185188</v>
      </c>
      <c r="G3461" s="44">
        <v>6.3</v>
      </c>
      <c r="H3461" s="43" t="s">
        <v>234</v>
      </c>
      <c r="I3461" s="40" t="s">
        <v>1281</v>
      </c>
    </row>
    <row r="3462" spans="1:9" x14ac:dyDescent="0.25">
      <c r="A3462" s="40" t="s">
        <v>404</v>
      </c>
      <c r="B3462" s="28">
        <v>3924</v>
      </c>
      <c r="C3462" s="28">
        <v>5640827</v>
      </c>
      <c r="D3462" s="28"/>
      <c r="E3462" s="41">
        <v>46141</v>
      </c>
      <c r="F3462" s="47">
        <v>0.54347222222222225</v>
      </c>
      <c r="G3462" s="44">
        <v>6.3</v>
      </c>
      <c r="H3462" s="43" t="s">
        <v>238</v>
      </c>
      <c r="I3462" s="40" t="s">
        <v>1281</v>
      </c>
    </row>
    <row r="3463" spans="1:9" x14ac:dyDescent="0.25">
      <c r="A3463" s="40" t="s">
        <v>404</v>
      </c>
      <c r="B3463" s="28">
        <v>3924</v>
      </c>
      <c r="C3463" s="28">
        <v>5640827</v>
      </c>
      <c r="D3463" s="28"/>
      <c r="E3463" s="41">
        <v>46141</v>
      </c>
      <c r="F3463" s="47">
        <v>0.55842592592592588</v>
      </c>
      <c r="G3463" s="44">
        <v>6.3</v>
      </c>
      <c r="H3463" s="43" t="s">
        <v>234</v>
      </c>
      <c r="I3463" s="40" t="s">
        <v>1281</v>
      </c>
    </row>
    <row r="3464" spans="1:9" x14ac:dyDescent="0.25">
      <c r="A3464" s="40" t="s">
        <v>404</v>
      </c>
      <c r="B3464" s="28">
        <v>3924</v>
      </c>
      <c r="C3464" s="28">
        <v>5640814</v>
      </c>
      <c r="D3464" s="28" t="s">
        <v>36</v>
      </c>
      <c r="E3464" s="45">
        <v>46141</v>
      </c>
      <c r="F3464" s="48">
        <v>0.93920138888888893</v>
      </c>
      <c r="G3464" s="44">
        <v>6.3</v>
      </c>
      <c r="H3464" s="43" t="s">
        <v>234</v>
      </c>
      <c r="I3464" s="40" t="s">
        <v>1281</v>
      </c>
    </row>
    <row r="3465" spans="1:9" x14ac:dyDescent="0.25">
      <c r="A3465" s="40" t="s">
        <v>404</v>
      </c>
      <c r="B3465" s="28">
        <v>3924</v>
      </c>
      <c r="C3465" s="28">
        <v>5640831</v>
      </c>
      <c r="D3465" s="28"/>
      <c r="E3465" s="45">
        <v>46142</v>
      </c>
      <c r="F3465" s="48">
        <v>5.3414351851851852E-2</v>
      </c>
      <c r="G3465" s="44">
        <v>6.3</v>
      </c>
      <c r="H3465" s="43" t="s">
        <v>235</v>
      </c>
      <c r="I3465" s="40" t="s">
        <v>1281</v>
      </c>
    </row>
    <row r="3466" spans="1:9" x14ac:dyDescent="0.25">
      <c r="A3466" s="40" t="s">
        <v>404</v>
      </c>
      <c r="B3466" s="28">
        <v>3924</v>
      </c>
      <c r="C3466" s="28">
        <v>5642701</v>
      </c>
      <c r="D3466" s="28"/>
      <c r="E3466" s="41">
        <v>46142</v>
      </c>
      <c r="F3466" s="47">
        <v>0.65773148148148153</v>
      </c>
      <c r="G3466" s="44">
        <v>6.3</v>
      </c>
      <c r="H3466" s="43" t="s">
        <v>235</v>
      </c>
      <c r="I3466" s="40" t="s">
        <v>1281</v>
      </c>
    </row>
    <row r="3467" spans="1:9" x14ac:dyDescent="0.25">
      <c r="A3467" s="40" t="s">
        <v>404</v>
      </c>
      <c r="B3467" s="28">
        <v>3924</v>
      </c>
      <c r="C3467" s="28">
        <v>5642701</v>
      </c>
      <c r="D3467" s="28"/>
      <c r="E3467" s="41">
        <v>46142</v>
      </c>
      <c r="F3467" s="47">
        <v>0.66820601851851846</v>
      </c>
      <c r="G3467" s="44">
        <v>6.3</v>
      </c>
      <c r="H3467" s="43" t="s">
        <v>236</v>
      </c>
      <c r="I3467" s="40" t="s">
        <v>1281</v>
      </c>
    </row>
    <row r="3468" spans="1:9" x14ac:dyDescent="0.25">
      <c r="A3468" s="40" t="s">
        <v>404</v>
      </c>
      <c r="B3468" s="28">
        <v>3924</v>
      </c>
      <c r="C3468" s="28" t="s">
        <v>35</v>
      </c>
      <c r="D3468" s="28" t="s">
        <v>38</v>
      </c>
      <c r="E3468" s="45">
        <v>46142</v>
      </c>
      <c r="F3468" s="48">
        <v>0.73593750000000002</v>
      </c>
      <c r="G3468" s="44">
        <v>6.3</v>
      </c>
      <c r="H3468" s="43" t="s">
        <v>234</v>
      </c>
      <c r="I3468" s="40" t="s">
        <v>1281</v>
      </c>
    </row>
    <row r="3469" spans="1:9" x14ac:dyDescent="0.25">
      <c r="A3469" s="40" t="s">
        <v>404</v>
      </c>
      <c r="B3469" s="28">
        <v>3924</v>
      </c>
      <c r="C3469" s="28">
        <v>5644899</v>
      </c>
      <c r="D3469" s="28"/>
      <c r="E3469" s="41">
        <v>46143</v>
      </c>
      <c r="F3469" s="47">
        <v>0.83576388888888886</v>
      </c>
      <c r="G3469" s="44">
        <v>6.3</v>
      </c>
      <c r="H3469" s="43" t="s">
        <v>235</v>
      </c>
      <c r="I3469" s="40" t="s">
        <v>1282</v>
      </c>
    </row>
    <row r="3470" spans="1:9" x14ac:dyDescent="0.25">
      <c r="A3470" s="40" t="s">
        <v>404</v>
      </c>
      <c r="B3470" s="28">
        <v>3924</v>
      </c>
      <c r="C3470" s="28">
        <v>5644938</v>
      </c>
      <c r="D3470" s="28"/>
      <c r="E3470" s="41">
        <v>46143</v>
      </c>
      <c r="F3470" s="47">
        <v>0.90113425925925927</v>
      </c>
      <c r="G3470" s="44">
        <v>6.3</v>
      </c>
      <c r="H3470" s="43" t="s">
        <v>234</v>
      </c>
      <c r="I3470" s="40" t="s">
        <v>1282</v>
      </c>
    </row>
    <row r="3471" spans="1:9" x14ac:dyDescent="0.25">
      <c r="A3471" s="40" t="s">
        <v>404</v>
      </c>
      <c r="B3471" s="28">
        <v>3924</v>
      </c>
      <c r="C3471" s="28">
        <v>5647621</v>
      </c>
      <c r="D3471" s="28"/>
      <c r="E3471" s="41">
        <v>46145</v>
      </c>
      <c r="F3471" s="47">
        <v>0.59753472222222226</v>
      </c>
      <c r="G3471" s="44">
        <v>6.3</v>
      </c>
      <c r="H3471" s="43" t="s">
        <v>235</v>
      </c>
      <c r="I3471" s="40" t="s">
        <v>1282</v>
      </c>
    </row>
    <row r="3472" spans="1:9" x14ac:dyDescent="0.25">
      <c r="A3472" s="40" t="s">
        <v>404</v>
      </c>
      <c r="B3472" s="28">
        <v>3924</v>
      </c>
      <c r="C3472" s="28">
        <v>5647621</v>
      </c>
      <c r="D3472" s="28"/>
      <c r="E3472" s="41">
        <v>46145</v>
      </c>
      <c r="F3472" s="47">
        <v>0.60552083333333329</v>
      </c>
      <c r="G3472" s="44">
        <v>6.3</v>
      </c>
      <c r="H3472" s="43" t="s">
        <v>239</v>
      </c>
      <c r="I3472" s="40" t="s">
        <v>1282</v>
      </c>
    </row>
    <row r="3473" spans="1:9" x14ac:dyDescent="0.25">
      <c r="A3473" s="40" t="s">
        <v>404</v>
      </c>
      <c r="B3473" s="28">
        <v>3924</v>
      </c>
      <c r="C3473" s="28" t="s">
        <v>35</v>
      </c>
      <c r="D3473" s="28" t="s">
        <v>38</v>
      </c>
      <c r="E3473" s="41">
        <v>46145</v>
      </c>
      <c r="F3473" s="47">
        <v>0.91435185185185186</v>
      </c>
      <c r="G3473" s="44">
        <v>6.3</v>
      </c>
      <c r="H3473" s="43" t="s">
        <v>234</v>
      </c>
      <c r="I3473" s="40" t="s">
        <v>1282</v>
      </c>
    </row>
    <row r="3474" spans="1:9" x14ac:dyDescent="0.25">
      <c r="A3474" s="40" t="s">
        <v>333</v>
      </c>
      <c r="B3474" s="28">
        <v>3934</v>
      </c>
      <c r="C3474" s="28" t="s">
        <v>1006</v>
      </c>
      <c r="D3474" s="28"/>
      <c r="E3474" s="41">
        <v>46140</v>
      </c>
      <c r="F3474" s="47">
        <v>0.34806712962962966</v>
      </c>
      <c r="G3474" s="44">
        <v>6.3</v>
      </c>
      <c r="H3474" s="43" t="s">
        <v>235</v>
      </c>
      <c r="I3474" s="40" t="s">
        <v>1281</v>
      </c>
    </row>
    <row r="3475" spans="1:9" x14ac:dyDescent="0.25">
      <c r="A3475" s="40" t="s">
        <v>333</v>
      </c>
      <c r="B3475" s="28">
        <v>3934</v>
      </c>
      <c r="C3475" s="28" t="s">
        <v>1006</v>
      </c>
      <c r="D3475" s="28"/>
      <c r="E3475" s="41">
        <v>46140</v>
      </c>
      <c r="F3475" s="47">
        <v>0.36940972222222224</v>
      </c>
      <c r="G3475" s="44">
        <v>6.3</v>
      </c>
      <c r="H3475" s="43" t="s">
        <v>236</v>
      </c>
      <c r="I3475" s="40" t="s">
        <v>1281</v>
      </c>
    </row>
    <row r="3476" spans="1:9" x14ac:dyDescent="0.25">
      <c r="A3476" s="40" t="s">
        <v>333</v>
      </c>
      <c r="B3476" s="28">
        <v>3934</v>
      </c>
      <c r="C3476" s="28">
        <v>5642856</v>
      </c>
      <c r="D3476" s="28"/>
      <c r="E3476" s="41">
        <v>46141</v>
      </c>
      <c r="F3476" s="47">
        <v>0.5926851851851852</v>
      </c>
      <c r="G3476" s="44">
        <v>6.3</v>
      </c>
      <c r="H3476" s="43" t="s">
        <v>235</v>
      </c>
      <c r="I3476" s="40" t="s">
        <v>1281</v>
      </c>
    </row>
    <row r="3477" spans="1:9" x14ac:dyDescent="0.25">
      <c r="A3477" s="40" t="s">
        <v>333</v>
      </c>
      <c r="B3477" s="28">
        <v>3934</v>
      </c>
      <c r="C3477" s="28">
        <v>5642856</v>
      </c>
      <c r="D3477" s="28"/>
      <c r="E3477" s="41">
        <v>46141</v>
      </c>
      <c r="F3477" s="47">
        <v>0.60559027777777774</v>
      </c>
      <c r="G3477" s="44">
        <v>6.3</v>
      </c>
      <c r="H3477" s="43" t="s">
        <v>236</v>
      </c>
      <c r="I3477" s="40" t="s">
        <v>1281</v>
      </c>
    </row>
    <row r="3478" spans="1:9" x14ac:dyDescent="0.25">
      <c r="A3478" s="40" t="s">
        <v>333</v>
      </c>
      <c r="B3478" s="28">
        <v>3934</v>
      </c>
      <c r="C3478" s="28" t="s">
        <v>1007</v>
      </c>
      <c r="D3478" s="28"/>
      <c r="E3478" s="41">
        <v>46144</v>
      </c>
      <c r="F3478" s="47">
        <v>0.42333333333333334</v>
      </c>
      <c r="G3478" s="42">
        <v>6.3</v>
      </c>
      <c r="H3478" s="40" t="s">
        <v>235</v>
      </c>
      <c r="I3478" s="40" t="s">
        <v>1282</v>
      </c>
    </row>
    <row r="3479" spans="1:9" x14ac:dyDescent="0.25">
      <c r="A3479" s="40" t="s">
        <v>333</v>
      </c>
      <c r="B3479" s="28">
        <v>3934</v>
      </c>
      <c r="C3479" s="28" t="s">
        <v>1008</v>
      </c>
      <c r="D3479" s="28"/>
      <c r="E3479" s="41">
        <v>46144</v>
      </c>
      <c r="F3479" s="47">
        <v>0.64857638888888891</v>
      </c>
      <c r="G3479" s="42">
        <v>6.3</v>
      </c>
      <c r="H3479" s="40" t="s">
        <v>235</v>
      </c>
      <c r="I3479" s="40" t="s">
        <v>1282</v>
      </c>
    </row>
    <row r="3480" spans="1:9" x14ac:dyDescent="0.25">
      <c r="A3480" s="40" t="s">
        <v>333</v>
      </c>
      <c r="B3480" s="28">
        <v>3934</v>
      </c>
      <c r="C3480" s="28" t="s">
        <v>1008</v>
      </c>
      <c r="D3480" s="28"/>
      <c r="E3480" s="41">
        <v>46144</v>
      </c>
      <c r="F3480" s="47">
        <v>0.65935185185185186</v>
      </c>
      <c r="G3480" s="42">
        <v>6.3</v>
      </c>
      <c r="H3480" s="40" t="s">
        <v>236</v>
      </c>
      <c r="I3480" s="40" t="s">
        <v>1282</v>
      </c>
    </row>
    <row r="3481" spans="1:9" x14ac:dyDescent="0.25">
      <c r="A3481" s="40" t="s">
        <v>326</v>
      </c>
      <c r="B3481" s="28">
        <v>3938</v>
      </c>
      <c r="C3481" s="28">
        <v>10551034</v>
      </c>
      <c r="D3481" s="28" t="s">
        <v>36</v>
      </c>
      <c r="E3481" s="45">
        <v>46139</v>
      </c>
      <c r="F3481" s="48">
        <v>0.62024305555555559</v>
      </c>
      <c r="G3481" s="42">
        <v>6.3</v>
      </c>
      <c r="H3481" s="40" t="s">
        <v>235</v>
      </c>
      <c r="I3481" s="40" t="s">
        <v>1281</v>
      </c>
    </row>
    <row r="3482" spans="1:9" x14ac:dyDescent="0.25">
      <c r="A3482" s="40" t="s">
        <v>326</v>
      </c>
      <c r="B3482" s="28">
        <v>3938</v>
      </c>
      <c r="C3482" s="28">
        <v>10551034</v>
      </c>
      <c r="D3482" s="28" t="s">
        <v>36</v>
      </c>
      <c r="E3482" s="41">
        <v>46139</v>
      </c>
      <c r="F3482" s="47">
        <v>0.63104166666666661</v>
      </c>
      <c r="G3482" s="44">
        <v>6.3</v>
      </c>
      <c r="H3482" s="43" t="s">
        <v>236</v>
      </c>
      <c r="I3482" s="40" t="s">
        <v>1281</v>
      </c>
    </row>
    <row r="3483" spans="1:9" x14ac:dyDescent="0.25">
      <c r="A3483" s="40" t="s">
        <v>326</v>
      </c>
      <c r="B3483" s="28">
        <v>3938</v>
      </c>
      <c r="C3483" s="28" t="s">
        <v>1009</v>
      </c>
      <c r="D3483" s="28"/>
      <c r="E3483" s="45">
        <v>46139</v>
      </c>
      <c r="F3483" s="48">
        <v>0.70783564814814814</v>
      </c>
      <c r="G3483" s="44">
        <v>6.3</v>
      </c>
      <c r="H3483" s="43" t="s">
        <v>233</v>
      </c>
      <c r="I3483" s="40" t="s">
        <v>1281</v>
      </c>
    </row>
    <row r="3484" spans="1:9" x14ac:dyDescent="0.25">
      <c r="A3484" s="40" t="s">
        <v>326</v>
      </c>
      <c r="B3484" s="28">
        <v>3938</v>
      </c>
      <c r="C3484" s="28" t="s">
        <v>1009</v>
      </c>
      <c r="D3484" s="28"/>
      <c r="E3484" s="41">
        <v>46139</v>
      </c>
      <c r="F3484" s="47">
        <v>0.7228472222222222</v>
      </c>
      <c r="G3484" s="44">
        <v>6.3</v>
      </c>
      <c r="H3484" s="43" t="s">
        <v>234</v>
      </c>
      <c r="I3484" s="40" t="s">
        <v>1281</v>
      </c>
    </row>
    <row r="3485" spans="1:9" x14ac:dyDescent="0.25">
      <c r="A3485" s="40" t="s">
        <v>326</v>
      </c>
      <c r="B3485" s="28">
        <v>3938</v>
      </c>
      <c r="C3485" s="28" t="s">
        <v>1010</v>
      </c>
      <c r="D3485" s="28"/>
      <c r="E3485" s="41">
        <v>46140</v>
      </c>
      <c r="F3485" s="47">
        <v>0.4082175925925926</v>
      </c>
      <c r="G3485" s="44">
        <v>6.3</v>
      </c>
      <c r="H3485" s="43" t="s">
        <v>234</v>
      </c>
      <c r="I3485" s="40" t="s">
        <v>1281</v>
      </c>
    </row>
    <row r="3486" spans="1:9" x14ac:dyDescent="0.25">
      <c r="A3486" s="40" t="s">
        <v>326</v>
      </c>
      <c r="B3486" s="28">
        <v>3938</v>
      </c>
      <c r="C3486" s="28" t="s">
        <v>1011</v>
      </c>
      <c r="D3486" s="28"/>
      <c r="E3486" s="41">
        <v>46141</v>
      </c>
      <c r="F3486" s="47">
        <v>0.3071990740740741</v>
      </c>
      <c r="G3486" s="44">
        <v>6.3</v>
      </c>
      <c r="H3486" s="43" t="s">
        <v>235</v>
      </c>
      <c r="I3486" s="40" t="s">
        <v>1281</v>
      </c>
    </row>
    <row r="3487" spans="1:9" x14ac:dyDescent="0.25">
      <c r="A3487" s="40" t="s">
        <v>326</v>
      </c>
      <c r="B3487" s="28">
        <v>3938</v>
      </c>
      <c r="C3487" s="28" t="s">
        <v>1012</v>
      </c>
      <c r="D3487" s="28"/>
      <c r="E3487" s="45">
        <v>46142</v>
      </c>
      <c r="F3487" s="48">
        <v>0.33508101851851851</v>
      </c>
      <c r="G3487" s="44">
        <v>6.3</v>
      </c>
      <c r="H3487" s="43" t="s">
        <v>235</v>
      </c>
      <c r="I3487" s="40" t="s">
        <v>1281</v>
      </c>
    </row>
    <row r="3488" spans="1:9" x14ac:dyDescent="0.25">
      <c r="A3488" s="40" t="s">
        <v>326</v>
      </c>
      <c r="B3488" s="28">
        <v>3938</v>
      </c>
      <c r="C3488" s="28" t="s">
        <v>1013</v>
      </c>
      <c r="D3488" s="28"/>
      <c r="E3488" s="45">
        <v>46142</v>
      </c>
      <c r="F3488" s="48">
        <v>0.35166666666666668</v>
      </c>
      <c r="G3488" s="44">
        <v>6.3</v>
      </c>
      <c r="H3488" s="43" t="s">
        <v>236</v>
      </c>
      <c r="I3488" s="40" t="s">
        <v>1281</v>
      </c>
    </row>
    <row r="3489" spans="1:9" x14ac:dyDescent="0.25">
      <c r="A3489" s="40" t="s">
        <v>326</v>
      </c>
      <c r="B3489" s="28">
        <v>3938</v>
      </c>
      <c r="C3489" s="28" t="s">
        <v>1013</v>
      </c>
      <c r="D3489" s="28"/>
      <c r="E3489" s="41">
        <v>46142</v>
      </c>
      <c r="F3489" s="47">
        <v>0.38775462962962964</v>
      </c>
      <c r="G3489" s="44">
        <v>6.3</v>
      </c>
      <c r="H3489" s="43" t="s">
        <v>237</v>
      </c>
      <c r="I3489" s="40" t="s">
        <v>1281</v>
      </c>
    </row>
    <row r="3490" spans="1:9" x14ac:dyDescent="0.25">
      <c r="A3490" s="40" t="s">
        <v>326</v>
      </c>
      <c r="B3490" s="28">
        <v>3938</v>
      </c>
      <c r="C3490" s="28" t="s">
        <v>1013</v>
      </c>
      <c r="D3490" s="28" t="s">
        <v>36</v>
      </c>
      <c r="E3490" s="41">
        <v>46142</v>
      </c>
      <c r="F3490" s="47">
        <v>0.39473379629629629</v>
      </c>
      <c r="G3490" s="44">
        <v>6.3</v>
      </c>
      <c r="H3490" s="43" t="s">
        <v>234</v>
      </c>
      <c r="I3490" s="40" t="s">
        <v>1281</v>
      </c>
    </row>
    <row r="3491" spans="1:9" x14ac:dyDescent="0.25">
      <c r="A3491" s="40" t="s">
        <v>326</v>
      </c>
      <c r="B3491" s="28">
        <v>3938</v>
      </c>
      <c r="C3491" s="28" t="s">
        <v>1014</v>
      </c>
      <c r="D3491" s="28"/>
      <c r="E3491" s="41">
        <v>46142</v>
      </c>
      <c r="F3491" s="47">
        <v>0.65210648148148154</v>
      </c>
      <c r="G3491" s="44">
        <v>6.3</v>
      </c>
      <c r="H3491" s="43" t="s">
        <v>235</v>
      </c>
      <c r="I3491" s="40" t="s">
        <v>1281</v>
      </c>
    </row>
    <row r="3492" spans="1:9" x14ac:dyDescent="0.25">
      <c r="A3492" s="40" t="s">
        <v>326</v>
      </c>
      <c r="B3492" s="28">
        <v>3938</v>
      </c>
      <c r="C3492" s="28" t="s">
        <v>1015</v>
      </c>
      <c r="D3492" s="28"/>
      <c r="E3492" s="41">
        <v>46143</v>
      </c>
      <c r="F3492" s="47">
        <v>0.32552083333333331</v>
      </c>
      <c r="G3492" s="44">
        <v>6.3</v>
      </c>
      <c r="H3492" s="43" t="s">
        <v>235</v>
      </c>
      <c r="I3492" s="40" t="s">
        <v>1282</v>
      </c>
    </row>
    <row r="3493" spans="1:9" x14ac:dyDescent="0.25">
      <c r="A3493" s="40" t="s">
        <v>326</v>
      </c>
      <c r="B3493" s="28">
        <v>3938</v>
      </c>
      <c r="C3493" s="28" t="s">
        <v>1015</v>
      </c>
      <c r="D3493" s="28"/>
      <c r="E3493" s="41">
        <v>46143</v>
      </c>
      <c r="F3493" s="47">
        <v>0.33274305555555556</v>
      </c>
      <c r="G3493" s="44">
        <v>6.3</v>
      </c>
      <c r="H3493" s="43" t="s">
        <v>236</v>
      </c>
      <c r="I3493" s="40" t="s">
        <v>1282</v>
      </c>
    </row>
    <row r="3494" spans="1:9" x14ac:dyDescent="0.25">
      <c r="A3494" s="40" t="s">
        <v>326</v>
      </c>
      <c r="B3494" s="28">
        <v>3938</v>
      </c>
      <c r="C3494" s="28" t="s">
        <v>1016</v>
      </c>
      <c r="D3494" s="28"/>
      <c r="E3494" s="41">
        <v>46143</v>
      </c>
      <c r="F3494" s="47">
        <v>0.38902777777777775</v>
      </c>
      <c r="G3494" s="44">
        <v>6.3</v>
      </c>
      <c r="H3494" s="43" t="s">
        <v>237</v>
      </c>
      <c r="I3494" s="40" t="s">
        <v>1282</v>
      </c>
    </row>
    <row r="3495" spans="1:9" x14ac:dyDescent="0.25">
      <c r="A3495" s="40" t="s">
        <v>326</v>
      </c>
      <c r="B3495" s="28">
        <v>3938</v>
      </c>
      <c r="C3495" s="28" t="s">
        <v>1016</v>
      </c>
      <c r="D3495" s="28"/>
      <c r="E3495" s="41">
        <v>46143</v>
      </c>
      <c r="F3495" s="47">
        <v>0.39451388888888889</v>
      </c>
      <c r="G3495" s="44">
        <v>6.3</v>
      </c>
      <c r="H3495" s="43" t="s">
        <v>234</v>
      </c>
      <c r="I3495" s="40" t="s">
        <v>1282</v>
      </c>
    </row>
    <row r="3496" spans="1:9" x14ac:dyDescent="0.25">
      <c r="A3496" s="40" t="s">
        <v>326</v>
      </c>
      <c r="B3496" s="28">
        <v>3938</v>
      </c>
      <c r="C3496" s="28" t="s">
        <v>1017</v>
      </c>
      <c r="D3496" s="28"/>
      <c r="E3496" s="41">
        <v>46143</v>
      </c>
      <c r="F3496" s="47">
        <v>0.44555555555555554</v>
      </c>
      <c r="G3496" s="44">
        <v>6.3</v>
      </c>
      <c r="H3496" s="43" t="s">
        <v>235</v>
      </c>
      <c r="I3496" s="40" t="s">
        <v>1282</v>
      </c>
    </row>
    <row r="3497" spans="1:9" x14ac:dyDescent="0.25">
      <c r="A3497" s="40" t="s">
        <v>326</v>
      </c>
      <c r="B3497" s="28">
        <v>3938</v>
      </c>
      <c r="C3497" s="28" t="s">
        <v>1017</v>
      </c>
      <c r="D3497" s="28"/>
      <c r="E3497" s="41">
        <v>46143</v>
      </c>
      <c r="F3497" s="47">
        <v>0.45322916666666668</v>
      </c>
      <c r="G3497" s="44">
        <v>6.3</v>
      </c>
      <c r="H3497" s="43" t="s">
        <v>236</v>
      </c>
      <c r="I3497" s="40" t="s">
        <v>1282</v>
      </c>
    </row>
    <row r="3498" spans="1:9" x14ac:dyDescent="0.25">
      <c r="A3498" s="40" t="s">
        <v>326</v>
      </c>
      <c r="B3498" s="28">
        <v>3938</v>
      </c>
      <c r="C3498" s="28">
        <v>5644919</v>
      </c>
      <c r="D3498" s="28"/>
      <c r="E3498" s="41">
        <v>46143</v>
      </c>
      <c r="F3498" s="47">
        <v>0.55196759259259254</v>
      </c>
      <c r="G3498" s="44">
        <v>6.3</v>
      </c>
      <c r="H3498" s="43" t="s">
        <v>237</v>
      </c>
      <c r="I3498" s="40" t="s">
        <v>1282</v>
      </c>
    </row>
    <row r="3499" spans="1:9" x14ac:dyDescent="0.25">
      <c r="A3499" s="40" t="s">
        <v>326</v>
      </c>
      <c r="B3499" s="28">
        <v>3938</v>
      </c>
      <c r="C3499" s="28">
        <v>5644919</v>
      </c>
      <c r="D3499" s="28"/>
      <c r="E3499" s="45">
        <v>46143</v>
      </c>
      <c r="F3499" s="48">
        <v>0.55736111111111108</v>
      </c>
      <c r="G3499" s="44">
        <v>6.3</v>
      </c>
      <c r="H3499" s="43" t="s">
        <v>234</v>
      </c>
      <c r="I3499" s="40" t="s">
        <v>1282</v>
      </c>
    </row>
    <row r="3500" spans="1:9" x14ac:dyDescent="0.25">
      <c r="A3500" s="40" t="s">
        <v>326</v>
      </c>
      <c r="B3500" s="28">
        <v>3938</v>
      </c>
      <c r="C3500" s="28" t="s">
        <v>1018</v>
      </c>
      <c r="D3500" s="28"/>
      <c r="E3500" s="41">
        <v>46144</v>
      </c>
      <c r="F3500" s="47">
        <v>0.32271990740740741</v>
      </c>
      <c r="G3500" s="44">
        <v>6.3</v>
      </c>
      <c r="H3500" s="43" t="s">
        <v>235</v>
      </c>
      <c r="I3500" s="40" t="s">
        <v>1282</v>
      </c>
    </row>
    <row r="3501" spans="1:9" x14ac:dyDescent="0.25">
      <c r="A3501" s="40" t="s">
        <v>326</v>
      </c>
      <c r="B3501" s="28">
        <v>3938</v>
      </c>
      <c r="C3501" s="28" t="s">
        <v>1018</v>
      </c>
      <c r="D3501" s="28"/>
      <c r="E3501" s="41">
        <v>46144</v>
      </c>
      <c r="F3501" s="47">
        <v>0.33354166666666668</v>
      </c>
      <c r="G3501" s="44">
        <v>6.3</v>
      </c>
      <c r="H3501" s="43" t="s">
        <v>236</v>
      </c>
      <c r="I3501" s="40" t="s">
        <v>1282</v>
      </c>
    </row>
    <row r="3502" spans="1:9" x14ac:dyDescent="0.25">
      <c r="A3502" s="40" t="s">
        <v>326</v>
      </c>
      <c r="B3502" s="28">
        <v>3938</v>
      </c>
      <c r="C3502" s="28" t="s">
        <v>1019</v>
      </c>
      <c r="D3502" s="28"/>
      <c r="E3502" s="41">
        <v>46144</v>
      </c>
      <c r="F3502" s="47">
        <v>0.40291666666666665</v>
      </c>
      <c r="G3502" s="44">
        <v>6.3</v>
      </c>
      <c r="H3502" s="43" t="s">
        <v>237</v>
      </c>
      <c r="I3502" s="40" t="s">
        <v>1282</v>
      </c>
    </row>
    <row r="3503" spans="1:9" x14ac:dyDescent="0.25">
      <c r="A3503" s="40" t="s">
        <v>326</v>
      </c>
      <c r="B3503" s="28">
        <v>3938</v>
      </c>
      <c r="C3503" s="28" t="s">
        <v>1019</v>
      </c>
      <c r="D3503" s="28"/>
      <c r="E3503" s="41">
        <v>46144</v>
      </c>
      <c r="F3503" s="47">
        <v>0.40917824074074072</v>
      </c>
      <c r="G3503" s="42">
        <v>6.3</v>
      </c>
      <c r="H3503" s="40" t="s">
        <v>234</v>
      </c>
      <c r="I3503" s="40" t="s">
        <v>1282</v>
      </c>
    </row>
    <row r="3504" spans="1:9" x14ac:dyDescent="0.25">
      <c r="A3504" s="40" t="s">
        <v>409</v>
      </c>
      <c r="B3504" s="28">
        <v>3939</v>
      </c>
      <c r="C3504" s="28" t="s">
        <v>1020</v>
      </c>
      <c r="D3504" s="28"/>
      <c r="E3504" s="41">
        <v>46139</v>
      </c>
      <c r="F3504" s="47">
        <v>0.90192129629629625</v>
      </c>
      <c r="G3504" s="42">
        <v>6.3</v>
      </c>
      <c r="H3504" s="40" t="s">
        <v>235</v>
      </c>
      <c r="I3504" s="40" t="s">
        <v>1281</v>
      </c>
    </row>
    <row r="3505" spans="1:9" x14ac:dyDescent="0.25">
      <c r="A3505" s="40" t="s">
        <v>409</v>
      </c>
      <c r="B3505" s="28">
        <v>3939</v>
      </c>
      <c r="C3505" s="28" t="s">
        <v>1020</v>
      </c>
      <c r="D3505" s="28"/>
      <c r="E3505" s="41">
        <v>46139</v>
      </c>
      <c r="F3505" s="47">
        <v>0.90927083333333336</v>
      </c>
      <c r="G3505" s="44">
        <v>6.3</v>
      </c>
      <c r="H3505" s="43" t="s">
        <v>236</v>
      </c>
      <c r="I3505" s="40" t="s">
        <v>1281</v>
      </c>
    </row>
    <row r="3506" spans="1:9" x14ac:dyDescent="0.25">
      <c r="A3506" s="40" t="s">
        <v>409</v>
      </c>
      <c r="B3506" s="28">
        <v>3939</v>
      </c>
      <c r="C3506" s="28" t="s">
        <v>1021</v>
      </c>
      <c r="D3506" s="28"/>
      <c r="E3506" s="41">
        <v>46141</v>
      </c>
      <c r="F3506" s="47">
        <v>0.11039351851851852</v>
      </c>
      <c r="G3506" s="44">
        <v>6.3</v>
      </c>
      <c r="H3506" s="43" t="s">
        <v>235</v>
      </c>
      <c r="I3506" s="40" t="s">
        <v>1281</v>
      </c>
    </row>
    <row r="3507" spans="1:9" x14ac:dyDescent="0.25">
      <c r="A3507" s="40" t="s">
        <v>409</v>
      </c>
      <c r="B3507" s="28">
        <v>3939</v>
      </c>
      <c r="C3507" s="28" t="s">
        <v>1021</v>
      </c>
      <c r="D3507" s="28"/>
      <c r="E3507" s="41">
        <v>46141</v>
      </c>
      <c r="F3507" s="47">
        <v>0.11657407407407408</v>
      </c>
      <c r="G3507" s="44">
        <v>6.3</v>
      </c>
      <c r="H3507" s="43" t="s">
        <v>239</v>
      </c>
      <c r="I3507" s="40" t="s">
        <v>1281</v>
      </c>
    </row>
    <row r="3508" spans="1:9" x14ac:dyDescent="0.25">
      <c r="A3508" s="40" t="s">
        <v>409</v>
      </c>
      <c r="B3508" s="28">
        <v>3939</v>
      </c>
      <c r="C3508" s="28" t="s">
        <v>35</v>
      </c>
      <c r="D3508" s="28" t="s">
        <v>38</v>
      </c>
      <c r="E3508" s="45">
        <v>46141</v>
      </c>
      <c r="F3508" s="48">
        <v>0.65469907407407413</v>
      </c>
      <c r="G3508" s="44">
        <v>6.3</v>
      </c>
      <c r="H3508" s="43" t="s">
        <v>233</v>
      </c>
      <c r="I3508" s="40" t="s">
        <v>1281</v>
      </c>
    </row>
    <row r="3509" spans="1:9" x14ac:dyDescent="0.25">
      <c r="A3509" s="40" t="s">
        <v>409</v>
      </c>
      <c r="B3509" s="28">
        <v>3939</v>
      </c>
      <c r="C3509" s="28" t="s">
        <v>35</v>
      </c>
      <c r="D3509" s="28" t="s">
        <v>38</v>
      </c>
      <c r="E3509" s="41">
        <v>46141</v>
      </c>
      <c r="F3509" s="47">
        <v>0.66055555555555556</v>
      </c>
      <c r="G3509" s="44">
        <v>6.3</v>
      </c>
      <c r="H3509" s="43" t="s">
        <v>234</v>
      </c>
      <c r="I3509" s="40" t="s">
        <v>1281</v>
      </c>
    </row>
    <row r="3510" spans="1:9" x14ac:dyDescent="0.25">
      <c r="A3510" s="40" t="s">
        <v>409</v>
      </c>
      <c r="B3510" s="28">
        <v>3939</v>
      </c>
      <c r="C3510" s="28" t="s">
        <v>1022</v>
      </c>
      <c r="D3510" s="28"/>
      <c r="E3510" s="41">
        <v>46141</v>
      </c>
      <c r="F3510" s="47">
        <v>0.97486111111111107</v>
      </c>
      <c r="G3510" s="44">
        <v>6.3</v>
      </c>
      <c r="H3510" s="43" t="s">
        <v>235</v>
      </c>
      <c r="I3510" s="40" t="s">
        <v>1281</v>
      </c>
    </row>
    <row r="3511" spans="1:9" x14ac:dyDescent="0.25">
      <c r="A3511" s="40" t="s">
        <v>409</v>
      </c>
      <c r="B3511" s="28">
        <v>3939</v>
      </c>
      <c r="C3511" s="28" t="s">
        <v>1022</v>
      </c>
      <c r="D3511" s="28"/>
      <c r="E3511" s="45">
        <v>46141</v>
      </c>
      <c r="F3511" s="48">
        <v>0.98244212962962962</v>
      </c>
      <c r="G3511" s="44">
        <v>6.3</v>
      </c>
      <c r="H3511" s="43" t="s">
        <v>236</v>
      </c>
      <c r="I3511" s="40" t="s">
        <v>1281</v>
      </c>
    </row>
    <row r="3512" spans="1:9" x14ac:dyDescent="0.25">
      <c r="A3512" s="40" t="s">
        <v>409</v>
      </c>
      <c r="B3512" s="28">
        <v>3939</v>
      </c>
      <c r="C3512" s="28" t="s">
        <v>1023</v>
      </c>
      <c r="D3512" s="28"/>
      <c r="E3512" s="45">
        <v>46143</v>
      </c>
      <c r="F3512" s="48">
        <v>0.62266203703703704</v>
      </c>
      <c r="G3512" s="44">
        <v>6.3</v>
      </c>
      <c r="H3512" s="43" t="s">
        <v>235</v>
      </c>
      <c r="I3512" s="40" t="s">
        <v>1282</v>
      </c>
    </row>
    <row r="3513" spans="1:9" x14ac:dyDescent="0.25">
      <c r="A3513" s="40" t="s">
        <v>409</v>
      </c>
      <c r="B3513" s="28">
        <v>3939</v>
      </c>
      <c r="C3513" s="28" t="s">
        <v>1023</v>
      </c>
      <c r="D3513" s="28"/>
      <c r="E3513" s="41">
        <v>46143</v>
      </c>
      <c r="F3513" s="47">
        <v>0.62892361111111106</v>
      </c>
      <c r="G3513" s="44">
        <v>6.3</v>
      </c>
      <c r="H3513" s="43" t="s">
        <v>236</v>
      </c>
      <c r="I3513" s="40" t="s">
        <v>1282</v>
      </c>
    </row>
    <row r="3514" spans="1:9" x14ac:dyDescent="0.25">
      <c r="A3514" s="40" t="s">
        <v>409</v>
      </c>
      <c r="B3514" s="28">
        <v>3939</v>
      </c>
      <c r="C3514" s="28" t="s">
        <v>1024</v>
      </c>
      <c r="D3514" s="28"/>
      <c r="E3514" s="41">
        <v>46145</v>
      </c>
      <c r="F3514" s="47">
        <v>0.72259259259259256</v>
      </c>
      <c r="G3514" s="44">
        <v>6.3</v>
      </c>
      <c r="H3514" s="43" t="s">
        <v>235</v>
      </c>
      <c r="I3514" s="40" t="s">
        <v>1282</v>
      </c>
    </row>
    <row r="3515" spans="1:9" x14ac:dyDescent="0.25">
      <c r="A3515" s="40" t="s">
        <v>409</v>
      </c>
      <c r="B3515" s="28">
        <v>3939</v>
      </c>
      <c r="C3515" s="28" t="s">
        <v>1024</v>
      </c>
      <c r="D3515" s="28"/>
      <c r="E3515" s="41">
        <v>46145</v>
      </c>
      <c r="F3515" s="47">
        <v>0.73265046296296299</v>
      </c>
      <c r="G3515" s="44">
        <v>6.3</v>
      </c>
      <c r="H3515" s="43" t="s">
        <v>239</v>
      </c>
      <c r="I3515" s="40" t="s">
        <v>1282</v>
      </c>
    </row>
    <row r="3516" spans="1:9" x14ac:dyDescent="0.25">
      <c r="A3516" s="40" t="s">
        <v>409</v>
      </c>
      <c r="B3516" s="28">
        <v>3939</v>
      </c>
      <c r="C3516" s="28" t="s">
        <v>35</v>
      </c>
      <c r="D3516" s="28" t="s">
        <v>38</v>
      </c>
      <c r="E3516" s="41">
        <v>46145</v>
      </c>
      <c r="F3516" s="47">
        <v>0.75736111111111115</v>
      </c>
      <c r="G3516" s="44">
        <v>6.3</v>
      </c>
      <c r="H3516" s="43" t="s">
        <v>237</v>
      </c>
      <c r="I3516" s="40" t="s">
        <v>1282</v>
      </c>
    </row>
    <row r="3517" spans="1:9" x14ac:dyDescent="0.25">
      <c r="A3517" s="40" t="s">
        <v>409</v>
      </c>
      <c r="B3517" s="28">
        <v>3939</v>
      </c>
      <c r="C3517" s="28" t="s">
        <v>35</v>
      </c>
      <c r="D3517" s="28" t="s">
        <v>38</v>
      </c>
      <c r="E3517" s="41">
        <v>46145</v>
      </c>
      <c r="F3517" s="47">
        <v>0.76222222222222225</v>
      </c>
      <c r="G3517" s="44">
        <v>6.3</v>
      </c>
      <c r="H3517" s="43" t="s">
        <v>234</v>
      </c>
      <c r="I3517" s="40" t="s">
        <v>1282</v>
      </c>
    </row>
    <row r="3518" spans="1:9" x14ac:dyDescent="0.25">
      <c r="A3518" s="40" t="s">
        <v>338</v>
      </c>
      <c r="B3518" s="28">
        <v>3948</v>
      </c>
      <c r="C3518" s="28" t="s">
        <v>1025</v>
      </c>
      <c r="D3518" s="28"/>
      <c r="E3518" s="45">
        <v>46140</v>
      </c>
      <c r="F3518" s="48">
        <v>0.32430555555555557</v>
      </c>
      <c r="G3518" s="44">
        <v>6.3</v>
      </c>
      <c r="H3518" s="43" t="s">
        <v>235</v>
      </c>
      <c r="I3518" s="40" t="s">
        <v>1281</v>
      </c>
    </row>
    <row r="3519" spans="1:9" x14ac:dyDescent="0.25">
      <c r="A3519" s="40" t="s">
        <v>338</v>
      </c>
      <c r="B3519" s="28">
        <v>3948</v>
      </c>
      <c r="C3519" s="28" t="s">
        <v>1026</v>
      </c>
      <c r="D3519" s="28"/>
      <c r="E3519" s="41">
        <v>46142</v>
      </c>
      <c r="F3519" s="47">
        <v>0.39921296296296294</v>
      </c>
      <c r="G3519" s="44">
        <v>6.3</v>
      </c>
      <c r="H3519" s="43" t="s">
        <v>235</v>
      </c>
      <c r="I3519" s="40" t="s">
        <v>1281</v>
      </c>
    </row>
    <row r="3520" spans="1:9" x14ac:dyDescent="0.25">
      <c r="A3520" s="40" t="s">
        <v>338</v>
      </c>
      <c r="B3520" s="28">
        <v>3948</v>
      </c>
      <c r="C3520" s="28" t="s">
        <v>1026</v>
      </c>
      <c r="D3520" s="28"/>
      <c r="E3520" s="41">
        <v>46142</v>
      </c>
      <c r="F3520" s="47">
        <v>0.41497685185185185</v>
      </c>
      <c r="G3520" s="44">
        <v>6.3</v>
      </c>
      <c r="H3520" s="43" t="s">
        <v>236</v>
      </c>
      <c r="I3520" s="40" t="s">
        <v>1281</v>
      </c>
    </row>
    <row r="3521" spans="1:9" x14ac:dyDescent="0.25">
      <c r="A3521" s="40" t="s">
        <v>338</v>
      </c>
      <c r="B3521" s="28">
        <v>3948</v>
      </c>
      <c r="C3521" s="28" t="s">
        <v>1027</v>
      </c>
      <c r="D3521" s="28"/>
      <c r="E3521" s="45">
        <v>46142</v>
      </c>
      <c r="F3521" s="48">
        <v>0.49641203703703701</v>
      </c>
      <c r="G3521" s="44">
        <v>6.3</v>
      </c>
      <c r="H3521" s="43" t="s">
        <v>233</v>
      </c>
      <c r="I3521" s="40" t="s">
        <v>1281</v>
      </c>
    </row>
    <row r="3522" spans="1:9" x14ac:dyDescent="0.25">
      <c r="A3522" s="40" t="s">
        <v>338</v>
      </c>
      <c r="B3522" s="28">
        <v>3948</v>
      </c>
      <c r="C3522" s="28" t="s">
        <v>1027</v>
      </c>
      <c r="D3522" s="28"/>
      <c r="E3522" s="45">
        <v>46142</v>
      </c>
      <c r="F3522" s="48">
        <v>0.51140046296296293</v>
      </c>
      <c r="G3522" s="44">
        <v>6.3</v>
      </c>
      <c r="H3522" s="43" t="s">
        <v>234</v>
      </c>
      <c r="I3522" s="40" t="s">
        <v>1281</v>
      </c>
    </row>
    <row r="3523" spans="1:9" x14ac:dyDescent="0.25">
      <c r="A3523" s="40" t="s">
        <v>338</v>
      </c>
      <c r="B3523" s="28">
        <v>3948</v>
      </c>
      <c r="C3523" s="28" t="s">
        <v>1028</v>
      </c>
      <c r="D3523" s="28"/>
      <c r="E3523" s="41">
        <v>46142</v>
      </c>
      <c r="F3523" s="47">
        <v>0.68986111111111115</v>
      </c>
      <c r="G3523" s="44">
        <v>6.3</v>
      </c>
      <c r="H3523" s="43" t="s">
        <v>234</v>
      </c>
      <c r="I3523" s="40" t="s">
        <v>1281</v>
      </c>
    </row>
    <row r="3524" spans="1:9" x14ac:dyDescent="0.25">
      <c r="A3524" s="40" t="s">
        <v>338</v>
      </c>
      <c r="B3524" s="28">
        <v>3948</v>
      </c>
      <c r="C3524" s="28" t="s">
        <v>1029</v>
      </c>
      <c r="D3524" s="28"/>
      <c r="E3524" s="41">
        <v>46143</v>
      </c>
      <c r="F3524" s="47">
        <v>0.64001157407407405</v>
      </c>
      <c r="G3524" s="44">
        <v>6.3</v>
      </c>
      <c r="H3524" s="43" t="s">
        <v>237</v>
      </c>
      <c r="I3524" s="40" t="s">
        <v>1282</v>
      </c>
    </row>
    <row r="3525" spans="1:9" x14ac:dyDescent="0.25">
      <c r="A3525" s="40" t="s">
        <v>338</v>
      </c>
      <c r="B3525" s="28">
        <v>3948</v>
      </c>
      <c r="C3525" s="28" t="s">
        <v>1029</v>
      </c>
      <c r="D3525" s="28"/>
      <c r="E3525" s="41">
        <v>46143</v>
      </c>
      <c r="F3525" s="47">
        <v>0.64553240740740736</v>
      </c>
      <c r="G3525" s="44">
        <v>6.3</v>
      </c>
      <c r="H3525" s="43" t="s">
        <v>234</v>
      </c>
      <c r="I3525" s="40" t="s">
        <v>1282</v>
      </c>
    </row>
    <row r="3526" spans="1:9" x14ac:dyDescent="0.25">
      <c r="A3526" s="40" t="s">
        <v>338</v>
      </c>
      <c r="B3526" s="28">
        <v>3948</v>
      </c>
      <c r="C3526" s="28" t="s">
        <v>1030</v>
      </c>
      <c r="D3526" s="28"/>
      <c r="E3526" s="41">
        <v>46144</v>
      </c>
      <c r="F3526" s="47">
        <v>0.58133101851851854</v>
      </c>
      <c r="G3526" s="44">
        <v>6.3</v>
      </c>
      <c r="H3526" s="43" t="s">
        <v>235</v>
      </c>
      <c r="I3526" s="40" t="s">
        <v>1282</v>
      </c>
    </row>
    <row r="3527" spans="1:9" x14ac:dyDescent="0.25">
      <c r="A3527" s="40" t="s">
        <v>338</v>
      </c>
      <c r="B3527" s="28">
        <v>3948</v>
      </c>
      <c r="C3527" s="28" t="s">
        <v>1030</v>
      </c>
      <c r="D3527" s="28"/>
      <c r="E3527" s="41">
        <v>46144</v>
      </c>
      <c r="F3527" s="47">
        <v>0.58908564814814812</v>
      </c>
      <c r="G3527" s="44">
        <v>6.3</v>
      </c>
      <c r="H3527" s="43" t="s">
        <v>236</v>
      </c>
      <c r="I3527" s="40" t="s">
        <v>1282</v>
      </c>
    </row>
    <row r="3528" spans="1:9" x14ac:dyDescent="0.25">
      <c r="A3528" s="40" t="s">
        <v>338</v>
      </c>
      <c r="B3528" s="28">
        <v>3948</v>
      </c>
      <c r="C3528" s="28" t="s">
        <v>1031</v>
      </c>
      <c r="D3528" s="28"/>
      <c r="E3528" s="41">
        <v>46144</v>
      </c>
      <c r="F3528" s="47">
        <v>0.69552083333333337</v>
      </c>
      <c r="G3528" s="44">
        <v>6.3</v>
      </c>
      <c r="H3528" s="43" t="s">
        <v>237</v>
      </c>
      <c r="I3528" s="40" t="s">
        <v>1282</v>
      </c>
    </row>
    <row r="3529" spans="1:9" x14ac:dyDescent="0.25">
      <c r="A3529" s="40" t="s">
        <v>338</v>
      </c>
      <c r="B3529" s="28">
        <v>3948</v>
      </c>
      <c r="C3529" s="28" t="s">
        <v>1031</v>
      </c>
      <c r="D3529" s="28"/>
      <c r="E3529" s="41">
        <v>46144</v>
      </c>
      <c r="F3529" s="47">
        <v>0.70098379629629626</v>
      </c>
      <c r="G3529" s="44">
        <v>6.3</v>
      </c>
      <c r="H3529" s="43" t="s">
        <v>234</v>
      </c>
      <c r="I3529" s="40" t="s">
        <v>1282</v>
      </c>
    </row>
    <row r="3530" spans="1:9" x14ac:dyDescent="0.25">
      <c r="A3530" s="40" t="s">
        <v>338</v>
      </c>
      <c r="B3530" s="28">
        <v>3948</v>
      </c>
      <c r="C3530" s="28" t="s">
        <v>1032</v>
      </c>
      <c r="D3530" s="28"/>
      <c r="E3530" s="41">
        <v>46145</v>
      </c>
      <c r="F3530" s="47">
        <v>0.39608796296296295</v>
      </c>
      <c r="G3530" s="44">
        <v>6.3</v>
      </c>
      <c r="H3530" s="43" t="s">
        <v>237</v>
      </c>
      <c r="I3530" s="40" t="s">
        <v>1282</v>
      </c>
    </row>
    <row r="3531" spans="1:9" x14ac:dyDescent="0.25">
      <c r="A3531" s="40" t="s">
        <v>338</v>
      </c>
      <c r="B3531" s="28">
        <v>3948</v>
      </c>
      <c r="C3531" s="28" t="s">
        <v>1032</v>
      </c>
      <c r="D3531" s="28"/>
      <c r="E3531" s="41">
        <v>46145</v>
      </c>
      <c r="F3531" s="47">
        <v>0.40145833333333331</v>
      </c>
      <c r="G3531" s="42">
        <v>6.3</v>
      </c>
      <c r="H3531" s="40" t="s">
        <v>234</v>
      </c>
      <c r="I3531" s="40" t="s">
        <v>1282</v>
      </c>
    </row>
    <row r="3532" spans="1:9" x14ac:dyDescent="0.25">
      <c r="A3532" s="40" t="s">
        <v>330</v>
      </c>
      <c r="B3532" s="28">
        <v>3950</v>
      </c>
      <c r="C3532" s="28" t="s">
        <v>1033</v>
      </c>
      <c r="D3532" s="28"/>
      <c r="E3532" s="41">
        <v>46139</v>
      </c>
      <c r="F3532" s="47">
        <v>0.890162037037037</v>
      </c>
      <c r="G3532" s="44">
        <v>6.3</v>
      </c>
      <c r="H3532" s="43" t="s">
        <v>237</v>
      </c>
      <c r="I3532" s="40" t="s">
        <v>1281</v>
      </c>
    </row>
    <row r="3533" spans="1:9" x14ac:dyDescent="0.25">
      <c r="A3533" s="40" t="s">
        <v>330</v>
      </c>
      <c r="B3533" s="28">
        <v>3950</v>
      </c>
      <c r="C3533" s="28" t="s">
        <v>1033</v>
      </c>
      <c r="D3533" s="28"/>
      <c r="E3533" s="41">
        <v>46139</v>
      </c>
      <c r="F3533" s="47">
        <v>0.90162037037037035</v>
      </c>
      <c r="G3533" s="44">
        <v>6.3</v>
      </c>
      <c r="H3533" s="43" t="s">
        <v>234</v>
      </c>
      <c r="I3533" s="40" t="s">
        <v>1281</v>
      </c>
    </row>
    <row r="3534" spans="1:9" x14ac:dyDescent="0.25">
      <c r="A3534" s="40" t="s">
        <v>330</v>
      </c>
      <c r="B3534" s="28">
        <v>3950</v>
      </c>
      <c r="C3534" s="28" t="s">
        <v>1034</v>
      </c>
      <c r="D3534" s="28"/>
      <c r="E3534" s="41">
        <v>46140</v>
      </c>
      <c r="F3534" s="47">
        <v>0.84682870370370367</v>
      </c>
      <c r="G3534" s="44">
        <v>6.3</v>
      </c>
      <c r="H3534" s="43" t="s">
        <v>235</v>
      </c>
      <c r="I3534" s="40" t="s">
        <v>1281</v>
      </c>
    </row>
    <row r="3535" spans="1:9" x14ac:dyDescent="0.25">
      <c r="A3535" s="40" t="s">
        <v>330</v>
      </c>
      <c r="B3535" s="28">
        <v>3950</v>
      </c>
      <c r="C3535" s="28" t="s">
        <v>1034</v>
      </c>
      <c r="D3535" s="28"/>
      <c r="E3535" s="41">
        <v>46140</v>
      </c>
      <c r="F3535" s="47">
        <v>0.85418981481481482</v>
      </c>
      <c r="G3535" s="44">
        <v>6.3</v>
      </c>
      <c r="H3535" s="43" t="s">
        <v>239</v>
      </c>
      <c r="I3535" s="40" t="s">
        <v>1281</v>
      </c>
    </row>
    <row r="3536" spans="1:9" x14ac:dyDescent="0.25">
      <c r="A3536" s="40" t="s">
        <v>330</v>
      </c>
      <c r="B3536" s="28">
        <v>3950</v>
      </c>
      <c r="C3536" s="28" t="s">
        <v>1035</v>
      </c>
      <c r="D3536" s="28"/>
      <c r="E3536" s="41">
        <v>46141</v>
      </c>
      <c r="F3536" s="47">
        <v>0.95203703703703701</v>
      </c>
      <c r="G3536" s="44">
        <v>6.3</v>
      </c>
      <c r="H3536" s="43" t="s">
        <v>235</v>
      </c>
      <c r="I3536" s="40" t="s">
        <v>1281</v>
      </c>
    </row>
    <row r="3537" spans="1:9" x14ac:dyDescent="0.25">
      <c r="A3537" s="40" t="s">
        <v>330</v>
      </c>
      <c r="B3537" s="28">
        <v>3950</v>
      </c>
      <c r="C3537" s="28" t="s">
        <v>1036</v>
      </c>
      <c r="D3537" s="28"/>
      <c r="E3537" s="41">
        <v>46142</v>
      </c>
      <c r="F3537" s="47">
        <v>0.90085648148148145</v>
      </c>
      <c r="G3537" s="44">
        <v>6.3</v>
      </c>
      <c r="H3537" s="43" t="s">
        <v>235</v>
      </c>
      <c r="I3537" s="40" t="s">
        <v>1281</v>
      </c>
    </row>
    <row r="3538" spans="1:9" x14ac:dyDescent="0.25">
      <c r="A3538" s="40" t="s">
        <v>330</v>
      </c>
      <c r="B3538" s="28">
        <v>3950</v>
      </c>
      <c r="C3538" s="28" t="s">
        <v>1036</v>
      </c>
      <c r="D3538" s="28"/>
      <c r="E3538" s="41">
        <v>46142</v>
      </c>
      <c r="F3538" s="47">
        <v>0.90946759259259258</v>
      </c>
      <c r="G3538" s="44">
        <v>6.3</v>
      </c>
      <c r="H3538" s="43" t="s">
        <v>236</v>
      </c>
      <c r="I3538" s="40" t="s">
        <v>1281</v>
      </c>
    </row>
    <row r="3539" spans="1:9" x14ac:dyDescent="0.25">
      <c r="A3539" s="40" t="s">
        <v>330</v>
      </c>
      <c r="B3539" s="28">
        <v>3950</v>
      </c>
      <c r="C3539" s="28" t="s">
        <v>1037</v>
      </c>
      <c r="D3539" s="28"/>
      <c r="E3539" s="41">
        <v>46143</v>
      </c>
      <c r="F3539" s="47">
        <v>0.16450231481481481</v>
      </c>
      <c r="G3539" s="44">
        <v>6.3</v>
      </c>
      <c r="H3539" s="43" t="s">
        <v>237</v>
      </c>
      <c r="I3539" s="40" t="s">
        <v>1282</v>
      </c>
    </row>
    <row r="3540" spans="1:9" x14ac:dyDescent="0.25">
      <c r="A3540" s="40" t="s">
        <v>330</v>
      </c>
      <c r="B3540" s="28">
        <v>3950</v>
      </c>
      <c r="C3540" s="28" t="s">
        <v>1037</v>
      </c>
      <c r="D3540" s="28"/>
      <c r="E3540" s="41">
        <v>46143</v>
      </c>
      <c r="F3540" s="47">
        <v>0.16966435185185186</v>
      </c>
      <c r="G3540" s="44">
        <v>6.3</v>
      </c>
      <c r="H3540" s="43" t="s">
        <v>234</v>
      </c>
      <c r="I3540" s="40" t="s">
        <v>1282</v>
      </c>
    </row>
    <row r="3541" spans="1:9" x14ac:dyDescent="0.25">
      <c r="A3541" s="40" t="s">
        <v>1038</v>
      </c>
      <c r="B3541" s="28">
        <v>3951</v>
      </c>
      <c r="C3541" s="28" t="s">
        <v>1039</v>
      </c>
      <c r="D3541" s="28"/>
      <c r="E3541" s="45">
        <v>46139</v>
      </c>
      <c r="F3541" s="48">
        <v>0.67978009259259264</v>
      </c>
      <c r="G3541" s="44">
        <v>6.3</v>
      </c>
      <c r="H3541" s="43" t="s">
        <v>237</v>
      </c>
      <c r="I3541" s="40" t="s">
        <v>1281</v>
      </c>
    </row>
    <row r="3542" spans="1:9" x14ac:dyDescent="0.25">
      <c r="A3542" s="40" t="s">
        <v>1038</v>
      </c>
      <c r="B3542" s="28">
        <v>3951</v>
      </c>
      <c r="C3542" s="28" t="s">
        <v>1039</v>
      </c>
      <c r="D3542" s="28"/>
      <c r="E3542" s="41">
        <v>46139</v>
      </c>
      <c r="F3542" s="47">
        <v>0.68768518518518518</v>
      </c>
      <c r="G3542" s="44">
        <v>6.3</v>
      </c>
      <c r="H3542" s="43" t="s">
        <v>234</v>
      </c>
      <c r="I3542" s="40" t="s">
        <v>1281</v>
      </c>
    </row>
    <row r="3543" spans="1:9" x14ac:dyDescent="0.25">
      <c r="A3543" s="40" t="s">
        <v>1038</v>
      </c>
      <c r="B3543" s="28">
        <v>3951</v>
      </c>
      <c r="C3543" s="28" t="s">
        <v>35</v>
      </c>
      <c r="D3543" s="28" t="s">
        <v>38</v>
      </c>
      <c r="E3543" s="41">
        <v>46140</v>
      </c>
      <c r="F3543" s="47">
        <v>3.7106481481481483E-2</v>
      </c>
      <c r="G3543" s="44">
        <v>6.3</v>
      </c>
      <c r="H3543" s="43" t="s">
        <v>240</v>
      </c>
      <c r="I3543" s="40" t="s">
        <v>1281</v>
      </c>
    </row>
    <row r="3544" spans="1:9" x14ac:dyDescent="0.25">
      <c r="A3544" s="40" t="s">
        <v>1038</v>
      </c>
      <c r="B3544" s="28">
        <v>3951</v>
      </c>
      <c r="C3544" s="28">
        <v>10551972</v>
      </c>
      <c r="D3544" s="28"/>
      <c r="E3544" s="41">
        <v>46140</v>
      </c>
      <c r="F3544" s="47">
        <v>0.56178240740740737</v>
      </c>
      <c r="G3544" s="44">
        <v>6.3</v>
      </c>
      <c r="H3544" s="43" t="s">
        <v>237</v>
      </c>
      <c r="I3544" s="40" t="s">
        <v>1281</v>
      </c>
    </row>
    <row r="3545" spans="1:9" x14ac:dyDescent="0.25">
      <c r="A3545" s="40" t="s">
        <v>1038</v>
      </c>
      <c r="B3545" s="28">
        <v>3951</v>
      </c>
      <c r="C3545" s="28">
        <v>10551972</v>
      </c>
      <c r="D3545" s="28"/>
      <c r="E3545" s="41">
        <v>46140</v>
      </c>
      <c r="F3545" s="47">
        <v>0.56745370370370374</v>
      </c>
      <c r="G3545" s="44">
        <v>6.3</v>
      </c>
      <c r="H3545" s="43" t="s">
        <v>234</v>
      </c>
      <c r="I3545" s="40" t="s">
        <v>1281</v>
      </c>
    </row>
    <row r="3546" spans="1:9" x14ac:dyDescent="0.25">
      <c r="A3546" s="40" t="s">
        <v>1038</v>
      </c>
      <c r="B3546" s="28">
        <v>3951</v>
      </c>
      <c r="C3546" s="28" t="s">
        <v>1040</v>
      </c>
      <c r="D3546" s="28"/>
      <c r="E3546" s="41">
        <v>46141</v>
      </c>
      <c r="F3546" s="47">
        <v>0.24914351851851851</v>
      </c>
      <c r="G3546" s="44">
        <v>6.3</v>
      </c>
      <c r="H3546" s="43" t="s">
        <v>235</v>
      </c>
      <c r="I3546" s="40" t="s">
        <v>1281</v>
      </c>
    </row>
    <row r="3547" spans="1:9" x14ac:dyDescent="0.25">
      <c r="A3547" s="40" t="s">
        <v>1038</v>
      </c>
      <c r="B3547" s="28">
        <v>3951</v>
      </c>
      <c r="C3547" s="28" t="s">
        <v>1040</v>
      </c>
      <c r="D3547" s="28"/>
      <c r="E3547" s="41">
        <v>46141</v>
      </c>
      <c r="F3547" s="47">
        <v>0.25912037037037039</v>
      </c>
      <c r="G3547" s="44">
        <v>6.3</v>
      </c>
      <c r="H3547" s="43" t="s">
        <v>236</v>
      </c>
      <c r="I3547" s="40" t="s">
        <v>1281</v>
      </c>
    </row>
    <row r="3548" spans="1:9" x14ac:dyDescent="0.25">
      <c r="A3548" s="40" t="s">
        <v>400</v>
      </c>
      <c r="B3548" s="28">
        <v>3954</v>
      </c>
      <c r="C3548" s="28" t="s">
        <v>1041</v>
      </c>
      <c r="D3548" s="28"/>
      <c r="E3548" s="41">
        <v>46140</v>
      </c>
      <c r="F3548" s="47">
        <v>0.80249999999999999</v>
      </c>
      <c r="G3548" s="44">
        <v>6.3</v>
      </c>
      <c r="H3548" s="43" t="s">
        <v>235</v>
      </c>
      <c r="I3548" s="40" t="s">
        <v>1281</v>
      </c>
    </row>
    <row r="3549" spans="1:9" x14ac:dyDescent="0.25">
      <c r="A3549" s="40" t="s">
        <v>400</v>
      </c>
      <c r="B3549" s="28">
        <v>3954</v>
      </c>
      <c r="C3549" s="28" t="s">
        <v>1041</v>
      </c>
      <c r="D3549" s="28"/>
      <c r="E3549" s="41">
        <v>46140</v>
      </c>
      <c r="F3549" s="47">
        <v>0.81732638888888887</v>
      </c>
      <c r="G3549" s="44">
        <v>6.3</v>
      </c>
      <c r="H3549" s="43" t="s">
        <v>236</v>
      </c>
      <c r="I3549" s="40" t="s">
        <v>1281</v>
      </c>
    </row>
    <row r="3550" spans="1:9" x14ac:dyDescent="0.25">
      <c r="A3550" s="40" t="s">
        <v>400</v>
      </c>
      <c r="B3550" s="28">
        <v>3954</v>
      </c>
      <c r="C3550" s="28" t="s">
        <v>1042</v>
      </c>
      <c r="D3550" s="28"/>
      <c r="E3550" s="41">
        <v>46140</v>
      </c>
      <c r="F3550" s="47">
        <v>0.85061342592592593</v>
      </c>
      <c r="G3550" s="44">
        <v>6.3</v>
      </c>
      <c r="H3550" s="43" t="s">
        <v>233</v>
      </c>
      <c r="I3550" s="40" t="s">
        <v>1281</v>
      </c>
    </row>
    <row r="3551" spans="1:9" x14ac:dyDescent="0.25">
      <c r="A3551" s="40" t="s">
        <v>400</v>
      </c>
      <c r="B3551" s="28">
        <v>3954</v>
      </c>
      <c r="C3551" s="28" t="s">
        <v>1042</v>
      </c>
      <c r="D3551" s="28"/>
      <c r="E3551" s="41">
        <v>46140</v>
      </c>
      <c r="F3551" s="47">
        <v>0.87084490740740739</v>
      </c>
      <c r="G3551" s="44">
        <v>6.3</v>
      </c>
      <c r="H3551" s="43" t="s">
        <v>234</v>
      </c>
      <c r="I3551" s="40" t="s">
        <v>1281</v>
      </c>
    </row>
    <row r="3552" spans="1:9" x14ac:dyDescent="0.25">
      <c r="A3552" s="40" t="s">
        <v>400</v>
      </c>
      <c r="B3552" s="28">
        <v>3954</v>
      </c>
      <c r="C3552" s="28" t="s">
        <v>1043</v>
      </c>
      <c r="D3552" s="28"/>
      <c r="E3552" s="45">
        <v>46141</v>
      </c>
      <c r="F3552" s="48">
        <v>0.8855439814814815</v>
      </c>
      <c r="G3552" s="44">
        <v>6.3</v>
      </c>
      <c r="H3552" s="43" t="s">
        <v>234</v>
      </c>
      <c r="I3552" s="40" t="s">
        <v>1281</v>
      </c>
    </row>
    <row r="3553" spans="1:9" x14ac:dyDescent="0.25">
      <c r="A3553" s="40" t="s">
        <v>400</v>
      </c>
      <c r="B3553" s="28">
        <v>3954</v>
      </c>
      <c r="C3553" s="28" t="s">
        <v>1044</v>
      </c>
      <c r="D3553" s="28"/>
      <c r="E3553" s="41">
        <v>46142</v>
      </c>
      <c r="F3553" s="47">
        <v>0.74637731481481484</v>
      </c>
      <c r="G3553" s="44">
        <v>6.3</v>
      </c>
      <c r="H3553" s="43" t="s">
        <v>235</v>
      </c>
      <c r="I3553" s="40" t="s">
        <v>1282</v>
      </c>
    </row>
    <row r="3554" spans="1:9" x14ac:dyDescent="0.25">
      <c r="A3554" s="40" t="s">
        <v>400</v>
      </c>
      <c r="B3554" s="28">
        <v>3954</v>
      </c>
      <c r="C3554" s="28" t="s">
        <v>1044</v>
      </c>
      <c r="D3554" s="28"/>
      <c r="E3554" s="41">
        <v>46142</v>
      </c>
      <c r="F3554" s="47">
        <v>0.75798611111111114</v>
      </c>
      <c r="G3554" s="44">
        <v>6.3</v>
      </c>
      <c r="H3554" s="43" t="s">
        <v>236</v>
      </c>
      <c r="I3554" s="40" t="s">
        <v>1281</v>
      </c>
    </row>
    <row r="3555" spans="1:9" x14ac:dyDescent="0.25">
      <c r="A3555" s="40" t="s">
        <v>400</v>
      </c>
      <c r="B3555" s="28">
        <v>3954</v>
      </c>
      <c r="C3555" s="28" t="s">
        <v>1045</v>
      </c>
      <c r="D3555" s="28"/>
      <c r="E3555" s="41">
        <v>46142</v>
      </c>
      <c r="F3555" s="47">
        <v>0.8434490740740741</v>
      </c>
      <c r="G3555" s="44">
        <v>6.3</v>
      </c>
      <c r="H3555" s="43" t="s">
        <v>234</v>
      </c>
      <c r="I3555" s="40" t="s">
        <v>1281</v>
      </c>
    </row>
    <row r="3556" spans="1:9" x14ac:dyDescent="0.25">
      <c r="A3556" s="40" t="s">
        <v>400</v>
      </c>
      <c r="B3556" s="28">
        <v>3954</v>
      </c>
      <c r="C3556" s="28" t="s">
        <v>1046</v>
      </c>
      <c r="D3556" s="28"/>
      <c r="E3556" s="41">
        <v>46144</v>
      </c>
      <c r="F3556" s="47">
        <v>0.73167824074074073</v>
      </c>
      <c r="G3556" s="44">
        <v>6.3</v>
      </c>
      <c r="H3556" s="43" t="s">
        <v>235</v>
      </c>
      <c r="I3556" s="40" t="s">
        <v>1282</v>
      </c>
    </row>
    <row r="3557" spans="1:9" x14ac:dyDescent="0.25">
      <c r="A3557" s="40" t="s">
        <v>400</v>
      </c>
      <c r="B3557" s="28">
        <v>3954</v>
      </c>
      <c r="C3557" s="28" t="s">
        <v>1046</v>
      </c>
      <c r="D3557" s="28"/>
      <c r="E3557" s="41">
        <v>46144</v>
      </c>
      <c r="F3557" s="47">
        <v>0.73960648148148145</v>
      </c>
      <c r="G3557" s="44">
        <v>6.3</v>
      </c>
      <c r="H3557" s="43" t="s">
        <v>239</v>
      </c>
      <c r="I3557" s="40" t="s">
        <v>1282</v>
      </c>
    </row>
    <row r="3558" spans="1:9" x14ac:dyDescent="0.25">
      <c r="A3558" s="40" t="s">
        <v>400</v>
      </c>
      <c r="B3558" s="28">
        <v>3954</v>
      </c>
      <c r="C3558" s="28" t="s">
        <v>1047</v>
      </c>
      <c r="D3558" s="28"/>
      <c r="E3558" s="41">
        <v>46145</v>
      </c>
      <c r="F3558" s="47">
        <v>0.90122685185185181</v>
      </c>
      <c r="G3558" s="44">
        <v>6.3</v>
      </c>
      <c r="H3558" s="43" t="s">
        <v>235</v>
      </c>
      <c r="I3558" s="40" t="s">
        <v>1282</v>
      </c>
    </row>
    <row r="3559" spans="1:9" x14ac:dyDescent="0.25">
      <c r="A3559" s="40" t="s">
        <v>400</v>
      </c>
      <c r="B3559" s="28">
        <v>3954</v>
      </c>
      <c r="C3559" s="28" t="s">
        <v>1047</v>
      </c>
      <c r="D3559" s="28"/>
      <c r="E3559" s="41">
        <v>46145</v>
      </c>
      <c r="F3559" s="47">
        <v>0.90896990740740746</v>
      </c>
      <c r="G3559" s="44">
        <v>6.3</v>
      </c>
      <c r="H3559" s="43" t="s">
        <v>236</v>
      </c>
      <c r="I3559" s="40" t="s">
        <v>1282</v>
      </c>
    </row>
    <row r="3560" spans="1:9" x14ac:dyDescent="0.25">
      <c r="A3560" s="40" t="s">
        <v>332</v>
      </c>
      <c r="B3560" s="28">
        <v>3956</v>
      </c>
      <c r="C3560" s="28">
        <v>5638653</v>
      </c>
      <c r="D3560" s="28"/>
      <c r="E3560" s="45">
        <v>46139</v>
      </c>
      <c r="F3560" s="48">
        <v>0.67787037037037035</v>
      </c>
      <c r="G3560" s="44">
        <v>6.3</v>
      </c>
      <c r="H3560" s="43" t="s">
        <v>234</v>
      </c>
      <c r="I3560" s="40" t="s">
        <v>1281</v>
      </c>
    </row>
    <row r="3561" spans="1:9" x14ac:dyDescent="0.25">
      <c r="A3561" s="40" t="s">
        <v>332</v>
      </c>
      <c r="B3561" s="28">
        <v>3956</v>
      </c>
      <c r="C3561" s="28" t="s">
        <v>1048</v>
      </c>
      <c r="D3561" s="28"/>
      <c r="E3561" s="41">
        <v>46140</v>
      </c>
      <c r="F3561" s="47">
        <v>0.63163194444444448</v>
      </c>
      <c r="G3561" s="44">
        <v>6.3</v>
      </c>
      <c r="H3561" s="43" t="s">
        <v>235</v>
      </c>
      <c r="I3561" s="40" t="s">
        <v>1281</v>
      </c>
    </row>
    <row r="3562" spans="1:9" x14ac:dyDescent="0.25">
      <c r="A3562" s="40" t="s">
        <v>332</v>
      </c>
      <c r="B3562" s="28">
        <v>3956</v>
      </c>
      <c r="C3562" s="28" t="s">
        <v>1048</v>
      </c>
      <c r="D3562" s="28"/>
      <c r="E3562" s="45">
        <v>46140</v>
      </c>
      <c r="F3562" s="48">
        <v>0.64050925925925928</v>
      </c>
      <c r="G3562" s="44">
        <v>6.3</v>
      </c>
      <c r="H3562" s="43" t="s">
        <v>239</v>
      </c>
      <c r="I3562" s="40" t="s">
        <v>1281</v>
      </c>
    </row>
    <row r="3563" spans="1:9" x14ac:dyDescent="0.25">
      <c r="A3563" s="40" t="s">
        <v>332</v>
      </c>
      <c r="B3563" s="28">
        <v>3956</v>
      </c>
      <c r="C3563" s="28" t="s">
        <v>35</v>
      </c>
      <c r="D3563" s="28" t="s">
        <v>38</v>
      </c>
      <c r="E3563" s="41">
        <v>46140</v>
      </c>
      <c r="F3563" s="47">
        <v>0.65806712962962965</v>
      </c>
      <c r="G3563" s="44">
        <v>6.3</v>
      </c>
      <c r="H3563" s="43" t="s">
        <v>233</v>
      </c>
      <c r="I3563" s="40" t="s">
        <v>1281</v>
      </c>
    </row>
    <row r="3564" spans="1:9" x14ac:dyDescent="0.25">
      <c r="A3564" s="40" t="s">
        <v>332</v>
      </c>
      <c r="B3564" s="28">
        <v>3956</v>
      </c>
      <c r="C3564" s="28" t="s">
        <v>35</v>
      </c>
      <c r="D3564" s="28" t="s">
        <v>38</v>
      </c>
      <c r="E3564" s="41">
        <v>46140</v>
      </c>
      <c r="F3564" s="47">
        <v>0.67019675925925926</v>
      </c>
      <c r="G3564" s="44">
        <v>6.3</v>
      </c>
      <c r="H3564" s="43" t="s">
        <v>234</v>
      </c>
      <c r="I3564" s="40" t="s">
        <v>1281</v>
      </c>
    </row>
    <row r="3565" spans="1:9" x14ac:dyDescent="0.25">
      <c r="A3565" s="40" t="s">
        <v>332</v>
      </c>
      <c r="B3565" s="28">
        <v>3956</v>
      </c>
      <c r="C3565" s="28" t="s">
        <v>35</v>
      </c>
      <c r="D3565" s="28" t="s">
        <v>38</v>
      </c>
      <c r="E3565" s="41">
        <v>46141</v>
      </c>
      <c r="F3565" s="47">
        <v>0.41782407407407407</v>
      </c>
      <c r="G3565" s="44">
        <v>6.3</v>
      </c>
      <c r="H3565" s="43" t="s">
        <v>234</v>
      </c>
      <c r="I3565" s="40" t="s">
        <v>1281</v>
      </c>
    </row>
    <row r="3566" spans="1:9" x14ac:dyDescent="0.25">
      <c r="A3566" s="40" t="s">
        <v>332</v>
      </c>
      <c r="B3566" s="28">
        <v>3956</v>
      </c>
      <c r="C3566" s="28" t="s">
        <v>1049</v>
      </c>
      <c r="D3566" s="28"/>
      <c r="E3566" s="41">
        <v>46142</v>
      </c>
      <c r="F3566" s="47">
        <v>0.57859953703703704</v>
      </c>
      <c r="G3566" s="44">
        <v>6.3</v>
      </c>
      <c r="H3566" s="43" t="s">
        <v>235</v>
      </c>
      <c r="I3566" s="40" t="s">
        <v>1281</v>
      </c>
    </row>
    <row r="3567" spans="1:9" x14ac:dyDescent="0.25">
      <c r="A3567" s="40" t="s">
        <v>332</v>
      </c>
      <c r="B3567" s="28">
        <v>3956</v>
      </c>
      <c r="C3567" s="28">
        <v>5631656</v>
      </c>
      <c r="D3567" s="28"/>
      <c r="E3567" s="41">
        <v>46142</v>
      </c>
      <c r="F3567" s="47">
        <v>0.99958333333333338</v>
      </c>
      <c r="G3567" s="44">
        <v>6.3</v>
      </c>
      <c r="H3567" s="43" t="s">
        <v>235</v>
      </c>
      <c r="I3567" s="40" t="s">
        <v>1282</v>
      </c>
    </row>
    <row r="3568" spans="1:9" x14ac:dyDescent="0.25">
      <c r="A3568" s="40" t="s">
        <v>332</v>
      </c>
      <c r="B3568" s="28">
        <v>3956</v>
      </c>
      <c r="C3568" s="28" t="s">
        <v>35</v>
      </c>
      <c r="D3568" s="28" t="s">
        <v>38</v>
      </c>
      <c r="E3568" s="41">
        <v>46143</v>
      </c>
      <c r="F3568" s="47">
        <v>0.36812499999999998</v>
      </c>
      <c r="G3568" s="44">
        <v>6.3</v>
      </c>
      <c r="H3568" s="43" t="s">
        <v>234</v>
      </c>
      <c r="I3568" s="40" t="s">
        <v>1282</v>
      </c>
    </row>
    <row r="3569" spans="1:9" x14ac:dyDescent="0.25">
      <c r="A3569" s="40" t="s">
        <v>332</v>
      </c>
      <c r="B3569" s="28">
        <v>3956</v>
      </c>
      <c r="C3569" s="28">
        <v>5646299</v>
      </c>
      <c r="D3569" s="28"/>
      <c r="E3569" s="41">
        <v>46143</v>
      </c>
      <c r="F3569" s="47">
        <v>0.57162037037037039</v>
      </c>
      <c r="G3569" s="42">
        <v>6.3</v>
      </c>
      <c r="H3569" s="40" t="s">
        <v>235</v>
      </c>
      <c r="I3569" s="40" t="s">
        <v>1282</v>
      </c>
    </row>
    <row r="3570" spans="1:9" x14ac:dyDescent="0.25">
      <c r="A3570" s="40" t="s">
        <v>332</v>
      </c>
      <c r="B3570" s="28">
        <v>3956</v>
      </c>
      <c r="C3570" s="28">
        <v>5646299</v>
      </c>
      <c r="D3570" s="28"/>
      <c r="E3570" s="41">
        <v>46143</v>
      </c>
      <c r="F3570" s="47">
        <v>0.57855324074074077</v>
      </c>
      <c r="G3570" s="42">
        <v>6.3</v>
      </c>
      <c r="H3570" s="40" t="s">
        <v>236</v>
      </c>
      <c r="I3570" s="40" t="s">
        <v>1282</v>
      </c>
    </row>
    <row r="3571" spans="1:9" x14ac:dyDescent="0.25">
      <c r="A3571" s="40" t="s">
        <v>332</v>
      </c>
      <c r="B3571" s="28">
        <v>3956</v>
      </c>
      <c r="C3571" s="28">
        <v>5646945</v>
      </c>
      <c r="D3571" s="28"/>
      <c r="E3571" s="41">
        <v>46144</v>
      </c>
      <c r="F3571" s="47">
        <v>0.43047453703703703</v>
      </c>
      <c r="G3571" s="42">
        <v>6.3</v>
      </c>
      <c r="H3571" s="40" t="s">
        <v>234</v>
      </c>
      <c r="I3571" s="40" t="s">
        <v>1282</v>
      </c>
    </row>
    <row r="3572" spans="1:9" x14ac:dyDescent="0.25">
      <c r="A3572" s="40" t="s">
        <v>332</v>
      </c>
      <c r="B3572" s="28">
        <v>3956</v>
      </c>
      <c r="C3572" s="28">
        <v>5635877</v>
      </c>
      <c r="D3572" s="28"/>
      <c r="E3572" s="41">
        <v>46144</v>
      </c>
      <c r="F3572" s="47">
        <v>0.53050925925925929</v>
      </c>
      <c r="G3572" s="44">
        <v>6.3</v>
      </c>
      <c r="H3572" s="43" t="s">
        <v>235</v>
      </c>
      <c r="I3572" s="40" t="s">
        <v>1282</v>
      </c>
    </row>
    <row r="3573" spans="1:9" x14ac:dyDescent="0.25">
      <c r="A3573" s="40" t="s">
        <v>332</v>
      </c>
      <c r="B3573" s="28">
        <v>3956</v>
      </c>
      <c r="C3573" s="28">
        <v>5635877</v>
      </c>
      <c r="D3573" s="28"/>
      <c r="E3573" s="41">
        <v>46144</v>
      </c>
      <c r="F3573" s="47">
        <v>0.53722222222222227</v>
      </c>
      <c r="G3573" s="44">
        <v>6.3</v>
      </c>
      <c r="H3573" s="43" t="s">
        <v>239</v>
      </c>
      <c r="I3573" s="40" t="s">
        <v>1282</v>
      </c>
    </row>
    <row r="3574" spans="1:9" x14ac:dyDescent="0.25">
      <c r="A3574" s="40" t="s">
        <v>332</v>
      </c>
      <c r="B3574" s="28">
        <v>3956</v>
      </c>
      <c r="C3574" s="28" t="s">
        <v>1050</v>
      </c>
      <c r="D3574" s="28"/>
      <c r="E3574" s="41">
        <v>46145</v>
      </c>
      <c r="F3574" s="47">
        <v>0.69299768518518523</v>
      </c>
      <c r="G3574" s="44">
        <v>6.3</v>
      </c>
      <c r="H3574" s="43" t="s">
        <v>235</v>
      </c>
      <c r="I3574" s="40" t="s">
        <v>1282</v>
      </c>
    </row>
    <row r="3575" spans="1:9" x14ac:dyDescent="0.25">
      <c r="A3575" s="40" t="s">
        <v>332</v>
      </c>
      <c r="B3575" s="28">
        <v>3956</v>
      </c>
      <c r="C3575" s="28" t="s">
        <v>1050</v>
      </c>
      <c r="D3575" s="28"/>
      <c r="E3575" s="41">
        <v>46145</v>
      </c>
      <c r="F3575" s="47">
        <v>0.69980324074074074</v>
      </c>
      <c r="G3575" s="44">
        <v>6.3</v>
      </c>
      <c r="H3575" s="43" t="s">
        <v>236</v>
      </c>
      <c r="I3575" s="40" t="s">
        <v>1282</v>
      </c>
    </row>
    <row r="3576" spans="1:9" x14ac:dyDescent="0.25">
      <c r="A3576" s="40" t="s">
        <v>332</v>
      </c>
      <c r="B3576" s="28">
        <v>3956</v>
      </c>
      <c r="C3576" s="28" t="s">
        <v>35</v>
      </c>
      <c r="D3576" s="28" t="s">
        <v>38</v>
      </c>
      <c r="E3576" s="41">
        <v>46145</v>
      </c>
      <c r="F3576" s="47">
        <v>0.74233796296296295</v>
      </c>
      <c r="G3576" s="44">
        <v>6.3</v>
      </c>
      <c r="H3576" s="43" t="s">
        <v>237</v>
      </c>
      <c r="I3576" s="40" t="s">
        <v>1282</v>
      </c>
    </row>
    <row r="3577" spans="1:9" x14ac:dyDescent="0.25">
      <c r="A3577" s="40" t="s">
        <v>332</v>
      </c>
      <c r="B3577" s="28">
        <v>3956</v>
      </c>
      <c r="C3577" s="28" t="s">
        <v>35</v>
      </c>
      <c r="D3577" s="28" t="s">
        <v>38</v>
      </c>
      <c r="E3577" s="41">
        <v>46145</v>
      </c>
      <c r="F3577" s="47">
        <v>0.74755787037037036</v>
      </c>
      <c r="G3577" s="44">
        <v>6.3</v>
      </c>
      <c r="H3577" s="43" t="s">
        <v>234</v>
      </c>
      <c r="I3577" s="40" t="s">
        <v>1282</v>
      </c>
    </row>
    <row r="3578" spans="1:9" x14ac:dyDescent="0.25">
      <c r="A3578" s="40" t="s">
        <v>332</v>
      </c>
      <c r="B3578" s="28">
        <v>3956</v>
      </c>
      <c r="C3578" s="28">
        <v>5648020</v>
      </c>
      <c r="D3578" s="28"/>
      <c r="E3578" s="41">
        <v>46145</v>
      </c>
      <c r="F3578" s="47">
        <v>0.88418981481481485</v>
      </c>
      <c r="G3578" s="44">
        <v>6.3</v>
      </c>
      <c r="H3578" s="43" t="s">
        <v>234</v>
      </c>
      <c r="I3578" s="40" t="s">
        <v>1282</v>
      </c>
    </row>
    <row r="3579" spans="1:9" x14ac:dyDescent="0.25">
      <c r="A3579" s="40" t="s">
        <v>374</v>
      </c>
      <c r="B3579" s="28">
        <v>3959</v>
      </c>
      <c r="C3579" s="28" t="s">
        <v>35</v>
      </c>
      <c r="D3579" s="28" t="s">
        <v>38</v>
      </c>
      <c r="E3579" s="41">
        <v>46143</v>
      </c>
      <c r="F3579" s="47">
        <v>0.96121527777777782</v>
      </c>
      <c r="G3579" s="44">
        <v>6.3</v>
      </c>
      <c r="H3579" s="43" t="s">
        <v>234</v>
      </c>
      <c r="I3579" s="40" t="s">
        <v>1282</v>
      </c>
    </row>
    <row r="3580" spans="1:9" x14ac:dyDescent="0.25">
      <c r="A3580" s="40" t="s">
        <v>374</v>
      </c>
      <c r="B3580" s="28">
        <v>3959</v>
      </c>
      <c r="C3580" s="28" t="s">
        <v>1051</v>
      </c>
      <c r="D3580" s="28"/>
      <c r="E3580" s="41">
        <v>46144</v>
      </c>
      <c r="F3580" s="47">
        <v>0.47745370370370371</v>
      </c>
      <c r="G3580" s="44">
        <v>6.3</v>
      </c>
      <c r="H3580" s="43" t="s">
        <v>235</v>
      </c>
      <c r="I3580" s="40" t="s">
        <v>1282</v>
      </c>
    </row>
    <row r="3581" spans="1:9" x14ac:dyDescent="0.25">
      <c r="A3581" s="40" t="s">
        <v>374</v>
      </c>
      <c r="B3581" s="28">
        <v>3959</v>
      </c>
      <c r="C3581" s="28" t="s">
        <v>1051</v>
      </c>
      <c r="D3581" s="28"/>
      <c r="E3581" s="41">
        <v>46144</v>
      </c>
      <c r="F3581" s="47">
        <v>0.48616898148148147</v>
      </c>
      <c r="G3581" s="44">
        <v>6.3</v>
      </c>
      <c r="H3581" s="43" t="s">
        <v>236</v>
      </c>
      <c r="I3581" s="40" t="s">
        <v>1282</v>
      </c>
    </row>
    <row r="3582" spans="1:9" x14ac:dyDescent="0.25">
      <c r="A3582" s="40" t="s">
        <v>374</v>
      </c>
      <c r="B3582" s="28">
        <v>3959</v>
      </c>
      <c r="C3582" s="28">
        <v>5638237</v>
      </c>
      <c r="D3582" s="28" t="s">
        <v>37</v>
      </c>
      <c r="E3582" s="41">
        <v>46144</v>
      </c>
      <c r="F3582" s="47">
        <v>0.80648148148148147</v>
      </c>
      <c r="G3582" s="44">
        <v>6.3</v>
      </c>
      <c r="H3582" s="43" t="s">
        <v>237</v>
      </c>
      <c r="I3582" s="40" t="s">
        <v>1282</v>
      </c>
    </row>
    <row r="3583" spans="1:9" x14ac:dyDescent="0.25">
      <c r="A3583" s="40" t="s">
        <v>374</v>
      </c>
      <c r="B3583" s="28">
        <v>3959</v>
      </c>
      <c r="C3583" s="28">
        <v>5638237</v>
      </c>
      <c r="D3583" s="28" t="s">
        <v>37</v>
      </c>
      <c r="E3583" s="41">
        <v>46144</v>
      </c>
      <c r="F3583" s="47">
        <v>0.81253472222222223</v>
      </c>
      <c r="G3583" s="44">
        <v>6.3</v>
      </c>
      <c r="H3583" s="43" t="s">
        <v>234</v>
      </c>
      <c r="I3583" s="40" t="s">
        <v>1282</v>
      </c>
    </row>
    <row r="3584" spans="1:9" x14ac:dyDescent="0.25">
      <c r="A3584" s="40" t="s">
        <v>374</v>
      </c>
      <c r="B3584" s="28">
        <v>3959</v>
      </c>
      <c r="C3584" s="28">
        <v>5646324</v>
      </c>
      <c r="D3584" s="28"/>
      <c r="E3584" s="41">
        <v>46144</v>
      </c>
      <c r="F3584" s="47">
        <v>0.92103009259259261</v>
      </c>
      <c r="G3584" s="44">
        <v>6.3</v>
      </c>
      <c r="H3584" s="43" t="s">
        <v>235</v>
      </c>
      <c r="I3584" s="40" t="s">
        <v>1282</v>
      </c>
    </row>
    <row r="3585" spans="1:9" x14ac:dyDescent="0.25">
      <c r="A3585" s="40" t="s">
        <v>374</v>
      </c>
      <c r="B3585" s="28">
        <v>3959</v>
      </c>
      <c r="C3585" s="28">
        <v>5646324</v>
      </c>
      <c r="D3585" s="28"/>
      <c r="E3585" s="41">
        <v>46144</v>
      </c>
      <c r="F3585" s="47">
        <v>0.92769675925925921</v>
      </c>
      <c r="G3585" s="44">
        <v>6.3</v>
      </c>
      <c r="H3585" s="43" t="s">
        <v>239</v>
      </c>
      <c r="I3585" s="40" t="s">
        <v>1282</v>
      </c>
    </row>
    <row r="3586" spans="1:9" x14ac:dyDescent="0.25">
      <c r="A3586" s="40" t="s">
        <v>374</v>
      </c>
      <c r="B3586" s="28">
        <v>3959</v>
      </c>
      <c r="C3586" s="28">
        <v>5648052</v>
      </c>
      <c r="D3586" s="28"/>
      <c r="E3586" s="41">
        <v>46144</v>
      </c>
      <c r="F3586" s="47">
        <v>0.96850694444444441</v>
      </c>
      <c r="G3586" s="44">
        <v>6.3</v>
      </c>
      <c r="H3586" s="43" t="s">
        <v>234</v>
      </c>
      <c r="I3586" s="40" t="s">
        <v>1282</v>
      </c>
    </row>
    <row r="3587" spans="1:9" x14ac:dyDescent="0.25">
      <c r="A3587" s="40" t="s">
        <v>374</v>
      </c>
      <c r="B3587" s="28">
        <v>3959</v>
      </c>
      <c r="C3587" s="28">
        <v>5648891</v>
      </c>
      <c r="D3587" s="28"/>
      <c r="E3587" s="41">
        <v>46145</v>
      </c>
      <c r="F3587" s="47">
        <v>0.72703703703703704</v>
      </c>
      <c r="G3587" s="44">
        <v>6.3</v>
      </c>
      <c r="H3587" s="43" t="s">
        <v>237</v>
      </c>
      <c r="I3587" s="40" t="s">
        <v>1282</v>
      </c>
    </row>
    <row r="3588" spans="1:9" x14ac:dyDescent="0.25">
      <c r="A3588" s="40" t="s">
        <v>374</v>
      </c>
      <c r="B3588" s="28">
        <v>3959</v>
      </c>
      <c r="C3588" s="28">
        <v>5648891</v>
      </c>
      <c r="D3588" s="28"/>
      <c r="E3588" s="41">
        <v>46145</v>
      </c>
      <c r="F3588" s="47">
        <v>0.73237268518518517</v>
      </c>
      <c r="G3588" s="44">
        <v>6.3</v>
      </c>
      <c r="H3588" s="43" t="s">
        <v>234</v>
      </c>
      <c r="I3588" s="40" t="s">
        <v>1282</v>
      </c>
    </row>
    <row r="3589" spans="1:9" x14ac:dyDescent="0.25">
      <c r="A3589" s="40" t="s">
        <v>374</v>
      </c>
      <c r="B3589" s="28">
        <v>3959</v>
      </c>
      <c r="C3589" s="28">
        <v>5649096</v>
      </c>
      <c r="D3589" s="28"/>
      <c r="E3589" s="41">
        <v>46145</v>
      </c>
      <c r="F3589" s="47">
        <v>0.80387731481481484</v>
      </c>
      <c r="G3589" s="44">
        <v>6.3</v>
      </c>
      <c r="H3589" s="43" t="s">
        <v>235</v>
      </c>
      <c r="I3589" s="40" t="s">
        <v>1282</v>
      </c>
    </row>
    <row r="3590" spans="1:9" x14ac:dyDescent="0.25">
      <c r="A3590" s="40" t="s">
        <v>374</v>
      </c>
      <c r="B3590" s="28">
        <v>3959</v>
      </c>
      <c r="C3590" s="28">
        <v>5649096</v>
      </c>
      <c r="D3590" s="28"/>
      <c r="E3590" s="41">
        <v>46145</v>
      </c>
      <c r="F3590" s="47">
        <v>0.81146990740740743</v>
      </c>
      <c r="G3590" s="44">
        <v>6.3</v>
      </c>
      <c r="H3590" s="43" t="s">
        <v>236</v>
      </c>
      <c r="I3590" s="40" t="s">
        <v>1282</v>
      </c>
    </row>
    <row r="3591" spans="1:9" x14ac:dyDescent="0.25">
      <c r="A3591" s="40" t="s">
        <v>391</v>
      </c>
      <c r="B3591" s="28">
        <v>3960</v>
      </c>
      <c r="C3591" s="28">
        <v>5642799</v>
      </c>
      <c r="D3591" s="28" t="s">
        <v>36</v>
      </c>
      <c r="E3591" s="41">
        <v>46141</v>
      </c>
      <c r="F3591" s="47">
        <v>0.62017361111111113</v>
      </c>
      <c r="G3591" s="44">
        <v>6.3</v>
      </c>
      <c r="H3591" s="43" t="s">
        <v>235</v>
      </c>
      <c r="I3591" s="40" t="s">
        <v>1281</v>
      </c>
    </row>
    <row r="3592" spans="1:9" x14ac:dyDescent="0.25">
      <c r="A3592" s="40" t="s">
        <v>391</v>
      </c>
      <c r="B3592" s="28">
        <v>3960</v>
      </c>
      <c r="C3592" s="28">
        <v>5642799</v>
      </c>
      <c r="D3592" s="28" t="s">
        <v>36</v>
      </c>
      <c r="E3592" s="41">
        <v>46141</v>
      </c>
      <c r="F3592" s="47">
        <v>0.63031250000000005</v>
      </c>
      <c r="G3592" s="44">
        <v>6.3</v>
      </c>
      <c r="H3592" s="43" t="s">
        <v>236</v>
      </c>
      <c r="I3592" s="40" t="s">
        <v>1281</v>
      </c>
    </row>
    <row r="3593" spans="1:9" x14ac:dyDescent="0.25">
      <c r="A3593" s="40" t="s">
        <v>391</v>
      </c>
      <c r="B3593" s="28">
        <v>3960</v>
      </c>
      <c r="C3593" s="28">
        <v>5643242</v>
      </c>
      <c r="D3593" s="28"/>
      <c r="E3593" s="41">
        <v>46141</v>
      </c>
      <c r="F3593" s="47">
        <v>0.75041666666666662</v>
      </c>
      <c r="G3593" s="44">
        <v>6.3</v>
      </c>
      <c r="H3593" s="43" t="s">
        <v>237</v>
      </c>
      <c r="I3593" s="40" t="s">
        <v>1281</v>
      </c>
    </row>
    <row r="3594" spans="1:9" x14ac:dyDescent="0.25">
      <c r="A3594" s="40" t="s">
        <v>391</v>
      </c>
      <c r="B3594" s="28">
        <v>3960</v>
      </c>
      <c r="C3594" s="28">
        <v>5638978</v>
      </c>
      <c r="D3594" s="28"/>
      <c r="E3594" s="41">
        <v>46141</v>
      </c>
      <c r="F3594" s="47">
        <v>0.93112268518518515</v>
      </c>
      <c r="G3594" s="44">
        <v>6.3</v>
      </c>
      <c r="H3594" s="43" t="s">
        <v>237</v>
      </c>
      <c r="I3594" s="40" t="s">
        <v>1281</v>
      </c>
    </row>
    <row r="3595" spans="1:9" x14ac:dyDescent="0.25">
      <c r="A3595" s="40" t="s">
        <v>391</v>
      </c>
      <c r="B3595" s="28">
        <v>3960</v>
      </c>
      <c r="C3595" s="28" t="s">
        <v>35</v>
      </c>
      <c r="D3595" s="28" t="s">
        <v>38</v>
      </c>
      <c r="E3595" s="41">
        <v>46143</v>
      </c>
      <c r="F3595" s="47">
        <v>0.34208333333333335</v>
      </c>
      <c r="G3595" s="44">
        <v>6.3</v>
      </c>
      <c r="H3595" s="43" t="s">
        <v>236</v>
      </c>
      <c r="I3595" s="40" t="s">
        <v>1282</v>
      </c>
    </row>
    <row r="3596" spans="1:9" x14ac:dyDescent="0.25">
      <c r="A3596" s="40" t="s">
        <v>391</v>
      </c>
      <c r="B3596" s="28">
        <v>3960</v>
      </c>
      <c r="C3596" s="28" t="s">
        <v>35</v>
      </c>
      <c r="D3596" s="28" t="s">
        <v>38</v>
      </c>
      <c r="E3596" s="41">
        <v>46143</v>
      </c>
      <c r="F3596" s="47">
        <v>0.79026620370370371</v>
      </c>
      <c r="G3596" s="44">
        <v>6.3</v>
      </c>
      <c r="H3596" s="43" t="s">
        <v>237</v>
      </c>
      <c r="I3596" s="40" t="s">
        <v>1282</v>
      </c>
    </row>
    <row r="3597" spans="1:9" x14ac:dyDescent="0.25">
      <c r="A3597" s="40" t="s">
        <v>391</v>
      </c>
      <c r="B3597" s="28">
        <v>3960</v>
      </c>
      <c r="C3597" s="28">
        <v>5647409</v>
      </c>
      <c r="D3597" s="28"/>
      <c r="E3597" s="41">
        <v>46144</v>
      </c>
      <c r="F3597" s="47">
        <v>0.61581018518518515</v>
      </c>
      <c r="G3597" s="44">
        <v>6.3</v>
      </c>
      <c r="H3597" s="43" t="s">
        <v>238</v>
      </c>
      <c r="I3597" s="40" t="s">
        <v>1282</v>
      </c>
    </row>
    <row r="3598" spans="1:9" x14ac:dyDescent="0.25">
      <c r="A3598" s="40" t="s">
        <v>391</v>
      </c>
      <c r="B3598" s="28">
        <v>3960</v>
      </c>
      <c r="C3598" s="28">
        <v>5647409</v>
      </c>
      <c r="D3598" s="28"/>
      <c r="E3598" s="41">
        <v>46144</v>
      </c>
      <c r="F3598" s="47">
        <v>0.62168981481481478</v>
      </c>
      <c r="G3598" s="44">
        <v>6.3</v>
      </c>
      <c r="H3598" s="43" t="s">
        <v>234</v>
      </c>
      <c r="I3598" s="40" t="s">
        <v>1282</v>
      </c>
    </row>
    <row r="3599" spans="1:9" x14ac:dyDescent="0.25">
      <c r="A3599" s="40" t="s">
        <v>407</v>
      </c>
      <c r="B3599" s="28">
        <v>4026</v>
      </c>
      <c r="C3599" s="28">
        <v>5642650</v>
      </c>
      <c r="D3599" s="28"/>
      <c r="E3599" s="41">
        <v>46141</v>
      </c>
      <c r="F3599" s="47">
        <v>0.57835648148148144</v>
      </c>
      <c r="G3599" s="44">
        <v>6.3</v>
      </c>
      <c r="H3599" s="43" t="s">
        <v>235</v>
      </c>
      <c r="I3599" s="40" t="s">
        <v>1281</v>
      </c>
    </row>
    <row r="3600" spans="1:9" x14ac:dyDescent="0.25">
      <c r="A3600" s="40" t="s">
        <v>407</v>
      </c>
      <c r="B3600" s="28">
        <v>4026</v>
      </c>
      <c r="C3600" s="28">
        <v>5642650</v>
      </c>
      <c r="D3600" s="28"/>
      <c r="E3600" s="41">
        <v>46141</v>
      </c>
      <c r="F3600" s="47">
        <v>0.59125000000000005</v>
      </c>
      <c r="G3600" s="44">
        <v>6.3</v>
      </c>
      <c r="H3600" s="43" t="s">
        <v>236</v>
      </c>
      <c r="I3600" s="40" t="s">
        <v>1281</v>
      </c>
    </row>
    <row r="3601" spans="1:9" x14ac:dyDescent="0.25">
      <c r="A3601" s="40" t="s">
        <v>382</v>
      </c>
      <c r="B3601" s="28">
        <v>4029</v>
      </c>
      <c r="C3601" s="28">
        <v>5642862</v>
      </c>
      <c r="D3601" s="28"/>
      <c r="E3601" s="41">
        <v>46141</v>
      </c>
      <c r="F3601" s="47">
        <v>0.64268518518518514</v>
      </c>
      <c r="G3601" s="44">
        <v>6.3</v>
      </c>
      <c r="H3601" s="43" t="s">
        <v>235</v>
      </c>
      <c r="I3601" s="40" t="s">
        <v>1281</v>
      </c>
    </row>
    <row r="3602" spans="1:9" x14ac:dyDescent="0.25">
      <c r="A3602" s="40" t="s">
        <v>382</v>
      </c>
      <c r="B3602" s="28">
        <v>4029</v>
      </c>
      <c r="C3602" s="28">
        <v>5642862</v>
      </c>
      <c r="D3602" s="28"/>
      <c r="E3602" s="41">
        <v>46141</v>
      </c>
      <c r="F3602" s="47">
        <v>0.65523148148148147</v>
      </c>
      <c r="G3602" s="44">
        <v>6.3</v>
      </c>
      <c r="H3602" s="43" t="s">
        <v>239</v>
      </c>
      <c r="I3602" s="40" t="s">
        <v>1281</v>
      </c>
    </row>
    <row r="3603" spans="1:9" x14ac:dyDescent="0.25">
      <c r="A3603" s="40" t="s">
        <v>382</v>
      </c>
      <c r="B3603" s="28">
        <v>4029</v>
      </c>
      <c r="C3603" s="28" t="s">
        <v>1052</v>
      </c>
      <c r="D3603" s="28"/>
      <c r="E3603" s="41">
        <v>46142</v>
      </c>
      <c r="F3603" s="47">
        <v>0.85363425925925929</v>
      </c>
      <c r="G3603" s="44">
        <v>6.3</v>
      </c>
      <c r="H3603" s="43" t="s">
        <v>235</v>
      </c>
      <c r="I3603" s="40" t="s">
        <v>1281</v>
      </c>
    </row>
    <row r="3604" spans="1:9" x14ac:dyDescent="0.25">
      <c r="A3604" s="40" t="s">
        <v>382</v>
      </c>
      <c r="B3604" s="28">
        <v>4029</v>
      </c>
      <c r="C3604" s="28" t="s">
        <v>1052</v>
      </c>
      <c r="D3604" s="28"/>
      <c r="E3604" s="41">
        <v>46142</v>
      </c>
      <c r="F3604" s="47">
        <v>0.8621064814814815</v>
      </c>
      <c r="G3604" s="44">
        <v>6.3</v>
      </c>
      <c r="H3604" s="43" t="s">
        <v>236</v>
      </c>
      <c r="I3604" s="40" t="s">
        <v>1281</v>
      </c>
    </row>
    <row r="3605" spans="1:9" x14ac:dyDescent="0.25">
      <c r="A3605" s="40" t="s">
        <v>382</v>
      </c>
      <c r="B3605" s="28">
        <v>4029</v>
      </c>
      <c r="C3605" s="28" t="s">
        <v>35</v>
      </c>
      <c r="D3605" s="28" t="s">
        <v>38</v>
      </c>
      <c r="E3605" s="41">
        <v>46142</v>
      </c>
      <c r="F3605" s="47">
        <v>0.89718750000000003</v>
      </c>
      <c r="G3605" s="44">
        <v>6.3</v>
      </c>
      <c r="H3605" s="43" t="s">
        <v>237</v>
      </c>
      <c r="I3605" s="40" t="s">
        <v>1281</v>
      </c>
    </row>
    <row r="3606" spans="1:9" x14ac:dyDescent="0.25">
      <c r="A3606" s="40" t="s">
        <v>382</v>
      </c>
      <c r="B3606" s="28">
        <v>4029</v>
      </c>
      <c r="C3606" s="28" t="s">
        <v>35</v>
      </c>
      <c r="D3606" s="28" t="s">
        <v>38</v>
      </c>
      <c r="E3606" s="41">
        <v>46142</v>
      </c>
      <c r="F3606" s="47">
        <v>0.91333333333333333</v>
      </c>
      <c r="G3606" s="44">
        <v>6.3</v>
      </c>
      <c r="H3606" s="43" t="s">
        <v>234</v>
      </c>
      <c r="I3606" s="40" t="s">
        <v>1281</v>
      </c>
    </row>
    <row r="3607" spans="1:9" x14ac:dyDescent="0.25">
      <c r="A3607" s="40" t="s">
        <v>382</v>
      </c>
      <c r="B3607" s="28">
        <v>4029</v>
      </c>
      <c r="C3607" s="28" t="s">
        <v>35</v>
      </c>
      <c r="D3607" s="28" t="s">
        <v>38</v>
      </c>
      <c r="E3607" s="41">
        <v>46142</v>
      </c>
      <c r="F3607" s="47">
        <v>0.97534722222222225</v>
      </c>
      <c r="G3607" s="44">
        <v>6.3</v>
      </c>
      <c r="H3607" s="43" t="s">
        <v>235</v>
      </c>
      <c r="I3607" s="40" t="s">
        <v>1282</v>
      </c>
    </row>
    <row r="3608" spans="1:9" x14ac:dyDescent="0.25">
      <c r="A3608" s="40" t="s">
        <v>382</v>
      </c>
      <c r="B3608" s="28">
        <v>4029</v>
      </c>
      <c r="C3608" s="28" t="s">
        <v>35</v>
      </c>
      <c r="D3608" s="28" t="s">
        <v>38</v>
      </c>
      <c r="E3608" s="41">
        <v>46142</v>
      </c>
      <c r="F3608" s="47">
        <v>0.98370370370370375</v>
      </c>
      <c r="G3608" s="44">
        <v>6.3</v>
      </c>
      <c r="H3608" s="43" t="s">
        <v>236</v>
      </c>
      <c r="I3608" s="40" t="s">
        <v>1282</v>
      </c>
    </row>
    <row r="3609" spans="1:9" x14ac:dyDescent="0.25">
      <c r="A3609" s="40" t="s">
        <v>371</v>
      </c>
      <c r="B3609" s="28">
        <v>4033</v>
      </c>
      <c r="C3609" s="28" t="s">
        <v>35</v>
      </c>
      <c r="D3609" s="28" t="s">
        <v>38</v>
      </c>
      <c r="E3609" s="41">
        <v>46140</v>
      </c>
      <c r="F3609" s="47">
        <v>0.46069444444444446</v>
      </c>
      <c r="G3609" s="44">
        <v>6.3</v>
      </c>
      <c r="H3609" s="43" t="s">
        <v>236</v>
      </c>
      <c r="I3609" s="40" t="s">
        <v>1281</v>
      </c>
    </row>
    <row r="3610" spans="1:9" x14ac:dyDescent="0.25">
      <c r="A3610" s="40" t="s">
        <v>1053</v>
      </c>
      <c r="B3610" s="28">
        <v>4041</v>
      </c>
      <c r="C3610" s="28" t="s">
        <v>1054</v>
      </c>
      <c r="D3610" s="28"/>
      <c r="E3610" s="41">
        <v>46140</v>
      </c>
      <c r="F3610" s="47">
        <v>0.10418981481481482</v>
      </c>
      <c r="G3610" s="44">
        <v>6.3</v>
      </c>
      <c r="H3610" s="43" t="s">
        <v>237</v>
      </c>
      <c r="I3610" s="40" t="s">
        <v>1281</v>
      </c>
    </row>
    <row r="3611" spans="1:9" x14ac:dyDescent="0.25">
      <c r="A3611" s="40" t="s">
        <v>1053</v>
      </c>
      <c r="B3611" s="28">
        <v>4041</v>
      </c>
      <c r="C3611" s="28" t="s">
        <v>1054</v>
      </c>
      <c r="D3611" s="28"/>
      <c r="E3611" s="45">
        <v>46140</v>
      </c>
      <c r="F3611" s="48">
        <v>0.10875</v>
      </c>
      <c r="G3611" s="44">
        <v>6.3</v>
      </c>
      <c r="H3611" s="43" t="s">
        <v>234</v>
      </c>
      <c r="I3611" s="40" t="s">
        <v>1281</v>
      </c>
    </row>
    <row r="3612" spans="1:9" x14ac:dyDescent="0.25">
      <c r="A3612" s="40" t="s">
        <v>1053</v>
      </c>
      <c r="B3612" s="28">
        <v>4041</v>
      </c>
      <c r="C3612" s="28" t="s">
        <v>35</v>
      </c>
      <c r="D3612" s="28" t="s">
        <v>38</v>
      </c>
      <c r="E3612" s="41">
        <v>46140</v>
      </c>
      <c r="F3612" s="47">
        <v>0.24118055555555556</v>
      </c>
      <c r="G3612" s="44">
        <v>6.3</v>
      </c>
      <c r="H3612" s="43" t="s">
        <v>235</v>
      </c>
      <c r="I3612" s="40" t="s">
        <v>1281</v>
      </c>
    </row>
    <row r="3613" spans="1:9" x14ac:dyDescent="0.25">
      <c r="A3613" s="40" t="s">
        <v>1053</v>
      </c>
      <c r="B3613" s="28">
        <v>4041</v>
      </c>
      <c r="C3613" s="28" t="s">
        <v>35</v>
      </c>
      <c r="D3613" s="28" t="s">
        <v>38</v>
      </c>
      <c r="E3613" s="41">
        <v>46140</v>
      </c>
      <c r="F3613" s="47">
        <v>0.25003472222222223</v>
      </c>
      <c r="G3613" s="44">
        <v>6.3</v>
      </c>
      <c r="H3613" s="43" t="s">
        <v>239</v>
      </c>
      <c r="I3613" s="40" t="s">
        <v>1281</v>
      </c>
    </row>
    <row r="3614" spans="1:9" x14ac:dyDescent="0.25">
      <c r="A3614" s="40" t="s">
        <v>1053</v>
      </c>
      <c r="B3614" s="28">
        <v>4041</v>
      </c>
      <c r="C3614" s="28" t="s">
        <v>1055</v>
      </c>
      <c r="D3614" s="28"/>
      <c r="E3614" s="41">
        <v>46140</v>
      </c>
      <c r="F3614" s="47">
        <v>0.96010416666666665</v>
      </c>
      <c r="G3614" s="44">
        <v>6.3</v>
      </c>
      <c r="H3614" s="43" t="s">
        <v>235</v>
      </c>
      <c r="I3614" s="40" t="s">
        <v>1281</v>
      </c>
    </row>
    <row r="3615" spans="1:9" x14ac:dyDescent="0.25">
      <c r="A3615" s="40" t="s">
        <v>1053</v>
      </c>
      <c r="B3615" s="28">
        <v>4041</v>
      </c>
      <c r="C3615" s="28" t="s">
        <v>1055</v>
      </c>
      <c r="D3615" s="28"/>
      <c r="E3615" s="41">
        <v>46140</v>
      </c>
      <c r="F3615" s="47">
        <v>0.96710648148148148</v>
      </c>
      <c r="G3615" s="44">
        <v>6.3</v>
      </c>
      <c r="H3615" s="43" t="s">
        <v>236</v>
      </c>
      <c r="I3615" s="40" t="s">
        <v>1281</v>
      </c>
    </row>
    <row r="3616" spans="1:9" x14ac:dyDescent="0.25">
      <c r="A3616" s="40" t="s">
        <v>1053</v>
      </c>
      <c r="B3616" s="28">
        <v>4041</v>
      </c>
      <c r="C3616" s="28" t="s">
        <v>1056</v>
      </c>
      <c r="D3616" s="28"/>
      <c r="E3616" s="41">
        <v>46143</v>
      </c>
      <c r="F3616" s="47">
        <v>9.7210648148148143E-2</v>
      </c>
      <c r="G3616" s="44">
        <v>6.3</v>
      </c>
      <c r="H3616" s="43" t="s">
        <v>235</v>
      </c>
      <c r="I3616" s="40" t="s">
        <v>1282</v>
      </c>
    </row>
    <row r="3617" spans="1:9" x14ac:dyDescent="0.25">
      <c r="A3617" s="40" t="s">
        <v>1053</v>
      </c>
      <c r="B3617" s="28">
        <v>4041</v>
      </c>
      <c r="C3617" s="28" t="s">
        <v>1056</v>
      </c>
      <c r="D3617" s="28"/>
      <c r="E3617" s="41">
        <v>46143</v>
      </c>
      <c r="F3617" s="47">
        <v>0.11074074074074074</v>
      </c>
      <c r="G3617" s="44">
        <v>6.3</v>
      </c>
      <c r="H3617" s="43" t="s">
        <v>236</v>
      </c>
      <c r="I3617" s="40" t="s">
        <v>1282</v>
      </c>
    </row>
    <row r="3618" spans="1:9" x14ac:dyDescent="0.25">
      <c r="A3618" s="40" t="s">
        <v>1053</v>
      </c>
      <c r="B3618" s="28">
        <v>4041</v>
      </c>
      <c r="C3618" s="28" t="s">
        <v>1057</v>
      </c>
      <c r="D3618" s="28"/>
      <c r="E3618" s="41">
        <v>46143</v>
      </c>
      <c r="F3618" s="47">
        <v>0.1570023148148148</v>
      </c>
      <c r="G3618" s="44">
        <v>6.3</v>
      </c>
      <c r="H3618" s="43" t="s">
        <v>237</v>
      </c>
      <c r="I3618" s="40" t="s">
        <v>1282</v>
      </c>
    </row>
    <row r="3619" spans="1:9" x14ac:dyDescent="0.25">
      <c r="A3619" s="40" t="s">
        <v>1053</v>
      </c>
      <c r="B3619" s="28">
        <v>4041</v>
      </c>
      <c r="C3619" s="28" t="s">
        <v>1057</v>
      </c>
      <c r="D3619" s="28"/>
      <c r="E3619" s="45">
        <v>46143</v>
      </c>
      <c r="F3619" s="48">
        <v>0.16165509259259259</v>
      </c>
      <c r="G3619" s="42">
        <v>6.3</v>
      </c>
      <c r="H3619" s="40" t="s">
        <v>234</v>
      </c>
      <c r="I3619" s="40" t="s">
        <v>1282</v>
      </c>
    </row>
    <row r="3620" spans="1:9" x14ac:dyDescent="0.25">
      <c r="A3620" s="40" t="s">
        <v>1053</v>
      </c>
      <c r="B3620" s="28">
        <v>4041</v>
      </c>
      <c r="C3620" s="28" t="s">
        <v>1058</v>
      </c>
      <c r="D3620" s="28"/>
      <c r="E3620" s="41">
        <v>46144</v>
      </c>
      <c r="F3620" s="47">
        <v>0.14792824074074074</v>
      </c>
      <c r="G3620" s="42">
        <v>6.3</v>
      </c>
      <c r="H3620" s="40" t="s">
        <v>237</v>
      </c>
      <c r="I3620" s="40" t="s">
        <v>1282</v>
      </c>
    </row>
    <row r="3621" spans="1:9" x14ac:dyDescent="0.25">
      <c r="A3621" s="40" t="s">
        <v>1053</v>
      </c>
      <c r="B3621" s="28">
        <v>4041</v>
      </c>
      <c r="C3621" s="28" t="s">
        <v>1058</v>
      </c>
      <c r="D3621" s="28"/>
      <c r="E3621" s="41">
        <v>46144</v>
      </c>
      <c r="F3621" s="47">
        <v>0.15236111111111111</v>
      </c>
      <c r="G3621" s="44">
        <v>6.3</v>
      </c>
      <c r="H3621" s="43" t="s">
        <v>234</v>
      </c>
      <c r="I3621" s="40" t="s">
        <v>1282</v>
      </c>
    </row>
    <row r="3622" spans="1:9" x14ac:dyDescent="0.25">
      <c r="A3622" s="40" t="s">
        <v>1053</v>
      </c>
      <c r="B3622" s="28">
        <v>4041</v>
      </c>
      <c r="C3622" s="28" t="s">
        <v>35</v>
      </c>
      <c r="D3622" s="28" t="s">
        <v>38</v>
      </c>
      <c r="E3622" s="45">
        <v>46144</v>
      </c>
      <c r="F3622" s="48">
        <v>0.32730324074074074</v>
      </c>
      <c r="G3622" s="44">
        <v>6.3</v>
      </c>
      <c r="H3622" s="43" t="s">
        <v>237</v>
      </c>
      <c r="I3622" s="40" t="s">
        <v>1282</v>
      </c>
    </row>
    <row r="3623" spans="1:9" x14ac:dyDescent="0.25">
      <c r="A3623" s="40" t="s">
        <v>1053</v>
      </c>
      <c r="B3623" s="28">
        <v>4041</v>
      </c>
      <c r="C3623" s="28" t="s">
        <v>35</v>
      </c>
      <c r="D3623" s="28" t="s">
        <v>38</v>
      </c>
      <c r="E3623" s="45">
        <v>46144</v>
      </c>
      <c r="F3623" s="48">
        <v>0.3332060185185185</v>
      </c>
      <c r="G3623" s="44">
        <v>6.3</v>
      </c>
      <c r="H3623" s="43" t="s">
        <v>234</v>
      </c>
      <c r="I3623" s="40" t="s">
        <v>1282</v>
      </c>
    </row>
    <row r="3624" spans="1:9" x14ac:dyDescent="0.25">
      <c r="A3624" s="40" t="s">
        <v>1053</v>
      </c>
      <c r="B3624" s="28">
        <v>4041</v>
      </c>
      <c r="C3624" s="28" t="s">
        <v>35</v>
      </c>
      <c r="D3624" s="28" t="s">
        <v>38</v>
      </c>
      <c r="E3624" s="41">
        <v>46145</v>
      </c>
      <c r="F3624" s="47">
        <v>0.12510416666666666</v>
      </c>
      <c r="G3624" s="44">
        <v>6.3</v>
      </c>
      <c r="H3624" s="43" t="s">
        <v>235</v>
      </c>
      <c r="I3624" s="40" t="s">
        <v>1282</v>
      </c>
    </row>
    <row r="3625" spans="1:9" x14ac:dyDescent="0.25">
      <c r="A3625" s="40" t="s">
        <v>1053</v>
      </c>
      <c r="B3625" s="28">
        <v>4041</v>
      </c>
      <c r="C3625" s="28" t="s">
        <v>35</v>
      </c>
      <c r="D3625" s="28" t="s">
        <v>38</v>
      </c>
      <c r="E3625" s="41">
        <v>46145</v>
      </c>
      <c r="F3625" s="47">
        <v>0.12915509259259259</v>
      </c>
      <c r="G3625" s="44">
        <v>6.3</v>
      </c>
      <c r="H3625" s="43" t="s">
        <v>240</v>
      </c>
      <c r="I3625" s="40" t="s">
        <v>1282</v>
      </c>
    </row>
    <row r="3626" spans="1:9" x14ac:dyDescent="0.25">
      <c r="A3626" s="40" t="s">
        <v>1053</v>
      </c>
      <c r="B3626" s="28">
        <v>4041</v>
      </c>
      <c r="C3626" s="28" t="s">
        <v>35</v>
      </c>
      <c r="D3626" s="28" t="s">
        <v>38</v>
      </c>
      <c r="E3626" s="41">
        <v>46145</v>
      </c>
      <c r="F3626" s="47">
        <v>0.23210648148148147</v>
      </c>
      <c r="G3626" s="44">
        <v>6.3</v>
      </c>
      <c r="H3626" s="43" t="s">
        <v>233</v>
      </c>
      <c r="I3626" s="40" t="s">
        <v>1282</v>
      </c>
    </row>
    <row r="3627" spans="1:9" x14ac:dyDescent="0.25">
      <c r="A3627" s="40" t="s">
        <v>1053</v>
      </c>
      <c r="B3627" s="28">
        <v>4041</v>
      </c>
      <c r="C3627" s="28" t="s">
        <v>35</v>
      </c>
      <c r="D3627" s="28" t="s">
        <v>38</v>
      </c>
      <c r="E3627" s="41">
        <v>46145</v>
      </c>
      <c r="F3627" s="47">
        <v>0.2366550925925926</v>
      </c>
      <c r="G3627" s="44">
        <v>6.3</v>
      </c>
      <c r="H3627" s="43" t="s">
        <v>234</v>
      </c>
      <c r="I3627" s="40" t="s">
        <v>1282</v>
      </c>
    </row>
    <row r="3628" spans="1:9" x14ac:dyDescent="0.25">
      <c r="A3628" s="40" t="s">
        <v>1053</v>
      </c>
      <c r="B3628" s="28">
        <v>4041</v>
      </c>
      <c r="C3628" s="28" t="s">
        <v>35</v>
      </c>
      <c r="D3628" s="28" t="s">
        <v>38</v>
      </c>
      <c r="E3628" s="41">
        <v>46145</v>
      </c>
      <c r="F3628" s="47">
        <v>0.63501157407407405</v>
      </c>
      <c r="G3628" s="44">
        <v>6.3</v>
      </c>
      <c r="H3628" s="43" t="s">
        <v>236</v>
      </c>
      <c r="I3628" s="40" t="s">
        <v>1282</v>
      </c>
    </row>
    <row r="3629" spans="1:9" x14ac:dyDescent="0.25">
      <c r="A3629" s="40" t="s">
        <v>1053</v>
      </c>
      <c r="B3629" s="28">
        <v>4041</v>
      </c>
      <c r="C3629" s="28" t="s">
        <v>35</v>
      </c>
      <c r="D3629" s="28" t="s">
        <v>38</v>
      </c>
      <c r="E3629" s="45">
        <v>46145</v>
      </c>
      <c r="F3629" s="48">
        <v>0.68701388888888892</v>
      </c>
      <c r="G3629" s="44">
        <v>6.3</v>
      </c>
      <c r="H3629" s="43" t="s">
        <v>237</v>
      </c>
      <c r="I3629" s="40" t="s">
        <v>1282</v>
      </c>
    </row>
    <row r="3630" spans="1:9" x14ac:dyDescent="0.25">
      <c r="A3630" s="40" t="s">
        <v>370</v>
      </c>
      <c r="B3630" s="28">
        <v>4042</v>
      </c>
      <c r="C3630" s="28">
        <v>5641683</v>
      </c>
      <c r="D3630" s="28"/>
      <c r="E3630" s="41">
        <v>46140</v>
      </c>
      <c r="F3630" s="47">
        <v>0.98439814814814819</v>
      </c>
      <c r="G3630" s="44">
        <v>6.3</v>
      </c>
      <c r="H3630" s="43" t="s">
        <v>235</v>
      </c>
      <c r="I3630" s="40" t="s">
        <v>1281</v>
      </c>
    </row>
    <row r="3631" spans="1:9" x14ac:dyDescent="0.25">
      <c r="A3631" s="40" t="s">
        <v>370</v>
      </c>
      <c r="B3631" s="28">
        <v>4042</v>
      </c>
      <c r="C3631" s="28">
        <v>5641683</v>
      </c>
      <c r="D3631" s="28"/>
      <c r="E3631" s="41">
        <v>46140</v>
      </c>
      <c r="F3631" s="47">
        <v>0.99078703703703708</v>
      </c>
      <c r="G3631" s="44">
        <v>6.3</v>
      </c>
      <c r="H3631" s="43" t="s">
        <v>239</v>
      </c>
      <c r="I3631" s="40" t="s">
        <v>1281</v>
      </c>
    </row>
    <row r="3632" spans="1:9" x14ac:dyDescent="0.25">
      <c r="A3632" s="40" t="s">
        <v>367</v>
      </c>
      <c r="B3632" s="28">
        <v>4055</v>
      </c>
      <c r="C3632" s="28" t="s">
        <v>1059</v>
      </c>
      <c r="D3632" s="28"/>
      <c r="E3632" s="41">
        <v>46139</v>
      </c>
      <c r="F3632" s="47">
        <v>0.25202546296296297</v>
      </c>
      <c r="G3632" s="44">
        <v>6.3</v>
      </c>
      <c r="H3632" s="43" t="s">
        <v>235</v>
      </c>
      <c r="I3632" s="40" t="s">
        <v>1281</v>
      </c>
    </row>
    <row r="3633" spans="1:9" x14ac:dyDescent="0.25">
      <c r="A3633" s="40" t="s">
        <v>367</v>
      </c>
      <c r="B3633" s="28">
        <v>4055</v>
      </c>
      <c r="C3633" s="28" t="s">
        <v>1059</v>
      </c>
      <c r="D3633" s="28"/>
      <c r="E3633" s="45">
        <v>46139</v>
      </c>
      <c r="F3633" s="48">
        <v>0.26913194444444444</v>
      </c>
      <c r="G3633" s="44">
        <v>6.3</v>
      </c>
      <c r="H3633" s="43" t="s">
        <v>236</v>
      </c>
      <c r="I3633" s="40" t="s">
        <v>1281</v>
      </c>
    </row>
    <row r="3634" spans="1:9" x14ac:dyDescent="0.25">
      <c r="A3634" s="40" t="s">
        <v>367</v>
      </c>
      <c r="B3634" s="28">
        <v>4055</v>
      </c>
      <c r="C3634" s="28">
        <v>5638512</v>
      </c>
      <c r="D3634" s="28"/>
      <c r="E3634" s="41">
        <v>46139</v>
      </c>
      <c r="F3634" s="47">
        <v>0.57594907407407403</v>
      </c>
      <c r="G3634" s="44">
        <v>6.3</v>
      </c>
      <c r="H3634" s="43" t="s">
        <v>235</v>
      </c>
      <c r="I3634" s="40" t="s">
        <v>1281</v>
      </c>
    </row>
    <row r="3635" spans="1:9" x14ac:dyDescent="0.25">
      <c r="A3635" s="40" t="s">
        <v>367</v>
      </c>
      <c r="B3635" s="28">
        <v>4055</v>
      </c>
      <c r="C3635" s="28">
        <v>5638512</v>
      </c>
      <c r="D3635" s="28"/>
      <c r="E3635" s="41">
        <v>46139</v>
      </c>
      <c r="F3635" s="47">
        <v>0.58391203703703709</v>
      </c>
      <c r="G3635" s="42">
        <v>6.3</v>
      </c>
      <c r="H3635" s="40" t="s">
        <v>236</v>
      </c>
      <c r="I3635" s="40" t="s">
        <v>1281</v>
      </c>
    </row>
    <row r="3636" spans="1:9" x14ac:dyDescent="0.25">
      <c r="A3636" s="40" t="s">
        <v>367</v>
      </c>
      <c r="B3636" s="28">
        <v>4055</v>
      </c>
      <c r="C3636" s="28">
        <v>5640720</v>
      </c>
      <c r="D3636" s="28"/>
      <c r="E3636" s="41">
        <v>46140</v>
      </c>
      <c r="F3636" s="47">
        <v>0.63359953703703709</v>
      </c>
      <c r="G3636" s="42">
        <v>6.3</v>
      </c>
      <c r="H3636" s="40" t="s">
        <v>235</v>
      </c>
      <c r="I3636" s="40" t="s">
        <v>1281</v>
      </c>
    </row>
    <row r="3637" spans="1:9" x14ac:dyDescent="0.25">
      <c r="A3637" s="40" t="s">
        <v>367</v>
      </c>
      <c r="B3637" s="28">
        <v>4055</v>
      </c>
      <c r="C3637" s="28" t="s">
        <v>35</v>
      </c>
      <c r="D3637" s="28" t="s">
        <v>38</v>
      </c>
      <c r="E3637" s="41">
        <v>46141</v>
      </c>
      <c r="F3637" s="47">
        <v>0.28217592592592594</v>
      </c>
      <c r="G3637" s="42">
        <v>6.3</v>
      </c>
      <c r="H3637" s="40" t="s">
        <v>238</v>
      </c>
      <c r="I3637" s="40" t="s">
        <v>1281</v>
      </c>
    </row>
    <row r="3638" spans="1:9" x14ac:dyDescent="0.25">
      <c r="A3638" s="40" t="s">
        <v>367</v>
      </c>
      <c r="B3638" s="28">
        <v>4055</v>
      </c>
      <c r="C3638" s="28" t="s">
        <v>35</v>
      </c>
      <c r="D3638" s="28" t="s">
        <v>38</v>
      </c>
      <c r="E3638" s="41">
        <v>46141</v>
      </c>
      <c r="F3638" s="47">
        <v>0.29046296296296298</v>
      </c>
      <c r="G3638" s="42">
        <v>6.3</v>
      </c>
      <c r="H3638" s="40" t="s">
        <v>234</v>
      </c>
      <c r="I3638" s="40" t="s">
        <v>1281</v>
      </c>
    </row>
    <row r="3639" spans="1:9" x14ac:dyDescent="0.25">
      <c r="A3639" s="40" t="s">
        <v>367</v>
      </c>
      <c r="B3639" s="28">
        <v>4055</v>
      </c>
      <c r="C3639" s="28" t="s">
        <v>35</v>
      </c>
      <c r="D3639" s="28" t="s">
        <v>38</v>
      </c>
      <c r="E3639" s="45">
        <v>46142</v>
      </c>
      <c r="F3639" s="48">
        <v>0.55728009259259259</v>
      </c>
      <c r="G3639" s="44">
        <v>6.3</v>
      </c>
      <c r="H3639" s="43" t="s">
        <v>235</v>
      </c>
      <c r="I3639" s="40" t="s">
        <v>1281</v>
      </c>
    </row>
    <row r="3640" spans="1:9" x14ac:dyDescent="0.25">
      <c r="A3640" s="40" t="s">
        <v>367</v>
      </c>
      <c r="B3640" s="28">
        <v>4055</v>
      </c>
      <c r="C3640" s="28" t="s">
        <v>35</v>
      </c>
      <c r="D3640" s="28" t="s">
        <v>38</v>
      </c>
      <c r="E3640" s="41">
        <v>46144</v>
      </c>
      <c r="F3640" s="47">
        <v>0.37552083333333336</v>
      </c>
      <c r="G3640" s="44">
        <v>6.3</v>
      </c>
      <c r="H3640" s="43" t="s">
        <v>238</v>
      </c>
      <c r="I3640" s="40" t="s">
        <v>1282</v>
      </c>
    </row>
    <row r="3641" spans="1:9" x14ac:dyDescent="0.25">
      <c r="A3641" s="40" t="s">
        <v>367</v>
      </c>
      <c r="B3641" s="28">
        <v>4055</v>
      </c>
      <c r="C3641" s="28" t="s">
        <v>35</v>
      </c>
      <c r="D3641" s="28" t="s">
        <v>38</v>
      </c>
      <c r="E3641" s="41">
        <v>46144</v>
      </c>
      <c r="F3641" s="47">
        <v>0.38021990740740741</v>
      </c>
      <c r="G3641" s="44">
        <v>6.3</v>
      </c>
      <c r="H3641" s="43" t="s">
        <v>234</v>
      </c>
      <c r="I3641" s="40" t="s">
        <v>1282</v>
      </c>
    </row>
    <row r="3642" spans="1:9" x14ac:dyDescent="0.25">
      <c r="A3642" s="40" t="s">
        <v>367</v>
      </c>
      <c r="B3642" s="28">
        <v>4055</v>
      </c>
      <c r="C3642" s="28" t="s">
        <v>35</v>
      </c>
      <c r="D3642" s="28" t="s">
        <v>38</v>
      </c>
      <c r="E3642" s="41">
        <v>46144</v>
      </c>
      <c r="F3642" s="47">
        <v>0.79802083333333329</v>
      </c>
      <c r="G3642" s="44">
        <v>6.3</v>
      </c>
      <c r="H3642" s="43" t="s">
        <v>235</v>
      </c>
      <c r="I3642" s="40" t="s">
        <v>1282</v>
      </c>
    </row>
    <row r="3643" spans="1:9" x14ac:dyDescent="0.25">
      <c r="A3643" s="40" t="s">
        <v>367</v>
      </c>
      <c r="B3643" s="28">
        <v>4055</v>
      </c>
      <c r="C3643" s="28" t="s">
        <v>35</v>
      </c>
      <c r="D3643" s="28" t="s">
        <v>38</v>
      </c>
      <c r="E3643" s="41">
        <v>46144</v>
      </c>
      <c r="F3643" s="47">
        <v>0.80651620370370369</v>
      </c>
      <c r="G3643" s="44">
        <v>6.3</v>
      </c>
      <c r="H3643" s="43" t="s">
        <v>236</v>
      </c>
      <c r="I3643" s="40" t="s">
        <v>1282</v>
      </c>
    </row>
    <row r="3644" spans="1:9" x14ac:dyDescent="0.25">
      <c r="A3644" s="40" t="s">
        <v>394</v>
      </c>
      <c r="B3644" s="28">
        <v>4070</v>
      </c>
      <c r="C3644" s="28" t="s">
        <v>1060</v>
      </c>
      <c r="D3644" s="28"/>
      <c r="E3644" s="41">
        <v>46139</v>
      </c>
      <c r="F3644" s="47">
        <v>0.39528935185185188</v>
      </c>
      <c r="G3644" s="44">
        <v>6.3</v>
      </c>
      <c r="H3644" s="43" t="s">
        <v>235</v>
      </c>
      <c r="I3644" s="40" t="s">
        <v>1281</v>
      </c>
    </row>
    <row r="3645" spans="1:9" x14ac:dyDescent="0.25">
      <c r="A3645" s="40" t="s">
        <v>394</v>
      </c>
      <c r="B3645" s="28">
        <v>4070</v>
      </c>
      <c r="C3645" s="28">
        <v>5639185</v>
      </c>
      <c r="D3645" s="28" t="s">
        <v>37</v>
      </c>
      <c r="E3645" s="41">
        <v>46139</v>
      </c>
      <c r="F3645" s="47">
        <v>0.92228009259259258</v>
      </c>
      <c r="G3645" s="44">
        <v>6.3</v>
      </c>
      <c r="H3645" s="43" t="s">
        <v>235</v>
      </c>
      <c r="I3645" s="40" t="s">
        <v>1281</v>
      </c>
    </row>
    <row r="3646" spans="1:9" x14ac:dyDescent="0.25">
      <c r="A3646" s="40" t="s">
        <v>394</v>
      </c>
      <c r="B3646" s="28">
        <v>4070</v>
      </c>
      <c r="C3646" s="28">
        <v>5639185</v>
      </c>
      <c r="D3646" s="28" t="s">
        <v>37</v>
      </c>
      <c r="E3646" s="41">
        <v>46139</v>
      </c>
      <c r="F3646" s="47">
        <v>0.92959490740740736</v>
      </c>
      <c r="G3646" s="44">
        <v>6.3</v>
      </c>
      <c r="H3646" s="43" t="s">
        <v>236</v>
      </c>
      <c r="I3646" s="40" t="s">
        <v>1281</v>
      </c>
    </row>
    <row r="3647" spans="1:9" x14ac:dyDescent="0.25">
      <c r="A3647" s="40" t="s">
        <v>394</v>
      </c>
      <c r="B3647" s="28">
        <v>4070</v>
      </c>
      <c r="C3647" s="28">
        <v>5647954</v>
      </c>
      <c r="D3647" s="28"/>
      <c r="E3647" s="41">
        <v>46144</v>
      </c>
      <c r="F3647" s="47">
        <v>0.7534953703703704</v>
      </c>
      <c r="G3647" s="44">
        <v>6.3</v>
      </c>
      <c r="H3647" s="43" t="s">
        <v>235</v>
      </c>
      <c r="I3647" s="40" t="s">
        <v>1282</v>
      </c>
    </row>
    <row r="3648" spans="1:9" x14ac:dyDescent="0.25">
      <c r="A3648" s="40" t="s">
        <v>394</v>
      </c>
      <c r="B3648" s="28">
        <v>4070</v>
      </c>
      <c r="C3648" s="28">
        <v>5647954</v>
      </c>
      <c r="D3648" s="28"/>
      <c r="E3648" s="41">
        <v>46144</v>
      </c>
      <c r="F3648" s="47">
        <v>0.76211805555555556</v>
      </c>
      <c r="G3648" s="44">
        <v>6.3</v>
      </c>
      <c r="H3648" s="43" t="s">
        <v>236</v>
      </c>
      <c r="I3648" s="40" t="s">
        <v>1282</v>
      </c>
    </row>
    <row r="3649" spans="1:9" x14ac:dyDescent="0.25">
      <c r="A3649" s="40" t="s">
        <v>394</v>
      </c>
      <c r="B3649" s="28">
        <v>4070</v>
      </c>
      <c r="C3649" s="28" t="s">
        <v>35</v>
      </c>
      <c r="D3649" s="28" t="s">
        <v>38</v>
      </c>
      <c r="E3649" s="41">
        <v>46144</v>
      </c>
      <c r="F3649" s="47">
        <v>0.79513888888888884</v>
      </c>
      <c r="G3649" s="42">
        <v>6.3</v>
      </c>
      <c r="H3649" s="40" t="s">
        <v>237</v>
      </c>
      <c r="I3649" s="40" t="s">
        <v>1282</v>
      </c>
    </row>
    <row r="3650" spans="1:9" x14ac:dyDescent="0.25">
      <c r="A3650" s="40" t="s">
        <v>394</v>
      </c>
      <c r="B3650" s="28">
        <v>4070</v>
      </c>
      <c r="C3650" s="28" t="s">
        <v>1061</v>
      </c>
      <c r="D3650" s="28"/>
      <c r="E3650" s="41">
        <v>46145</v>
      </c>
      <c r="F3650" s="47">
        <v>0.54848379629629629</v>
      </c>
      <c r="G3650" s="42">
        <v>6.3</v>
      </c>
      <c r="H3650" s="40" t="s">
        <v>235</v>
      </c>
      <c r="I3650" s="40" t="s">
        <v>1282</v>
      </c>
    </row>
    <row r="3651" spans="1:9" x14ac:dyDescent="0.25">
      <c r="A3651" s="40" t="s">
        <v>394</v>
      </c>
      <c r="B3651" s="28">
        <v>4070</v>
      </c>
      <c r="C3651" s="28" t="s">
        <v>1061</v>
      </c>
      <c r="D3651" s="28"/>
      <c r="E3651" s="41">
        <v>46145</v>
      </c>
      <c r="F3651" s="47">
        <v>0.55652777777777773</v>
      </c>
      <c r="G3651" s="44">
        <v>6.3</v>
      </c>
      <c r="H3651" s="43" t="s">
        <v>236</v>
      </c>
      <c r="I3651" s="40" t="s">
        <v>1282</v>
      </c>
    </row>
    <row r="3652" spans="1:9" x14ac:dyDescent="0.25">
      <c r="A3652" s="40" t="s">
        <v>392</v>
      </c>
      <c r="B3652" s="28">
        <v>4072</v>
      </c>
      <c r="C3652" s="28" t="s">
        <v>1062</v>
      </c>
      <c r="D3652" s="28"/>
      <c r="E3652" s="41">
        <v>46141</v>
      </c>
      <c r="F3652" s="47">
        <v>0.15614583333333334</v>
      </c>
      <c r="G3652" s="44">
        <v>6.3</v>
      </c>
      <c r="H3652" s="43" t="s">
        <v>237</v>
      </c>
      <c r="I3652" s="40" t="s">
        <v>1281</v>
      </c>
    </row>
    <row r="3653" spans="1:9" x14ac:dyDescent="0.25">
      <c r="A3653" s="40" t="s">
        <v>392</v>
      </c>
      <c r="B3653" s="28">
        <v>4072</v>
      </c>
      <c r="C3653" s="28" t="s">
        <v>1062</v>
      </c>
      <c r="D3653" s="28"/>
      <c r="E3653" s="41">
        <v>46141</v>
      </c>
      <c r="F3653" s="47">
        <v>0.16105324074074073</v>
      </c>
      <c r="G3653" s="44">
        <v>6.3</v>
      </c>
      <c r="H3653" s="43" t="s">
        <v>234</v>
      </c>
      <c r="I3653" s="40" t="s">
        <v>1281</v>
      </c>
    </row>
    <row r="3654" spans="1:9" x14ac:dyDescent="0.25">
      <c r="A3654" s="40" t="s">
        <v>392</v>
      </c>
      <c r="B3654" s="28">
        <v>4072</v>
      </c>
      <c r="C3654" s="28" t="s">
        <v>1063</v>
      </c>
      <c r="D3654" s="28"/>
      <c r="E3654" s="41">
        <v>46141</v>
      </c>
      <c r="F3654" s="47">
        <v>0.76717592592592587</v>
      </c>
      <c r="G3654" s="44">
        <v>6.3</v>
      </c>
      <c r="H3654" s="43" t="s">
        <v>235</v>
      </c>
      <c r="I3654" s="40" t="s">
        <v>1281</v>
      </c>
    </row>
    <row r="3655" spans="1:9" x14ac:dyDescent="0.25">
      <c r="A3655" s="40" t="s">
        <v>392</v>
      </c>
      <c r="B3655" s="28">
        <v>4072</v>
      </c>
      <c r="C3655" s="28" t="s">
        <v>1064</v>
      </c>
      <c r="D3655" s="28"/>
      <c r="E3655" s="41">
        <v>46142</v>
      </c>
      <c r="F3655" s="47">
        <v>0.90460648148148148</v>
      </c>
      <c r="G3655" s="44">
        <v>6.3</v>
      </c>
      <c r="H3655" s="43" t="s">
        <v>235</v>
      </c>
      <c r="I3655" s="40" t="s">
        <v>1281</v>
      </c>
    </row>
    <row r="3656" spans="1:9" x14ac:dyDescent="0.25">
      <c r="A3656" s="40" t="s">
        <v>392</v>
      </c>
      <c r="B3656" s="28">
        <v>4072</v>
      </c>
      <c r="C3656" s="28" t="s">
        <v>1064</v>
      </c>
      <c r="D3656" s="28"/>
      <c r="E3656" s="41">
        <v>46142</v>
      </c>
      <c r="F3656" s="47">
        <v>0.91187499999999999</v>
      </c>
      <c r="G3656" s="44">
        <v>6.3</v>
      </c>
      <c r="H3656" s="43" t="s">
        <v>236</v>
      </c>
      <c r="I3656" s="40" t="s">
        <v>1281</v>
      </c>
    </row>
    <row r="3657" spans="1:9" x14ac:dyDescent="0.25">
      <c r="A3657" s="40" t="s">
        <v>392</v>
      </c>
      <c r="B3657" s="28">
        <v>4072</v>
      </c>
      <c r="C3657" s="28" t="s">
        <v>1065</v>
      </c>
      <c r="D3657" s="28"/>
      <c r="E3657" s="41">
        <v>46143</v>
      </c>
      <c r="F3657" s="47">
        <v>0.11450231481481482</v>
      </c>
      <c r="G3657" s="44">
        <v>6.3</v>
      </c>
      <c r="H3657" s="43" t="s">
        <v>235</v>
      </c>
      <c r="I3657" s="40" t="s">
        <v>1282</v>
      </c>
    </row>
    <row r="3658" spans="1:9" x14ac:dyDescent="0.25">
      <c r="A3658" s="40" t="s">
        <v>392</v>
      </c>
      <c r="B3658" s="28">
        <v>4072</v>
      </c>
      <c r="C3658" s="28" t="s">
        <v>1065</v>
      </c>
      <c r="D3658" s="28"/>
      <c r="E3658" s="41">
        <v>46143</v>
      </c>
      <c r="F3658" s="47">
        <v>0.12104166666666667</v>
      </c>
      <c r="G3658" s="44">
        <v>6.3</v>
      </c>
      <c r="H3658" s="43" t="s">
        <v>239</v>
      </c>
      <c r="I3658" s="40" t="s">
        <v>1282</v>
      </c>
    </row>
    <row r="3659" spans="1:9" x14ac:dyDescent="0.25">
      <c r="A3659" s="40" t="s">
        <v>392</v>
      </c>
      <c r="B3659" s="28">
        <v>4072</v>
      </c>
      <c r="C3659" s="28" t="s">
        <v>1066</v>
      </c>
      <c r="D3659" s="28"/>
      <c r="E3659" s="41">
        <v>46143</v>
      </c>
      <c r="F3659" s="47">
        <v>0.19570601851851852</v>
      </c>
      <c r="G3659" s="44">
        <v>6.3</v>
      </c>
      <c r="H3659" s="43" t="s">
        <v>233</v>
      </c>
      <c r="I3659" s="40" t="s">
        <v>1282</v>
      </c>
    </row>
    <row r="3660" spans="1:9" x14ac:dyDescent="0.25">
      <c r="A3660" s="40" t="s">
        <v>392</v>
      </c>
      <c r="B3660" s="28">
        <v>4072</v>
      </c>
      <c r="C3660" s="28" t="s">
        <v>1066</v>
      </c>
      <c r="D3660" s="28"/>
      <c r="E3660" s="41">
        <v>46143</v>
      </c>
      <c r="F3660" s="47">
        <v>0.20040509259259259</v>
      </c>
      <c r="G3660" s="44">
        <v>6.3</v>
      </c>
      <c r="H3660" s="43" t="s">
        <v>234</v>
      </c>
      <c r="I3660" s="40" t="s">
        <v>1282</v>
      </c>
    </row>
    <row r="3661" spans="1:9" x14ac:dyDescent="0.25">
      <c r="A3661" s="40" t="s">
        <v>392</v>
      </c>
      <c r="B3661" s="28">
        <v>4072</v>
      </c>
      <c r="C3661" s="28" t="s">
        <v>1067</v>
      </c>
      <c r="D3661" s="28"/>
      <c r="E3661" s="41">
        <v>46143</v>
      </c>
      <c r="F3661" s="47">
        <v>0.9884722222222222</v>
      </c>
      <c r="G3661" s="44">
        <v>6.3</v>
      </c>
      <c r="H3661" s="43" t="s">
        <v>235</v>
      </c>
      <c r="I3661" s="40" t="s">
        <v>1282</v>
      </c>
    </row>
    <row r="3662" spans="1:9" x14ac:dyDescent="0.25">
      <c r="A3662" s="40" t="s">
        <v>392</v>
      </c>
      <c r="B3662" s="28">
        <v>4072</v>
      </c>
      <c r="C3662" s="28" t="s">
        <v>1067</v>
      </c>
      <c r="D3662" s="28"/>
      <c r="E3662" s="45">
        <v>46143</v>
      </c>
      <c r="F3662" s="48">
        <v>0.99907407407407411</v>
      </c>
      <c r="G3662" s="42">
        <v>6.3</v>
      </c>
      <c r="H3662" s="40" t="s">
        <v>236</v>
      </c>
      <c r="I3662" s="40" t="s">
        <v>1282</v>
      </c>
    </row>
    <row r="3663" spans="1:9" x14ac:dyDescent="0.25">
      <c r="A3663" s="40" t="s">
        <v>392</v>
      </c>
      <c r="B3663" s="28">
        <v>4072</v>
      </c>
      <c r="C3663" s="28" t="s">
        <v>1068</v>
      </c>
      <c r="D3663" s="28"/>
      <c r="E3663" s="41">
        <v>46144</v>
      </c>
      <c r="F3663" s="47">
        <v>0.95787037037037037</v>
      </c>
      <c r="G3663" s="42">
        <v>6.3</v>
      </c>
      <c r="H3663" s="40" t="s">
        <v>235</v>
      </c>
      <c r="I3663" s="40" t="s">
        <v>1282</v>
      </c>
    </row>
    <row r="3664" spans="1:9" x14ac:dyDescent="0.25">
      <c r="A3664" s="40" t="s">
        <v>392</v>
      </c>
      <c r="B3664" s="28">
        <v>4072</v>
      </c>
      <c r="C3664" s="28" t="s">
        <v>1068</v>
      </c>
      <c r="D3664" s="28"/>
      <c r="E3664" s="41">
        <v>46144</v>
      </c>
      <c r="F3664" s="47">
        <v>0.96457175925925931</v>
      </c>
      <c r="G3664" s="42">
        <v>6.3</v>
      </c>
      <c r="H3664" s="40" t="s">
        <v>236</v>
      </c>
      <c r="I3664" s="40" t="s">
        <v>1282</v>
      </c>
    </row>
    <row r="3665" spans="1:9" x14ac:dyDescent="0.25">
      <c r="A3665" s="40" t="s">
        <v>392</v>
      </c>
      <c r="B3665" s="28">
        <v>4072</v>
      </c>
      <c r="C3665" s="28" t="s">
        <v>1068</v>
      </c>
      <c r="D3665" s="28"/>
      <c r="E3665" s="41">
        <v>46144</v>
      </c>
      <c r="F3665" s="47">
        <v>0.98215277777777776</v>
      </c>
      <c r="G3665" s="42">
        <v>6.3</v>
      </c>
      <c r="H3665" s="40" t="s">
        <v>237</v>
      </c>
      <c r="I3665" s="40" t="s">
        <v>1282</v>
      </c>
    </row>
    <row r="3666" spans="1:9" x14ac:dyDescent="0.25">
      <c r="A3666" s="40" t="s">
        <v>392</v>
      </c>
      <c r="B3666" s="28">
        <v>4072</v>
      </c>
      <c r="C3666" s="28" t="s">
        <v>1068</v>
      </c>
      <c r="D3666" s="28"/>
      <c r="E3666" s="41">
        <v>46144</v>
      </c>
      <c r="F3666" s="47">
        <v>0.98729166666666668</v>
      </c>
      <c r="G3666" s="44">
        <v>6.3</v>
      </c>
      <c r="H3666" s="43" t="s">
        <v>234</v>
      </c>
      <c r="I3666" s="40" t="s">
        <v>1282</v>
      </c>
    </row>
    <row r="3667" spans="1:9" x14ac:dyDescent="0.25">
      <c r="A3667" s="40" t="s">
        <v>392</v>
      </c>
      <c r="B3667" s="28">
        <v>4072</v>
      </c>
      <c r="C3667" s="28" t="s">
        <v>1069</v>
      </c>
      <c r="D3667" s="28"/>
      <c r="E3667" s="45">
        <v>46145</v>
      </c>
      <c r="F3667" s="48">
        <v>0.16233796296296296</v>
      </c>
      <c r="G3667" s="44">
        <v>6.3</v>
      </c>
      <c r="H3667" s="43" t="s">
        <v>235</v>
      </c>
      <c r="I3667" s="40" t="s">
        <v>1282</v>
      </c>
    </row>
    <row r="3668" spans="1:9" x14ac:dyDescent="0.25">
      <c r="A3668" s="40" t="s">
        <v>392</v>
      </c>
      <c r="B3668" s="28">
        <v>4072</v>
      </c>
      <c r="C3668" s="28" t="s">
        <v>1069</v>
      </c>
      <c r="D3668" s="28"/>
      <c r="E3668" s="41">
        <v>46145</v>
      </c>
      <c r="F3668" s="47">
        <v>0.16888888888888889</v>
      </c>
      <c r="G3668" s="44">
        <v>6.3</v>
      </c>
      <c r="H3668" s="43" t="s">
        <v>236</v>
      </c>
      <c r="I3668" s="40" t="s">
        <v>1282</v>
      </c>
    </row>
    <row r="3669" spans="1:9" x14ac:dyDescent="0.25">
      <c r="A3669" s="40" t="s">
        <v>392</v>
      </c>
      <c r="B3669" s="28">
        <v>4072</v>
      </c>
      <c r="C3669" s="28" t="s">
        <v>1069</v>
      </c>
      <c r="D3669" s="28"/>
      <c r="E3669" s="41">
        <v>46145</v>
      </c>
      <c r="F3669" s="47">
        <v>0.19208333333333333</v>
      </c>
      <c r="G3669" s="44">
        <v>6.3</v>
      </c>
      <c r="H3669" s="43" t="s">
        <v>237</v>
      </c>
      <c r="I3669" s="40" t="s">
        <v>1282</v>
      </c>
    </row>
    <row r="3670" spans="1:9" x14ac:dyDescent="0.25">
      <c r="A3670" s="40" t="s">
        <v>392</v>
      </c>
      <c r="B3670" s="28">
        <v>4072</v>
      </c>
      <c r="C3670" s="28" t="s">
        <v>1069</v>
      </c>
      <c r="D3670" s="28"/>
      <c r="E3670" s="41">
        <v>46145</v>
      </c>
      <c r="F3670" s="47">
        <v>0.19716435185185185</v>
      </c>
      <c r="G3670" s="44">
        <v>6.3</v>
      </c>
      <c r="H3670" s="43" t="s">
        <v>234</v>
      </c>
      <c r="I3670" s="40" t="s">
        <v>1282</v>
      </c>
    </row>
    <row r="3671" spans="1:9" x14ac:dyDescent="0.25">
      <c r="A3671" s="40" t="s">
        <v>401</v>
      </c>
      <c r="B3671" s="28">
        <v>4073</v>
      </c>
      <c r="C3671" s="28" t="s">
        <v>1070</v>
      </c>
      <c r="D3671" s="28"/>
      <c r="E3671" s="41">
        <v>46139</v>
      </c>
      <c r="F3671" s="47">
        <v>0.29684027777777777</v>
      </c>
      <c r="G3671" s="44">
        <v>6.3</v>
      </c>
      <c r="H3671" s="43" t="s">
        <v>233</v>
      </c>
      <c r="I3671" s="40" t="s">
        <v>1281</v>
      </c>
    </row>
    <row r="3672" spans="1:9" x14ac:dyDescent="0.25">
      <c r="A3672" s="40" t="s">
        <v>401</v>
      </c>
      <c r="B3672" s="28">
        <v>4073</v>
      </c>
      <c r="C3672" s="28" t="s">
        <v>1070</v>
      </c>
      <c r="D3672" s="28"/>
      <c r="E3672" s="41">
        <v>46139</v>
      </c>
      <c r="F3672" s="47">
        <v>0.30319444444444443</v>
      </c>
      <c r="G3672" s="44">
        <v>6.3</v>
      </c>
      <c r="H3672" s="43" t="s">
        <v>234</v>
      </c>
      <c r="I3672" s="40" t="s">
        <v>1281</v>
      </c>
    </row>
    <row r="3673" spans="1:9" x14ac:dyDescent="0.25">
      <c r="A3673" s="40" t="s">
        <v>401</v>
      </c>
      <c r="B3673" s="28">
        <v>4073</v>
      </c>
      <c r="C3673" s="28" t="s">
        <v>1071</v>
      </c>
      <c r="D3673" s="28"/>
      <c r="E3673" s="45">
        <v>46139</v>
      </c>
      <c r="F3673" s="48">
        <v>0.35680555555555554</v>
      </c>
      <c r="G3673" s="44">
        <v>6.3</v>
      </c>
      <c r="H3673" s="43" t="s">
        <v>235</v>
      </c>
      <c r="I3673" s="40" t="s">
        <v>1281</v>
      </c>
    </row>
    <row r="3674" spans="1:9" x14ac:dyDescent="0.25">
      <c r="A3674" s="40" t="s">
        <v>401</v>
      </c>
      <c r="B3674" s="28">
        <v>4073</v>
      </c>
      <c r="C3674" s="28" t="s">
        <v>1071</v>
      </c>
      <c r="D3674" s="28"/>
      <c r="E3674" s="41">
        <v>46139</v>
      </c>
      <c r="F3674" s="47">
        <v>0.38858796296296294</v>
      </c>
      <c r="G3674" s="44">
        <v>6.3</v>
      </c>
      <c r="H3674" s="43" t="s">
        <v>236</v>
      </c>
      <c r="I3674" s="40" t="s">
        <v>1281</v>
      </c>
    </row>
    <row r="3675" spans="1:9" x14ac:dyDescent="0.25">
      <c r="A3675" s="40" t="s">
        <v>401</v>
      </c>
      <c r="B3675" s="28">
        <v>4073</v>
      </c>
      <c r="C3675" s="28" t="s">
        <v>1072</v>
      </c>
      <c r="D3675" s="28"/>
      <c r="E3675" s="41">
        <v>46139</v>
      </c>
      <c r="F3675" s="47">
        <v>0.7260416666666667</v>
      </c>
      <c r="G3675" s="44">
        <v>6.3</v>
      </c>
      <c r="H3675" s="43" t="s">
        <v>235</v>
      </c>
      <c r="I3675" s="40" t="s">
        <v>1281</v>
      </c>
    </row>
    <row r="3676" spans="1:9" x14ac:dyDescent="0.25">
      <c r="A3676" s="40" t="s">
        <v>401</v>
      </c>
      <c r="B3676" s="28">
        <v>4073</v>
      </c>
      <c r="C3676" s="28" t="s">
        <v>1073</v>
      </c>
      <c r="D3676" s="28"/>
      <c r="E3676" s="45">
        <v>46140</v>
      </c>
      <c r="F3676" s="48">
        <v>0.30484953703703704</v>
      </c>
      <c r="G3676" s="44">
        <v>6.3</v>
      </c>
      <c r="H3676" s="43" t="s">
        <v>233</v>
      </c>
      <c r="I3676" s="40" t="s">
        <v>1281</v>
      </c>
    </row>
    <row r="3677" spans="1:9" x14ac:dyDescent="0.25">
      <c r="A3677" s="40" t="s">
        <v>401</v>
      </c>
      <c r="B3677" s="28">
        <v>4073</v>
      </c>
      <c r="C3677" s="28" t="s">
        <v>1073</v>
      </c>
      <c r="D3677" s="28"/>
      <c r="E3677" s="41">
        <v>46140</v>
      </c>
      <c r="F3677" s="47">
        <v>0.3109837962962963</v>
      </c>
      <c r="G3677" s="44">
        <v>6.3</v>
      </c>
      <c r="H3677" s="43" t="s">
        <v>234</v>
      </c>
      <c r="I3677" s="40" t="s">
        <v>1281</v>
      </c>
    </row>
    <row r="3678" spans="1:9" x14ac:dyDescent="0.25">
      <c r="A3678" s="40" t="s">
        <v>401</v>
      </c>
      <c r="B3678" s="28">
        <v>4073</v>
      </c>
      <c r="C3678" s="28" t="s">
        <v>35</v>
      </c>
      <c r="D3678" s="28" t="s">
        <v>38</v>
      </c>
      <c r="E3678" s="41">
        <v>46140</v>
      </c>
      <c r="F3678" s="47">
        <v>0.71384259259259264</v>
      </c>
      <c r="G3678" s="44">
        <v>6.3</v>
      </c>
      <c r="H3678" s="43" t="s">
        <v>235</v>
      </c>
      <c r="I3678" s="40" t="s">
        <v>1281</v>
      </c>
    </row>
    <row r="3679" spans="1:9" x14ac:dyDescent="0.25">
      <c r="A3679" s="40" t="s">
        <v>1074</v>
      </c>
      <c r="B3679" s="28">
        <v>4078</v>
      </c>
      <c r="C3679" s="28" t="s">
        <v>35</v>
      </c>
      <c r="D3679" s="28" t="s">
        <v>38</v>
      </c>
      <c r="E3679" s="41">
        <v>46139</v>
      </c>
      <c r="F3679" s="47">
        <v>0.55410879629629628</v>
      </c>
      <c r="G3679" s="44">
        <v>6.3</v>
      </c>
      <c r="H3679" s="43" t="s">
        <v>235</v>
      </c>
      <c r="I3679" s="40" t="s">
        <v>1281</v>
      </c>
    </row>
    <row r="3680" spans="1:9" x14ac:dyDescent="0.25">
      <c r="A3680" s="40" t="s">
        <v>1074</v>
      </c>
      <c r="B3680" s="28">
        <v>4078</v>
      </c>
      <c r="C3680" s="28" t="s">
        <v>35</v>
      </c>
      <c r="D3680" s="28" t="s">
        <v>38</v>
      </c>
      <c r="E3680" s="41">
        <v>46139</v>
      </c>
      <c r="F3680" s="47">
        <v>0.56437499999999996</v>
      </c>
      <c r="G3680" s="44">
        <v>6.3</v>
      </c>
      <c r="H3680" s="43" t="s">
        <v>236</v>
      </c>
      <c r="I3680" s="40" t="s">
        <v>1281</v>
      </c>
    </row>
    <row r="3681" spans="1:9" x14ac:dyDescent="0.25">
      <c r="A3681" s="40" t="s">
        <v>1074</v>
      </c>
      <c r="B3681" s="28">
        <v>4078</v>
      </c>
      <c r="C3681" s="28">
        <v>5646520</v>
      </c>
      <c r="D3681" s="28"/>
      <c r="E3681" s="41">
        <v>46144</v>
      </c>
      <c r="F3681" s="47">
        <v>0.64287037037037043</v>
      </c>
      <c r="G3681" s="44">
        <v>6.3</v>
      </c>
      <c r="H3681" s="43" t="s">
        <v>235</v>
      </c>
      <c r="I3681" s="40" t="s">
        <v>1282</v>
      </c>
    </row>
    <row r="3682" spans="1:9" x14ac:dyDescent="0.25">
      <c r="A3682" s="40" t="s">
        <v>1074</v>
      </c>
      <c r="B3682" s="28">
        <v>4078</v>
      </c>
      <c r="C3682" s="28">
        <v>5646520</v>
      </c>
      <c r="D3682" s="28"/>
      <c r="E3682" s="41">
        <v>46144</v>
      </c>
      <c r="F3682" s="47">
        <v>0.65130787037037041</v>
      </c>
      <c r="G3682" s="44">
        <v>6.3</v>
      </c>
      <c r="H3682" s="43" t="s">
        <v>239</v>
      </c>
      <c r="I3682" s="40" t="s">
        <v>1282</v>
      </c>
    </row>
    <row r="3683" spans="1:9" x14ac:dyDescent="0.25">
      <c r="A3683" s="40" t="s">
        <v>1075</v>
      </c>
      <c r="B3683" s="28">
        <v>4099</v>
      </c>
      <c r="C3683" s="28">
        <v>5636834</v>
      </c>
      <c r="D3683" s="28"/>
      <c r="E3683" s="41">
        <v>46139</v>
      </c>
      <c r="F3683" s="47">
        <v>0.14168981481481482</v>
      </c>
      <c r="G3683" s="44">
        <v>6.3</v>
      </c>
      <c r="H3683" s="43" t="s">
        <v>237</v>
      </c>
      <c r="I3683" s="40" t="s">
        <v>1281</v>
      </c>
    </row>
    <row r="3684" spans="1:9" x14ac:dyDescent="0.25">
      <c r="A3684" s="40" t="s">
        <v>1075</v>
      </c>
      <c r="B3684" s="28">
        <v>4099</v>
      </c>
      <c r="C3684" s="28">
        <v>5636834</v>
      </c>
      <c r="D3684" s="28"/>
      <c r="E3684" s="41">
        <v>46139</v>
      </c>
      <c r="F3684" s="47">
        <v>0.14700231481481482</v>
      </c>
      <c r="G3684" s="44">
        <v>6.3</v>
      </c>
      <c r="H3684" s="43" t="s">
        <v>234</v>
      </c>
      <c r="I3684" s="40" t="s">
        <v>1281</v>
      </c>
    </row>
    <row r="3685" spans="1:9" x14ac:dyDescent="0.25">
      <c r="A3685" s="40" t="s">
        <v>1075</v>
      </c>
      <c r="B3685" s="28">
        <v>4099</v>
      </c>
      <c r="C3685" s="28">
        <v>5619283</v>
      </c>
      <c r="D3685" s="28"/>
      <c r="E3685" s="41">
        <v>46139</v>
      </c>
      <c r="F3685" s="47">
        <v>0.23914351851851851</v>
      </c>
      <c r="G3685" s="44">
        <v>6.3</v>
      </c>
      <c r="H3685" s="43" t="s">
        <v>235</v>
      </c>
      <c r="I3685" s="40" t="s">
        <v>1281</v>
      </c>
    </row>
    <row r="3686" spans="1:9" x14ac:dyDescent="0.25">
      <c r="A3686" s="40" t="s">
        <v>1075</v>
      </c>
      <c r="B3686" s="28">
        <v>4099</v>
      </c>
      <c r="C3686" s="28">
        <v>5619283</v>
      </c>
      <c r="D3686" s="28"/>
      <c r="E3686" s="41">
        <v>46139</v>
      </c>
      <c r="F3686" s="47">
        <v>0.24932870370370369</v>
      </c>
      <c r="G3686" s="44">
        <v>6.3</v>
      </c>
      <c r="H3686" s="43" t="s">
        <v>236</v>
      </c>
      <c r="I3686" s="40" t="s">
        <v>1281</v>
      </c>
    </row>
    <row r="3687" spans="1:9" x14ac:dyDescent="0.25">
      <c r="A3687" s="40" t="s">
        <v>1075</v>
      </c>
      <c r="B3687" s="28">
        <v>4099</v>
      </c>
      <c r="C3687" s="28">
        <v>5638299</v>
      </c>
      <c r="D3687" s="28"/>
      <c r="E3687" s="41">
        <v>46139</v>
      </c>
      <c r="F3687" s="47">
        <v>0.53450231481481481</v>
      </c>
      <c r="G3687" s="44">
        <v>6.3</v>
      </c>
      <c r="H3687" s="43" t="s">
        <v>235</v>
      </c>
      <c r="I3687" s="40" t="s">
        <v>1281</v>
      </c>
    </row>
    <row r="3688" spans="1:9" x14ac:dyDescent="0.25">
      <c r="A3688" s="40" t="s">
        <v>1075</v>
      </c>
      <c r="B3688" s="28">
        <v>4099</v>
      </c>
      <c r="C3688" s="28">
        <v>5638299</v>
      </c>
      <c r="D3688" s="28"/>
      <c r="E3688" s="41">
        <v>46139</v>
      </c>
      <c r="F3688" s="47">
        <v>0.54418981481481477</v>
      </c>
      <c r="G3688" s="44">
        <v>6.3</v>
      </c>
      <c r="H3688" s="43" t="s">
        <v>236</v>
      </c>
      <c r="I3688" s="40" t="s">
        <v>1281</v>
      </c>
    </row>
    <row r="3689" spans="1:9" x14ac:dyDescent="0.25">
      <c r="A3689" s="40" t="s">
        <v>1075</v>
      </c>
      <c r="B3689" s="28">
        <v>4099</v>
      </c>
      <c r="C3689" s="28" t="s">
        <v>35</v>
      </c>
      <c r="D3689" s="28" t="s">
        <v>38</v>
      </c>
      <c r="E3689" s="41">
        <v>46139</v>
      </c>
      <c r="F3689" s="47">
        <v>0.7641782407407407</v>
      </c>
      <c r="G3689" s="44">
        <v>6.3</v>
      </c>
      <c r="H3689" s="43" t="s">
        <v>234</v>
      </c>
      <c r="I3689" s="40" t="s">
        <v>1281</v>
      </c>
    </row>
    <row r="3690" spans="1:9" x14ac:dyDescent="0.25">
      <c r="A3690" s="40" t="s">
        <v>1075</v>
      </c>
      <c r="B3690" s="28">
        <v>4099</v>
      </c>
      <c r="C3690" s="28">
        <v>5639156</v>
      </c>
      <c r="D3690" s="28"/>
      <c r="E3690" s="41">
        <v>46140</v>
      </c>
      <c r="F3690" s="47">
        <v>0.22131944444444446</v>
      </c>
      <c r="G3690" s="44">
        <v>6.3</v>
      </c>
      <c r="H3690" s="43" t="s">
        <v>233</v>
      </c>
      <c r="I3690" s="40" t="s">
        <v>1281</v>
      </c>
    </row>
    <row r="3691" spans="1:9" x14ac:dyDescent="0.25">
      <c r="A3691" s="40" t="s">
        <v>1075</v>
      </c>
      <c r="B3691" s="28">
        <v>4099</v>
      </c>
      <c r="C3691" s="28">
        <v>5639156</v>
      </c>
      <c r="D3691" s="28"/>
      <c r="E3691" s="41">
        <v>46140</v>
      </c>
      <c r="F3691" s="47">
        <v>0.22701388888888888</v>
      </c>
      <c r="G3691" s="44">
        <v>6.3</v>
      </c>
      <c r="H3691" s="43" t="s">
        <v>234</v>
      </c>
      <c r="I3691" s="40" t="s">
        <v>1281</v>
      </c>
    </row>
    <row r="3692" spans="1:9" x14ac:dyDescent="0.25">
      <c r="A3692" s="40" t="s">
        <v>1075</v>
      </c>
      <c r="B3692" s="28">
        <v>4099</v>
      </c>
      <c r="C3692" s="28" t="s">
        <v>35</v>
      </c>
      <c r="D3692" s="28" t="s">
        <v>38</v>
      </c>
      <c r="E3692" s="41">
        <v>46140</v>
      </c>
      <c r="F3692" s="47">
        <v>0.69730324074074079</v>
      </c>
      <c r="G3692" s="44">
        <v>6.3</v>
      </c>
      <c r="H3692" s="43" t="s">
        <v>233</v>
      </c>
      <c r="I3692" s="40" t="s">
        <v>1281</v>
      </c>
    </row>
    <row r="3693" spans="1:9" x14ac:dyDescent="0.25">
      <c r="A3693" s="40" t="s">
        <v>1075</v>
      </c>
      <c r="B3693" s="28">
        <v>4099</v>
      </c>
      <c r="C3693" s="28" t="s">
        <v>35</v>
      </c>
      <c r="D3693" s="28" t="s">
        <v>38</v>
      </c>
      <c r="E3693" s="41">
        <v>46140</v>
      </c>
      <c r="F3693" s="47">
        <v>0.7114583333333333</v>
      </c>
      <c r="G3693" s="44">
        <v>6.3</v>
      </c>
      <c r="H3693" s="43" t="s">
        <v>234</v>
      </c>
      <c r="I3693" s="40" t="s">
        <v>1281</v>
      </c>
    </row>
    <row r="3694" spans="1:9" x14ac:dyDescent="0.25">
      <c r="A3694" s="40" t="s">
        <v>1075</v>
      </c>
      <c r="B3694" s="28">
        <v>4099</v>
      </c>
      <c r="C3694" s="28">
        <v>5642410</v>
      </c>
      <c r="D3694" s="28"/>
      <c r="E3694" s="45">
        <v>46142</v>
      </c>
      <c r="F3694" s="48">
        <v>0.67590277777777774</v>
      </c>
      <c r="G3694" s="44">
        <v>6.3</v>
      </c>
      <c r="H3694" s="43" t="s">
        <v>238</v>
      </c>
      <c r="I3694" s="40" t="s">
        <v>1281</v>
      </c>
    </row>
    <row r="3695" spans="1:9" x14ac:dyDescent="0.25">
      <c r="A3695" s="40" t="s">
        <v>1075</v>
      </c>
      <c r="B3695" s="28">
        <v>4099</v>
      </c>
      <c r="C3695" s="28">
        <v>5642410</v>
      </c>
      <c r="D3695" s="28"/>
      <c r="E3695" s="41">
        <v>46142</v>
      </c>
      <c r="F3695" s="47">
        <v>0.69247685185185182</v>
      </c>
      <c r="G3695" s="42">
        <v>6.3</v>
      </c>
      <c r="H3695" s="40" t="s">
        <v>234</v>
      </c>
      <c r="I3695" s="40" t="s">
        <v>1281</v>
      </c>
    </row>
    <row r="3696" spans="1:9" x14ac:dyDescent="0.25">
      <c r="A3696" s="40" t="s">
        <v>1075</v>
      </c>
      <c r="B3696" s="28">
        <v>4099</v>
      </c>
      <c r="C3696" s="28">
        <v>5645819</v>
      </c>
      <c r="D3696" s="28"/>
      <c r="E3696" s="41">
        <v>46142</v>
      </c>
      <c r="F3696" s="47">
        <v>0.98405092592592591</v>
      </c>
      <c r="G3696" s="42">
        <v>6.3</v>
      </c>
      <c r="H3696" s="40" t="s">
        <v>235</v>
      </c>
      <c r="I3696" s="40" t="s">
        <v>1282</v>
      </c>
    </row>
    <row r="3697" spans="1:9" x14ac:dyDescent="0.25">
      <c r="A3697" s="40" t="s">
        <v>1075</v>
      </c>
      <c r="B3697" s="28">
        <v>4099</v>
      </c>
      <c r="C3697" s="28">
        <v>5646042</v>
      </c>
      <c r="D3697" s="28"/>
      <c r="E3697" s="45">
        <v>46143</v>
      </c>
      <c r="F3697" s="48">
        <v>0.28554398148148147</v>
      </c>
      <c r="G3697" s="44">
        <v>6.3</v>
      </c>
      <c r="H3697" s="43" t="s">
        <v>235</v>
      </c>
      <c r="I3697" s="40" t="s">
        <v>1282</v>
      </c>
    </row>
    <row r="3698" spans="1:9" x14ac:dyDescent="0.25">
      <c r="A3698" s="40" t="s">
        <v>1075</v>
      </c>
      <c r="B3698" s="28">
        <v>4099</v>
      </c>
      <c r="C3698" s="28">
        <v>5646042</v>
      </c>
      <c r="D3698" s="28"/>
      <c r="E3698" s="41">
        <v>46143</v>
      </c>
      <c r="F3698" s="47">
        <v>0.29268518518518516</v>
      </c>
      <c r="G3698" s="44">
        <v>6.3</v>
      </c>
      <c r="H3698" s="43" t="s">
        <v>236</v>
      </c>
      <c r="I3698" s="40" t="s">
        <v>1282</v>
      </c>
    </row>
    <row r="3699" spans="1:9" x14ac:dyDescent="0.25">
      <c r="A3699" s="40" t="s">
        <v>1075</v>
      </c>
      <c r="B3699" s="28">
        <v>4099</v>
      </c>
      <c r="C3699" s="28" t="s">
        <v>35</v>
      </c>
      <c r="D3699" s="28" t="s">
        <v>38</v>
      </c>
      <c r="E3699" s="41">
        <v>46143</v>
      </c>
      <c r="F3699" s="47">
        <v>0.69143518518518521</v>
      </c>
      <c r="G3699" s="44">
        <v>6.3</v>
      </c>
      <c r="H3699" s="43" t="s">
        <v>237</v>
      </c>
      <c r="I3699" s="40" t="s">
        <v>1282</v>
      </c>
    </row>
    <row r="3700" spans="1:9" x14ac:dyDescent="0.25">
      <c r="A3700" s="40" t="s">
        <v>1075</v>
      </c>
      <c r="B3700" s="28">
        <v>4099</v>
      </c>
      <c r="C3700" s="28" t="s">
        <v>35</v>
      </c>
      <c r="D3700" s="28" t="s">
        <v>38</v>
      </c>
      <c r="E3700" s="45">
        <v>46143</v>
      </c>
      <c r="F3700" s="48">
        <v>0.69663194444444443</v>
      </c>
      <c r="G3700" s="42">
        <v>6.3</v>
      </c>
      <c r="H3700" s="40" t="s">
        <v>234</v>
      </c>
      <c r="I3700" s="40" t="s">
        <v>1282</v>
      </c>
    </row>
    <row r="3701" spans="1:9" x14ac:dyDescent="0.25">
      <c r="A3701" s="40" t="s">
        <v>1075</v>
      </c>
      <c r="B3701" s="28">
        <v>4099</v>
      </c>
      <c r="C3701" s="28">
        <v>10583221</v>
      </c>
      <c r="D3701" s="28"/>
      <c r="E3701" s="41">
        <v>46144</v>
      </c>
      <c r="F3701" s="47">
        <v>0.11251157407407407</v>
      </c>
      <c r="G3701" s="42">
        <v>6.3</v>
      </c>
      <c r="H3701" s="40" t="s">
        <v>237</v>
      </c>
      <c r="I3701" s="40" t="s">
        <v>1282</v>
      </c>
    </row>
    <row r="3702" spans="1:9" x14ac:dyDescent="0.25">
      <c r="A3702" s="40" t="s">
        <v>1075</v>
      </c>
      <c r="B3702" s="28">
        <v>4099</v>
      </c>
      <c r="C3702" s="28">
        <v>10583221</v>
      </c>
      <c r="D3702" s="28"/>
      <c r="E3702" s="41">
        <v>46144</v>
      </c>
      <c r="F3702" s="47">
        <v>0.11802083333333334</v>
      </c>
      <c r="G3702" s="44">
        <v>6.3</v>
      </c>
      <c r="H3702" s="43" t="s">
        <v>234</v>
      </c>
      <c r="I3702" s="40" t="s">
        <v>1282</v>
      </c>
    </row>
    <row r="3703" spans="1:9" x14ac:dyDescent="0.25">
      <c r="A3703" s="40" t="s">
        <v>1076</v>
      </c>
      <c r="B3703" s="28">
        <v>4100</v>
      </c>
      <c r="C3703" s="28">
        <v>5649310</v>
      </c>
      <c r="D3703" s="28"/>
      <c r="E3703" s="45">
        <v>46145</v>
      </c>
      <c r="F3703" s="48">
        <v>0.8821296296296296</v>
      </c>
      <c r="G3703" s="44">
        <v>6.3</v>
      </c>
      <c r="H3703" s="43" t="s">
        <v>235</v>
      </c>
      <c r="I3703" s="40" t="s">
        <v>1282</v>
      </c>
    </row>
    <row r="3704" spans="1:9" x14ac:dyDescent="0.25">
      <c r="A3704" s="40" t="s">
        <v>1076</v>
      </c>
      <c r="B3704" s="28">
        <v>4100</v>
      </c>
      <c r="C3704" s="28">
        <v>5649310</v>
      </c>
      <c r="D3704" s="28"/>
      <c r="E3704" s="41">
        <v>46145</v>
      </c>
      <c r="F3704" s="47">
        <v>0.88920138888888889</v>
      </c>
      <c r="G3704" s="44">
        <v>6.3</v>
      </c>
      <c r="H3704" s="43" t="s">
        <v>236</v>
      </c>
      <c r="I3704" s="40" t="s">
        <v>1282</v>
      </c>
    </row>
    <row r="3705" spans="1:9" x14ac:dyDescent="0.25">
      <c r="A3705" s="40" t="s">
        <v>387</v>
      </c>
      <c r="B3705" s="28">
        <v>4103</v>
      </c>
      <c r="C3705" s="28" t="s">
        <v>1077</v>
      </c>
      <c r="D3705" s="28"/>
      <c r="E3705" s="41">
        <v>46142</v>
      </c>
      <c r="F3705" s="47">
        <v>0.6912152777777778</v>
      </c>
      <c r="G3705" s="44">
        <v>6.3</v>
      </c>
      <c r="H3705" s="43" t="s">
        <v>236</v>
      </c>
      <c r="I3705" s="40" t="s">
        <v>1281</v>
      </c>
    </row>
    <row r="3706" spans="1:9" x14ac:dyDescent="0.25">
      <c r="A3706" s="40" t="s">
        <v>387</v>
      </c>
      <c r="B3706" s="28">
        <v>4103</v>
      </c>
      <c r="C3706" s="28" t="s">
        <v>1078</v>
      </c>
      <c r="D3706" s="28"/>
      <c r="E3706" s="41">
        <v>46145</v>
      </c>
      <c r="F3706" s="47">
        <v>0.99870370370370365</v>
      </c>
      <c r="G3706" s="44">
        <v>6.3</v>
      </c>
      <c r="H3706" s="43" t="s">
        <v>235</v>
      </c>
      <c r="I3706" s="40" t="s">
        <v>1282</v>
      </c>
    </row>
    <row r="3707" spans="1:9" x14ac:dyDescent="0.25">
      <c r="A3707" s="40" t="s">
        <v>1079</v>
      </c>
      <c r="B3707" s="28">
        <v>4119</v>
      </c>
      <c r="C3707" s="28">
        <v>5636865</v>
      </c>
      <c r="D3707" s="28"/>
      <c r="E3707" s="45">
        <v>46139</v>
      </c>
      <c r="F3707" s="48">
        <v>0.32003472222222223</v>
      </c>
      <c r="G3707" s="44">
        <v>6.3</v>
      </c>
      <c r="H3707" s="43" t="s">
        <v>237</v>
      </c>
      <c r="I3707" s="40" t="s">
        <v>1281</v>
      </c>
    </row>
    <row r="3708" spans="1:9" x14ac:dyDescent="0.25">
      <c r="A3708" s="40" t="s">
        <v>405</v>
      </c>
      <c r="B3708" s="28">
        <v>4145</v>
      </c>
      <c r="C3708" s="28" t="s">
        <v>35</v>
      </c>
      <c r="D3708" s="28" t="s">
        <v>38</v>
      </c>
      <c r="E3708" s="41">
        <v>46139</v>
      </c>
      <c r="F3708" s="47">
        <v>0.23181712962962964</v>
      </c>
      <c r="G3708" s="44">
        <v>6.3</v>
      </c>
      <c r="H3708" s="43" t="s">
        <v>236</v>
      </c>
      <c r="I3708" s="40" t="s">
        <v>1281</v>
      </c>
    </row>
    <row r="3709" spans="1:9" x14ac:dyDescent="0.25">
      <c r="A3709" s="40" t="s">
        <v>405</v>
      </c>
      <c r="B3709" s="28">
        <v>4145</v>
      </c>
      <c r="C3709" s="28">
        <v>5636954</v>
      </c>
      <c r="D3709" s="28"/>
      <c r="E3709" s="41">
        <v>46139</v>
      </c>
      <c r="F3709" s="47">
        <v>0.2575810185185185</v>
      </c>
      <c r="G3709" s="44">
        <v>6.3</v>
      </c>
      <c r="H3709" s="43" t="s">
        <v>237</v>
      </c>
      <c r="I3709" s="40" t="s">
        <v>1281</v>
      </c>
    </row>
    <row r="3710" spans="1:9" x14ac:dyDescent="0.25">
      <c r="A3710" s="40" t="s">
        <v>405</v>
      </c>
      <c r="B3710" s="28">
        <v>4145</v>
      </c>
      <c r="C3710" s="28">
        <v>5636954</v>
      </c>
      <c r="D3710" s="28"/>
      <c r="E3710" s="41">
        <v>46139</v>
      </c>
      <c r="F3710" s="47">
        <v>0.26244212962962965</v>
      </c>
      <c r="G3710" s="44">
        <v>6.3</v>
      </c>
      <c r="H3710" s="43" t="s">
        <v>234</v>
      </c>
      <c r="I3710" s="40" t="s">
        <v>1281</v>
      </c>
    </row>
    <row r="3711" spans="1:9" x14ac:dyDescent="0.25">
      <c r="A3711" s="40" t="s">
        <v>405</v>
      </c>
      <c r="B3711" s="28">
        <v>4145</v>
      </c>
      <c r="C3711" s="28" t="s">
        <v>1080</v>
      </c>
      <c r="D3711" s="28"/>
      <c r="E3711" s="41">
        <v>46139</v>
      </c>
      <c r="F3711" s="47">
        <v>0.34775462962962961</v>
      </c>
      <c r="G3711" s="44">
        <v>6.3</v>
      </c>
      <c r="H3711" s="43" t="s">
        <v>235</v>
      </c>
      <c r="I3711" s="40" t="s">
        <v>1281</v>
      </c>
    </row>
    <row r="3712" spans="1:9" x14ac:dyDescent="0.25">
      <c r="A3712" s="40" t="s">
        <v>405</v>
      </c>
      <c r="B3712" s="28">
        <v>4145</v>
      </c>
      <c r="C3712" s="28" t="s">
        <v>1080</v>
      </c>
      <c r="D3712" s="28"/>
      <c r="E3712" s="45">
        <v>46139</v>
      </c>
      <c r="F3712" s="48">
        <v>0.35873842592592592</v>
      </c>
      <c r="G3712" s="44">
        <v>6.3</v>
      </c>
      <c r="H3712" s="43" t="s">
        <v>239</v>
      </c>
      <c r="I3712" s="40" t="s">
        <v>1281</v>
      </c>
    </row>
    <row r="3713" spans="1:9" x14ac:dyDescent="0.25">
      <c r="A3713" s="40" t="s">
        <v>405</v>
      </c>
      <c r="B3713" s="28">
        <v>4145</v>
      </c>
      <c r="C3713" s="28" t="s">
        <v>35</v>
      </c>
      <c r="D3713" s="28" t="s">
        <v>38</v>
      </c>
      <c r="E3713" s="41">
        <v>46139</v>
      </c>
      <c r="F3713" s="47">
        <v>0.40028935185185183</v>
      </c>
      <c r="G3713" s="44">
        <v>6.3</v>
      </c>
      <c r="H3713" s="43" t="s">
        <v>233</v>
      </c>
      <c r="I3713" s="40" t="s">
        <v>1281</v>
      </c>
    </row>
    <row r="3714" spans="1:9" x14ac:dyDescent="0.25">
      <c r="A3714" s="40" t="s">
        <v>405</v>
      </c>
      <c r="B3714" s="28">
        <v>4145</v>
      </c>
      <c r="C3714" s="28" t="s">
        <v>35</v>
      </c>
      <c r="D3714" s="28" t="s">
        <v>38</v>
      </c>
      <c r="E3714" s="41">
        <v>46139</v>
      </c>
      <c r="F3714" s="47">
        <v>0.40778935185185183</v>
      </c>
      <c r="G3714" s="44">
        <v>6.3</v>
      </c>
      <c r="H3714" s="43" t="s">
        <v>234</v>
      </c>
      <c r="I3714" s="40" t="s">
        <v>1281</v>
      </c>
    </row>
    <row r="3715" spans="1:9" x14ac:dyDescent="0.25">
      <c r="A3715" s="40" t="s">
        <v>405</v>
      </c>
      <c r="B3715" s="28">
        <v>4145</v>
      </c>
      <c r="C3715" s="28" t="s">
        <v>1081</v>
      </c>
      <c r="D3715" s="28"/>
      <c r="E3715" s="41">
        <v>46139</v>
      </c>
      <c r="F3715" s="47">
        <v>0.63194444444444442</v>
      </c>
      <c r="G3715" s="44">
        <v>6.3</v>
      </c>
      <c r="H3715" s="43" t="s">
        <v>235</v>
      </c>
      <c r="I3715" s="40" t="s">
        <v>1281</v>
      </c>
    </row>
    <row r="3716" spans="1:9" x14ac:dyDescent="0.25">
      <c r="A3716" s="40" t="s">
        <v>405</v>
      </c>
      <c r="B3716" s="28">
        <v>4145</v>
      </c>
      <c r="C3716" s="28" t="s">
        <v>1081</v>
      </c>
      <c r="D3716" s="28"/>
      <c r="E3716" s="41">
        <v>46139</v>
      </c>
      <c r="F3716" s="47">
        <v>0.64150462962962962</v>
      </c>
      <c r="G3716" s="44">
        <v>6.3</v>
      </c>
      <c r="H3716" s="43" t="s">
        <v>236</v>
      </c>
      <c r="I3716" s="40" t="s">
        <v>1281</v>
      </c>
    </row>
    <row r="3717" spans="1:9" x14ac:dyDescent="0.25">
      <c r="A3717" s="40" t="s">
        <v>405</v>
      </c>
      <c r="B3717" s="28">
        <v>4145</v>
      </c>
      <c r="C3717" s="28">
        <v>5641584</v>
      </c>
      <c r="D3717" s="28"/>
      <c r="E3717" s="45">
        <v>46141</v>
      </c>
      <c r="F3717" s="48">
        <v>0.4039699074074074</v>
      </c>
      <c r="G3717" s="44">
        <v>6.3</v>
      </c>
      <c r="H3717" s="43" t="s">
        <v>235</v>
      </c>
      <c r="I3717" s="40" t="s">
        <v>1281</v>
      </c>
    </row>
    <row r="3718" spans="1:9" x14ac:dyDescent="0.25">
      <c r="A3718" s="40" t="s">
        <v>405</v>
      </c>
      <c r="B3718" s="28">
        <v>4145</v>
      </c>
      <c r="C3718" s="28">
        <v>5641584</v>
      </c>
      <c r="D3718" s="28"/>
      <c r="E3718" s="41">
        <v>46141</v>
      </c>
      <c r="F3718" s="47">
        <v>0.41615740740740742</v>
      </c>
      <c r="G3718" s="44">
        <v>6.3</v>
      </c>
      <c r="H3718" s="43" t="s">
        <v>236</v>
      </c>
      <c r="I3718" s="40" t="s">
        <v>1281</v>
      </c>
    </row>
    <row r="3719" spans="1:9" x14ac:dyDescent="0.25">
      <c r="A3719" s="40" t="s">
        <v>405</v>
      </c>
      <c r="B3719" s="28">
        <v>4145</v>
      </c>
      <c r="C3719" s="28" t="s">
        <v>35</v>
      </c>
      <c r="D3719" s="28" t="s">
        <v>38</v>
      </c>
      <c r="E3719" s="41">
        <v>46141</v>
      </c>
      <c r="F3719" s="47">
        <v>0.4397800925925926</v>
      </c>
      <c r="G3719" s="42">
        <v>6.3</v>
      </c>
      <c r="H3719" s="40" t="s">
        <v>237</v>
      </c>
      <c r="I3719" s="40" t="s">
        <v>1281</v>
      </c>
    </row>
    <row r="3720" spans="1:9" x14ac:dyDescent="0.25">
      <c r="A3720" s="40" t="s">
        <v>405</v>
      </c>
      <c r="B3720" s="28">
        <v>4145</v>
      </c>
      <c r="C3720" s="28" t="s">
        <v>35</v>
      </c>
      <c r="D3720" s="28" t="s">
        <v>38</v>
      </c>
      <c r="E3720" s="45">
        <v>46141</v>
      </c>
      <c r="F3720" s="48">
        <v>0.4550925925925926</v>
      </c>
      <c r="G3720" s="42">
        <v>6.3</v>
      </c>
      <c r="H3720" s="40" t="s">
        <v>234</v>
      </c>
      <c r="I3720" s="40" t="s">
        <v>1281</v>
      </c>
    </row>
    <row r="3721" spans="1:9" x14ac:dyDescent="0.25">
      <c r="A3721" s="40" t="s">
        <v>405</v>
      </c>
      <c r="B3721" s="28">
        <v>4145</v>
      </c>
      <c r="C3721" s="28" t="s">
        <v>35</v>
      </c>
      <c r="D3721" s="28" t="s">
        <v>38</v>
      </c>
      <c r="E3721" s="41">
        <v>46141</v>
      </c>
      <c r="F3721" s="47">
        <v>0.50666666666666671</v>
      </c>
      <c r="G3721" s="44">
        <v>6.3</v>
      </c>
      <c r="H3721" s="43" t="s">
        <v>235</v>
      </c>
      <c r="I3721" s="40" t="s">
        <v>1281</v>
      </c>
    </row>
    <row r="3722" spans="1:9" x14ac:dyDescent="0.25">
      <c r="A3722" s="40" t="s">
        <v>405</v>
      </c>
      <c r="B3722" s="28">
        <v>4145</v>
      </c>
      <c r="C3722" s="28" t="s">
        <v>35</v>
      </c>
      <c r="D3722" s="28" t="s">
        <v>38</v>
      </c>
      <c r="E3722" s="41">
        <v>46141</v>
      </c>
      <c r="F3722" s="47">
        <v>0.51200231481481484</v>
      </c>
      <c r="G3722" s="44">
        <v>6.3</v>
      </c>
      <c r="H3722" s="43" t="s">
        <v>240</v>
      </c>
      <c r="I3722" s="40" t="s">
        <v>1281</v>
      </c>
    </row>
    <row r="3723" spans="1:9" x14ac:dyDescent="0.25">
      <c r="A3723" s="40" t="s">
        <v>405</v>
      </c>
      <c r="B3723" s="28">
        <v>4145</v>
      </c>
      <c r="C3723" s="28" t="s">
        <v>35</v>
      </c>
      <c r="D3723" s="28" t="s">
        <v>38</v>
      </c>
      <c r="E3723" s="41">
        <v>46141</v>
      </c>
      <c r="F3723" s="47">
        <v>0.55383101851851857</v>
      </c>
      <c r="G3723" s="44">
        <v>6.3</v>
      </c>
      <c r="H3723" s="43" t="s">
        <v>241</v>
      </c>
      <c r="I3723" s="40" t="s">
        <v>1281</v>
      </c>
    </row>
    <row r="3724" spans="1:9" x14ac:dyDescent="0.25">
      <c r="A3724" s="40" t="s">
        <v>405</v>
      </c>
      <c r="B3724" s="28">
        <v>4145</v>
      </c>
      <c r="C3724" s="28" t="s">
        <v>35</v>
      </c>
      <c r="D3724" s="28" t="s">
        <v>38</v>
      </c>
      <c r="E3724" s="41">
        <v>46141</v>
      </c>
      <c r="F3724" s="47">
        <v>0.56783564814814813</v>
      </c>
      <c r="G3724" s="44">
        <v>6.3</v>
      </c>
      <c r="H3724" s="43" t="s">
        <v>234</v>
      </c>
      <c r="I3724" s="40" t="s">
        <v>1281</v>
      </c>
    </row>
    <row r="3725" spans="1:9" x14ac:dyDescent="0.25">
      <c r="A3725" s="40" t="s">
        <v>405</v>
      </c>
      <c r="B3725" s="28">
        <v>4145</v>
      </c>
      <c r="C3725" s="28" t="s">
        <v>35</v>
      </c>
      <c r="D3725" s="28" t="s">
        <v>38</v>
      </c>
      <c r="E3725" s="41">
        <v>46142</v>
      </c>
      <c r="F3725" s="47">
        <v>0.22664351851851852</v>
      </c>
      <c r="G3725" s="44">
        <v>6.3</v>
      </c>
      <c r="H3725" s="43" t="s">
        <v>239</v>
      </c>
      <c r="I3725" s="40" t="s">
        <v>1281</v>
      </c>
    </row>
    <row r="3726" spans="1:9" x14ac:dyDescent="0.25">
      <c r="A3726" s="40" t="s">
        <v>405</v>
      </c>
      <c r="B3726" s="28">
        <v>4145</v>
      </c>
      <c r="C3726" s="28">
        <v>5643819</v>
      </c>
      <c r="D3726" s="28" t="s">
        <v>37</v>
      </c>
      <c r="E3726" s="41">
        <v>46142</v>
      </c>
      <c r="F3726" s="47">
        <v>0.27077546296296295</v>
      </c>
      <c r="G3726" s="44">
        <v>6.3</v>
      </c>
      <c r="H3726" s="43" t="s">
        <v>238</v>
      </c>
      <c r="I3726" s="40" t="s">
        <v>1281</v>
      </c>
    </row>
    <row r="3727" spans="1:9" x14ac:dyDescent="0.25">
      <c r="A3727" s="40" t="s">
        <v>405</v>
      </c>
      <c r="B3727" s="28">
        <v>4145</v>
      </c>
      <c r="C3727" s="28">
        <v>5643819</v>
      </c>
      <c r="D3727" s="28" t="s">
        <v>37</v>
      </c>
      <c r="E3727" s="41">
        <v>46142</v>
      </c>
      <c r="F3727" s="47">
        <v>0.27607638888888891</v>
      </c>
      <c r="G3727" s="44">
        <v>6.3</v>
      </c>
      <c r="H3727" s="43" t="s">
        <v>234</v>
      </c>
      <c r="I3727" s="40" t="s">
        <v>1281</v>
      </c>
    </row>
    <row r="3728" spans="1:9" x14ac:dyDescent="0.25">
      <c r="A3728" s="40" t="s">
        <v>405</v>
      </c>
      <c r="B3728" s="28">
        <v>4145</v>
      </c>
      <c r="C3728" s="28">
        <v>5644391</v>
      </c>
      <c r="D3728" s="28"/>
      <c r="E3728" s="41">
        <v>46142</v>
      </c>
      <c r="F3728" s="47">
        <v>0.48831018518518521</v>
      </c>
      <c r="G3728" s="44">
        <v>6.3</v>
      </c>
      <c r="H3728" s="43" t="s">
        <v>235</v>
      </c>
      <c r="I3728" s="40" t="s">
        <v>1281</v>
      </c>
    </row>
    <row r="3729" spans="1:9" x14ac:dyDescent="0.25">
      <c r="A3729" s="40" t="s">
        <v>405</v>
      </c>
      <c r="B3729" s="28">
        <v>4145</v>
      </c>
      <c r="C3729" s="28">
        <v>5644391</v>
      </c>
      <c r="D3729" s="28"/>
      <c r="E3729" s="41">
        <v>46142</v>
      </c>
      <c r="F3729" s="47">
        <v>0.49738425925925928</v>
      </c>
      <c r="G3729" s="44">
        <v>6.3</v>
      </c>
      <c r="H3729" s="43" t="s">
        <v>236</v>
      </c>
      <c r="I3729" s="40" t="s">
        <v>1281</v>
      </c>
    </row>
    <row r="3730" spans="1:9" x14ac:dyDescent="0.25">
      <c r="A3730" s="40" t="s">
        <v>405</v>
      </c>
      <c r="B3730" s="28">
        <v>4145</v>
      </c>
      <c r="C3730" s="28" t="s">
        <v>35</v>
      </c>
      <c r="D3730" s="28" t="s">
        <v>38</v>
      </c>
      <c r="E3730" s="45">
        <v>46144</v>
      </c>
      <c r="F3730" s="48">
        <v>0.42914351851851851</v>
      </c>
      <c r="G3730" s="44">
        <v>6.3</v>
      </c>
      <c r="H3730" s="43" t="s">
        <v>235</v>
      </c>
      <c r="I3730" s="40" t="s">
        <v>1282</v>
      </c>
    </row>
    <row r="3731" spans="1:9" x14ac:dyDescent="0.25">
      <c r="A3731" s="40" t="s">
        <v>405</v>
      </c>
      <c r="B3731" s="28">
        <v>4145</v>
      </c>
      <c r="C3731" s="28" t="s">
        <v>35</v>
      </c>
      <c r="D3731" s="28" t="s">
        <v>38</v>
      </c>
      <c r="E3731" s="41">
        <v>46144</v>
      </c>
      <c r="F3731" s="47">
        <v>0.4365046296296296</v>
      </c>
      <c r="G3731" s="44">
        <v>6.3</v>
      </c>
      <c r="H3731" s="43" t="s">
        <v>236</v>
      </c>
      <c r="I3731" s="40" t="s">
        <v>1282</v>
      </c>
    </row>
    <row r="3732" spans="1:9" x14ac:dyDescent="0.25">
      <c r="A3732" s="40" t="s">
        <v>405</v>
      </c>
      <c r="B3732" s="28">
        <v>4145</v>
      </c>
      <c r="C3732" s="28">
        <v>5648025</v>
      </c>
      <c r="D3732" s="28"/>
      <c r="E3732" s="41">
        <v>46145</v>
      </c>
      <c r="F3732" s="47">
        <v>0.17988425925925927</v>
      </c>
      <c r="G3732" s="44">
        <v>6.3</v>
      </c>
      <c r="H3732" s="43" t="s">
        <v>234</v>
      </c>
      <c r="I3732" s="40" t="s">
        <v>1282</v>
      </c>
    </row>
    <row r="3733" spans="1:9" x14ac:dyDescent="0.25">
      <c r="A3733" s="40" t="s">
        <v>405</v>
      </c>
      <c r="B3733" s="28">
        <v>4145</v>
      </c>
      <c r="C3733" s="28" t="s">
        <v>1082</v>
      </c>
      <c r="D3733" s="28"/>
      <c r="E3733" s="41">
        <v>46145</v>
      </c>
      <c r="F3733" s="47">
        <v>0.39385416666666667</v>
      </c>
      <c r="G3733" s="44">
        <v>6.3</v>
      </c>
      <c r="H3733" s="43" t="s">
        <v>235</v>
      </c>
      <c r="I3733" s="40" t="s">
        <v>1282</v>
      </c>
    </row>
    <row r="3734" spans="1:9" x14ac:dyDescent="0.25">
      <c r="A3734" s="40" t="s">
        <v>405</v>
      </c>
      <c r="B3734" s="28">
        <v>4145</v>
      </c>
      <c r="C3734" s="28" t="s">
        <v>1082</v>
      </c>
      <c r="D3734" s="28"/>
      <c r="E3734" s="41">
        <v>46145</v>
      </c>
      <c r="F3734" s="47">
        <v>0.40228009259259262</v>
      </c>
      <c r="G3734" s="42">
        <v>6.3</v>
      </c>
      <c r="H3734" s="40" t="s">
        <v>236</v>
      </c>
      <c r="I3734" s="40" t="s">
        <v>1282</v>
      </c>
    </row>
    <row r="3735" spans="1:9" x14ac:dyDescent="0.25">
      <c r="A3735" s="40" t="s">
        <v>405</v>
      </c>
      <c r="B3735" s="28">
        <v>4145</v>
      </c>
      <c r="C3735" s="28" t="s">
        <v>35</v>
      </c>
      <c r="D3735" s="28" t="s">
        <v>38</v>
      </c>
      <c r="E3735" s="45">
        <v>46145</v>
      </c>
      <c r="F3735" s="48">
        <v>0.41917824074074073</v>
      </c>
      <c r="G3735" s="44">
        <v>6.3</v>
      </c>
      <c r="H3735" s="43" t="s">
        <v>237</v>
      </c>
      <c r="I3735" s="40" t="s">
        <v>1282</v>
      </c>
    </row>
    <row r="3736" spans="1:9" x14ac:dyDescent="0.25">
      <c r="A3736" s="40" t="s">
        <v>405</v>
      </c>
      <c r="B3736" s="28">
        <v>4145</v>
      </c>
      <c r="C3736" s="28" t="s">
        <v>35</v>
      </c>
      <c r="D3736" s="28" t="s">
        <v>38</v>
      </c>
      <c r="E3736" s="41">
        <v>46145</v>
      </c>
      <c r="F3736" s="47">
        <v>0.42412037037037037</v>
      </c>
      <c r="G3736" s="44">
        <v>6.3</v>
      </c>
      <c r="H3736" s="43" t="s">
        <v>234</v>
      </c>
      <c r="I3736" s="40" t="s">
        <v>1282</v>
      </c>
    </row>
    <row r="3737" spans="1:9" x14ac:dyDescent="0.25">
      <c r="A3737" s="40" t="s">
        <v>405</v>
      </c>
      <c r="B3737" s="28">
        <v>4145</v>
      </c>
      <c r="C3737" s="28" t="s">
        <v>35</v>
      </c>
      <c r="D3737" s="28" t="s">
        <v>38</v>
      </c>
      <c r="E3737" s="41">
        <v>46145</v>
      </c>
      <c r="F3737" s="47">
        <v>0.7818518518518518</v>
      </c>
      <c r="G3737" s="42">
        <v>6.3</v>
      </c>
      <c r="H3737" s="40" t="s">
        <v>234</v>
      </c>
      <c r="I3737" s="40" t="s">
        <v>1282</v>
      </c>
    </row>
    <row r="3738" spans="1:9" x14ac:dyDescent="0.25">
      <c r="A3738" s="40" t="s">
        <v>405</v>
      </c>
      <c r="B3738" s="28">
        <v>4145</v>
      </c>
      <c r="C3738" s="28" t="s">
        <v>35</v>
      </c>
      <c r="D3738" s="28" t="s">
        <v>38</v>
      </c>
      <c r="E3738" s="41">
        <v>46145</v>
      </c>
      <c r="F3738" s="47">
        <v>0.80175925925925928</v>
      </c>
      <c r="G3738" s="42">
        <v>6.3</v>
      </c>
      <c r="H3738" s="40" t="s">
        <v>235</v>
      </c>
      <c r="I3738" s="40" t="s">
        <v>1282</v>
      </c>
    </row>
    <row r="3739" spans="1:9" x14ac:dyDescent="0.25">
      <c r="A3739" s="40" t="s">
        <v>1083</v>
      </c>
      <c r="B3739" s="28">
        <v>4154</v>
      </c>
      <c r="C3739" s="28" t="s">
        <v>35</v>
      </c>
      <c r="D3739" s="28" t="s">
        <v>38</v>
      </c>
      <c r="E3739" s="41">
        <v>46139</v>
      </c>
      <c r="F3739" s="47">
        <v>0.48342592592592593</v>
      </c>
      <c r="G3739" s="44">
        <v>6.3</v>
      </c>
      <c r="H3739" s="43" t="s">
        <v>237</v>
      </c>
      <c r="I3739" s="40" t="s">
        <v>1281</v>
      </c>
    </row>
    <row r="3740" spans="1:9" x14ac:dyDescent="0.25">
      <c r="A3740" s="40" t="s">
        <v>1083</v>
      </c>
      <c r="B3740" s="28">
        <v>4154</v>
      </c>
      <c r="C3740" s="28" t="s">
        <v>35</v>
      </c>
      <c r="D3740" s="28" t="s">
        <v>38</v>
      </c>
      <c r="E3740" s="41">
        <v>46139</v>
      </c>
      <c r="F3740" s="47">
        <v>0.49589120370370371</v>
      </c>
      <c r="G3740" s="44">
        <v>6.3</v>
      </c>
      <c r="H3740" s="43" t="s">
        <v>234</v>
      </c>
      <c r="I3740" s="40" t="s">
        <v>1281</v>
      </c>
    </row>
    <row r="3741" spans="1:9" x14ac:dyDescent="0.25">
      <c r="A3741" s="40" t="s">
        <v>1083</v>
      </c>
      <c r="B3741" s="28">
        <v>4154</v>
      </c>
      <c r="C3741" s="28">
        <v>5642172</v>
      </c>
      <c r="D3741" s="28"/>
      <c r="E3741" s="41">
        <v>46141</v>
      </c>
      <c r="F3741" s="47">
        <v>0.35427083333333331</v>
      </c>
      <c r="G3741" s="44">
        <v>6.3</v>
      </c>
      <c r="H3741" s="43" t="s">
        <v>235</v>
      </c>
      <c r="I3741" s="40" t="s">
        <v>1281</v>
      </c>
    </row>
    <row r="3742" spans="1:9" x14ac:dyDescent="0.25">
      <c r="A3742" s="40" t="s">
        <v>1083</v>
      </c>
      <c r="B3742" s="28">
        <v>4154</v>
      </c>
      <c r="C3742" s="28">
        <v>5642172</v>
      </c>
      <c r="D3742" s="28"/>
      <c r="E3742" s="45">
        <v>46141</v>
      </c>
      <c r="F3742" s="48">
        <v>0.36844907407407407</v>
      </c>
      <c r="G3742" s="44">
        <v>6.3</v>
      </c>
      <c r="H3742" s="43" t="s">
        <v>236</v>
      </c>
      <c r="I3742" s="40" t="s">
        <v>1281</v>
      </c>
    </row>
    <row r="3743" spans="1:9" x14ac:dyDescent="0.25">
      <c r="A3743" s="40" t="s">
        <v>1083</v>
      </c>
      <c r="B3743" s="28">
        <v>4154</v>
      </c>
      <c r="C3743" s="28">
        <v>5642441</v>
      </c>
      <c r="D3743" s="28"/>
      <c r="E3743" s="41">
        <v>46141</v>
      </c>
      <c r="F3743" s="47">
        <v>0.46555555555555556</v>
      </c>
      <c r="G3743" s="44">
        <v>6.3</v>
      </c>
      <c r="H3743" s="43" t="s">
        <v>233</v>
      </c>
      <c r="I3743" s="40" t="s">
        <v>1281</v>
      </c>
    </row>
    <row r="3744" spans="1:9" x14ac:dyDescent="0.25">
      <c r="A3744" s="40" t="s">
        <v>1083</v>
      </c>
      <c r="B3744" s="28">
        <v>4154</v>
      </c>
      <c r="C3744" s="28">
        <v>5642441</v>
      </c>
      <c r="D3744" s="28"/>
      <c r="E3744" s="41">
        <v>46141</v>
      </c>
      <c r="F3744" s="47">
        <v>0.47687499999999999</v>
      </c>
      <c r="G3744" s="44">
        <v>6.3</v>
      </c>
      <c r="H3744" s="43" t="s">
        <v>234</v>
      </c>
      <c r="I3744" s="40" t="s">
        <v>1281</v>
      </c>
    </row>
    <row r="3745" spans="1:9" x14ac:dyDescent="0.25">
      <c r="A3745" s="40" t="s">
        <v>1083</v>
      </c>
      <c r="B3745" s="28">
        <v>4154</v>
      </c>
      <c r="C3745" s="28">
        <v>5642441</v>
      </c>
      <c r="D3745" s="28"/>
      <c r="E3745" s="41">
        <v>46141</v>
      </c>
      <c r="F3745" s="47">
        <v>0.53689814814814818</v>
      </c>
      <c r="G3745" s="44">
        <v>6.3</v>
      </c>
      <c r="H3745" s="43" t="s">
        <v>235</v>
      </c>
      <c r="I3745" s="40" t="s">
        <v>1281</v>
      </c>
    </row>
    <row r="3746" spans="1:9" x14ac:dyDescent="0.25">
      <c r="A3746" s="40" t="s">
        <v>1083</v>
      </c>
      <c r="B3746" s="28">
        <v>4154</v>
      </c>
      <c r="C3746" s="28">
        <v>5642441</v>
      </c>
      <c r="D3746" s="28"/>
      <c r="E3746" s="41">
        <v>46141</v>
      </c>
      <c r="F3746" s="47">
        <v>0.55065972222222226</v>
      </c>
      <c r="G3746" s="44">
        <v>6.3</v>
      </c>
      <c r="H3746" s="43" t="s">
        <v>239</v>
      </c>
      <c r="I3746" s="40" t="s">
        <v>1281</v>
      </c>
    </row>
    <row r="3747" spans="1:9" x14ac:dyDescent="0.25">
      <c r="A3747" s="40" t="s">
        <v>1083</v>
      </c>
      <c r="B3747" s="28">
        <v>4154</v>
      </c>
      <c r="C3747" s="28" t="s">
        <v>35</v>
      </c>
      <c r="D3747" s="28" t="s">
        <v>38</v>
      </c>
      <c r="E3747" s="41">
        <v>46141</v>
      </c>
      <c r="F3747" s="47">
        <v>0.66695601851851849</v>
      </c>
      <c r="G3747" s="44">
        <v>6.3</v>
      </c>
      <c r="H3747" s="43" t="s">
        <v>237</v>
      </c>
      <c r="I3747" s="40" t="s">
        <v>1281</v>
      </c>
    </row>
    <row r="3748" spans="1:9" x14ac:dyDescent="0.25">
      <c r="A3748" s="40" t="s">
        <v>1083</v>
      </c>
      <c r="B3748" s="28">
        <v>4154</v>
      </c>
      <c r="C3748" s="28" t="s">
        <v>35</v>
      </c>
      <c r="D3748" s="28" t="s">
        <v>38</v>
      </c>
      <c r="E3748" s="45">
        <v>46141</v>
      </c>
      <c r="F3748" s="48">
        <v>0.67329861111111111</v>
      </c>
      <c r="G3748" s="44">
        <v>6.3</v>
      </c>
      <c r="H3748" s="43" t="s">
        <v>234</v>
      </c>
      <c r="I3748" s="40" t="s">
        <v>1281</v>
      </c>
    </row>
    <row r="3749" spans="1:9" x14ac:dyDescent="0.25">
      <c r="A3749" s="40" t="s">
        <v>1084</v>
      </c>
      <c r="B3749" s="28">
        <v>4163</v>
      </c>
      <c r="C3749" s="28">
        <v>5645776</v>
      </c>
      <c r="D3749" s="28" t="s">
        <v>37</v>
      </c>
      <c r="E3749" s="41">
        <v>46143</v>
      </c>
      <c r="F3749" s="47">
        <v>0.32178240740740743</v>
      </c>
      <c r="G3749" s="44">
        <v>6.3</v>
      </c>
      <c r="H3749" s="43" t="s">
        <v>237</v>
      </c>
      <c r="I3749" s="40" t="s">
        <v>1282</v>
      </c>
    </row>
    <row r="3750" spans="1:9" x14ac:dyDescent="0.25">
      <c r="A3750" s="40" t="s">
        <v>1084</v>
      </c>
      <c r="B3750" s="28">
        <v>4163</v>
      </c>
      <c r="C3750" s="28">
        <v>5645776</v>
      </c>
      <c r="D3750" s="28" t="s">
        <v>37</v>
      </c>
      <c r="E3750" s="41">
        <v>46143</v>
      </c>
      <c r="F3750" s="47">
        <v>0.3268402777777778</v>
      </c>
      <c r="G3750" s="44">
        <v>6.3</v>
      </c>
      <c r="H3750" s="43" t="s">
        <v>234</v>
      </c>
      <c r="I3750" s="40" t="s">
        <v>1282</v>
      </c>
    </row>
    <row r="3751" spans="1:9" x14ac:dyDescent="0.25">
      <c r="A3751" s="40" t="s">
        <v>1084</v>
      </c>
      <c r="B3751" s="28">
        <v>4163</v>
      </c>
      <c r="C3751" s="28" t="s">
        <v>1085</v>
      </c>
      <c r="D3751" s="28"/>
      <c r="E3751" s="41">
        <v>46145</v>
      </c>
      <c r="F3751" s="47">
        <v>0.23737268518518517</v>
      </c>
      <c r="G3751" s="44">
        <v>6.3</v>
      </c>
      <c r="H3751" s="43" t="s">
        <v>235</v>
      </c>
      <c r="I3751" s="40" t="s">
        <v>1282</v>
      </c>
    </row>
    <row r="3752" spans="1:9" x14ac:dyDescent="0.25">
      <c r="A3752" s="40" t="s">
        <v>1084</v>
      </c>
      <c r="B3752" s="28">
        <v>4163</v>
      </c>
      <c r="C3752" s="28" t="s">
        <v>1085</v>
      </c>
      <c r="D3752" s="28"/>
      <c r="E3752" s="41">
        <v>46145</v>
      </c>
      <c r="F3752" s="47">
        <v>0.24451388888888889</v>
      </c>
      <c r="G3752" s="44">
        <v>6.3</v>
      </c>
      <c r="H3752" s="43" t="s">
        <v>236</v>
      </c>
      <c r="I3752" s="40" t="s">
        <v>1282</v>
      </c>
    </row>
    <row r="3753" spans="1:9" x14ac:dyDescent="0.25">
      <c r="A3753" s="40" t="s">
        <v>1084</v>
      </c>
      <c r="B3753" s="28">
        <v>4163</v>
      </c>
      <c r="C3753" s="28">
        <v>5647634</v>
      </c>
      <c r="D3753" s="28"/>
      <c r="E3753" s="45">
        <v>46145</v>
      </c>
      <c r="F3753" s="48">
        <v>0.29047453703703702</v>
      </c>
      <c r="G3753" s="44">
        <v>6.3</v>
      </c>
      <c r="H3753" s="43" t="s">
        <v>238</v>
      </c>
      <c r="I3753" s="40" t="s">
        <v>1282</v>
      </c>
    </row>
    <row r="3754" spans="1:9" x14ac:dyDescent="0.25">
      <c r="A3754" s="40" t="s">
        <v>1084</v>
      </c>
      <c r="B3754" s="28">
        <v>4163</v>
      </c>
      <c r="C3754" s="28">
        <v>5647634</v>
      </c>
      <c r="D3754" s="28"/>
      <c r="E3754" s="41">
        <v>46145</v>
      </c>
      <c r="F3754" s="47">
        <v>0.29484953703703703</v>
      </c>
      <c r="G3754" s="44">
        <v>6.3</v>
      </c>
      <c r="H3754" s="43" t="s">
        <v>234</v>
      </c>
      <c r="I3754" s="40" t="s">
        <v>1282</v>
      </c>
    </row>
    <row r="3755" spans="1:9" x14ac:dyDescent="0.25">
      <c r="A3755" s="40" t="s">
        <v>1084</v>
      </c>
      <c r="B3755" s="28">
        <v>4163</v>
      </c>
      <c r="C3755" s="28">
        <v>5647662</v>
      </c>
      <c r="D3755" s="28"/>
      <c r="E3755" s="41">
        <v>46145</v>
      </c>
      <c r="F3755" s="47">
        <v>0.47714120370370372</v>
      </c>
      <c r="G3755" s="44">
        <v>6.3</v>
      </c>
      <c r="H3755" s="43" t="s">
        <v>237</v>
      </c>
      <c r="I3755" s="40" t="s">
        <v>1282</v>
      </c>
    </row>
    <row r="3756" spans="1:9" x14ac:dyDescent="0.25">
      <c r="A3756" s="40" t="s">
        <v>1084</v>
      </c>
      <c r="B3756" s="28">
        <v>4163</v>
      </c>
      <c r="C3756" s="28">
        <v>5647662</v>
      </c>
      <c r="D3756" s="28"/>
      <c r="E3756" s="41">
        <v>46145</v>
      </c>
      <c r="F3756" s="47">
        <v>0.48214120370370372</v>
      </c>
      <c r="G3756" s="44">
        <v>6.3</v>
      </c>
      <c r="H3756" s="43" t="s">
        <v>234</v>
      </c>
      <c r="I3756" s="40" t="s">
        <v>1282</v>
      </c>
    </row>
    <row r="3757" spans="1:9" x14ac:dyDescent="0.25">
      <c r="A3757" s="40" t="s">
        <v>360</v>
      </c>
      <c r="B3757" s="28">
        <v>4172</v>
      </c>
      <c r="C3757" s="28" t="s">
        <v>35</v>
      </c>
      <c r="D3757" s="28" t="s">
        <v>38</v>
      </c>
      <c r="E3757" s="41">
        <v>46139</v>
      </c>
      <c r="F3757" s="47">
        <v>0.45253472222222224</v>
      </c>
      <c r="G3757" s="44">
        <v>6.3</v>
      </c>
      <c r="H3757" s="43" t="s">
        <v>235</v>
      </c>
      <c r="I3757" s="40" t="s">
        <v>1281</v>
      </c>
    </row>
    <row r="3758" spans="1:9" x14ac:dyDescent="0.25">
      <c r="A3758" s="40" t="s">
        <v>360</v>
      </c>
      <c r="B3758" s="28">
        <v>4172</v>
      </c>
      <c r="C3758" s="28" t="s">
        <v>35</v>
      </c>
      <c r="D3758" s="28" t="s">
        <v>38</v>
      </c>
      <c r="E3758" s="41">
        <v>46139</v>
      </c>
      <c r="F3758" s="47">
        <v>0.46408564814814812</v>
      </c>
      <c r="G3758" s="44">
        <v>6.3</v>
      </c>
      <c r="H3758" s="43" t="s">
        <v>236</v>
      </c>
      <c r="I3758" s="40" t="s">
        <v>1281</v>
      </c>
    </row>
    <row r="3759" spans="1:9" x14ac:dyDescent="0.25">
      <c r="A3759" s="40" t="s">
        <v>360</v>
      </c>
      <c r="B3759" s="28">
        <v>4172</v>
      </c>
      <c r="C3759" s="28" t="s">
        <v>35</v>
      </c>
      <c r="D3759" s="28" t="s">
        <v>38</v>
      </c>
      <c r="E3759" s="41">
        <v>46139</v>
      </c>
      <c r="F3759" s="47">
        <v>0.65383101851851855</v>
      </c>
      <c r="G3759" s="44">
        <v>6.3</v>
      </c>
      <c r="H3759" s="43" t="s">
        <v>235</v>
      </c>
      <c r="I3759" s="40" t="s">
        <v>1281</v>
      </c>
    </row>
    <row r="3760" spans="1:9" x14ac:dyDescent="0.25">
      <c r="A3760" s="40" t="s">
        <v>360</v>
      </c>
      <c r="B3760" s="28">
        <v>4172</v>
      </c>
      <c r="C3760" s="28" t="s">
        <v>35</v>
      </c>
      <c r="D3760" s="28" t="s">
        <v>38</v>
      </c>
      <c r="E3760" s="41">
        <v>46139</v>
      </c>
      <c r="F3760" s="47">
        <v>0.66863425925925923</v>
      </c>
      <c r="G3760" s="44">
        <v>6.3</v>
      </c>
      <c r="H3760" s="43" t="s">
        <v>236</v>
      </c>
      <c r="I3760" s="40" t="s">
        <v>1281</v>
      </c>
    </row>
    <row r="3761" spans="1:9" x14ac:dyDescent="0.25">
      <c r="A3761" s="40" t="s">
        <v>360</v>
      </c>
      <c r="B3761" s="28">
        <v>4172</v>
      </c>
      <c r="C3761" s="28">
        <v>5639592</v>
      </c>
      <c r="D3761" s="28"/>
      <c r="E3761" s="41">
        <v>46139</v>
      </c>
      <c r="F3761" s="47">
        <v>0.93487268518518518</v>
      </c>
      <c r="G3761" s="44">
        <v>6.3</v>
      </c>
      <c r="H3761" s="43" t="s">
        <v>235</v>
      </c>
      <c r="I3761" s="40" t="s">
        <v>1281</v>
      </c>
    </row>
    <row r="3762" spans="1:9" x14ac:dyDescent="0.25">
      <c r="A3762" s="40" t="s">
        <v>360</v>
      </c>
      <c r="B3762" s="28">
        <v>4172</v>
      </c>
      <c r="C3762" s="28">
        <v>5639592</v>
      </c>
      <c r="D3762" s="28"/>
      <c r="E3762" s="41">
        <v>46139</v>
      </c>
      <c r="F3762" s="47">
        <v>0.94233796296296302</v>
      </c>
      <c r="G3762" s="44">
        <v>6.3</v>
      </c>
      <c r="H3762" s="43" t="s">
        <v>236</v>
      </c>
      <c r="I3762" s="40" t="s">
        <v>1281</v>
      </c>
    </row>
    <row r="3763" spans="1:9" x14ac:dyDescent="0.25">
      <c r="A3763" s="40" t="s">
        <v>360</v>
      </c>
      <c r="B3763" s="28">
        <v>4172</v>
      </c>
      <c r="C3763" s="28">
        <v>5638707</v>
      </c>
      <c r="D3763" s="28"/>
      <c r="E3763" s="41">
        <v>46140</v>
      </c>
      <c r="F3763" s="47">
        <v>0.19604166666666667</v>
      </c>
      <c r="G3763" s="44">
        <v>6.3</v>
      </c>
      <c r="H3763" s="43" t="s">
        <v>237</v>
      </c>
      <c r="I3763" s="40" t="s">
        <v>1281</v>
      </c>
    </row>
    <row r="3764" spans="1:9" x14ac:dyDescent="0.25">
      <c r="A3764" s="40" t="s">
        <v>360</v>
      </c>
      <c r="B3764" s="28">
        <v>4172</v>
      </c>
      <c r="C3764" s="28">
        <v>5638707</v>
      </c>
      <c r="D3764" s="28"/>
      <c r="E3764" s="45">
        <v>46140</v>
      </c>
      <c r="F3764" s="48">
        <v>0.20129629629629631</v>
      </c>
      <c r="G3764" s="44">
        <v>6.3</v>
      </c>
      <c r="H3764" s="43" t="s">
        <v>234</v>
      </c>
      <c r="I3764" s="40" t="s">
        <v>1281</v>
      </c>
    </row>
    <row r="3765" spans="1:9" x14ac:dyDescent="0.25">
      <c r="A3765" s="40" t="s">
        <v>360</v>
      </c>
      <c r="B3765" s="28">
        <v>4172</v>
      </c>
      <c r="C3765" s="28" t="s">
        <v>35</v>
      </c>
      <c r="D3765" s="28" t="s">
        <v>38</v>
      </c>
      <c r="E3765" s="41">
        <v>46140</v>
      </c>
      <c r="F3765" s="47">
        <v>0.43104166666666666</v>
      </c>
      <c r="G3765" s="44">
        <v>6.3</v>
      </c>
      <c r="H3765" s="43" t="s">
        <v>235</v>
      </c>
      <c r="I3765" s="40" t="s">
        <v>1281</v>
      </c>
    </row>
    <row r="3766" spans="1:9" x14ac:dyDescent="0.25">
      <c r="A3766" s="40" t="s">
        <v>360</v>
      </c>
      <c r="B3766" s="28">
        <v>4172</v>
      </c>
      <c r="C3766" s="28" t="s">
        <v>35</v>
      </c>
      <c r="D3766" s="28" t="s">
        <v>38</v>
      </c>
      <c r="E3766" s="41">
        <v>46140</v>
      </c>
      <c r="F3766" s="47">
        <v>0.4443171296296296</v>
      </c>
      <c r="G3766" s="44">
        <v>6.3</v>
      </c>
      <c r="H3766" s="43" t="s">
        <v>239</v>
      </c>
      <c r="I3766" s="40" t="s">
        <v>1281</v>
      </c>
    </row>
    <row r="3767" spans="1:9" x14ac:dyDescent="0.25">
      <c r="A3767" s="40" t="s">
        <v>360</v>
      </c>
      <c r="B3767" s="28">
        <v>4172</v>
      </c>
      <c r="C3767" s="28" t="s">
        <v>35</v>
      </c>
      <c r="D3767" s="28" t="s">
        <v>38</v>
      </c>
      <c r="E3767" s="45">
        <v>46140</v>
      </c>
      <c r="F3767" s="48">
        <v>0.51218750000000002</v>
      </c>
      <c r="G3767" s="44">
        <v>6.3</v>
      </c>
      <c r="H3767" s="43" t="s">
        <v>238</v>
      </c>
      <c r="I3767" s="40" t="s">
        <v>1281</v>
      </c>
    </row>
    <row r="3768" spans="1:9" x14ac:dyDescent="0.25">
      <c r="A3768" s="40" t="s">
        <v>360</v>
      </c>
      <c r="B3768" s="28">
        <v>4172</v>
      </c>
      <c r="C3768" s="28" t="s">
        <v>35</v>
      </c>
      <c r="D3768" s="28" t="s">
        <v>38</v>
      </c>
      <c r="E3768" s="41">
        <v>46140</v>
      </c>
      <c r="F3768" s="47">
        <v>0.51829861111111108</v>
      </c>
      <c r="G3768" s="44">
        <v>6.3</v>
      </c>
      <c r="H3768" s="43" t="s">
        <v>234</v>
      </c>
      <c r="I3768" s="40" t="s">
        <v>1281</v>
      </c>
    </row>
    <row r="3769" spans="1:9" x14ac:dyDescent="0.25">
      <c r="A3769" s="40" t="s">
        <v>360</v>
      </c>
      <c r="B3769" s="28">
        <v>4172</v>
      </c>
      <c r="C3769" s="28">
        <v>5636589</v>
      </c>
      <c r="D3769" s="28" t="s">
        <v>37</v>
      </c>
      <c r="E3769" s="41">
        <v>46140</v>
      </c>
      <c r="F3769" s="47">
        <v>0.96418981481481481</v>
      </c>
      <c r="G3769" s="42">
        <v>6.3</v>
      </c>
      <c r="H3769" s="40" t="s">
        <v>237</v>
      </c>
      <c r="I3769" s="40" t="s">
        <v>1281</v>
      </c>
    </row>
    <row r="3770" spans="1:9" x14ac:dyDescent="0.25">
      <c r="A3770" s="40" t="s">
        <v>360</v>
      </c>
      <c r="B3770" s="28">
        <v>4172</v>
      </c>
      <c r="C3770" s="28">
        <v>5636589</v>
      </c>
      <c r="D3770" s="28" t="s">
        <v>37</v>
      </c>
      <c r="E3770" s="41">
        <v>46140</v>
      </c>
      <c r="F3770" s="47">
        <v>0.96986111111111106</v>
      </c>
      <c r="G3770" s="44">
        <v>6.3</v>
      </c>
      <c r="H3770" s="43" t="s">
        <v>234</v>
      </c>
      <c r="I3770" s="40" t="s">
        <v>1281</v>
      </c>
    </row>
    <row r="3771" spans="1:9" x14ac:dyDescent="0.25">
      <c r="A3771" s="40" t="s">
        <v>360</v>
      </c>
      <c r="B3771" s="28">
        <v>4172</v>
      </c>
      <c r="C3771" s="28">
        <v>5638862</v>
      </c>
      <c r="D3771" s="28"/>
      <c r="E3771" s="45">
        <v>46141</v>
      </c>
      <c r="F3771" s="48">
        <v>0.12821759259259261</v>
      </c>
      <c r="G3771" s="44">
        <v>6.3</v>
      </c>
      <c r="H3771" s="43" t="s">
        <v>237</v>
      </c>
      <c r="I3771" s="40" t="s">
        <v>1281</v>
      </c>
    </row>
    <row r="3772" spans="1:9" x14ac:dyDescent="0.25">
      <c r="A3772" s="40" t="s">
        <v>360</v>
      </c>
      <c r="B3772" s="28">
        <v>4172</v>
      </c>
      <c r="C3772" s="28">
        <v>5638862</v>
      </c>
      <c r="D3772" s="28"/>
      <c r="E3772" s="41">
        <v>46141</v>
      </c>
      <c r="F3772" s="47">
        <v>0.13398148148148148</v>
      </c>
      <c r="G3772" s="44">
        <v>6.3</v>
      </c>
      <c r="H3772" s="43" t="s">
        <v>234</v>
      </c>
      <c r="I3772" s="40" t="s">
        <v>1281</v>
      </c>
    </row>
    <row r="3773" spans="1:9" x14ac:dyDescent="0.25">
      <c r="A3773" s="40" t="s">
        <v>360</v>
      </c>
      <c r="B3773" s="28">
        <v>4172</v>
      </c>
      <c r="C3773" s="28">
        <v>5644554</v>
      </c>
      <c r="D3773" s="28" t="s">
        <v>37</v>
      </c>
      <c r="E3773" s="41">
        <v>46144</v>
      </c>
      <c r="F3773" s="47">
        <v>0.15622685185185184</v>
      </c>
      <c r="G3773" s="44">
        <v>6.3</v>
      </c>
      <c r="H3773" s="43" t="s">
        <v>237</v>
      </c>
      <c r="I3773" s="40" t="s">
        <v>1282</v>
      </c>
    </row>
    <row r="3774" spans="1:9" x14ac:dyDescent="0.25">
      <c r="A3774" s="40" t="s">
        <v>360</v>
      </c>
      <c r="B3774" s="28">
        <v>4172</v>
      </c>
      <c r="C3774" s="28">
        <v>5644554</v>
      </c>
      <c r="D3774" s="28" t="s">
        <v>37</v>
      </c>
      <c r="E3774" s="45">
        <v>46144</v>
      </c>
      <c r="F3774" s="48">
        <v>0.16157407407407406</v>
      </c>
      <c r="G3774" s="44">
        <v>6.3</v>
      </c>
      <c r="H3774" s="43" t="s">
        <v>234</v>
      </c>
      <c r="I3774" s="40" t="s">
        <v>1282</v>
      </c>
    </row>
    <row r="3775" spans="1:9" x14ac:dyDescent="0.25">
      <c r="A3775" s="40" t="s">
        <v>360</v>
      </c>
      <c r="B3775" s="28">
        <v>4172</v>
      </c>
      <c r="C3775" s="28">
        <v>5647129</v>
      </c>
      <c r="D3775" s="28" t="s">
        <v>37</v>
      </c>
      <c r="E3775" s="41">
        <v>46144</v>
      </c>
      <c r="F3775" s="47">
        <v>0.3253240740740741</v>
      </c>
      <c r="G3775" s="44">
        <v>6.3</v>
      </c>
      <c r="H3775" s="43" t="s">
        <v>233</v>
      </c>
      <c r="I3775" s="40" t="s">
        <v>1282</v>
      </c>
    </row>
    <row r="3776" spans="1:9" x14ac:dyDescent="0.25">
      <c r="A3776" s="40" t="s">
        <v>360</v>
      </c>
      <c r="B3776" s="28">
        <v>4172</v>
      </c>
      <c r="C3776" s="28">
        <v>5647129</v>
      </c>
      <c r="D3776" s="28" t="s">
        <v>37</v>
      </c>
      <c r="E3776" s="41">
        <v>46144</v>
      </c>
      <c r="F3776" s="47">
        <v>0.33077546296296295</v>
      </c>
      <c r="G3776" s="44">
        <v>6.3</v>
      </c>
      <c r="H3776" s="43" t="s">
        <v>234</v>
      </c>
      <c r="I3776" s="40" t="s">
        <v>1282</v>
      </c>
    </row>
    <row r="3777" spans="1:9" x14ac:dyDescent="0.25">
      <c r="A3777" s="40" t="s">
        <v>261</v>
      </c>
      <c r="B3777" s="28">
        <v>4175</v>
      </c>
      <c r="C3777" s="28">
        <v>5637133</v>
      </c>
      <c r="D3777" s="28"/>
      <c r="E3777" s="41">
        <v>46139</v>
      </c>
      <c r="F3777" s="47">
        <v>7.059027777777778E-2</v>
      </c>
      <c r="G3777" s="44">
        <v>6.3</v>
      </c>
      <c r="H3777" s="43" t="s">
        <v>234</v>
      </c>
      <c r="I3777" s="40" t="s">
        <v>1281</v>
      </c>
    </row>
    <row r="3778" spans="1:9" x14ac:dyDescent="0.25">
      <c r="A3778" s="40" t="s">
        <v>261</v>
      </c>
      <c r="B3778" s="28">
        <v>4175</v>
      </c>
      <c r="C3778" s="28">
        <v>5637472</v>
      </c>
      <c r="D3778" s="28" t="s">
        <v>37</v>
      </c>
      <c r="E3778" s="41">
        <v>46139</v>
      </c>
      <c r="F3778" s="47">
        <v>0.26849537037037036</v>
      </c>
      <c r="G3778" s="44">
        <v>6.3</v>
      </c>
      <c r="H3778" s="43" t="s">
        <v>237</v>
      </c>
      <c r="I3778" s="40" t="s">
        <v>1281</v>
      </c>
    </row>
    <row r="3779" spans="1:9" x14ac:dyDescent="0.25">
      <c r="A3779" s="40" t="s">
        <v>261</v>
      </c>
      <c r="B3779" s="28">
        <v>4175</v>
      </c>
      <c r="C3779" s="28">
        <v>5637472</v>
      </c>
      <c r="D3779" s="28" t="s">
        <v>37</v>
      </c>
      <c r="E3779" s="41">
        <v>46139</v>
      </c>
      <c r="F3779" s="47">
        <v>0.2745023148148148</v>
      </c>
      <c r="G3779" s="44">
        <v>6.3</v>
      </c>
      <c r="H3779" s="43" t="s">
        <v>234</v>
      </c>
      <c r="I3779" s="40" t="s">
        <v>1281</v>
      </c>
    </row>
    <row r="3780" spans="1:9" x14ac:dyDescent="0.25">
      <c r="A3780" s="40" t="s">
        <v>261</v>
      </c>
      <c r="B3780" s="28">
        <v>4323</v>
      </c>
      <c r="C3780" s="28" t="s">
        <v>35</v>
      </c>
      <c r="D3780" s="28" t="s">
        <v>38</v>
      </c>
      <c r="E3780" s="45">
        <v>46139</v>
      </c>
      <c r="F3780" s="48">
        <v>0.54776620370370366</v>
      </c>
      <c r="G3780" s="44">
        <v>6.3</v>
      </c>
      <c r="H3780" s="43" t="s">
        <v>234</v>
      </c>
      <c r="I3780" s="40" t="s">
        <v>1281</v>
      </c>
    </row>
    <row r="3781" spans="1:9" x14ac:dyDescent="0.25">
      <c r="A3781" s="40" t="s">
        <v>261</v>
      </c>
      <c r="B3781" s="28">
        <v>4323</v>
      </c>
      <c r="C3781" s="28" t="s">
        <v>35</v>
      </c>
      <c r="D3781" s="28" t="s">
        <v>38</v>
      </c>
      <c r="E3781" s="41">
        <v>46139</v>
      </c>
      <c r="F3781" s="47">
        <v>0.86601851851851852</v>
      </c>
      <c r="G3781" s="42">
        <v>6.3</v>
      </c>
      <c r="H3781" s="40" t="s">
        <v>234</v>
      </c>
      <c r="I3781" s="40" t="s">
        <v>1281</v>
      </c>
    </row>
    <row r="3782" spans="1:9" x14ac:dyDescent="0.25">
      <c r="A3782" s="40" t="s">
        <v>261</v>
      </c>
      <c r="B3782" s="28">
        <v>4175</v>
      </c>
      <c r="C3782" s="28">
        <v>5638115</v>
      </c>
      <c r="D3782" s="28"/>
      <c r="E3782" s="41">
        <v>46140</v>
      </c>
      <c r="F3782" s="47">
        <v>0.10696759259259259</v>
      </c>
      <c r="G3782" s="42">
        <v>6.3</v>
      </c>
      <c r="H3782" s="40" t="s">
        <v>237</v>
      </c>
      <c r="I3782" s="40" t="s">
        <v>1281</v>
      </c>
    </row>
    <row r="3783" spans="1:9" x14ac:dyDescent="0.25">
      <c r="A3783" s="40" t="s">
        <v>261</v>
      </c>
      <c r="B3783" s="28">
        <v>4175</v>
      </c>
      <c r="C3783" s="28">
        <v>5638115</v>
      </c>
      <c r="D3783" s="28"/>
      <c r="E3783" s="41">
        <v>46140</v>
      </c>
      <c r="F3783" s="47">
        <v>0.11180555555555556</v>
      </c>
      <c r="G3783" s="42">
        <v>6.3</v>
      </c>
      <c r="H3783" s="40" t="s">
        <v>234</v>
      </c>
      <c r="I3783" s="40" t="s">
        <v>1281</v>
      </c>
    </row>
    <row r="3784" spans="1:9" x14ac:dyDescent="0.25">
      <c r="A3784" s="40" t="s">
        <v>261</v>
      </c>
      <c r="B3784" s="28">
        <v>4175</v>
      </c>
      <c r="C3784" s="28">
        <v>5639653</v>
      </c>
      <c r="D3784" s="28"/>
      <c r="E3784" s="41">
        <v>46140</v>
      </c>
      <c r="F3784" s="47">
        <v>0.27160879629629631</v>
      </c>
      <c r="G3784" s="42">
        <v>6.3</v>
      </c>
      <c r="H3784" s="40" t="s">
        <v>238</v>
      </c>
      <c r="I3784" s="40" t="s">
        <v>1281</v>
      </c>
    </row>
    <row r="3785" spans="1:9" x14ac:dyDescent="0.25">
      <c r="A3785" s="40" t="s">
        <v>261</v>
      </c>
      <c r="B3785" s="28">
        <v>4175</v>
      </c>
      <c r="C3785" s="28">
        <v>5639653</v>
      </c>
      <c r="D3785" s="28"/>
      <c r="E3785" s="41">
        <v>46140</v>
      </c>
      <c r="F3785" s="47">
        <v>0.27644675925925927</v>
      </c>
      <c r="G3785" s="44">
        <v>6.3</v>
      </c>
      <c r="H3785" s="43" t="s">
        <v>234</v>
      </c>
      <c r="I3785" s="40" t="s">
        <v>1281</v>
      </c>
    </row>
    <row r="3786" spans="1:9" x14ac:dyDescent="0.25">
      <c r="A3786" s="40" t="s">
        <v>261</v>
      </c>
      <c r="B3786" s="28">
        <v>4323</v>
      </c>
      <c r="C3786" s="28">
        <v>5639758</v>
      </c>
      <c r="D3786" s="28" t="s">
        <v>37</v>
      </c>
      <c r="E3786" s="41">
        <v>46140</v>
      </c>
      <c r="F3786" s="47">
        <v>0.56062500000000004</v>
      </c>
      <c r="G3786" s="44">
        <v>6.3</v>
      </c>
      <c r="H3786" s="43" t="s">
        <v>237</v>
      </c>
      <c r="I3786" s="40" t="s">
        <v>1281</v>
      </c>
    </row>
    <row r="3787" spans="1:9" x14ac:dyDescent="0.25">
      <c r="A3787" s="40" t="s">
        <v>261</v>
      </c>
      <c r="B3787" s="28">
        <v>4323</v>
      </c>
      <c r="C3787" s="28">
        <v>5639758</v>
      </c>
      <c r="D3787" s="28" t="s">
        <v>37</v>
      </c>
      <c r="E3787" s="45">
        <v>46140</v>
      </c>
      <c r="F3787" s="48">
        <v>0.56593749999999998</v>
      </c>
      <c r="G3787" s="44">
        <v>6.3</v>
      </c>
      <c r="H3787" s="43" t="s">
        <v>234</v>
      </c>
      <c r="I3787" s="40" t="s">
        <v>1281</v>
      </c>
    </row>
    <row r="3788" spans="1:9" x14ac:dyDescent="0.25">
      <c r="A3788" s="40" t="s">
        <v>261</v>
      </c>
      <c r="B3788" s="28">
        <v>4323</v>
      </c>
      <c r="C3788" s="28">
        <v>5642367</v>
      </c>
      <c r="D3788" s="28"/>
      <c r="E3788" s="45">
        <v>46141</v>
      </c>
      <c r="F3788" s="48">
        <v>0.44256944444444446</v>
      </c>
      <c r="G3788" s="44">
        <v>6.3</v>
      </c>
      <c r="H3788" s="43" t="s">
        <v>235</v>
      </c>
      <c r="I3788" s="40" t="s">
        <v>1281</v>
      </c>
    </row>
    <row r="3789" spans="1:9" x14ac:dyDescent="0.25">
      <c r="A3789" s="40" t="s">
        <v>261</v>
      </c>
      <c r="B3789" s="28">
        <v>4175</v>
      </c>
      <c r="C3789" s="28">
        <v>5643823</v>
      </c>
      <c r="D3789" s="28"/>
      <c r="E3789" s="41">
        <v>46141</v>
      </c>
      <c r="F3789" s="47">
        <v>0.95111111111111113</v>
      </c>
      <c r="G3789" s="44">
        <v>6.3</v>
      </c>
      <c r="H3789" s="43" t="s">
        <v>235</v>
      </c>
      <c r="I3789" s="40" t="s">
        <v>1281</v>
      </c>
    </row>
    <row r="3790" spans="1:9" x14ac:dyDescent="0.25">
      <c r="A3790" s="40" t="s">
        <v>261</v>
      </c>
      <c r="B3790" s="28">
        <v>4175</v>
      </c>
      <c r="C3790" s="28">
        <v>5643823</v>
      </c>
      <c r="D3790" s="28"/>
      <c r="E3790" s="41">
        <v>46141</v>
      </c>
      <c r="F3790" s="47">
        <v>0.95792824074074079</v>
      </c>
      <c r="G3790" s="44">
        <v>6.3</v>
      </c>
      <c r="H3790" s="43" t="s">
        <v>236</v>
      </c>
      <c r="I3790" s="40" t="s">
        <v>1281</v>
      </c>
    </row>
    <row r="3791" spans="1:9" x14ac:dyDescent="0.25">
      <c r="A3791" s="40" t="s">
        <v>261</v>
      </c>
      <c r="B3791" s="28">
        <v>4175</v>
      </c>
      <c r="C3791" s="28" t="s">
        <v>35</v>
      </c>
      <c r="D3791" s="28" t="s">
        <v>38</v>
      </c>
      <c r="E3791" s="41">
        <v>46141</v>
      </c>
      <c r="F3791" s="47">
        <v>0.97571759259259261</v>
      </c>
      <c r="G3791" s="44">
        <v>6.3</v>
      </c>
      <c r="H3791" s="43" t="s">
        <v>237</v>
      </c>
      <c r="I3791" s="40" t="s">
        <v>1281</v>
      </c>
    </row>
    <row r="3792" spans="1:9" x14ac:dyDescent="0.25">
      <c r="A3792" s="40" t="s">
        <v>261</v>
      </c>
      <c r="B3792" s="28">
        <v>4175</v>
      </c>
      <c r="C3792" s="28" t="s">
        <v>35</v>
      </c>
      <c r="D3792" s="28" t="s">
        <v>38</v>
      </c>
      <c r="E3792" s="41">
        <v>46141</v>
      </c>
      <c r="F3792" s="47">
        <v>0.98100694444444447</v>
      </c>
      <c r="G3792" s="44">
        <v>6.3</v>
      </c>
      <c r="H3792" s="43" t="s">
        <v>234</v>
      </c>
      <c r="I3792" s="40" t="s">
        <v>1281</v>
      </c>
    </row>
    <row r="3793" spans="1:9" x14ac:dyDescent="0.25">
      <c r="A3793" s="40" t="s">
        <v>261</v>
      </c>
      <c r="B3793" s="28">
        <v>4175</v>
      </c>
      <c r="C3793" s="28">
        <v>5643044</v>
      </c>
      <c r="D3793" s="28"/>
      <c r="E3793" s="41">
        <v>46142</v>
      </c>
      <c r="F3793" s="47">
        <v>1.3993055555555555E-2</v>
      </c>
      <c r="G3793" s="44">
        <v>6.3</v>
      </c>
      <c r="H3793" s="43" t="s">
        <v>235</v>
      </c>
      <c r="I3793" s="40" t="s">
        <v>1281</v>
      </c>
    </row>
    <row r="3794" spans="1:9" x14ac:dyDescent="0.25">
      <c r="A3794" s="40" t="s">
        <v>261</v>
      </c>
      <c r="B3794" s="28">
        <v>4175</v>
      </c>
      <c r="C3794" s="28">
        <v>5643044</v>
      </c>
      <c r="D3794" s="28"/>
      <c r="E3794" s="41">
        <v>46142</v>
      </c>
      <c r="F3794" s="47">
        <v>2.1111111111111112E-2</v>
      </c>
      <c r="G3794" s="44">
        <v>6.3</v>
      </c>
      <c r="H3794" s="43" t="s">
        <v>236</v>
      </c>
      <c r="I3794" s="40" t="s">
        <v>1281</v>
      </c>
    </row>
    <row r="3795" spans="1:9" x14ac:dyDescent="0.25">
      <c r="A3795" s="40" t="s">
        <v>261</v>
      </c>
      <c r="B3795" s="28">
        <v>4175</v>
      </c>
      <c r="C3795" s="28" t="s">
        <v>35</v>
      </c>
      <c r="D3795" s="28" t="s">
        <v>38</v>
      </c>
      <c r="E3795" s="41">
        <v>46142</v>
      </c>
      <c r="F3795" s="47">
        <v>0.18682870370370369</v>
      </c>
      <c r="G3795" s="44">
        <v>6.3</v>
      </c>
      <c r="H3795" s="43" t="s">
        <v>235</v>
      </c>
      <c r="I3795" s="40" t="s">
        <v>1282</v>
      </c>
    </row>
    <row r="3796" spans="1:9" x14ac:dyDescent="0.25">
      <c r="A3796" s="40" t="s">
        <v>261</v>
      </c>
      <c r="B3796" s="28">
        <v>4175</v>
      </c>
      <c r="C3796" s="28" t="s">
        <v>35</v>
      </c>
      <c r="D3796" s="28" t="s">
        <v>38</v>
      </c>
      <c r="E3796" s="41">
        <v>46142</v>
      </c>
      <c r="F3796" s="47">
        <v>0.19349537037037037</v>
      </c>
      <c r="G3796" s="44">
        <v>6.3</v>
      </c>
      <c r="H3796" s="43" t="s">
        <v>236</v>
      </c>
      <c r="I3796" s="40" t="s">
        <v>1281</v>
      </c>
    </row>
    <row r="3797" spans="1:9" x14ac:dyDescent="0.25">
      <c r="A3797" s="40" t="s">
        <v>261</v>
      </c>
      <c r="B3797" s="28">
        <v>4175</v>
      </c>
      <c r="C3797" s="28">
        <v>5639483</v>
      </c>
      <c r="D3797" s="28" t="s">
        <v>37</v>
      </c>
      <c r="E3797" s="41">
        <v>46142</v>
      </c>
      <c r="F3797" s="47">
        <v>0.24388888888888888</v>
      </c>
      <c r="G3797" s="44">
        <v>6.3</v>
      </c>
      <c r="H3797" s="43" t="s">
        <v>233</v>
      </c>
      <c r="I3797" s="40" t="s">
        <v>1281</v>
      </c>
    </row>
    <row r="3798" spans="1:9" x14ac:dyDescent="0.25">
      <c r="A3798" s="40" t="s">
        <v>261</v>
      </c>
      <c r="B3798" s="28">
        <v>4175</v>
      </c>
      <c r="C3798" s="28">
        <v>5639483</v>
      </c>
      <c r="D3798" s="28" t="s">
        <v>37</v>
      </c>
      <c r="E3798" s="41">
        <v>46142</v>
      </c>
      <c r="F3798" s="47">
        <v>0.24900462962962963</v>
      </c>
      <c r="G3798" s="44">
        <v>6.3</v>
      </c>
      <c r="H3798" s="43" t="s">
        <v>234</v>
      </c>
      <c r="I3798" s="40" t="s">
        <v>1281</v>
      </c>
    </row>
    <row r="3799" spans="1:9" x14ac:dyDescent="0.25">
      <c r="A3799" s="40" t="s">
        <v>261</v>
      </c>
      <c r="B3799" s="28">
        <v>4323</v>
      </c>
      <c r="C3799" s="28">
        <v>5647466</v>
      </c>
      <c r="D3799" s="28" t="s">
        <v>37</v>
      </c>
      <c r="E3799" s="41">
        <v>46144</v>
      </c>
      <c r="F3799" s="47">
        <v>0.63363425925925931</v>
      </c>
      <c r="G3799" s="44">
        <v>6.3</v>
      </c>
      <c r="H3799" s="43" t="s">
        <v>234</v>
      </c>
      <c r="I3799" s="40" t="s">
        <v>1282</v>
      </c>
    </row>
    <row r="3800" spans="1:9" x14ac:dyDescent="0.25">
      <c r="A3800" s="40" t="s">
        <v>261</v>
      </c>
      <c r="B3800" s="28">
        <v>4175</v>
      </c>
      <c r="C3800" s="28">
        <v>5648160</v>
      </c>
      <c r="D3800" s="28" t="s">
        <v>37</v>
      </c>
      <c r="E3800" s="41">
        <v>46144</v>
      </c>
      <c r="F3800" s="47">
        <v>0.99600694444444449</v>
      </c>
      <c r="G3800" s="44">
        <v>6.3</v>
      </c>
      <c r="H3800" s="43" t="s">
        <v>237</v>
      </c>
      <c r="I3800" s="40" t="s">
        <v>1282</v>
      </c>
    </row>
    <row r="3801" spans="1:9" x14ac:dyDescent="0.25">
      <c r="A3801" s="40" t="s">
        <v>261</v>
      </c>
      <c r="B3801" s="28">
        <v>4175</v>
      </c>
      <c r="C3801" s="28">
        <v>5648160</v>
      </c>
      <c r="D3801" s="28" t="s">
        <v>37</v>
      </c>
      <c r="E3801" s="41">
        <v>46145</v>
      </c>
      <c r="F3801" s="47">
        <v>8.6805555555555551E-4</v>
      </c>
      <c r="G3801" s="44">
        <v>6.3</v>
      </c>
      <c r="H3801" s="43" t="s">
        <v>234</v>
      </c>
      <c r="I3801" s="40" t="s">
        <v>1282</v>
      </c>
    </row>
    <row r="3802" spans="1:9" x14ac:dyDescent="0.25">
      <c r="A3802" s="40" t="s">
        <v>261</v>
      </c>
      <c r="B3802" s="28">
        <v>4175</v>
      </c>
      <c r="C3802" s="28">
        <v>5648096</v>
      </c>
      <c r="D3802" s="28"/>
      <c r="E3802" s="41">
        <v>46145</v>
      </c>
      <c r="F3802" s="47">
        <v>0.17700231481481482</v>
      </c>
      <c r="G3802" s="44">
        <v>6.3</v>
      </c>
      <c r="H3802" s="43" t="s">
        <v>238</v>
      </c>
      <c r="I3802" s="40" t="s">
        <v>1282</v>
      </c>
    </row>
    <row r="3803" spans="1:9" x14ac:dyDescent="0.25">
      <c r="A3803" s="40" t="s">
        <v>261</v>
      </c>
      <c r="B3803" s="28">
        <v>4175</v>
      </c>
      <c r="C3803" s="28">
        <v>5646450</v>
      </c>
      <c r="D3803" s="28"/>
      <c r="E3803" s="41">
        <v>46145</v>
      </c>
      <c r="F3803" s="47">
        <v>0.26800925925925928</v>
      </c>
      <c r="G3803" s="44">
        <v>6.3</v>
      </c>
      <c r="H3803" s="43" t="s">
        <v>237</v>
      </c>
      <c r="I3803" s="40" t="s">
        <v>1282</v>
      </c>
    </row>
    <row r="3804" spans="1:9" x14ac:dyDescent="0.25">
      <c r="A3804" s="40" t="s">
        <v>261</v>
      </c>
      <c r="B3804" s="28">
        <v>4175</v>
      </c>
      <c r="C3804" s="28">
        <v>5646450</v>
      </c>
      <c r="D3804" s="28"/>
      <c r="E3804" s="41">
        <v>46145</v>
      </c>
      <c r="F3804" s="47">
        <v>0.2729861111111111</v>
      </c>
      <c r="G3804" s="44">
        <v>6.3</v>
      </c>
      <c r="H3804" s="43" t="s">
        <v>234</v>
      </c>
      <c r="I3804" s="40" t="s">
        <v>1282</v>
      </c>
    </row>
    <row r="3805" spans="1:9" x14ac:dyDescent="0.25">
      <c r="A3805" s="40" t="s">
        <v>261</v>
      </c>
      <c r="B3805" s="28">
        <v>4323</v>
      </c>
      <c r="C3805" s="28">
        <v>5648771</v>
      </c>
      <c r="D3805" s="28"/>
      <c r="E3805" s="41">
        <v>46145</v>
      </c>
      <c r="F3805" s="47">
        <v>0.60196759259259258</v>
      </c>
      <c r="G3805" s="44">
        <v>6.3</v>
      </c>
      <c r="H3805" s="43" t="s">
        <v>235</v>
      </c>
      <c r="I3805" s="40" t="s">
        <v>1282</v>
      </c>
    </row>
    <row r="3806" spans="1:9" x14ac:dyDescent="0.25">
      <c r="A3806" s="40" t="s">
        <v>261</v>
      </c>
      <c r="B3806" s="28">
        <v>4323</v>
      </c>
      <c r="C3806" s="28">
        <v>5648771</v>
      </c>
      <c r="D3806" s="28"/>
      <c r="E3806" s="41">
        <v>46145</v>
      </c>
      <c r="F3806" s="47">
        <v>0.60855324074074069</v>
      </c>
      <c r="G3806" s="44">
        <v>6.3</v>
      </c>
      <c r="H3806" s="43" t="s">
        <v>236</v>
      </c>
      <c r="I3806" s="40" t="s">
        <v>1282</v>
      </c>
    </row>
    <row r="3807" spans="1:9" x14ac:dyDescent="0.25">
      <c r="A3807" s="40" t="s">
        <v>261</v>
      </c>
      <c r="B3807" s="28">
        <v>4323</v>
      </c>
      <c r="C3807" s="28">
        <v>5648804</v>
      </c>
      <c r="D3807" s="28"/>
      <c r="E3807" s="41">
        <v>46145</v>
      </c>
      <c r="F3807" s="47">
        <v>0.66847222222222225</v>
      </c>
      <c r="G3807" s="44">
        <v>6.3</v>
      </c>
      <c r="H3807" s="43" t="s">
        <v>237</v>
      </c>
      <c r="I3807" s="40" t="s">
        <v>1282</v>
      </c>
    </row>
    <row r="3808" spans="1:9" x14ac:dyDescent="0.25">
      <c r="A3808" s="40" t="s">
        <v>261</v>
      </c>
      <c r="B3808" s="28">
        <v>4323</v>
      </c>
      <c r="C3808" s="28">
        <v>5648804</v>
      </c>
      <c r="D3808" s="28"/>
      <c r="E3808" s="41">
        <v>46145</v>
      </c>
      <c r="F3808" s="47">
        <v>0.67348379629629629</v>
      </c>
      <c r="G3808" s="44">
        <v>6.3</v>
      </c>
      <c r="H3808" s="43" t="s">
        <v>234</v>
      </c>
      <c r="I3808" s="40" t="s">
        <v>1282</v>
      </c>
    </row>
    <row r="3809" spans="1:9" x14ac:dyDescent="0.25">
      <c r="A3809" s="40" t="s">
        <v>362</v>
      </c>
      <c r="B3809" s="28">
        <v>4176</v>
      </c>
      <c r="C3809" s="28" t="s">
        <v>35</v>
      </c>
      <c r="D3809" s="28" t="s">
        <v>38</v>
      </c>
      <c r="E3809" s="41">
        <v>46139</v>
      </c>
      <c r="F3809" s="47">
        <v>0.14784722222222221</v>
      </c>
      <c r="G3809" s="44">
        <v>6.3</v>
      </c>
      <c r="H3809" s="43" t="s">
        <v>235</v>
      </c>
      <c r="I3809" s="40" t="s">
        <v>1281</v>
      </c>
    </row>
    <row r="3810" spans="1:9" x14ac:dyDescent="0.25">
      <c r="A3810" s="40" t="s">
        <v>362</v>
      </c>
      <c r="B3810" s="28">
        <v>4176</v>
      </c>
      <c r="C3810" s="28" t="s">
        <v>35</v>
      </c>
      <c r="D3810" s="28" t="s">
        <v>38</v>
      </c>
      <c r="E3810" s="41">
        <v>46139</v>
      </c>
      <c r="F3810" s="47">
        <v>0.15513888888888888</v>
      </c>
      <c r="G3810" s="44">
        <v>6.3</v>
      </c>
      <c r="H3810" s="43" t="s">
        <v>236</v>
      </c>
      <c r="I3810" s="40" t="s">
        <v>1281</v>
      </c>
    </row>
    <row r="3811" spans="1:9" x14ac:dyDescent="0.25">
      <c r="A3811" s="40" t="s">
        <v>362</v>
      </c>
      <c r="B3811" s="28">
        <v>4176</v>
      </c>
      <c r="C3811" s="28">
        <v>5636649</v>
      </c>
      <c r="D3811" s="28" t="s">
        <v>37</v>
      </c>
      <c r="E3811" s="45">
        <v>46139</v>
      </c>
      <c r="F3811" s="48">
        <v>0.17938657407407407</v>
      </c>
      <c r="G3811" s="44">
        <v>6.3</v>
      </c>
      <c r="H3811" s="43" t="s">
        <v>237</v>
      </c>
      <c r="I3811" s="40" t="s">
        <v>1281</v>
      </c>
    </row>
    <row r="3812" spans="1:9" x14ac:dyDescent="0.25">
      <c r="A3812" s="40" t="s">
        <v>362</v>
      </c>
      <c r="B3812" s="28">
        <v>4176</v>
      </c>
      <c r="C3812" s="28">
        <v>5636649</v>
      </c>
      <c r="D3812" s="28" t="s">
        <v>37</v>
      </c>
      <c r="E3812" s="41">
        <v>46139</v>
      </c>
      <c r="F3812" s="47">
        <v>0.18530092592592592</v>
      </c>
      <c r="G3812" s="44">
        <v>6.3</v>
      </c>
      <c r="H3812" s="43" t="s">
        <v>234</v>
      </c>
      <c r="I3812" s="40" t="s">
        <v>1281</v>
      </c>
    </row>
    <row r="3813" spans="1:9" x14ac:dyDescent="0.25">
      <c r="A3813" s="40" t="s">
        <v>362</v>
      </c>
      <c r="B3813" s="28">
        <v>4200</v>
      </c>
      <c r="C3813" s="28">
        <v>5638246</v>
      </c>
      <c r="D3813" s="28"/>
      <c r="E3813" s="41">
        <v>46139</v>
      </c>
      <c r="F3813" s="47">
        <v>0.51092592592592589</v>
      </c>
      <c r="G3813" s="44">
        <v>6.3</v>
      </c>
      <c r="H3813" s="43" t="s">
        <v>235</v>
      </c>
      <c r="I3813" s="40" t="s">
        <v>1281</v>
      </c>
    </row>
    <row r="3814" spans="1:9" x14ac:dyDescent="0.25">
      <c r="A3814" s="40" t="s">
        <v>362</v>
      </c>
      <c r="B3814" s="28">
        <v>4200</v>
      </c>
      <c r="C3814" s="28">
        <v>5638246</v>
      </c>
      <c r="D3814" s="28"/>
      <c r="E3814" s="45">
        <v>46139</v>
      </c>
      <c r="F3814" s="48">
        <v>0.52137731481481486</v>
      </c>
      <c r="G3814" s="44">
        <v>6.3</v>
      </c>
      <c r="H3814" s="43" t="s">
        <v>236</v>
      </c>
      <c r="I3814" s="40" t="s">
        <v>1281</v>
      </c>
    </row>
    <row r="3815" spans="1:9" x14ac:dyDescent="0.25">
      <c r="A3815" s="40" t="s">
        <v>362</v>
      </c>
      <c r="B3815" s="28">
        <v>4176</v>
      </c>
      <c r="C3815" s="28">
        <v>5636548</v>
      </c>
      <c r="D3815" s="28"/>
      <c r="E3815" s="41">
        <v>46140</v>
      </c>
      <c r="F3815" s="47">
        <v>0.12625</v>
      </c>
      <c r="G3815" s="44">
        <v>6.3</v>
      </c>
      <c r="H3815" s="43" t="s">
        <v>237</v>
      </c>
      <c r="I3815" s="40" t="s">
        <v>1281</v>
      </c>
    </row>
    <row r="3816" spans="1:9" x14ac:dyDescent="0.25">
      <c r="A3816" s="40" t="s">
        <v>362</v>
      </c>
      <c r="B3816" s="28">
        <v>4176</v>
      </c>
      <c r="C3816" s="28">
        <v>5636548</v>
      </c>
      <c r="D3816" s="28"/>
      <c r="E3816" s="45">
        <v>46140</v>
      </c>
      <c r="F3816" s="48">
        <v>0.13200231481481481</v>
      </c>
      <c r="G3816" s="42">
        <v>6.3</v>
      </c>
      <c r="H3816" s="40" t="s">
        <v>234</v>
      </c>
      <c r="I3816" s="40" t="s">
        <v>1281</v>
      </c>
    </row>
    <row r="3817" spans="1:9" x14ac:dyDescent="0.25">
      <c r="A3817" s="40" t="s">
        <v>362</v>
      </c>
      <c r="B3817" s="28">
        <v>4176</v>
      </c>
      <c r="C3817" s="28">
        <v>5638352</v>
      </c>
      <c r="D3817" s="28"/>
      <c r="E3817" s="41">
        <v>46140</v>
      </c>
      <c r="F3817" s="47">
        <v>0.20079861111111111</v>
      </c>
      <c r="G3817" s="44">
        <v>6.3</v>
      </c>
      <c r="H3817" s="43" t="s">
        <v>233</v>
      </c>
      <c r="I3817" s="40" t="s">
        <v>1281</v>
      </c>
    </row>
    <row r="3818" spans="1:9" x14ac:dyDescent="0.25">
      <c r="A3818" s="40" t="s">
        <v>362</v>
      </c>
      <c r="B3818" s="28">
        <v>4176</v>
      </c>
      <c r="C3818" s="28">
        <v>5638352</v>
      </c>
      <c r="D3818" s="28"/>
      <c r="E3818" s="41">
        <v>46140</v>
      </c>
      <c r="F3818" s="47">
        <v>0.20634259259259261</v>
      </c>
      <c r="G3818" s="44">
        <v>6.3</v>
      </c>
      <c r="H3818" s="43" t="s">
        <v>234</v>
      </c>
      <c r="I3818" s="40" t="s">
        <v>1281</v>
      </c>
    </row>
    <row r="3819" spans="1:9" x14ac:dyDescent="0.25">
      <c r="A3819" s="40" t="s">
        <v>362</v>
      </c>
      <c r="B3819" s="28">
        <v>4176</v>
      </c>
      <c r="C3819" s="28">
        <v>5641898</v>
      </c>
      <c r="D3819" s="28"/>
      <c r="E3819" s="41">
        <v>46140</v>
      </c>
      <c r="F3819" s="47">
        <v>0.99098379629629629</v>
      </c>
      <c r="G3819" s="44">
        <v>6.3</v>
      </c>
      <c r="H3819" s="43" t="s">
        <v>235</v>
      </c>
      <c r="I3819" s="40" t="s">
        <v>1281</v>
      </c>
    </row>
    <row r="3820" spans="1:9" x14ac:dyDescent="0.25">
      <c r="A3820" s="40" t="s">
        <v>362</v>
      </c>
      <c r="B3820" s="28">
        <v>4176</v>
      </c>
      <c r="C3820" s="28">
        <v>5641898</v>
      </c>
      <c r="D3820" s="28"/>
      <c r="E3820" s="41">
        <v>46140</v>
      </c>
      <c r="F3820" s="47">
        <v>0.99856481481481485</v>
      </c>
      <c r="G3820" s="44">
        <v>6.3</v>
      </c>
      <c r="H3820" s="43" t="s">
        <v>236</v>
      </c>
      <c r="I3820" s="40" t="s">
        <v>1281</v>
      </c>
    </row>
    <row r="3821" spans="1:9" x14ac:dyDescent="0.25">
      <c r="A3821" s="40" t="s">
        <v>362</v>
      </c>
      <c r="B3821" s="28">
        <v>4176</v>
      </c>
      <c r="C3821" s="28">
        <v>5641606</v>
      </c>
      <c r="D3821" s="28"/>
      <c r="E3821" s="41">
        <v>46141</v>
      </c>
      <c r="F3821" s="47">
        <v>0.23400462962962962</v>
      </c>
      <c r="G3821" s="44">
        <v>6.3</v>
      </c>
      <c r="H3821" s="43" t="s">
        <v>237</v>
      </c>
      <c r="I3821" s="40" t="s">
        <v>1281</v>
      </c>
    </row>
    <row r="3822" spans="1:9" x14ac:dyDescent="0.25">
      <c r="A3822" s="40" t="s">
        <v>362</v>
      </c>
      <c r="B3822" s="28">
        <v>4176</v>
      </c>
      <c r="C3822" s="28">
        <v>5641606</v>
      </c>
      <c r="D3822" s="28"/>
      <c r="E3822" s="41">
        <v>46141</v>
      </c>
      <c r="F3822" s="47">
        <v>0.23982638888888888</v>
      </c>
      <c r="G3822" s="44">
        <v>6.3</v>
      </c>
      <c r="H3822" s="43" t="s">
        <v>234</v>
      </c>
      <c r="I3822" s="40" t="s">
        <v>1281</v>
      </c>
    </row>
    <row r="3823" spans="1:9" x14ac:dyDescent="0.25">
      <c r="A3823" s="40" t="s">
        <v>362</v>
      </c>
      <c r="B3823" s="28">
        <v>4176</v>
      </c>
      <c r="C3823" s="28" t="s">
        <v>35</v>
      </c>
      <c r="D3823" s="28" t="s">
        <v>38</v>
      </c>
      <c r="E3823" s="41">
        <v>46142</v>
      </c>
      <c r="F3823" s="47">
        <v>0.19783564814814814</v>
      </c>
      <c r="G3823" s="42">
        <v>6.3</v>
      </c>
      <c r="H3823" s="40" t="s">
        <v>235</v>
      </c>
      <c r="I3823" s="40" t="s">
        <v>1281</v>
      </c>
    </row>
    <row r="3824" spans="1:9" x14ac:dyDescent="0.25">
      <c r="A3824" s="40" t="s">
        <v>362</v>
      </c>
      <c r="B3824" s="28">
        <v>4176</v>
      </c>
      <c r="C3824" s="28">
        <v>5642617</v>
      </c>
      <c r="D3824" s="28"/>
      <c r="E3824" s="41">
        <v>46142</v>
      </c>
      <c r="F3824" s="47">
        <v>0.2512962962962963</v>
      </c>
      <c r="G3824" s="42">
        <v>6.3</v>
      </c>
      <c r="H3824" s="40" t="s">
        <v>238</v>
      </c>
      <c r="I3824" s="40" t="s">
        <v>1281</v>
      </c>
    </row>
    <row r="3825" spans="1:9" x14ac:dyDescent="0.25">
      <c r="A3825" s="40" t="s">
        <v>362</v>
      </c>
      <c r="B3825" s="28">
        <v>4176</v>
      </c>
      <c r="C3825" s="28">
        <v>5642617</v>
      </c>
      <c r="D3825" s="28"/>
      <c r="E3825" s="41">
        <v>46142</v>
      </c>
      <c r="F3825" s="47">
        <v>0.25648148148148148</v>
      </c>
      <c r="G3825" s="42">
        <v>6.3</v>
      </c>
      <c r="H3825" s="40" t="s">
        <v>234</v>
      </c>
      <c r="I3825" s="40" t="s">
        <v>1281</v>
      </c>
    </row>
    <row r="3826" spans="1:9" x14ac:dyDescent="0.25">
      <c r="A3826" s="40" t="s">
        <v>362</v>
      </c>
      <c r="B3826" s="28">
        <v>4176</v>
      </c>
      <c r="C3826" s="28" t="s">
        <v>35</v>
      </c>
      <c r="D3826" s="28" t="s">
        <v>38</v>
      </c>
      <c r="E3826" s="41">
        <v>46143</v>
      </c>
      <c r="F3826" s="47">
        <v>0.25005787037037036</v>
      </c>
      <c r="G3826" s="42">
        <v>6.3</v>
      </c>
      <c r="H3826" s="40" t="s">
        <v>235</v>
      </c>
      <c r="I3826" s="40" t="s">
        <v>1282</v>
      </c>
    </row>
    <row r="3827" spans="1:9" x14ac:dyDescent="0.25">
      <c r="A3827" s="40" t="s">
        <v>362</v>
      </c>
      <c r="B3827" s="28">
        <v>4176</v>
      </c>
      <c r="C3827" s="28">
        <v>5644481</v>
      </c>
      <c r="D3827" s="28" t="s">
        <v>37</v>
      </c>
      <c r="E3827" s="45">
        <v>46143</v>
      </c>
      <c r="F3827" s="48">
        <v>0.28230324074074076</v>
      </c>
      <c r="G3827" s="42">
        <v>6.3</v>
      </c>
      <c r="H3827" s="40" t="s">
        <v>237</v>
      </c>
      <c r="I3827" s="40" t="s">
        <v>1282</v>
      </c>
    </row>
    <row r="3828" spans="1:9" x14ac:dyDescent="0.25">
      <c r="A3828" s="40" t="s">
        <v>362</v>
      </c>
      <c r="B3828" s="28">
        <v>4176</v>
      </c>
      <c r="C3828" s="28">
        <v>5644481</v>
      </c>
      <c r="D3828" s="28" t="s">
        <v>37</v>
      </c>
      <c r="E3828" s="45">
        <v>46143</v>
      </c>
      <c r="F3828" s="48">
        <v>0.28782407407407407</v>
      </c>
      <c r="G3828" s="42">
        <v>6.3</v>
      </c>
      <c r="H3828" s="40" t="s">
        <v>234</v>
      </c>
      <c r="I3828" s="40" t="s">
        <v>1282</v>
      </c>
    </row>
    <row r="3829" spans="1:9" x14ac:dyDescent="0.25">
      <c r="A3829" s="40" t="s">
        <v>1086</v>
      </c>
      <c r="B3829" s="28">
        <v>4181</v>
      </c>
      <c r="C3829" s="28" t="s">
        <v>35</v>
      </c>
      <c r="D3829" s="28" t="s">
        <v>38</v>
      </c>
      <c r="E3829" s="41">
        <v>46141</v>
      </c>
      <c r="F3829" s="47">
        <v>0.39129629629629631</v>
      </c>
      <c r="G3829" s="44">
        <v>6.3</v>
      </c>
      <c r="H3829" s="43" t="s">
        <v>233</v>
      </c>
      <c r="I3829" s="40" t="s">
        <v>1281</v>
      </c>
    </row>
    <row r="3830" spans="1:9" x14ac:dyDescent="0.25">
      <c r="A3830" s="40" t="s">
        <v>1086</v>
      </c>
      <c r="B3830" s="28">
        <v>4181</v>
      </c>
      <c r="C3830" s="28" t="s">
        <v>35</v>
      </c>
      <c r="D3830" s="28" t="s">
        <v>38</v>
      </c>
      <c r="E3830" s="41">
        <v>46141</v>
      </c>
      <c r="F3830" s="47">
        <v>0.40790509259259261</v>
      </c>
      <c r="G3830" s="44">
        <v>6.3</v>
      </c>
      <c r="H3830" s="43" t="s">
        <v>234</v>
      </c>
      <c r="I3830" s="40" t="s">
        <v>1281</v>
      </c>
    </row>
    <row r="3831" spans="1:9" x14ac:dyDescent="0.25">
      <c r="A3831" s="40" t="s">
        <v>1086</v>
      </c>
      <c r="B3831" s="28">
        <v>4181</v>
      </c>
      <c r="C3831" s="28">
        <v>5642191</v>
      </c>
      <c r="D3831" s="28"/>
      <c r="E3831" s="41">
        <v>46141</v>
      </c>
      <c r="F3831" s="47">
        <v>0.44741898148148146</v>
      </c>
      <c r="G3831" s="44">
        <v>6.3</v>
      </c>
      <c r="H3831" s="43" t="s">
        <v>235</v>
      </c>
      <c r="I3831" s="40" t="s">
        <v>1281</v>
      </c>
    </row>
    <row r="3832" spans="1:9" x14ac:dyDescent="0.25">
      <c r="A3832" s="40" t="s">
        <v>1086</v>
      </c>
      <c r="B3832" s="28">
        <v>4181</v>
      </c>
      <c r="C3832" s="28">
        <v>5642191</v>
      </c>
      <c r="D3832" s="28" t="s">
        <v>36</v>
      </c>
      <c r="E3832" s="45">
        <v>46141</v>
      </c>
      <c r="F3832" s="48">
        <v>0.49158564814814815</v>
      </c>
      <c r="G3832" s="44">
        <v>6.3</v>
      </c>
      <c r="H3832" s="43" t="s">
        <v>234</v>
      </c>
      <c r="I3832" s="40" t="s">
        <v>1281</v>
      </c>
    </row>
    <row r="3833" spans="1:9" x14ac:dyDescent="0.25">
      <c r="A3833" s="40" t="s">
        <v>1086</v>
      </c>
      <c r="B3833" s="28">
        <v>4181</v>
      </c>
      <c r="C3833" s="28">
        <v>5643167</v>
      </c>
      <c r="D3833" s="28"/>
      <c r="E3833" s="41">
        <v>46141</v>
      </c>
      <c r="F3833" s="47">
        <v>0.70700231481481479</v>
      </c>
      <c r="G3833" s="44">
        <v>6.3</v>
      </c>
      <c r="H3833" s="43" t="s">
        <v>235</v>
      </c>
      <c r="I3833" s="40" t="s">
        <v>1281</v>
      </c>
    </row>
    <row r="3834" spans="1:9" x14ac:dyDescent="0.25">
      <c r="A3834" s="40" t="s">
        <v>1086</v>
      </c>
      <c r="B3834" s="28">
        <v>4181</v>
      </c>
      <c r="C3834" s="28">
        <v>5643167</v>
      </c>
      <c r="D3834" s="28"/>
      <c r="E3834" s="45">
        <v>46141</v>
      </c>
      <c r="F3834" s="48">
        <v>0.72159722222222222</v>
      </c>
      <c r="G3834" s="44">
        <v>6.3</v>
      </c>
      <c r="H3834" s="43" t="s">
        <v>236</v>
      </c>
      <c r="I3834" s="40" t="s">
        <v>1281</v>
      </c>
    </row>
    <row r="3835" spans="1:9" x14ac:dyDescent="0.25">
      <c r="A3835" s="40" t="s">
        <v>1086</v>
      </c>
      <c r="B3835" s="28">
        <v>4181</v>
      </c>
      <c r="C3835" s="28" t="s">
        <v>35</v>
      </c>
      <c r="D3835" s="28" t="s">
        <v>38</v>
      </c>
      <c r="E3835" s="41">
        <v>46141</v>
      </c>
      <c r="F3835" s="47">
        <v>0.75967592592592592</v>
      </c>
      <c r="G3835" s="44">
        <v>6.3</v>
      </c>
      <c r="H3835" s="43" t="s">
        <v>237</v>
      </c>
      <c r="I3835" s="40" t="s">
        <v>1281</v>
      </c>
    </row>
    <row r="3836" spans="1:9" x14ac:dyDescent="0.25">
      <c r="A3836" s="40" t="s">
        <v>1086</v>
      </c>
      <c r="B3836" s="28">
        <v>4181</v>
      </c>
      <c r="C3836" s="28" t="s">
        <v>35</v>
      </c>
      <c r="D3836" s="28" t="s">
        <v>38</v>
      </c>
      <c r="E3836" s="41">
        <v>46141</v>
      </c>
      <c r="F3836" s="47">
        <v>0.77862268518518518</v>
      </c>
      <c r="G3836" s="44">
        <v>6.3</v>
      </c>
      <c r="H3836" s="43" t="s">
        <v>234</v>
      </c>
      <c r="I3836" s="40" t="s">
        <v>1281</v>
      </c>
    </row>
    <row r="3837" spans="1:9" x14ac:dyDescent="0.25">
      <c r="A3837" s="40" t="s">
        <v>1086</v>
      </c>
      <c r="B3837" s="28">
        <v>4181</v>
      </c>
      <c r="C3837" s="28">
        <v>5642992</v>
      </c>
      <c r="D3837" s="28"/>
      <c r="E3837" s="45">
        <v>46141</v>
      </c>
      <c r="F3837" s="48">
        <v>0.85251157407407407</v>
      </c>
      <c r="G3837" s="44">
        <v>6.3</v>
      </c>
      <c r="H3837" s="43" t="s">
        <v>235</v>
      </c>
      <c r="I3837" s="40" t="s">
        <v>1281</v>
      </c>
    </row>
    <row r="3838" spans="1:9" x14ac:dyDescent="0.25">
      <c r="A3838" s="40" t="s">
        <v>1086</v>
      </c>
      <c r="B3838" s="28">
        <v>4181</v>
      </c>
      <c r="C3838" s="28">
        <v>5642992</v>
      </c>
      <c r="D3838" s="28"/>
      <c r="E3838" s="41">
        <v>46141</v>
      </c>
      <c r="F3838" s="47">
        <v>0.86609953703703701</v>
      </c>
      <c r="G3838" s="44">
        <v>6.3</v>
      </c>
      <c r="H3838" s="43" t="s">
        <v>236</v>
      </c>
      <c r="I3838" s="40" t="s">
        <v>1281</v>
      </c>
    </row>
    <row r="3839" spans="1:9" x14ac:dyDescent="0.25">
      <c r="A3839" s="40" t="s">
        <v>1086</v>
      </c>
      <c r="B3839" s="28">
        <v>4181</v>
      </c>
      <c r="C3839" s="28">
        <v>5643714</v>
      </c>
      <c r="D3839" s="28"/>
      <c r="E3839" s="41">
        <v>46142</v>
      </c>
      <c r="F3839" s="47">
        <v>0.19055555555555556</v>
      </c>
      <c r="G3839" s="44">
        <v>6.3</v>
      </c>
      <c r="H3839" s="43" t="s">
        <v>237</v>
      </c>
      <c r="I3839" s="40" t="s">
        <v>1281</v>
      </c>
    </row>
    <row r="3840" spans="1:9" x14ac:dyDescent="0.25">
      <c r="A3840" s="40" t="s">
        <v>1086</v>
      </c>
      <c r="B3840" s="28">
        <v>4181</v>
      </c>
      <c r="C3840" s="28">
        <v>5643714</v>
      </c>
      <c r="D3840" s="28"/>
      <c r="E3840" s="41">
        <v>46142</v>
      </c>
      <c r="F3840" s="47">
        <v>0.19841435185185186</v>
      </c>
      <c r="G3840" s="44">
        <v>6.3</v>
      </c>
      <c r="H3840" s="43" t="s">
        <v>234</v>
      </c>
      <c r="I3840" s="40" t="s">
        <v>1281</v>
      </c>
    </row>
    <row r="3841" spans="1:9" x14ac:dyDescent="0.25">
      <c r="A3841" s="40" t="s">
        <v>1086</v>
      </c>
      <c r="B3841" s="28">
        <v>4181</v>
      </c>
      <c r="C3841" s="28">
        <v>5643509</v>
      </c>
      <c r="D3841" s="28"/>
      <c r="E3841" s="41">
        <v>46142</v>
      </c>
      <c r="F3841" s="47">
        <v>0.25543981481481481</v>
      </c>
      <c r="G3841" s="44">
        <v>6.3</v>
      </c>
      <c r="H3841" s="43" t="s">
        <v>237</v>
      </c>
      <c r="I3841" s="40" t="s">
        <v>1281</v>
      </c>
    </row>
    <row r="3842" spans="1:9" x14ac:dyDescent="0.25">
      <c r="A3842" s="40" t="s">
        <v>1086</v>
      </c>
      <c r="B3842" s="28">
        <v>4181</v>
      </c>
      <c r="C3842" s="28">
        <v>5643509</v>
      </c>
      <c r="D3842" s="28"/>
      <c r="E3842" s="41">
        <v>46142</v>
      </c>
      <c r="F3842" s="47">
        <v>0.26075231481481481</v>
      </c>
      <c r="G3842" s="44">
        <v>6.3</v>
      </c>
      <c r="H3842" s="43" t="s">
        <v>234</v>
      </c>
      <c r="I3842" s="40" t="s">
        <v>1281</v>
      </c>
    </row>
    <row r="3843" spans="1:9" x14ac:dyDescent="0.25">
      <c r="A3843" s="40" t="s">
        <v>1086</v>
      </c>
      <c r="B3843" s="28">
        <v>4181</v>
      </c>
      <c r="C3843" s="28" t="s">
        <v>1087</v>
      </c>
      <c r="D3843" s="28"/>
      <c r="E3843" s="41">
        <v>46142</v>
      </c>
      <c r="F3843" s="47">
        <v>0.58799768518518514</v>
      </c>
      <c r="G3843" s="44">
        <v>6.3</v>
      </c>
      <c r="H3843" s="43" t="s">
        <v>235</v>
      </c>
      <c r="I3843" s="40" t="s">
        <v>1281</v>
      </c>
    </row>
    <row r="3844" spans="1:9" x14ac:dyDescent="0.25">
      <c r="A3844" s="40" t="s">
        <v>1086</v>
      </c>
      <c r="B3844" s="28">
        <v>4181</v>
      </c>
      <c r="C3844" s="28">
        <v>5645676</v>
      </c>
      <c r="D3844" s="28"/>
      <c r="E3844" s="41">
        <v>46143</v>
      </c>
      <c r="F3844" s="47">
        <v>0.26247685185185188</v>
      </c>
      <c r="G3844" s="44">
        <v>6.3</v>
      </c>
      <c r="H3844" s="43" t="s">
        <v>237</v>
      </c>
      <c r="I3844" s="40" t="s">
        <v>1282</v>
      </c>
    </row>
    <row r="3845" spans="1:9" x14ac:dyDescent="0.25">
      <c r="A3845" s="40" t="s">
        <v>1086</v>
      </c>
      <c r="B3845" s="28">
        <v>4181</v>
      </c>
      <c r="C3845" s="28">
        <v>5645676</v>
      </c>
      <c r="D3845" s="28"/>
      <c r="E3845" s="41">
        <v>46143</v>
      </c>
      <c r="F3845" s="47">
        <v>0.26746527777777779</v>
      </c>
      <c r="G3845" s="44">
        <v>6.3</v>
      </c>
      <c r="H3845" s="43" t="s">
        <v>234</v>
      </c>
      <c r="I3845" s="40" t="s">
        <v>1282</v>
      </c>
    </row>
    <row r="3846" spans="1:9" x14ac:dyDescent="0.25">
      <c r="A3846" s="40" t="s">
        <v>1086</v>
      </c>
      <c r="B3846" s="28">
        <v>4181</v>
      </c>
      <c r="C3846" s="28" t="s">
        <v>1088</v>
      </c>
      <c r="D3846" s="28"/>
      <c r="E3846" s="41">
        <v>46143</v>
      </c>
      <c r="F3846" s="47">
        <v>0.58084490740740746</v>
      </c>
      <c r="G3846" s="44">
        <v>6.3</v>
      </c>
      <c r="H3846" s="43" t="s">
        <v>235</v>
      </c>
      <c r="I3846" s="40" t="s">
        <v>1282</v>
      </c>
    </row>
    <row r="3847" spans="1:9" x14ac:dyDescent="0.25">
      <c r="A3847" s="40" t="s">
        <v>1086</v>
      </c>
      <c r="B3847" s="28">
        <v>4181</v>
      </c>
      <c r="C3847" s="28" t="s">
        <v>1088</v>
      </c>
      <c r="D3847" s="28"/>
      <c r="E3847" s="41">
        <v>46143</v>
      </c>
      <c r="F3847" s="47">
        <v>0.58815972222222224</v>
      </c>
      <c r="G3847" s="44">
        <v>6.3</v>
      </c>
      <c r="H3847" s="43" t="s">
        <v>236</v>
      </c>
      <c r="I3847" s="40" t="s">
        <v>1282</v>
      </c>
    </row>
    <row r="3848" spans="1:9" x14ac:dyDescent="0.25">
      <c r="A3848" s="40" t="s">
        <v>1089</v>
      </c>
      <c r="B3848" s="28">
        <v>4183</v>
      </c>
      <c r="C3848" s="28">
        <v>5643446</v>
      </c>
      <c r="D3848" s="28"/>
      <c r="E3848" s="41">
        <v>46141</v>
      </c>
      <c r="F3848" s="47">
        <v>0.96843749999999995</v>
      </c>
      <c r="G3848" s="44">
        <v>6.3</v>
      </c>
      <c r="H3848" s="43" t="s">
        <v>235</v>
      </c>
      <c r="I3848" s="40" t="s">
        <v>1281</v>
      </c>
    </row>
    <row r="3849" spans="1:9" x14ac:dyDescent="0.25">
      <c r="A3849" s="40" t="s">
        <v>1089</v>
      </c>
      <c r="B3849" s="28">
        <v>4183</v>
      </c>
      <c r="C3849" s="28" t="s">
        <v>1090</v>
      </c>
      <c r="D3849" s="28"/>
      <c r="E3849" s="45">
        <v>46143</v>
      </c>
      <c r="F3849" s="48">
        <v>0.4180787037037037</v>
      </c>
      <c r="G3849" s="44">
        <v>6.3</v>
      </c>
      <c r="H3849" s="43" t="s">
        <v>235</v>
      </c>
      <c r="I3849" s="40" t="s">
        <v>1282</v>
      </c>
    </row>
    <row r="3850" spans="1:9" x14ac:dyDescent="0.25">
      <c r="A3850" s="40" t="s">
        <v>1089</v>
      </c>
      <c r="B3850" s="28">
        <v>4183</v>
      </c>
      <c r="C3850" s="28" t="s">
        <v>1091</v>
      </c>
      <c r="D3850" s="28"/>
      <c r="E3850" s="41">
        <v>46143</v>
      </c>
      <c r="F3850" s="47">
        <v>0.95988425925925924</v>
      </c>
      <c r="G3850" s="44">
        <v>6.3</v>
      </c>
      <c r="H3850" s="43" t="s">
        <v>235</v>
      </c>
      <c r="I3850" s="40" t="s">
        <v>1282</v>
      </c>
    </row>
    <row r="3851" spans="1:9" x14ac:dyDescent="0.25">
      <c r="A3851" s="40" t="s">
        <v>1092</v>
      </c>
      <c r="B3851" s="28">
        <v>4196</v>
      </c>
      <c r="C3851" s="28">
        <v>5637901</v>
      </c>
      <c r="D3851" s="28"/>
      <c r="E3851" s="41">
        <v>46139</v>
      </c>
      <c r="F3851" s="47">
        <v>0.52829861111111109</v>
      </c>
      <c r="G3851" s="44">
        <v>6.3</v>
      </c>
      <c r="H3851" s="43" t="s">
        <v>237</v>
      </c>
      <c r="I3851" s="40" t="s">
        <v>1281</v>
      </c>
    </row>
    <row r="3852" spans="1:9" x14ac:dyDescent="0.25">
      <c r="A3852" s="40" t="s">
        <v>1092</v>
      </c>
      <c r="B3852" s="28">
        <v>4196</v>
      </c>
      <c r="C3852" s="28">
        <v>5637901</v>
      </c>
      <c r="D3852" s="28"/>
      <c r="E3852" s="41">
        <v>46139</v>
      </c>
      <c r="F3852" s="47">
        <v>0.53517361111111106</v>
      </c>
      <c r="G3852" s="44">
        <v>6.3</v>
      </c>
      <c r="H3852" s="43" t="s">
        <v>234</v>
      </c>
      <c r="I3852" s="40" t="s">
        <v>1281</v>
      </c>
    </row>
    <row r="3853" spans="1:9" x14ac:dyDescent="0.25">
      <c r="A3853" s="40" t="s">
        <v>1092</v>
      </c>
      <c r="B3853" s="28">
        <v>4196</v>
      </c>
      <c r="C3853" s="28">
        <v>5638381</v>
      </c>
      <c r="D3853" s="28"/>
      <c r="E3853" s="41">
        <v>46140</v>
      </c>
      <c r="F3853" s="47">
        <v>0.19462962962962962</v>
      </c>
      <c r="G3853" s="44">
        <v>6.3</v>
      </c>
      <c r="H3853" s="43" t="s">
        <v>234</v>
      </c>
      <c r="I3853" s="40" t="s">
        <v>1281</v>
      </c>
    </row>
    <row r="3854" spans="1:9" x14ac:dyDescent="0.25">
      <c r="A3854" s="40" t="s">
        <v>1092</v>
      </c>
      <c r="B3854" s="28">
        <v>4196</v>
      </c>
      <c r="C3854" s="28" t="s">
        <v>1093</v>
      </c>
      <c r="D3854" s="28"/>
      <c r="E3854" s="41">
        <v>46140</v>
      </c>
      <c r="F3854" s="47">
        <v>0.38214120370370369</v>
      </c>
      <c r="G3854" s="44">
        <v>6.3</v>
      </c>
      <c r="H3854" s="43" t="s">
        <v>235</v>
      </c>
      <c r="I3854" s="40" t="s">
        <v>1281</v>
      </c>
    </row>
    <row r="3855" spans="1:9" x14ac:dyDescent="0.25">
      <c r="A3855" s="40" t="s">
        <v>1092</v>
      </c>
      <c r="B3855" s="28">
        <v>4196</v>
      </c>
      <c r="C3855" s="28" t="s">
        <v>1093</v>
      </c>
      <c r="D3855" s="28"/>
      <c r="E3855" s="41">
        <v>46140</v>
      </c>
      <c r="F3855" s="47">
        <v>0.40057870370370369</v>
      </c>
      <c r="G3855" s="44">
        <v>6.3</v>
      </c>
      <c r="H3855" s="43" t="s">
        <v>236</v>
      </c>
      <c r="I3855" s="40" t="s">
        <v>1281</v>
      </c>
    </row>
    <row r="3856" spans="1:9" x14ac:dyDescent="0.25">
      <c r="A3856" s="40" t="s">
        <v>1092</v>
      </c>
      <c r="B3856" s="28">
        <v>4196</v>
      </c>
      <c r="C3856" s="28">
        <v>5639532</v>
      </c>
      <c r="D3856" s="28"/>
      <c r="E3856" s="41">
        <v>46140</v>
      </c>
      <c r="F3856" s="47">
        <v>0.49359953703703702</v>
      </c>
      <c r="G3856" s="44">
        <v>6.3</v>
      </c>
      <c r="H3856" s="43" t="s">
        <v>234</v>
      </c>
      <c r="I3856" s="40" t="s">
        <v>1281</v>
      </c>
    </row>
    <row r="3857" spans="1:9" x14ac:dyDescent="0.25">
      <c r="A3857" s="40" t="s">
        <v>1092</v>
      </c>
      <c r="B3857" s="28">
        <v>4196</v>
      </c>
      <c r="C3857" s="28">
        <v>5638370</v>
      </c>
      <c r="D3857" s="28"/>
      <c r="E3857" s="41">
        <v>46140</v>
      </c>
      <c r="F3857" s="47">
        <v>0.59226851851851847</v>
      </c>
      <c r="G3857" s="44">
        <v>6.3</v>
      </c>
      <c r="H3857" s="43" t="s">
        <v>235</v>
      </c>
      <c r="I3857" s="40" t="s">
        <v>1281</v>
      </c>
    </row>
    <row r="3858" spans="1:9" x14ac:dyDescent="0.25">
      <c r="A3858" s="40" t="s">
        <v>1092</v>
      </c>
      <c r="B3858" s="28">
        <v>4196</v>
      </c>
      <c r="C3858" s="28">
        <v>10552833</v>
      </c>
      <c r="D3858" s="28"/>
      <c r="E3858" s="41">
        <v>46140</v>
      </c>
      <c r="F3858" s="47">
        <v>0.69405092592592588</v>
      </c>
      <c r="G3858" s="44">
        <v>6.3</v>
      </c>
      <c r="H3858" s="43" t="s">
        <v>235</v>
      </c>
      <c r="I3858" s="40" t="s">
        <v>1281</v>
      </c>
    </row>
    <row r="3859" spans="1:9" x14ac:dyDescent="0.25">
      <c r="A3859" s="40" t="s">
        <v>1092</v>
      </c>
      <c r="B3859" s="28">
        <v>4196</v>
      </c>
      <c r="C3859" s="28">
        <v>5640772</v>
      </c>
      <c r="D3859" s="28"/>
      <c r="E3859" s="41">
        <v>46141</v>
      </c>
      <c r="F3859" s="47">
        <v>0.54883101851851857</v>
      </c>
      <c r="G3859" s="44">
        <v>6.3</v>
      </c>
      <c r="H3859" s="43" t="s">
        <v>235</v>
      </c>
      <c r="I3859" s="40" t="s">
        <v>1281</v>
      </c>
    </row>
    <row r="3860" spans="1:9" x14ac:dyDescent="0.25">
      <c r="A3860" s="40" t="s">
        <v>1092</v>
      </c>
      <c r="B3860" s="28">
        <v>4196</v>
      </c>
      <c r="C3860" s="28">
        <v>10559144</v>
      </c>
      <c r="D3860" s="28"/>
      <c r="E3860" s="41">
        <v>46141</v>
      </c>
      <c r="F3860" s="47">
        <v>0.6869791666666667</v>
      </c>
      <c r="G3860" s="44">
        <v>6.3</v>
      </c>
      <c r="H3860" s="43" t="s">
        <v>235</v>
      </c>
      <c r="I3860" s="40" t="s">
        <v>1281</v>
      </c>
    </row>
    <row r="3861" spans="1:9" x14ac:dyDescent="0.25">
      <c r="A3861" s="40" t="s">
        <v>1092</v>
      </c>
      <c r="B3861" s="28">
        <v>4196</v>
      </c>
      <c r="C3861" s="28">
        <v>10571188</v>
      </c>
      <c r="D3861" s="28" t="s">
        <v>36</v>
      </c>
      <c r="E3861" s="41">
        <v>46142</v>
      </c>
      <c r="F3861" s="47">
        <v>0.33126157407407408</v>
      </c>
      <c r="G3861" s="44">
        <v>6.3</v>
      </c>
      <c r="H3861" s="43" t="s">
        <v>234</v>
      </c>
      <c r="I3861" s="40" t="s">
        <v>1281</v>
      </c>
    </row>
    <row r="3862" spans="1:9" x14ac:dyDescent="0.25">
      <c r="A3862" s="40" t="s">
        <v>1092</v>
      </c>
      <c r="B3862" s="28">
        <v>4196</v>
      </c>
      <c r="C3862" s="28" t="s">
        <v>35</v>
      </c>
      <c r="D3862" s="28" t="s">
        <v>38</v>
      </c>
      <c r="E3862" s="41">
        <v>46142</v>
      </c>
      <c r="F3862" s="47">
        <v>0.56334490740740739</v>
      </c>
      <c r="G3862" s="44">
        <v>6.3</v>
      </c>
      <c r="H3862" s="43" t="s">
        <v>237</v>
      </c>
      <c r="I3862" s="40" t="s">
        <v>1281</v>
      </c>
    </row>
    <row r="3863" spans="1:9" x14ac:dyDescent="0.25">
      <c r="A3863" s="40" t="s">
        <v>1092</v>
      </c>
      <c r="B3863" s="28">
        <v>4196</v>
      </c>
      <c r="C3863" s="28" t="s">
        <v>35</v>
      </c>
      <c r="D3863" s="28" t="s">
        <v>38</v>
      </c>
      <c r="E3863" s="41">
        <v>46142</v>
      </c>
      <c r="F3863" s="47">
        <v>0.57649305555555552</v>
      </c>
      <c r="G3863" s="44">
        <v>6.3</v>
      </c>
      <c r="H3863" s="43" t="s">
        <v>234</v>
      </c>
      <c r="I3863" s="40" t="s">
        <v>1281</v>
      </c>
    </row>
    <row r="3864" spans="1:9" x14ac:dyDescent="0.25">
      <c r="A3864" s="40" t="s">
        <v>359</v>
      </c>
      <c r="B3864" s="28">
        <v>4201</v>
      </c>
      <c r="C3864" s="28" t="s">
        <v>35</v>
      </c>
      <c r="D3864" s="28" t="s">
        <v>38</v>
      </c>
      <c r="E3864" s="41">
        <v>46139</v>
      </c>
      <c r="F3864" s="47">
        <v>8.0567129629629627E-2</v>
      </c>
      <c r="G3864" s="44">
        <v>6.3</v>
      </c>
      <c r="H3864" s="43" t="s">
        <v>235</v>
      </c>
      <c r="I3864" s="40" t="s">
        <v>1281</v>
      </c>
    </row>
    <row r="3865" spans="1:9" x14ac:dyDescent="0.25">
      <c r="A3865" s="40" t="s">
        <v>359</v>
      </c>
      <c r="B3865" s="28">
        <v>4201</v>
      </c>
      <c r="C3865" s="28" t="s">
        <v>35</v>
      </c>
      <c r="D3865" s="28" t="s">
        <v>38</v>
      </c>
      <c r="E3865" s="41">
        <v>46139</v>
      </c>
      <c r="F3865" s="47">
        <v>8.8460648148148149E-2</v>
      </c>
      <c r="G3865" s="44">
        <v>6.3</v>
      </c>
      <c r="H3865" s="43" t="s">
        <v>236</v>
      </c>
      <c r="I3865" s="40" t="s">
        <v>1281</v>
      </c>
    </row>
    <row r="3866" spans="1:9" x14ac:dyDescent="0.25">
      <c r="A3866" s="40" t="s">
        <v>359</v>
      </c>
      <c r="B3866" s="28">
        <v>4201</v>
      </c>
      <c r="C3866" s="28">
        <v>5632700</v>
      </c>
      <c r="D3866" s="28" t="s">
        <v>36</v>
      </c>
      <c r="E3866" s="41">
        <v>46139</v>
      </c>
      <c r="F3866" s="47">
        <v>0.12378472222222223</v>
      </c>
      <c r="G3866" s="42">
        <v>6.3</v>
      </c>
      <c r="H3866" s="40" t="s">
        <v>237</v>
      </c>
      <c r="I3866" s="40" t="s">
        <v>1281</v>
      </c>
    </row>
    <row r="3867" spans="1:9" x14ac:dyDescent="0.25">
      <c r="A3867" s="40" t="s">
        <v>359</v>
      </c>
      <c r="B3867" s="28">
        <v>4201</v>
      </c>
      <c r="C3867" s="28">
        <v>5632700</v>
      </c>
      <c r="D3867" s="28" t="s">
        <v>36</v>
      </c>
      <c r="E3867" s="41">
        <v>46139</v>
      </c>
      <c r="F3867" s="47">
        <v>0.12944444444444445</v>
      </c>
      <c r="G3867" s="42">
        <v>6.3</v>
      </c>
      <c r="H3867" s="40" t="s">
        <v>234</v>
      </c>
      <c r="I3867" s="40" t="s">
        <v>1281</v>
      </c>
    </row>
    <row r="3868" spans="1:9" x14ac:dyDescent="0.25">
      <c r="A3868" s="40" t="s">
        <v>359</v>
      </c>
      <c r="B3868" s="28">
        <v>4201</v>
      </c>
      <c r="C3868" s="28">
        <v>5637309</v>
      </c>
      <c r="D3868" s="28" t="s">
        <v>37</v>
      </c>
      <c r="E3868" s="41">
        <v>46139</v>
      </c>
      <c r="F3868" s="47">
        <v>0.23093749999999999</v>
      </c>
      <c r="G3868" s="42">
        <v>6.3</v>
      </c>
      <c r="H3868" s="40" t="s">
        <v>237</v>
      </c>
      <c r="I3868" s="40" t="s">
        <v>1281</v>
      </c>
    </row>
    <row r="3869" spans="1:9" x14ac:dyDescent="0.25">
      <c r="A3869" s="40" t="s">
        <v>359</v>
      </c>
      <c r="B3869" s="28">
        <v>4201</v>
      </c>
      <c r="C3869" s="28">
        <v>5637309</v>
      </c>
      <c r="D3869" s="28" t="s">
        <v>37</v>
      </c>
      <c r="E3869" s="41">
        <v>46139</v>
      </c>
      <c r="F3869" s="47">
        <v>0.23613425925925927</v>
      </c>
      <c r="G3869" s="44">
        <v>6.3</v>
      </c>
      <c r="H3869" s="43" t="s">
        <v>234</v>
      </c>
      <c r="I3869" s="40" t="s">
        <v>1281</v>
      </c>
    </row>
    <row r="3870" spans="1:9" x14ac:dyDescent="0.25">
      <c r="A3870" s="40" t="s">
        <v>359</v>
      </c>
      <c r="B3870" s="28">
        <v>4201</v>
      </c>
      <c r="C3870" s="28" t="s">
        <v>35</v>
      </c>
      <c r="D3870" s="28" t="s">
        <v>38</v>
      </c>
      <c r="E3870" s="41">
        <v>46139</v>
      </c>
      <c r="F3870" s="47">
        <v>0.26586805555555554</v>
      </c>
      <c r="G3870" s="44">
        <v>6.3</v>
      </c>
      <c r="H3870" s="43" t="s">
        <v>235</v>
      </c>
      <c r="I3870" s="40" t="s">
        <v>1281</v>
      </c>
    </row>
    <row r="3871" spans="1:9" x14ac:dyDescent="0.25">
      <c r="A3871" s="40" t="s">
        <v>359</v>
      </c>
      <c r="B3871" s="28">
        <v>4201</v>
      </c>
      <c r="C3871" s="28" t="s">
        <v>35</v>
      </c>
      <c r="D3871" s="28" t="s">
        <v>38</v>
      </c>
      <c r="E3871" s="45">
        <v>46139</v>
      </c>
      <c r="F3871" s="48">
        <v>0.2838310185185185</v>
      </c>
      <c r="G3871" s="44">
        <v>6.3</v>
      </c>
      <c r="H3871" s="43" t="s">
        <v>236</v>
      </c>
      <c r="I3871" s="40" t="s">
        <v>1281</v>
      </c>
    </row>
    <row r="3872" spans="1:9" x14ac:dyDescent="0.25">
      <c r="A3872" s="40" t="s">
        <v>359</v>
      </c>
      <c r="B3872" s="28">
        <v>4201</v>
      </c>
      <c r="C3872" s="28">
        <v>5632923</v>
      </c>
      <c r="D3872" s="28"/>
      <c r="E3872" s="41">
        <v>46139</v>
      </c>
      <c r="F3872" s="47">
        <v>0.34192129629629631</v>
      </c>
      <c r="G3872" s="44">
        <v>6.3</v>
      </c>
      <c r="H3872" s="43" t="s">
        <v>237</v>
      </c>
      <c r="I3872" s="40" t="s">
        <v>1281</v>
      </c>
    </row>
    <row r="3873" spans="1:9" x14ac:dyDescent="0.25">
      <c r="A3873" s="40" t="s">
        <v>359</v>
      </c>
      <c r="B3873" s="28">
        <v>4201</v>
      </c>
      <c r="C3873" s="28">
        <v>5632923</v>
      </c>
      <c r="D3873" s="28"/>
      <c r="E3873" s="41">
        <v>46139</v>
      </c>
      <c r="F3873" s="47">
        <v>0.35658564814814814</v>
      </c>
      <c r="G3873" s="44">
        <v>6.3</v>
      </c>
      <c r="H3873" s="43" t="s">
        <v>234</v>
      </c>
      <c r="I3873" s="40" t="s">
        <v>1281</v>
      </c>
    </row>
    <row r="3874" spans="1:9" x14ac:dyDescent="0.25">
      <c r="A3874" s="40" t="s">
        <v>359</v>
      </c>
      <c r="B3874" s="28">
        <v>4201</v>
      </c>
      <c r="C3874" s="28">
        <v>5639425</v>
      </c>
      <c r="D3874" s="28"/>
      <c r="E3874" s="45">
        <v>46139</v>
      </c>
      <c r="F3874" s="48">
        <v>0.8825115740740741</v>
      </c>
      <c r="G3874" s="44">
        <v>6.3</v>
      </c>
      <c r="H3874" s="43" t="s">
        <v>235</v>
      </c>
      <c r="I3874" s="40" t="s">
        <v>1281</v>
      </c>
    </row>
    <row r="3875" spans="1:9" x14ac:dyDescent="0.25">
      <c r="A3875" s="40" t="s">
        <v>359</v>
      </c>
      <c r="B3875" s="28">
        <v>4201</v>
      </c>
      <c r="C3875" s="28">
        <v>5639425</v>
      </c>
      <c r="D3875" s="28"/>
      <c r="E3875" s="41">
        <v>46139</v>
      </c>
      <c r="F3875" s="47">
        <v>0.89054398148148151</v>
      </c>
      <c r="G3875" s="44">
        <v>6.3</v>
      </c>
      <c r="H3875" s="43" t="s">
        <v>239</v>
      </c>
      <c r="I3875" s="40" t="s">
        <v>1281</v>
      </c>
    </row>
    <row r="3876" spans="1:9" x14ac:dyDescent="0.25">
      <c r="A3876" s="40" t="s">
        <v>359</v>
      </c>
      <c r="B3876" s="28">
        <v>4201</v>
      </c>
      <c r="C3876" s="28">
        <v>5631642</v>
      </c>
      <c r="D3876" s="28" t="s">
        <v>36</v>
      </c>
      <c r="E3876" s="41">
        <v>46142</v>
      </c>
      <c r="F3876" s="47">
        <v>0.99798611111111113</v>
      </c>
      <c r="G3876" s="44">
        <v>6.3</v>
      </c>
      <c r="H3876" s="43" t="s">
        <v>235</v>
      </c>
      <c r="I3876" s="40" t="s">
        <v>1282</v>
      </c>
    </row>
    <row r="3877" spans="1:9" x14ac:dyDescent="0.25">
      <c r="A3877" s="40" t="s">
        <v>359</v>
      </c>
      <c r="B3877" s="28">
        <v>4201</v>
      </c>
      <c r="C3877" s="28">
        <v>5631642</v>
      </c>
      <c r="D3877" s="28" t="s">
        <v>36</v>
      </c>
      <c r="E3877" s="41">
        <v>46143</v>
      </c>
      <c r="F3877" s="47">
        <v>5.9837962962962961E-3</v>
      </c>
      <c r="G3877" s="44">
        <v>6.3</v>
      </c>
      <c r="H3877" s="43" t="s">
        <v>239</v>
      </c>
      <c r="I3877" s="40" t="s">
        <v>1282</v>
      </c>
    </row>
    <row r="3878" spans="1:9" x14ac:dyDescent="0.25">
      <c r="A3878" s="40" t="s">
        <v>359</v>
      </c>
      <c r="B3878" s="28">
        <v>4201</v>
      </c>
      <c r="C3878" s="28" t="s">
        <v>35</v>
      </c>
      <c r="D3878" s="28" t="s">
        <v>38</v>
      </c>
      <c r="E3878" s="41">
        <v>46143</v>
      </c>
      <c r="F3878" s="47">
        <v>2.2939814814814816E-2</v>
      </c>
      <c r="G3878" s="42">
        <v>6.3</v>
      </c>
      <c r="H3878" s="40" t="s">
        <v>233</v>
      </c>
      <c r="I3878" s="40" t="s">
        <v>1282</v>
      </c>
    </row>
    <row r="3879" spans="1:9" x14ac:dyDescent="0.25">
      <c r="A3879" s="40" t="s">
        <v>359</v>
      </c>
      <c r="B3879" s="28">
        <v>4201</v>
      </c>
      <c r="C3879" s="28" t="s">
        <v>35</v>
      </c>
      <c r="D3879" s="28" t="s">
        <v>38</v>
      </c>
      <c r="E3879" s="41">
        <v>46143</v>
      </c>
      <c r="F3879" s="47">
        <v>3.184027777777778E-2</v>
      </c>
      <c r="G3879" s="44">
        <v>6.3</v>
      </c>
      <c r="H3879" s="43" t="s">
        <v>234</v>
      </c>
      <c r="I3879" s="40" t="s">
        <v>1282</v>
      </c>
    </row>
    <row r="3880" spans="1:9" x14ac:dyDescent="0.25">
      <c r="A3880" s="40" t="s">
        <v>359</v>
      </c>
      <c r="B3880" s="28">
        <v>4201</v>
      </c>
      <c r="C3880" s="28" t="s">
        <v>35</v>
      </c>
      <c r="D3880" s="28" t="s">
        <v>38</v>
      </c>
      <c r="E3880" s="41">
        <v>46143</v>
      </c>
      <c r="F3880" s="47">
        <v>0.25282407407407409</v>
      </c>
      <c r="G3880" s="44">
        <v>6.3</v>
      </c>
      <c r="H3880" s="43" t="s">
        <v>235</v>
      </c>
      <c r="I3880" s="40" t="s">
        <v>1282</v>
      </c>
    </row>
    <row r="3881" spans="1:9" x14ac:dyDescent="0.25">
      <c r="A3881" s="40" t="s">
        <v>359</v>
      </c>
      <c r="B3881" s="28">
        <v>4201</v>
      </c>
      <c r="C3881" s="28" t="s">
        <v>35</v>
      </c>
      <c r="D3881" s="28" t="s">
        <v>38</v>
      </c>
      <c r="E3881" s="41">
        <v>46143</v>
      </c>
      <c r="F3881" s="47">
        <v>0.25957175925925924</v>
      </c>
      <c r="G3881" s="44">
        <v>6.3</v>
      </c>
      <c r="H3881" s="43" t="s">
        <v>239</v>
      </c>
      <c r="I3881" s="40" t="s">
        <v>1282</v>
      </c>
    </row>
    <row r="3882" spans="1:9" x14ac:dyDescent="0.25">
      <c r="A3882" s="40" t="s">
        <v>359</v>
      </c>
      <c r="B3882" s="28">
        <v>4201</v>
      </c>
      <c r="C3882" s="28">
        <v>5644394</v>
      </c>
      <c r="D3882" s="28" t="s">
        <v>37</v>
      </c>
      <c r="E3882" s="41">
        <v>46143</v>
      </c>
      <c r="F3882" s="47">
        <v>0.32694444444444443</v>
      </c>
      <c r="G3882" s="44">
        <v>6.3</v>
      </c>
      <c r="H3882" s="43" t="s">
        <v>233</v>
      </c>
      <c r="I3882" s="40" t="s">
        <v>1282</v>
      </c>
    </row>
    <row r="3883" spans="1:9" x14ac:dyDescent="0.25">
      <c r="A3883" s="40" t="s">
        <v>359</v>
      </c>
      <c r="B3883" s="28">
        <v>4201</v>
      </c>
      <c r="C3883" s="28">
        <v>5644394</v>
      </c>
      <c r="D3883" s="28" t="s">
        <v>37</v>
      </c>
      <c r="E3883" s="41">
        <v>46143</v>
      </c>
      <c r="F3883" s="47">
        <v>0.33239583333333333</v>
      </c>
      <c r="G3883" s="42">
        <v>6.3</v>
      </c>
      <c r="H3883" s="40" t="s">
        <v>234</v>
      </c>
      <c r="I3883" s="40" t="s">
        <v>1282</v>
      </c>
    </row>
    <row r="3884" spans="1:9" x14ac:dyDescent="0.25">
      <c r="A3884" s="40" t="s">
        <v>359</v>
      </c>
      <c r="B3884" s="28">
        <v>4201</v>
      </c>
      <c r="C3884" s="28">
        <v>5646931</v>
      </c>
      <c r="D3884" s="28"/>
      <c r="E3884" s="41">
        <v>46143</v>
      </c>
      <c r="F3884" s="47">
        <v>0.97106481481481477</v>
      </c>
      <c r="G3884" s="42">
        <v>6.3</v>
      </c>
      <c r="H3884" s="40" t="s">
        <v>235</v>
      </c>
      <c r="I3884" s="40" t="s">
        <v>1282</v>
      </c>
    </row>
    <row r="3885" spans="1:9" x14ac:dyDescent="0.25">
      <c r="A3885" s="40" t="s">
        <v>359</v>
      </c>
      <c r="B3885" s="28">
        <v>4201</v>
      </c>
      <c r="C3885" s="28">
        <v>5646919</v>
      </c>
      <c r="D3885" s="28"/>
      <c r="E3885" s="41">
        <v>46144</v>
      </c>
      <c r="F3885" s="47">
        <v>0.34762731481481479</v>
      </c>
      <c r="G3885" s="42">
        <v>6.3</v>
      </c>
      <c r="H3885" s="40" t="s">
        <v>237</v>
      </c>
      <c r="I3885" s="40" t="s">
        <v>1282</v>
      </c>
    </row>
    <row r="3886" spans="1:9" x14ac:dyDescent="0.25">
      <c r="A3886" s="40" t="s">
        <v>359</v>
      </c>
      <c r="B3886" s="28">
        <v>4201</v>
      </c>
      <c r="C3886" s="28">
        <v>5646919</v>
      </c>
      <c r="D3886" s="28"/>
      <c r="E3886" s="41">
        <v>46144</v>
      </c>
      <c r="F3886" s="47">
        <v>0.35320601851851852</v>
      </c>
      <c r="G3886" s="42">
        <v>6.3</v>
      </c>
      <c r="H3886" s="40" t="s">
        <v>234</v>
      </c>
      <c r="I3886" s="40" t="s">
        <v>1282</v>
      </c>
    </row>
    <row r="3887" spans="1:9" x14ac:dyDescent="0.25">
      <c r="A3887" s="40" t="s">
        <v>1094</v>
      </c>
      <c r="B3887" s="28">
        <v>4218</v>
      </c>
      <c r="C3887" s="28" t="s">
        <v>35</v>
      </c>
      <c r="D3887" s="28" t="s">
        <v>38</v>
      </c>
      <c r="E3887" s="41">
        <v>46140</v>
      </c>
      <c r="F3887" s="47">
        <v>0.92171296296296301</v>
      </c>
      <c r="G3887" s="44">
        <v>6.3</v>
      </c>
      <c r="H3887" s="43" t="s">
        <v>235</v>
      </c>
      <c r="I3887" s="40" t="s">
        <v>1281</v>
      </c>
    </row>
    <row r="3888" spans="1:9" x14ac:dyDescent="0.25">
      <c r="A3888" s="40" t="s">
        <v>1094</v>
      </c>
      <c r="B3888" s="28">
        <v>4218</v>
      </c>
      <c r="C3888" s="28" t="s">
        <v>35</v>
      </c>
      <c r="D3888" s="28" t="s">
        <v>38</v>
      </c>
      <c r="E3888" s="45">
        <v>46141</v>
      </c>
      <c r="F3888" s="48">
        <v>0.89815972222222218</v>
      </c>
      <c r="G3888" s="44">
        <v>6.3</v>
      </c>
      <c r="H3888" s="43" t="s">
        <v>235</v>
      </c>
      <c r="I3888" s="40" t="s">
        <v>1281</v>
      </c>
    </row>
    <row r="3889" spans="1:9" x14ac:dyDescent="0.25">
      <c r="A3889" s="40" t="s">
        <v>1094</v>
      </c>
      <c r="B3889" s="28">
        <v>4218</v>
      </c>
      <c r="C3889" s="28" t="s">
        <v>35</v>
      </c>
      <c r="D3889" s="28" t="s">
        <v>38</v>
      </c>
      <c r="E3889" s="41">
        <v>46141</v>
      </c>
      <c r="F3889" s="47">
        <v>0.90667824074074077</v>
      </c>
      <c r="G3889" s="44">
        <v>6.3</v>
      </c>
      <c r="H3889" s="43" t="s">
        <v>236</v>
      </c>
      <c r="I3889" s="40" t="s">
        <v>1281</v>
      </c>
    </row>
    <row r="3890" spans="1:9" x14ac:dyDescent="0.25">
      <c r="A3890" s="40" t="s">
        <v>1094</v>
      </c>
      <c r="B3890" s="28">
        <v>4203</v>
      </c>
      <c r="C3890" s="28" t="s">
        <v>35</v>
      </c>
      <c r="D3890" s="28" t="s">
        <v>38</v>
      </c>
      <c r="E3890" s="41">
        <v>46142</v>
      </c>
      <c r="F3890" s="47">
        <v>0.26056712962962963</v>
      </c>
      <c r="G3890" s="44">
        <v>6.3</v>
      </c>
      <c r="H3890" s="43" t="s">
        <v>237</v>
      </c>
      <c r="I3890" s="40" t="s">
        <v>1281</v>
      </c>
    </row>
    <row r="3891" spans="1:9" x14ac:dyDescent="0.25">
      <c r="A3891" s="40" t="s">
        <v>1094</v>
      </c>
      <c r="B3891" s="28">
        <v>4203</v>
      </c>
      <c r="C3891" s="28" t="s">
        <v>35</v>
      </c>
      <c r="D3891" s="28" t="s">
        <v>38</v>
      </c>
      <c r="E3891" s="41">
        <v>46142</v>
      </c>
      <c r="F3891" s="47">
        <v>0.26636574074074076</v>
      </c>
      <c r="G3891" s="44">
        <v>6.3</v>
      </c>
      <c r="H3891" s="43" t="s">
        <v>234</v>
      </c>
      <c r="I3891" s="40" t="s">
        <v>1281</v>
      </c>
    </row>
    <row r="3892" spans="1:9" x14ac:dyDescent="0.25">
      <c r="A3892" s="40" t="s">
        <v>1094</v>
      </c>
      <c r="B3892" s="28">
        <v>4203</v>
      </c>
      <c r="C3892" s="28" t="s">
        <v>35</v>
      </c>
      <c r="D3892" s="28" t="s">
        <v>38</v>
      </c>
      <c r="E3892" s="41">
        <v>46142</v>
      </c>
      <c r="F3892" s="47">
        <v>0.93422453703703701</v>
      </c>
      <c r="G3892" s="44">
        <v>6.3</v>
      </c>
      <c r="H3892" s="43" t="s">
        <v>235</v>
      </c>
      <c r="I3892" s="40" t="s">
        <v>1281</v>
      </c>
    </row>
    <row r="3893" spans="1:9" x14ac:dyDescent="0.25">
      <c r="A3893" s="40" t="s">
        <v>1094</v>
      </c>
      <c r="B3893" s="28">
        <v>4218</v>
      </c>
      <c r="C3893" s="28" t="s">
        <v>35</v>
      </c>
      <c r="D3893" s="28" t="s">
        <v>38</v>
      </c>
      <c r="E3893" s="41">
        <v>46142</v>
      </c>
      <c r="F3893" s="47">
        <v>0.94203703703703701</v>
      </c>
      <c r="G3893" s="44">
        <v>6.3</v>
      </c>
      <c r="H3893" s="43" t="s">
        <v>236</v>
      </c>
      <c r="I3893" s="40" t="s">
        <v>1281</v>
      </c>
    </row>
    <row r="3894" spans="1:9" x14ac:dyDescent="0.25">
      <c r="A3894" s="40" t="s">
        <v>1094</v>
      </c>
      <c r="B3894" s="28">
        <v>4203</v>
      </c>
      <c r="C3894" s="28" t="s">
        <v>35</v>
      </c>
      <c r="D3894" s="28" t="s">
        <v>38</v>
      </c>
      <c r="E3894" s="41">
        <v>46143</v>
      </c>
      <c r="F3894" s="47">
        <v>0.17873842592592593</v>
      </c>
      <c r="G3894" s="44">
        <v>6.3</v>
      </c>
      <c r="H3894" s="43" t="s">
        <v>237</v>
      </c>
      <c r="I3894" s="40" t="s">
        <v>1282</v>
      </c>
    </row>
    <row r="3895" spans="1:9" x14ac:dyDescent="0.25">
      <c r="A3895" s="40" t="s">
        <v>1094</v>
      </c>
      <c r="B3895" s="28">
        <v>4203</v>
      </c>
      <c r="C3895" s="28" t="s">
        <v>35</v>
      </c>
      <c r="D3895" s="28" t="s">
        <v>38</v>
      </c>
      <c r="E3895" s="41">
        <v>46143</v>
      </c>
      <c r="F3895" s="47">
        <v>0.18534722222222222</v>
      </c>
      <c r="G3895" s="44">
        <v>6.3</v>
      </c>
      <c r="H3895" s="43" t="s">
        <v>234</v>
      </c>
      <c r="I3895" s="40" t="s">
        <v>1282</v>
      </c>
    </row>
    <row r="3896" spans="1:9" x14ac:dyDescent="0.25">
      <c r="A3896" s="40" t="s">
        <v>1094</v>
      </c>
      <c r="B3896" s="28">
        <v>4203</v>
      </c>
      <c r="C3896" s="28">
        <v>5646193</v>
      </c>
      <c r="D3896" s="28"/>
      <c r="E3896" s="41">
        <v>46143</v>
      </c>
      <c r="F3896" s="47">
        <v>0.46737268518518521</v>
      </c>
      <c r="G3896" s="44">
        <v>6.3</v>
      </c>
      <c r="H3896" s="43" t="s">
        <v>235</v>
      </c>
      <c r="I3896" s="40" t="s">
        <v>1282</v>
      </c>
    </row>
    <row r="3897" spans="1:9" x14ac:dyDescent="0.25">
      <c r="A3897" s="40" t="s">
        <v>1094</v>
      </c>
      <c r="B3897" s="28">
        <v>4203</v>
      </c>
      <c r="C3897" s="28">
        <v>5646193</v>
      </c>
      <c r="D3897" s="28"/>
      <c r="E3897" s="41">
        <v>46143</v>
      </c>
      <c r="F3897" s="47">
        <v>0.4745138888888889</v>
      </c>
      <c r="G3897" s="44">
        <v>6.3</v>
      </c>
      <c r="H3897" s="43" t="s">
        <v>236</v>
      </c>
      <c r="I3897" s="40" t="s">
        <v>1282</v>
      </c>
    </row>
    <row r="3898" spans="1:9" x14ac:dyDescent="0.25">
      <c r="A3898" s="40" t="s">
        <v>1094</v>
      </c>
      <c r="B3898" s="28">
        <v>4203</v>
      </c>
      <c r="C3898" s="28">
        <v>5642666</v>
      </c>
      <c r="D3898" s="28" t="s">
        <v>37</v>
      </c>
      <c r="E3898" s="41">
        <v>46143</v>
      </c>
      <c r="F3898" s="47">
        <v>0.5712962962962963</v>
      </c>
      <c r="G3898" s="44">
        <v>6.3</v>
      </c>
      <c r="H3898" s="43" t="s">
        <v>237</v>
      </c>
      <c r="I3898" s="40" t="s">
        <v>1282</v>
      </c>
    </row>
    <row r="3899" spans="1:9" x14ac:dyDescent="0.25">
      <c r="A3899" s="40" t="s">
        <v>1094</v>
      </c>
      <c r="B3899" s="28">
        <v>4203</v>
      </c>
      <c r="C3899" s="28">
        <v>5642666</v>
      </c>
      <c r="D3899" s="28" t="s">
        <v>37</v>
      </c>
      <c r="E3899" s="41">
        <v>46143</v>
      </c>
      <c r="F3899" s="47">
        <v>0.57625000000000004</v>
      </c>
      <c r="G3899" s="44">
        <v>6.3</v>
      </c>
      <c r="H3899" s="43" t="s">
        <v>234</v>
      </c>
      <c r="I3899" s="40" t="s">
        <v>1282</v>
      </c>
    </row>
    <row r="3900" spans="1:9" x14ac:dyDescent="0.25">
      <c r="A3900" s="40" t="s">
        <v>1094</v>
      </c>
      <c r="B3900" s="28">
        <v>4203</v>
      </c>
      <c r="C3900" s="28">
        <v>5646630</v>
      </c>
      <c r="D3900" s="28"/>
      <c r="E3900" s="41">
        <v>46143</v>
      </c>
      <c r="F3900" s="47">
        <v>0.68406250000000002</v>
      </c>
      <c r="G3900" s="44">
        <v>6.3</v>
      </c>
      <c r="H3900" s="43" t="s">
        <v>235</v>
      </c>
      <c r="I3900" s="40" t="s">
        <v>1282</v>
      </c>
    </row>
    <row r="3901" spans="1:9" x14ac:dyDescent="0.25">
      <c r="A3901" s="40" t="s">
        <v>1094</v>
      </c>
      <c r="B3901" s="28">
        <v>4203</v>
      </c>
      <c r="C3901" s="28">
        <v>5646630</v>
      </c>
      <c r="D3901" s="28"/>
      <c r="E3901" s="41">
        <v>46143</v>
      </c>
      <c r="F3901" s="47">
        <v>0.69087962962962968</v>
      </c>
      <c r="G3901" s="44">
        <v>6.3</v>
      </c>
      <c r="H3901" s="43" t="s">
        <v>236</v>
      </c>
      <c r="I3901" s="40" t="s">
        <v>1282</v>
      </c>
    </row>
    <row r="3902" spans="1:9" x14ac:dyDescent="0.25">
      <c r="A3902" s="40" t="s">
        <v>1094</v>
      </c>
      <c r="B3902" s="28">
        <v>4203</v>
      </c>
      <c r="C3902" s="28">
        <v>5648494</v>
      </c>
      <c r="D3902" s="28"/>
      <c r="E3902" s="41">
        <v>46145</v>
      </c>
      <c r="F3902" s="47">
        <v>0.53703703703703709</v>
      </c>
      <c r="G3902" s="44">
        <v>6.3</v>
      </c>
      <c r="H3902" s="43" t="s">
        <v>237</v>
      </c>
      <c r="I3902" s="40" t="s">
        <v>1282</v>
      </c>
    </row>
    <row r="3903" spans="1:9" x14ac:dyDescent="0.25">
      <c r="A3903" s="40" t="s">
        <v>1094</v>
      </c>
      <c r="B3903" s="28">
        <v>4203</v>
      </c>
      <c r="C3903" s="28">
        <v>5648494</v>
      </c>
      <c r="D3903" s="28"/>
      <c r="E3903" s="41">
        <v>46145</v>
      </c>
      <c r="F3903" s="47">
        <v>0.54186342592592596</v>
      </c>
      <c r="G3903" s="44">
        <v>6.3</v>
      </c>
      <c r="H3903" s="43" t="s">
        <v>234</v>
      </c>
      <c r="I3903" s="40" t="s">
        <v>1282</v>
      </c>
    </row>
    <row r="3904" spans="1:9" x14ac:dyDescent="0.25">
      <c r="A3904" s="40" t="s">
        <v>361</v>
      </c>
      <c r="B3904" s="28">
        <v>4205</v>
      </c>
      <c r="C3904" s="28" t="s">
        <v>35</v>
      </c>
      <c r="D3904" s="28" t="s">
        <v>38</v>
      </c>
      <c r="E3904" s="45">
        <v>46139</v>
      </c>
      <c r="F3904" s="48">
        <v>0.95951388888888889</v>
      </c>
      <c r="G3904" s="44">
        <v>6.3</v>
      </c>
      <c r="H3904" s="43" t="s">
        <v>238</v>
      </c>
      <c r="I3904" s="40" t="s">
        <v>1281</v>
      </c>
    </row>
    <row r="3905" spans="1:9" x14ac:dyDescent="0.25">
      <c r="A3905" s="40" t="s">
        <v>361</v>
      </c>
      <c r="B3905" s="28">
        <v>4205</v>
      </c>
      <c r="C3905" s="28" t="s">
        <v>35</v>
      </c>
      <c r="D3905" s="28" t="s">
        <v>38</v>
      </c>
      <c r="E3905" s="45">
        <v>46139</v>
      </c>
      <c r="F3905" s="48">
        <v>0.96422453703703703</v>
      </c>
      <c r="G3905" s="44">
        <v>6.3</v>
      </c>
      <c r="H3905" s="43" t="s">
        <v>234</v>
      </c>
      <c r="I3905" s="40" t="s">
        <v>1281</v>
      </c>
    </row>
    <row r="3906" spans="1:9" x14ac:dyDescent="0.25">
      <c r="A3906" s="40" t="s">
        <v>361</v>
      </c>
      <c r="B3906" s="28">
        <v>4205</v>
      </c>
      <c r="C3906" s="28" t="s">
        <v>35</v>
      </c>
      <c r="D3906" s="28" t="s">
        <v>38</v>
      </c>
      <c r="E3906" s="41">
        <v>46140</v>
      </c>
      <c r="F3906" s="47">
        <v>0.27300925925925928</v>
      </c>
      <c r="G3906" s="44">
        <v>6.3</v>
      </c>
      <c r="H3906" s="43" t="s">
        <v>237</v>
      </c>
      <c r="I3906" s="40" t="s">
        <v>1281</v>
      </c>
    </row>
    <row r="3907" spans="1:9" x14ac:dyDescent="0.25">
      <c r="A3907" s="40" t="s">
        <v>361</v>
      </c>
      <c r="B3907" s="28">
        <v>4205</v>
      </c>
      <c r="C3907" s="28" t="s">
        <v>35</v>
      </c>
      <c r="D3907" s="28" t="s">
        <v>38</v>
      </c>
      <c r="E3907" s="41">
        <v>46140</v>
      </c>
      <c r="F3907" s="47">
        <v>0.27957175925925926</v>
      </c>
      <c r="G3907" s="44">
        <v>6.3</v>
      </c>
      <c r="H3907" s="43" t="s">
        <v>234</v>
      </c>
      <c r="I3907" s="40" t="s">
        <v>1281</v>
      </c>
    </row>
    <row r="3908" spans="1:9" x14ac:dyDescent="0.25">
      <c r="A3908" s="40" t="s">
        <v>361</v>
      </c>
      <c r="B3908" s="28">
        <v>4205</v>
      </c>
      <c r="C3908" s="28" t="s">
        <v>35</v>
      </c>
      <c r="D3908" s="28" t="s">
        <v>38</v>
      </c>
      <c r="E3908" s="41">
        <v>46141</v>
      </c>
      <c r="F3908" s="47">
        <v>0.65041666666666664</v>
      </c>
      <c r="G3908" s="44">
        <v>6.3</v>
      </c>
      <c r="H3908" s="43" t="s">
        <v>236</v>
      </c>
      <c r="I3908" s="40" t="s">
        <v>1281</v>
      </c>
    </row>
    <row r="3909" spans="1:9" x14ac:dyDescent="0.25">
      <c r="A3909" s="40" t="s">
        <v>361</v>
      </c>
      <c r="B3909" s="28">
        <v>4205</v>
      </c>
      <c r="C3909" s="28" t="s">
        <v>35</v>
      </c>
      <c r="D3909" s="28" t="s">
        <v>38</v>
      </c>
      <c r="E3909" s="41">
        <v>46143</v>
      </c>
      <c r="F3909" s="47">
        <v>0.22583333333333333</v>
      </c>
      <c r="G3909" s="44">
        <v>6.3</v>
      </c>
      <c r="H3909" s="43" t="s">
        <v>237</v>
      </c>
      <c r="I3909" s="40" t="s">
        <v>1282</v>
      </c>
    </row>
    <row r="3910" spans="1:9" x14ac:dyDescent="0.25">
      <c r="A3910" s="40" t="s">
        <v>361</v>
      </c>
      <c r="B3910" s="28">
        <v>4205</v>
      </c>
      <c r="C3910" s="28" t="s">
        <v>35</v>
      </c>
      <c r="D3910" s="28" t="s">
        <v>38</v>
      </c>
      <c r="E3910" s="41">
        <v>46143</v>
      </c>
      <c r="F3910" s="47">
        <v>0.23064814814814816</v>
      </c>
      <c r="G3910" s="44">
        <v>6.3</v>
      </c>
      <c r="H3910" s="43" t="s">
        <v>234</v>
      </c>
      <c r="I3910" s="40" t="s">
        <v>1282</v>
      </c>
    </row>
    <row r="3911" spans="1:9" x14ac:dyDescent="0.25">
      <c r="A3911" s="40" t="s">
        <v>361</v>
      </c>
      <c r="B3911" s="28">
        <v>4205</v>
      </c>
      <c r="C3911" s="28" t="s">
        <v>35</v>
      </c>
      <c r="D3911" s="28" t="s">
        <v>38</v>
      </c>
      <c r="E3911" s="45">
        <v>46144</v>
      </c>
      <c r="F3911" s="48">
        <v>0.36678240740740742</v>
      </c>
      <c r="G3911" s="44">
        <v>6.3</v>
      </c>
      <c r="H3911" s="43" t="s">
        <v>237</v>
      </c>
      <c r="I3911" s="40" t="s">
        <v>1282</v>
      </c>
    </row>
    <row r="3912" spans="1:9" x14ac:dyDescent="0.25">
      <c r="A3912" s="40" t="s">
        <v>361</v>
      </c>
      <c r="B3912" s="28">
        <v>4205</v>
      </c>
      <c r="C3912" s="28" t="s">
        <v>35</v>
      </c>
      <c r="D3912" s="28" t="s">
        <v>38</v>
      </c>
      <c r="E3912" s="41">
        <v>46144</v>
      </c>
      <c r="F3912" s="47">
        <v>0.37214120370370368</v>
      </c>
      <c r="G3912" s="44">
        <v>6.3</v>
      </c>
      <c r="H3912" s="43" t="s">
        <v>234</v>
      </c>
      <c r="I3912" s="40" t="s">
        <v>1282</v>
      </c>
    </row>
    <row r="3913" spans="1:9" x14ac:dyDescent="0.25">
      <c r="A3913" s="40" t="s">
        <v>361</v>
      </c>
      <c r="B3913" s="28">
        <v>4205</v>
      </c>
      <c r="C3913" s="28" t="s">
        <v>35</v>
      </c>
      <c r="D3913" s="28" t="s">
        <v>38</v>
      </c>
      <c r="E3913" s="41">
        <v>46145</v>
      </c>
      <c r="F3913" s="47">
        <v>0.39958333333333335</v>
      </c>
      <c r="G3913" s="44">
        <v>6.3</v>
      </c>
      <c r="H3913" s="43" t="s">
        <v>237</v>
      </c>
      <c r="I3913" s="40" t="s">
        <v>1282</v>
      </c>
    </row>
    <row r="3914" spans="1:9" x14ac:dyDescent="0.25">
      <c r="A3914" s="40" t="s">
        <v>361</v>
      </c>
      <c r="B3914" s="28">
        <v>4205</v>
      </c>
      <c r="C3914" s="28" t="s">
        <v>35</v>
      </c>
      <c r="D3914" s="28" t="s">
        <v>38</v>
      </c>
      <c r="E3914" s="41">
        <v>46145</v>
      </c>
      <c r="F3914" s="47">
        <v>0.40488425925925925</v>
      </c>
      <c r="G3914" s="44">
        <v>6.3</v>
      </c>
      <c r="H3914" s="43" t="s">
        <v>234</v>
      </c>
      <c r="I3914" s="40" t="s">
        <v>1282</v>
      </c>
    </row>
    <row r="3915" spans="1:9" x14ac:dyDescent="0.25">
      <c r="A3915" s="40" t="s">
        <v>361</v>
      </c>
      <c r="B3915" s="28">
        <v>4205</v>
      </c>
      <c r="C3915" s="28" t="s">
        <v>35</v>
      </c>
      <c r="D3915" s="28" t="s">
        <v>38</v>
      </c>
      <c r="E3915" s="41">
        <v>46145</v>
      </c>
      <c r="F3915" s="47">
        <v>0.58916666666666662</v>
      </c>
      <c r="G3915" s="44">
        <v>6.3</v>
      </c>
      <c r="H3915" s="43" t="s">
        <v>237</v>
      </c>
      <c r="I3915" s="40" t="s">
        <v>1282</v>
      </c>
    </row>
    <row r="3916" spans="1:9" x14ac:dyDescent="0.25">
      <c r="A3916" s="40" t="s">
        <v>361</v>
      </c>
      <c r="B3916" s="28">
        <v>4205</v>
      </c>
      <c r="C3916" s="28" t="s">
        <v>35</v>
      </c>
      <c r="D3916" s="28" t="s">
        <v>38</v>
      </c>
      <c r="E3916" s="41">
        <v>46145</v>
      </c>
      <c r="F3916" s="47">
        <v>0.59512731481481485</v>
      </c>
      <c r="G3916" s="44">
        <v>6.3</v>
      </c>
      <c r="H3916" s="43" t="s">
        <v>234</v>
      </c>
      <c r="I3916" s="40" t="s">
        <v>1282</v>
      </c>
    </row>
    <row r="3917" spans="1:9" x14ac:dyDescent="0.25">
      <c r="A3917" s="40" t="s">
        <v>361</v>
      </c>
      <c r="B3917" s="28">
        <v>4205</v>
      </c>
      <c r="C3917" s="28" t="s">
        <v>35</v>
      </c>
      <c r="D3917" s="28" t="s">
        <v>38</v>
      </c>
      <c r="E3917" s="41">
        <v>46145</v>
      </c>
      <c r="F3917" s="47">
        <v>0.95416666666666672</v>
      </c>
      <c r="G3917" s="44">
        <v>6.3</v>
      </c>
      <c r="H3917" s="43" t="s">
        <v>235</v>
      </c>
      <c r="I3917" s="40" t="s">
        <v>1282</v>
      </c>
    </row>
    <row r="3918" spans="1:9" x14ac:dyDescent="0.25">
      <c r="A3918" s="40" t="s">
        <v>245</v>
      </c>
      <c r="B3918" s="28">
        <v>4210</v>
      </c>
      <c r="C3918" s="28" t="s">
        <v>35</v>
      </c>
      <c r="D3918" s="28" t="s">
        <v>38</v>
      </c>
      <c r="E3918" s="41">
        <v>46139</v>
      </c>
      <c r="F3918" s="47">
        <v>0.41745370370370372</v>
      </c>
      <c r="G3918" s="44">
        <v>6.3</v>
      </c>
      <c r="H3918" s="43" t="s">
        <v>235</v>
      </c>
      <c r="I3918" s="40" t="s">
        <v>1281</v>
      </c>
    </row>
    <row r="3919" spans="1:9" x14ac:dyDescent="0.25">
      <c r="A3919" s="40" t="s">
        <v>245</v>
      </c>
      <c r="B3919" s="28">
        <v>4210</v>
      </c>
      <c r="C3919" s="28" t="s">
        <v>35</v>
      </c>
      <c r="D3919" s="28" t="s">
        <v>38</v>
      </c>
      <c r="E3919" s="41">
        <v>46139</v>
      </c>
      <c r="F3919" s="47">
        <v>0.42788194444444444</v>
      </c>
      <c r="G3919" s="44">
        <v>6.3</v>
      </c>
      <c r="H3919" s="43" t="s">
        <v>239</v>
      </c>
      <c r="I3919" s="40" t="s">
        <v>1281</v>
      </c>
    </row>
    <row r="3920" spans="1:9" x14ac:dyDescent="0.25">
      <c r="A3920" s="40" t="s">
        <v>245</v>
      </c>
      <c r="B3920" s="28">
        <v>4210</v>
      </c>
      <c r="C3920" s="28" t="s">
        <v>35</v>
      </c>
      <c r="D3920" s="28" t="s">
        <v>38</v>
      </c>
      <c r="E3920" s="45">
        <v>46139</v>
      </c>
      <c r="F3920" s="48">
        <v>0.48964120370370373</v>
      </c>
      <c r="G3920" s="44">
        <v>6.3</v>
      </c>
      <c r="H3920" s="43" t="s">
        <v>238</v>
      </c>
      <c r="I3920" s="40" t="s">
        <v>1281</v>
      </c>
    </row>
    <row r="3921" spans="1:9" x14ac:dyDescent="0.25">
      <c r="A3921" s="40" t="s">
        <v>245</v>
      </c>
      <c r="B3921" s="28">
        <v>4210</v>
      </c>
      <c r="C3921" s="28" t="s">
        <v>35</v>
      </c>
      <c r="D3921" s="28" t="s">
        <v>38</v>
      </c>
      <c r="E3921" s="45">
        <v>46139</v>
      </c>
      <c r="F3921" s="48">
        <v>0.49714120370370368</v>
      </c>
      <c r="G3921" s="42">
        <v>6.3</v>
      </c>
      <c r="H3921" s="40" t="s">
        <v>234</v>
      </c>
      <c r="I3921" s="40" t="s">
        <v>1281</v>
      </c>
    </row>
    <row r="3922" spans="1:9" x14ac:dyDescent="0.25">
      <c r="A3922" s="40" t="s">
        <v>245</v>
      </c>
      <c r="B3922" s="28">
        <v>4210</v>
      </c>
      <c r="C3922" s="28" t="s">
        <v>35</v>
      </c>
      <c r="D3922" s="28" t="s">
        <v>38</v>
      </c>
      <c r="E3922" s="41">
        <v>46139</v>
      </c>
      <c r="F3922" s="47">
        <v>0.80626157407407406</v>
      </c>
      <c r="G3922" s="44">
        <v>6.3</v>
      </c>
      <c r="H3922" s="43" t="s">
        <v>235</v>
      </c>
      <c r="I3922" s="40" t="s">
        <v>1281</v>
      </c>
    </row>
    <row r="3923" spans="1:9" x14ac:dyDescent="0.25">
      <c r="A3923" s="40" t="s">
        <v>245</v>
      </c>
      <c r="B3923" s="28">
        <v>4210</v>
      </c>
      <c r="C3923" s="28" t="s">
        <v>35</v>
      </c>
      <c r="D3923" s="28" t="s">
        <v>38</v>
      </c>
      <c r="E3923" s="41">
        <v>46139</v>
      </c>
      <c r="F3923" s="47">
        <v>0.81644675925925925</v>
      </c>
      <c r="G3923" s="44">
        <v>6.3</v>
      </c>
      <c r="H3923" s="43" t="s">
        <v>236</v>
      </c>
      <c r="I3923" s="40" t="s">
        <v>1281</v>
      </c>
    </row>
    <row r="3924" spans="1:9" x14ac:dyDescent="0.25">
      <c r="A3924" s="40" t="s">
        <v>245</v>
      </c>
      <c r="B3924" s="28">
        <v>4210</v>
      </c>
      <c r="C3924" s="28" t="s">
        <v>35</v>
      </c>
      <c r="D3924" s="28" t="s">
        <v>38</v>
      </c>
      <c r="E3924" s="41">
        <v>46139</v>
      </c>
      <c r="F3924" s="47">
        <v>0.83596064814814819</v>
      </c>
      <c r="G3924" s="44">
        <v>6.3</v>
      </c>
      <c r="H3924" s="43" t="s">
        <v>233</v>
      </c>
      <c r="I3924" s="40" t="s">
        <v>1281</v>
      </c>
    </row>
    <row r="3925" spans="1:9" x14ac:dyDescent="0.25">
      <c r="A3925" s="40" t="s">
        <v>245</v>
      </c>
      <c r="B3925" s="28">
        <v>4210</v>
      </c>
      <c r="C3925" s="28" t="s">
        <v>35</v>
      </c>
      <c r="D3925" s="28" t="s">
        <v>38</v>
      </c>
      <c r="E3925" s="41">
        <v>46139</v>
      </c>
      <c r="F3925" s="47">
        <v>0.86170138888888892</v>
      </c>
      <c r="G3925" s="44">
        <v>6.3</v>
      </c>
      <c r="H3925" s="43" t="s">
        <v>234</v>
      </c>
      <c r="I3925" s="40" t="s">
        <v>1281</v>
      </c>
    </row>
    <row r="3926" spans="1:9" x14ac:dyDescent="0.25">
      <c r="A3926" s="40" t="s">
        <v>245</v>
      </c>
      <c r="B3926" s="28">
        <v>4210</v>
      </c>
      <c r="C3926" s="28">
        <v>5639720</v>
      </c>
      <c r="D3926" s="28" t="s">
        <v>36</v>
      </c>
      <c r="E3926" s="41">
        <v>46139</v>
      </c>
      <c r="F3926" s="47">
        <v>0.96281249999999996</v>
      </c>
      <c r="G3926" s="44">
        <v>6.3</v>
      </c>
      <c r="H3926" s="43" t="s">
        <v>235</v>
      </c>
      <c r="I3926" s="40" t="s">
        <v>1281</v>
      </c>
    </row>
    <row r="3927" spans="1:9" x14ac:dyDescent="0.25">
      <c r="A3927" s="40" t="s">
        <v>245</v>
      </c>
      <c r="B3927" s="28">
        <v>4210</v>
      </c>
      <c r="C3927" s="28">
        <v>5639720</v>
      </c>
      <c r="D3927" s="28" t="s">
        <v>36</v>
      </c>
      <c r="E3927" s="41">
        <v>46139</v>
      </c>
      <c r="F3927" s="47">
        <v>0.97037037037037033</v>
      </c>
      <c r="G3927" s="44">
        <v>6.3</v>
      </c>
      <c r="H3927" s="43" t="s">
        <v>236</v>
      </c>
      <c r="I3927" s="40" t="s">
        <v>1281</v>
      </c>
    </row>
    <row r="3928" spans="1:9" x14ac:dyDescent="0.25">
      <c r="A3928" s="40" t="s">
        <v>245</v>
      </c>
      <c r="B3928" s="28">
        <v>4206</v>
      </c>
      <c r="C3928" s="28" t="s">
        <v>35</v>
      </c>
      <c r="D3928" s="28" t="s">
        <v>38</v>
      </c>
      <c r="E3928" s="41">
        <v>46140</v>
      </c>
      <c r="F3928" s="47">
        <v>0.55160879629629633</v>
      </c>
      <c r="G3928" s="44">
        <v>6.3</v>
      </c>
      <c r="H3928" s="43" t="s">
        <v>237</v>
      </c>
      <c r="I3928" s="40" t="s">
        <v>1281</v>
      </c>
    </row>
    <row r="3929" spans="1:9" x14ac:dyDescent="0.25">
      <c r="A3929" s="40" t="s">
        <v>245</v>
      </c>
      <c r="B3929" s="28">
        <v>4206</v>
      </c>
      <c r="C3929" s="28" t="s">
        <v>35</v>
      </c>
      <c r="D3929" s="28" t="s">
        <v>38</v>
      </c>
      <c r="E3929" s="41">
        <v>46140</v>
      </c>
      <c r="F3929" s="47">
        <v>0.5572569444444444</v>
      </c>
      <c r="G3929" s="44">
        <v>6.3</v>
      </c>
      <c r="H3929" s="43" t="s">
        <v>234</v>
      </c>
      <c r="I3929" s="40" t="s">
        <v>1281</v>
      </c>
    </row>
    <row r="3930" spans="1:9" x14ac:dyDescent="0.25">
      <c r="A3930" s="40" t="s">
        <v>245</v>
      </c>
      <c r="B3930" s="28">
        <v>4206</v>
      </c>
      <c r="C3930" s="28" t="s">
        <v>35</v>
      </c>
      <c r="D3930" s="28" t="s">
        <v>38</v>
      </c>
      <c r="E3930" s="41">
        <v>46140</v>
      </c>
      <c r="F3930" s="47">
        <v>0.81486111111111115</v>
      </c>
      <c r="G3930" s="44">
        <v>6.3</v>
      </c>
      <c r="H3930" s="43" t="s">
        <v>237</v>
      </c>
      <c r="I3930" s="40" t="s">
        <v>1281</v>
      </c>
    </row>
    <row r="3931" spans="1:9" x14ac:dyDescent="0.25">
      <c r="A3931" s="40" t="s">
        <v>245</v>
      </c>
      <c r="B3931" s="28">
        <v>4206</v>
      </c>
      <c r="C3931" s="28" t="s">
        <v>35</v>
      </c>
      <c r="D3931" s="28" t="s">
        <v>38</v>
      </c>
      <c r="E3931" s="45">
        <v>46140</v>
      </c>
      <c r="F3931" s="48">
        <v>0.84501157407407412</v>
      </c>
      <c r="G3931" s="44">
        <v>6.3</v>
      </c>
      <c r="H3931" s="43" t="s">
        <v>234</v>
      </c>
      <c r="I3931" s="40" t="s">
        <v>1281</v>
      </c>
    </row>
    <row r="3932" spans="1:9" x14ac:dyDescent="0.25">
      <c r="A3932" s="40" t="s">
        <v>245</v>
      </c>
      <c r="B3932" s="28">
        <v>4210</v>
      </c>
      <c r="C3932" s="28">
        <v>5640058</v>
      </c>
      <c r="D3932" s="28"/>
      <c r="E3932" s="41">
        <v>46142</v>
      </c>
      <c r="F3932" s="47">
        <v>0.20133101851851851</v>
      </c>
      <c r="G3932" s="44">
        <v>6.3</v>
      </c>
      <c r="H3932" s="43" t="s">
        <v>233</v>
      </c>
      <c r="I3932" s="40" t="s">
        <v>1281</v>
      </c>
    </row>
    <row r="3933" spans="1:9" x14ac:dyDescent="0.25">
      <c r="A3933" s="40" t="s">
        <v>245</v>
      </c>
      <c r="B3933" s="28">
        <v>4210</v>
      </c>
      <c r="C3933" s="28">
        <v>5640058</v>
      </c>
      <c r="D3933" s="28"/>
      <c r="E3933" s="41">
        <v>46142</v>
      </c>
      <c r="F3933" s="47">
        <v>0.2074537037037037</v>
      </c>
      <c r="G3933" s="44">
        <v>6.3</v>
      </c>
      <c r="H3933" s="43" t="s">
        <v>234</v>
      </c>
      <c r="I3933" s="40" t="s">
        <v>1281</v>
      </c>
    </row>
    <row r="3934" spans="1:9" x14ac:dyDescent="0.25">
      <c r="A3934" s="40" t="s">
        <v>245</v>
      </c>
      <c r="B3934" s="28">
        <v>4210</v>
      </c>
      <c r="C3934" s="28">
        <v>5642141</v>
      </c>
      <c r="D3934" s="28"/>
      <c r="E3934" s="45">
        <v>46142</v>
      </c>
      <c r="F3934" s="48">
        <v>0.28523148148148147</v>
      </c>
      <c r="G3934" s="44">
        <v>6.3</v>
      </c>
      <c r="H3934" s="43" t="s">
        <v>237</v>
      </c>
      <c r="I3934" s="40" t="s">
        <v>1281</v>
      </c>
    </row>
    <row r="3935" spans="1:9" x14ac:dyDescent="0.25">
      <c r="A3935" s="40" t="s">
        <v>245</v>
      </c>
      <c r="B3935" s="28">
        <v>4210</v>
      </c>
      <c r="C3935" s="28">
        <v>5642141</v>
      </c>
      <c r="D3935" s="28"/>
      <c r="E3935" s="41">
        <v>46142</v>
      </c>
      <c r="F3935" s="47">
        <v>0.29552083333333334</v>
      </c>
      <c r="G3935" s="42">
        <v>6.3</v>
      </c>
      <c r="H3935" s="40" t="s">
        <v>234</v>
      </c>
      <c r="I3935" s="40" t="s">
        <v>1281</v>
      </c>
    </row>
    <row r="3936" spans="1:9" x14ac:dyDescent="0.25">
      <c r="A3936" s="40" t="s">
        <v>245</v>
      </c>
      <c r="B3936" s="28">
        <v>4210</v>
      </c>
      <c r="C3936" s="28" t="s">
        <v>35</v>
      </c>
      <c r="D3936" s="28" t="s">
        <v>38</v>
      </c>
      <c r="E3936" s="45">
        <v>46142</v>
      </c>
      <c r="F3936" s="48">
        <v>0.5103819444444444</v>
      </c>
      <c r="G3936" s="42">
        <v>6.3</v>
      </c>
      <c r="H3936" s="40" t="s">
        <v>235</v>
      </c>
      <c r="I3936" s="40" t="s">
        <v>1281</v>
      </c>
    </row>
    <row r="3937" spans="1:9" x14ac:dyDescent="0.25">
      <c r="A3937" s="40" t="s">
        <v>245</v>
      </c>
      <c r="B3937" s="28">
        <v>4210</v>
      </c>
      <c r="C3937" s="28" t="s">
        <v>35</v>
      </c>
      <c r="D3937" s="28" t="s">
        <v>38</v>
      </c>
      <c r="E3937" s="41">
        <v>46142</v>
      </c>
      <c r="F3937" s="47">
        <v>0.60621527777777773</v>
      </c>
      <c r="G3937" s="44">
        <v>6.3</v>
      </c>
      <c r="H3937" s="43" t="s">
        <v>237</v>
      </c>
      <c r="I3937" s="40" t="s">
        <v>1281</v>
      </c>
    </row>
    <row r="3938" spans="1:9" x14ac:dyDescent="0.25">
      <c r="A3938" s="40" t="s">
        <v>245</v>
      </c>
      <c r="B3938" s="28">
        <v>4210</v>
      </c>
      <c r="C3938" s="28" t="s">
        <v>35</v>
      </c>
      <c r="D3938" s="28" t="s">
        <v>38</v>
      </c>
      <c r="E3938" s="41">
        <v>46142</v>
      </c>
      <c r="F3938" s="47">
        <v>0.61996527777777777</v>
      </c>
      <c r="G3938" s="44">
        <v>6.3</v>
      </c>
      <c r="H3938" s="43" t="s">
        <v>234</v>
      </c>
      <c r="I3938" s="40" t="s">
        <v>1281</v>
      </c>
    </row>
    <row r="3939" spans="1:9" x14ac:dyDescent="0.25">
      <c r="A3939" s="40" t="s">
        <v>245</v>
      </c>
      <c r="B3939" s="28">
        <v>4210</v>
      </c>
      <c r="C3939" s="28">
        <v>5648116</v>
      </c>
      <c r="D3939" s="28"/>
      <c r="E3939" s="41">
        <v>46145</v>
      </c>
      <c r="F3939" s="47">
        <v>0.15288194444444445</v>
      </c>
      <c r="G3939" s="44">
        <v>6.3</v>
      </c>
      <c r="H3939" s="43" t="s">
        <v>237</v>
      </c>
      <c r="I3939" s="40" t="s">
        <v>1282</v>
      </c>
    </row>
    <row r="3940" spans="1:9" x14ac:dyDescent="0.25">
      <c r="A3940" s="40" t="s">
        <v>245</v>
      </c>
      <c r="B3940" s="28">
        <v>4210</v>
      </c>
      <c r="C3940" s="28">
        <v>5648116</v>
      </c>
      <c r="D3940" s="28"/>
      <c r="E3940" s="41">
        <v>46145</v>
      </c>
      <c r="F3940" s="47">
        <v>0.15811342592592592</v>
      </c>
      <c r="G3940" s="44">
        <v>6.3</v>
      </c>
      <c r="H3940" s="43" t="s">
        <v>234</v>
      </c>
      <c r="I3940" s="40" t="s">
        <v>1282</v>
      </c>
    </row>
    <row r="3941" spans="1:9" x14ac:dyDescent="0.25">
      <c r="A3941" s="40" t="s">
        <v>245</v>
      </c>
      <c r="B3941" s="28">
        <v>4210</v>
      </c>
      <c r="C3941" s="28">
        <v>5648275</v>
      </c>
      <c r="D3941" s="28"/>
      <c r="E3941" s="41">
        <v>46145</v>
      </c>
      <c r="F3941" s="47">
        <v>0.33928240740740739</v>
      </c>
      <c r="G3941" s="44">
        <v>6.3</v>
      </c>
      <c r="H3941" s="43" t="s">
        <v>237</v>
      </c>
      <c r="I3941" s="40" t="s">
        <v>1282</v>
      </c>
    </row>
    <row r="3942" spans="1:9" x14ac:dyDescent="0.25">
      <c r="A3942" s="40" t="s">
        <v>245</v>
      </c>
      <c r="B3942" s="28">
        <v>4210</v>
      </c>
      <c r="C3942" s="28">
        <v>5648275</v>
      </c>
      <c r="D3942" s="28"/>
      <c r="E3942" s="41">
        <v>46145</v>
      </c>
      <c r="F3942" s="47">
        <v>0.34461805555555558</v>
      </c>
      <c r="G3942" s="44">
        <v>6.3</v>
      </c>
      <c r="H3942" s="43" t="s">
        <v>234</v>
      </c>
      <c r="I3942" s="40" t="s">
        <v>1282</v>
      </c>
    </row>
    <row r="3943" spans="1:9" x14ac:dyDescent="0.25">
      <c r="A3943" s="40" t="s">
        <v>260</v>
      </c>
      <c r="B3943" s="28">
        <v>4211</v>
      </c>
      <c r="C3943" s="28">
        <v>5641420</v>
      </c>
      <c r="D3943" s="28" t="s">
        <v>37</v>
      </c>
      <c r="E3943" s="41">
        <v>46141</v>
      </c>
      <c r="F3943" s="47">
        <v>0.10315972222222222</v>
      </c>
      <c r="G3943" s="44">
        <v>6.3</v>
      </c>
      <c r="H3943" s="43" t="s">
        <v>237</v>
      </c>
      <c r="I3943" s="40" t="s">
        <v>1281</v>
      </c>
    </row>
    <row r="3944" spans="1:9" x14ac:dyDescent="0.25">
      <c r="A3944" s="40" t="s">
        <v>260</v>
      </c>
      <c r="B3944" s="28">
        <v>4211</v>
      </c>
      <c r="C3944" s="28">
        <v>5641420</v>
      </c>
      <c r="D3944" s="28" t="s">
        <v>37</v>
      </c>
      <c r="E3944" s="41">
        <v>46141</v>
      </c>
      <c r="F3944" s="47">
        <v>0.10846064814814815</v>
      </c>
      <c r="G3944" s="44">
        <v>6.3</v>
      </c>
      <c r="H3944" s="43" t="s">
        <v>234</v>
      </c>
      <c r="I3944" s="40" t="s">
        <v>1281</v>
      </c>
    </row>
    <row r="3945" spans="1:9" x14ac:dyDescent="0.25">
      <c r="A3945" s="40" t="s">
        <v>260</v>
      </c>
      <c r="B3945" s="28">
        <v>4208</v>
      </c>
      <c r="C3945" s="28">
        <v>5640264</v>
      </c>
      <c r="D3945" s="28" t="s">
        <v>36</v>
      </c>
      <c r="E3945" s="41">
        <v>46141</v>
      </c>
      <c r="F3945" s="47">
        <v>0.71614583333333337</v>
      </c>
      <c r="G3945" s="44">
        <v>6.3</v>
      </c>
      <c r="H3945" s="43" t="s">
        <v>234</v>
      </c>
      <c r="I3945" s="40" t="s">
        <v>1281</v>
      </c>
    </row>
    <row r="3946" spans="1:9" x14ac:dyDescent="0.25">
      <c r="A3946" s="40" t="s">
        <v>260</v>
      </c>
      <c r="B3946" s="28">
        <v>4211</v>
      </c>
      <c r="C3946" s="28">
        <v>5634987</v>
      </c>
      <c r="D3946" s="28" t="s">
        <v>37</v>
      </c>
      <c r="E3946" s="41">
        <v>46142</v>
      </c>
      <c r="F3946" s="47">
        <v>0.31738425925925928</v>
      </c>
      <c r="G3946" s="44">
        <v>6.3</v>
      </c>
      <c r="H3946" s="43" t="s">
        <v>234</v>
      </c>
      <c r="I3946" s="40" t="s">
        <v>1281</v>
      </c>
    </row>
    <row r="3947" spans="1:9" x14ac:dyDescent="0.25">
      <c r="A3947" s="40" t="s">
        <v>260</v>
      </c>
      <c r="B3947" s="28">
        <v>4211</v>
      </c>
      <c r="C3947" s="28" t="s">
        <v>35</v>
      </c>
      <c r="D3947" s="28" t="s">
        <v>38</v>
      </c>
      <c r="E3947" s="41">
        <v>46142</v>
      </c>
      <c r="F3947" s="47">
        <v>0.56696759259259255</v>
      </c>
      <c r="G3947" s="44">
        <v>6.3</v>
      </c>
      <c r="H3947" s="43" t="s">
        <v>237</v>
      </c>
      <c r="I3947" s="40" t="s">
        <v>1281</v>
      </c>
    </row>
    <row r="3948" spans="1:9" x14ac:dyDescent="0.25">
      <c r="A3948" s="40" t="s">
        <v>260</v>
      </c>
      <c r="B3948" s="28">
        <v>4211</v>
      </c>
      <c r="C3948" s="28" t="s">
        <v>35</v>
      </c>
      <c r="D3948" s="28" t="s">
        <v>38</v>
      </c>
      <c r="E3948" s="41">
        <v>46142</v>
      </c>
      <c r="F3948" s="47">
        <v>0.57703703703703701</v>
      </c>
      <c r="G3948" s="44">
        <v>6.3</v>
      </c>
      <c r="H3948" s="43" t="s">
        <v>234</v>
      </c>
      <c r="I3948" s="40" t="s">
        <v>1281</v>
      </c>
    </row>
    <row r="3949" spans="1:9" x14ac:dyDescent="0.25">
      <c r="A3949" s="40" t="s">
        <v>260</v>
      </c>
      <c r="B3949" s="28">
        <v>4208</v>
      </c>
      <c r="C3949" s="28">
        <v>5644586</v>
      </c>
      <c r="D3949" s="28" t="s">
        <v>37</v>
      </c>
      <c r="E3949" s="41">
        <v>46142</v>
      </c>
      <c r="F3949" s="47">
        <v>0.83910879629629631</v>
      </c>
      <c r="G3949" s="44">
        <v>6.3</v>
      </c>
      <c r="H3949" s="43" t="s">
        <v>237</v>
      </c>
      <c r="I3949" s="40" t="s">
        <v>1281</v>
      </c>
    </row>
    <row r="3950" spans="1:9" x14ac:dyDescent="0.25">
      <c r="A3950" s="40" t="s">
        <v>260</v>
      </c>
      <c r="B3950" s="28">
        <v>4208</v>
      </c>
      <c r="C3950" s="28">
        <v>5644586</v>
      </c>
      <c r="D3950" s="28" t="s">
        <v>37</v>
      </c>
      <c r="E3950" s="41">
        <v>46142</v>
      </c>
      <c r="F3950" s="47">
        <v>0.86019675925925931</v>
      </c>
      <c r="G3950" s="44">
        <v>6.3</v>
      </c>
      <c r="H3950" s="43" t="s">
        <v>234</v>
      </c>
      <c r="I3950" s="40" t="s">
        <v>1281</v>
      </c>
    </row>
    <row r="3951" spans="1:9" x14ac:dyDescent="0.25">
      <c r="A3951" s="40" t="s">
        <v>260</v>
      </c>
      <c r="B3951" s="28">
        <v>4211</v>
      </c>
      <c r="C3951" s="28">
        <v>5644776</v>
      </c>
      <c r="D3951" s="28" t="s">
        <v>36</v>
      </c>
      <c r="E3951" s="45">
        <v>46143</v>
      </c>
      <c r="F3951" s="48">
        <v>0.23106481481481481</v>
      </c>
      <c r="G3951" s="42">
        <v>6.3</v>
      </c>
      <c r="H3951" s="40" t="s">
        <v>233</v>
      </c>
      <c r="I3951" s="40" t="s">
        <v>1282</v>
      </c>
    </row>
    <row r="3952" spans="1:9" x14ac:dyDescent="0.25">
      <c r="A3952" s="40" t="s">
        <v>260</v>
      </c>
      <c r="B3952" s="28">
        <v>4211</v>
      </c>
      <c r="C3952" s="28">
        <v>5644776</v>
      </c>
      <c r="D3952" s="28" t="s">
        <v>36</v>
      </c>
      <c r="E3952" s="41">
        <v>46143</v>
      </c>
      <c r="F3952" s="47">
        <v>0.23636574074074074</v>
      </c>
      <c r="G3952" s="42">
        <v>6.3</v>
      </c>
      <c r="H3952" s="40" t="s">
        <v>234</v>
      </c>
      <c r="I3952" s="40" t="s">
        <v>1282</v>
      </c>
    </row>
    <row r="3953" spans="1:9" x14ac:dyDescent="0.25">
      <c r="A3953" s="40" t="s">
        <v>1095</v>
      </c>
      <c r="B3953" s="28">
        <v>4251</v>
      </c>
      <c r="C3953" s="28" t="s">
        <v>1096</v>
      </c>
      <c r="D3953" s="28"/>
      <c r="E3953" s="45">
        <v>46140</v>
      </c>
      <c r="F3953" s="48">
        <v>0.63480324074074079</v>
      </c>
      <c r="G3953" s="44">
        <v>6.3</v>
      </c>
      <c r="H3953" s="43" t="s">
        <v>235</v>
      </c>
      <c r="I3953" s="40" t="s">
        <v>1281</v>
      </c>
    </row>
    <row r="3954" spans="1:9" x14ac:dyDescent="0.25">
      <c r="A3954" s="40" t="s">
        <v>1095</v>
      </c>
      <c r="B3954" s="28">
        <v>4251</v>
      </c>
      <c r="C3954" s="28" t="s">
        <v>1096</v>
      </c>
      <c r="D3954" s="28"/>
      <c r="E3954" s="41">
        <v>46140</v>
      </c>
      <c r="F3954" s="47">
        <v>0.64172453703703702</v>
      </c>
      <c r="G3954" s="44">
        <v>6.3</v>
      </c>
      <c r="H3954" s="43" t="s">
        <v>236</v>
      </c>
      <c r="I3954" s="40" t="s">
        <v>1281</v>
      </c>
    </row>
    <row r="3955" spans="1:9" x14ac:dyDescent="0.25">
      <c r="A3955" s="40" t="s">
        <v>1095</v>
      </c>
      <c r="B3955" s="28">
        <v>4251</v>
      </c>
      <c r="C3955" s="28" t="s">
        <v>1097</v>
      </c>
      <c r="D3955" s="28"/>
      <c r="E3955" s="41">
        <v>46140</v>
      </c>
      <c r="F3955" s="47">
        <v>0.74167824074074074</v>
      </c>
      <c r="G3955" s="44">
        <v>6.3</v>
      </c>
      <c r="H3955" s="43" t="s">
        <v>237</v>
      </c>
      <c r="I3955" s="40" t="s">
        <v>1281</v>
      </c>
    </row>
    <row r="3956" spans="1:9" x14ac:dyDescent="0.25">
      <c r="A3956" s="40" t="s">
        <v>1095</v>
      </c>
      <c r="B3956" s="28">
        <v>4251</v>
      </c>
      <c r="C3956" s="28" t="s">
        <v>1097</v>
      </c>
      <c r="D3956" s="28"/>
      <c r="E3956" s="41">
        <v>46140</v>
      </c>
      <c r="F3956" s="47">
        <v>0.76594907407407409</v>
      </c>
      <c r="G3956" s="44">
        <v>6.3</v>
      </c>
      <c r="H3956" s="43" t="s">
        <v>234</v>
      </c>
      <c r="I3956" s="40" t="s">
        <v>1281</v>
      </c>
    </row>
    <row r="3957" spans="1:9" x14ac:dyDescent="0.25">
      <c r="A3957" s="40" t="s">
        <v>1095</v>
      </c>
      <c r="B3957" s="28">
        <v>4251</v>
      </c>
      <c r="C3957" s="28" t="s">
        <v>1098</v>
      </c>
      <c r="D3957" s="28"/>
      <c r="E3957" s="41">
        <v>46140</v>
      </c>
      <c r="F3957" s="47">
        <v>0.83644675925925926</v>
      </c>
      <c r="G3957" s="44">
        <v>6.3</v>
      </c>
      <c r="H3957" s="43" t="s">
        <v>235</v>
      </c>
      <c r="I3957" s="40" t="s">
        <v>1281</v>
      </c>
    </row>
    <row r="3958" spans="1:9" x14ac:dyDescent="0.25">
      <c r="A3958" s="40" t="s">
        <v>1095</v>
      </c>
      <c r="B3958" s="28">
        <v>4251</v>
      </c>
      <c r="C3958" s="28" t="s">
        <v>1099</v>
      </c>
      <c r="D3958" s="28"/>
      <c r="E3958" s="41">
        <v>46140</v>
      </c>
      <c r="F3958" s="47">
        <v>0.93150462962962965</v>
      </c>
      <c r="G3958" s="44">
        <v>6.3</v>
      </c>
      <c r="H3958" s="43" t="s">
        <v>233</v>
      </c>
      <c r="I3958" s="40" t="s">
        <v>1281</v>
      </c>
    </row>
    <row r="3959" spans="1:9" x14ac:dyDescent="0.25">
      <c r="A3959" s="40" t="s">
        <v>1095</v>
      </c>
      <c r="B3959" s="28">
        <v>4251</v>
      </c>
      <c r="C3959" s="28" t="s">
        <v>1099</v>
      </c>
      <c r="D3959" s="28"/>
      <c r="E3959" s="41">
        <v>46140</v>
      </c>
      <c r="F3959" s="47">
        <v>0.93686342592592597</v>
      </c>
      <c r="G3959" s="44">
        <v>6.3</v>
      </c>
      <c r="H3959" s="43" t="s">
        <v>234</v>
      </c>
      <c r="I3959" s="40" t="s">
        <v>1281</v>
      </c>
    </row>
    <row r="3960" spans="1:9" x14ac:dyDescent="0.25">
      <c r="A3960" s="40" t="s">
        <v>1095</v>
      </c>
      <c r="B3960" s="28">
        <v>4251</v>
      </c>
      <c r="C3960" s="28" t="s">
        <v>1100</v>
      </c>
      <c r="D3960" s="28"/>
      <c r="E3960" s="41">
        <v>46140</v>
      </c>
      <c r="F3960" s="47">
        <v>0.97752314814814811</v>
      </c>
      <c r="G3960" s="44">
        <v>6.3</v>
      </c>
      <c r="H3960" s="43" t="s">
        <v>235</v>
      </c>
      <c r="I3960" s="40" t="s">
        <v>1281</v>
      </c>
    </row>
    <row r="3961" spans="1:9" x14ac:dyDescent="0.25">
      <c r="A3961" s="40" t="s">
        <v>1095</v>
      </c>
      <c r="B3961" s="28">
        <v>4251</v>
      </c>
      <c r="C3961" s="28" t="s">
        <v>1100</v>
      </c>
      <c r="D3961" s="28"/>
      <c r="E3961" s="41">
        <v>46140</v>
      </c>
      <c r="F3961" s="47">
        <v>0.98333333333333328</v>
      </c>
      <c r="G3961" s="44">
        <v>6.3</v>
      </c>
      <c r="H3961" s="43" t="s">
        <v>236</v>
      </c>
      <c r="I3961" s="40" t="s">
        <v>1281</v>
      </c>
    </row>
    <row r="3962" spans="1:9" x14ac:dyDescent="0.25">
      <c r="A3962" s="40" t="s">
        <v>1095</v>
      </c>
      <c r="B3962" s="28">
        <v>4251</v>
      </c>
      <c r="C3962" s="28" t="s">
        <v>1101</v>
      </c>
      <c r="D3962" s="28"/>
      <c r="E3962" s="41">
        <v>46144</v>
      </c>
      <c r="F3962" s="47">
        <v>3.2870370370370371E-3</v>
      </c>
      <c r="G3962" s="44">
        <v>6.3</v>
      </c>
      <c r="H3962" s="43" t="s">
        <v>235</v>
      </c>
      <c r="I3962" s="40" t="s">
        <v>1282</v>
      </c>
    </row>
    <row r="3963" spans="1:9" x14ac:dyDescent="0.25">
      <c r="A3963" s="40" t="s">
        <v>1095</v>
      </c>
      <c r="B3963" s="28">
        <v>4251</v>
      </c>
      <c r="C3963" s="28" t="s">
        <v>1101</v>
      </c>
      <c r="D3963" s="28"/>
      <c r="E3963" s="41">
        <v>46144</v>
      </c>
      <c r="F3963" s="47">
        <v>9.3981481481481485E-3</v>
      </c>
      <c r="G3963" s="44">
        <v>6.3</v>
      </c>
      <c r="H3963" s="43" t="s">
        <v>236</v>
      </c>
      <c r="I3963" s="40" t="s">
        <v>1282</v>
      </c>
    </row>
    <row r="3964" spans="1:9" x14ac:dyDescent="0.25">
      <c r="A3964" s="40" t="s">
        <v>1095</v>
      </c>
      <c r="B3964" s="28">
        <v>4251</v>
      </c>
      <c r="C3964" s="28" t="s">
        <v>1102</v>
      </c>
      <c r="D3964" s="28"/>
      <c r="E3964" s="41">
        <v>46144</v>
      </c>
      <c r="F3964" s="47">
        <v>0.853912037037037</v>
      </c>
      <c r="G3964" s="44">
        <v>6.3</v>
      </c>
      <c r="H3964" s="43" t="s">
        <v>235</v>
      </c>
      <c r="I3964" s="40" t="s">
        <v>1282</v>
      </c>
    </row>
    <row r="3965" spans="1:9" x14ac:dyDescent="0.25">
      <c r="A3965" s="40" t="s">
        <v>1095</v>
      </c>
      <c r="B3965" s="28">
        <v>4251</v>
      </c>
      <c r="C3965" s="28" t="s">
        <v>1102</v>
      </c>
      <c r="D3965" s="28"/>
      <c r="E3965" s="41">
        <v>46144</v>
      </c>
      <c r="F3965" s="47">
        <v>0.86128472222222219</v>
      </c>
      <c r="G3965" s="44">
        <v>6.3</v>
      </c>
      <c r="H3965" s="43" t="s">
        <v>236</v>
      </c>
      <c r="I3965" s="40" t="s">
        <v>1282</v>
      </c>
    </row>
    <row r="3966" spans="1:9" x14ac:dyDescent="0.25">
      <c r="A3966" s="40" t="s">
        <v>1095</v>
      </c>
      <c r="B3966" s="28">
        <v>4251</v>
      </c>
      <c r="C3966" s="28" t="s">
        <v>1103</v>
      </c>
      <c r="D3966" s="28"/>
      <c r="E3966" s="41">
        <v>46144</v>
      </c>
      <c r="F3966" s="47">
        <v>0.94968750000000002</v>
      </c>
      <c r="G3966" s="44">
        <v>6.3</v>
      </c>
      <c r="H3966" s="43" t="s">
        <v>237</v>
      </c>
      <c r="I3966" s="40" t="s">
        <v>1282</v>
      </c>
    </row>
    <row r="3967" spans="1:9" x14ac:dyDescent="0.25">
      <c r="A3967" s="40" t="s">
        <v>1095</v>
      </c>
      <c r="B3967" s="28">
        <v>4251</v>
      </c>
      <c r="C3967" s="28" t="s">
        <v>1103</v>
      </c>
      <c r="D3967" s="28"/>
      <c r="E3967" s="41">
        <v>46144</v>
      </c>
      <c r="F3967" s="47">
        <v>0.95484953703703701</v>
      </c>
      <c r="G3967" s="44">
        <v>6.3</v>
      </c>
      <c r="H3967" s="43" t="s">
        <v>234</v>
      </c>
      <c r="I3967" s="40" t="s">
        <v>1282</v>
      </c>
    </row>
    <row r="3968" spans="1:9" x14ac:dyDescent="0.25">
      <c r="A3968" s="40" t="s">
        <v>1095</v>
      </c>
      <c r="B3968" s="28">
        <v>4251</v>
      </c>
      <c r="C3968" s="28" t="s">
        <v>1104</v>
      </c>
      <c r="D3968" s="28"/>
      <c r="E3968" s="41">
        <v>46145</v>
      </c>
      <c r="F3968" s="47">
        <v>0.99875000000000003</v>
      </c>
      <c r="G3968" s="42">
        <v>6.3</v>
      </c>
      <c r="H3968" s="40" t="s">
        <v>235</v>
      </c>
      <c r="I3968" s="40" t="s">
        <v>1282</v>
      </c>
    </row>
    <row r="3969" spans="1:9" x14ac:dyDescent="0.25">
      <c r="A3969" s="40" t="s">
        <v>1105</v>
      </c>
      <c r="B3969" s="28">
        <v>4260</v>
      </c>
      <c r="C3969" s="28" t="s">
        <v>1106</v>
      </c>
      <c r="D3969" s="28"/>
      <c r="E3969" s="41">
        <v>46139</v>
      </c>
      <c r="F3969" s="47">
        <v>9.357638888888889E-2</v>
      </c>
      <c r="G3969" s="42">
        <v>6.3</v>
      </c>
      <c r="H3969" s="40" t="s">
        <v>235</v>
      </c>
      <c r="I3969" s="40" t="s">
        <v>1281</v>
      </c>
    </row>
    <row r="3970" spans="1:9" x14ac:dyDescent="0.25">
      <c r="A3970" s="40" t="s">
        <v>1105</v>
      </c>
      <c r="B3970" s="28">
        <v>4260</v>
      </c>
      <c r="C3970" s="28" t="s">
        <v>1106</v>
      </c>
      <c r="D3970" s="28"/>
      <c r="E3970" s="41">
        <v>46139</v>
      </c>
      <c r="F3970" s="47">
        <v>9.9571759259259263E-2</v>
      </c>
      <c r="G3970" s="42">
        <v>6.3</v>
      </c>
      <c r="H3970" s="40" t="s">
        <v>236</v>
      </c>
      <c r="I3970" s="40" t="s">
        <v>1281</v>
      </c>
    </row>
    <row r="3971" spans="1:9" x14ac:dyDescent="0.25">
      <c r="A3971" s="40" t="s">
        <v>1105</v>
      </c>
      <c r="B3971" s="28">
        <v>4260</v>
      </c>
      <c r="C3971" s="28">
        <v>5637692</v>
      </c>
      <c r="D3971" s="28"/>
      <c r="E3971" s="41">
        <v>46139</v>
      </c>
      <c r="F3971" s="47">
        <v>0.31399305555555557</v>
      </c>
      <c r="G3971" s="42">
        <v>6.3</v>
      </c>
      <c r="H3971" s="40" t="s">
        <v>234</v>
      </c>
      <c r="I3971" s="40" t="s">
        <v>1281</v>
      </c>
    </row>
    <row r="3972" spans="1:9" x14ac:dyDescent="0.25">
      <c r="A3972" s="40" t="s">
        <v>1105</v>
      </c>
      <c r="B3972" s="28">
        <v>4260</v>
      </c>
      <c r="C3972" s="28">
        <v>5644665</v>
      </c>
      <c r="D3972" s="28"/>
      <c r="E3972" s="45">
        <v>46143</v>
      </c>
      <c r="F3972" s="48">
        <v>3.1793981481481479E-2</v>
      </c>
      <c r="G3972" s="42">
        <v>6.3</v>
      </c>
      <c r="H3972" s="40" t="s">
        <v>235</v>
      </c>
      <c r="I3972" s="40" t="s">
        <v>1282</v>
      </c>
    </row>
    <row r="3973" spans="1:9" x14ac:dyDescent="0.25">
      <c r="A3973" s="40" t="s">
        <v>1105</v>
      </c>
      <c r="B3973" s="28">
        <v>4260</v>
      </c>
      <c r="C3973" s="28">
        <v>5644665</v>
      </c>
      <c r="D3973" s="28"/>
      <c r="E3973" s="41">
        <v>46143</v>
      </c>
      <c r="F3973" s="47">
        <v>3.8576388888888889E-2</v>
      </c>
      <c r="G3973" s="44">
        <v>6.3</v>
      </c>
      <c r="H3973" s="43" t="s">
        <v>236</v>
      </c>
      <c r="I3973" s="40" t="s">
        <v>1282</v>
      </c>
    </row>
    <row r="3974" spans="1:9" x14ac:dyDescent="0.25">
      <c r="A3974" s="40" t="s">
        <v>1105</v>
      </c>
      <c r="B3974" s="28">
        <v>4260</v>
      </c>
      <c r="C3974" s="28">
        <v>5646925</v>
      </c>
      <c r="D3974" s="28"/>
      <c r="E3974" s="41">
        <v>46144</v>
      </c>
      <c r="F3974" s="47">
        <v>0.27626157407407409</v>
      </c>
      <c r="G3974" s="44">
        <v>6.3</v>
      </c>
      <c r="H3974" s="43" t="s">
        <v>233</v>
      </c>
      <c r="I3974" s="40" t="s">
        <v>1282</v>
      </c>
    </row>
    <row r="3975" spans="1:9" x14ac:dyDescent="0.25">
      <c r="A3975" s="40" t="s">
        <v>1105</v>
      </c>
      <c r="B3975" s="28">
        <v>4260</v>
      </c>
      <c r="C3975" s="28">
        <v>5646925</v>
      </c>
      <c r="D3975" s="28"/>
      <c r="E3975" s="45">
        <v>46144</v>
      </c>
      <c r="F3975" s="48">
        <v>0.28149305555555554</v>
      </c>
      <c r="G3975" s="44">
        <v>6.3</v>
      </c>
      <c r="H3975" s="43" t="s">
        <v>234</v>
      </c>
      <c r="I3975" s="40" t="s">
        <v>1282</v>
      </c>
    </row>
    <row r="3976" spans="1:9" x14ac:dyDescent="0.25">
      <c r="A3976" s="40" t="s">
        <v>1107</v>
      </c>
      <c r="B3976" s="28">
        <v>4266</v>
      </c>
      <c r="C3976" s="28">
        <v>5638175</v>
      </c>
      <c r="D3976" s="28"/>
      <c r="E3976" s="41">
        <v>46139</v>
      </c>
      <c r="F3976" s="47">
        <v>0.5488425925925926</v>
      </c>
      <c r="G3976" s="44">
        <v>6.3</v>
      </c>
      <c r="H3976" s="43" t="s">
        <v>235</v>
      </c>
      <c r="I3976" s="40" t="s">
        <v>1281</v>
      </c>
    </row>
    <row r="3977" spans="1:9" x14ac:dyDescent="0.25">
      <c r="A3977" s="40" t="s">
        <v>1107</v>
      </c>
      <c r="B3977" s="28">
        <v>4266</v>
      </c>
      <c r="C3977" s="28">
        <v>5638175</v>
      </c>
      <c r="D3977" s="28"/>
      <c r="E3977" s="41">
        <v>46139</v>
      </c>
      <c r="F3977" s="47">
        <v>0.55444444444444441</v>
      </c>
      <c r="G3977" s="44">
        <v>6.3</v>
      </c>
      <c r="H3977" s="43" t="s">
        <v>240</v>
      </c>
      <c r="I3977" s="40" t="s">
        <v>1281</v>
      </c>
    </row>
    <row r="3978" spans="1:9" x14ac:dyDescent="0.25">
      <c r="A3978" s="40" t="s">
        <v>1107</v>
      </c>
      <c r="B3978" s="28">
        <v>4266</v>
      </c>
      <c r="C3978" s="28">
        <v>5638260</v>
      </c>
      <c r="D3978" s="28"/>
      <c r="E3978" s="41">
        <v>46139</v>
      </c>
      <c r="F3978" s="47">
        <v>0.6921180555555555</v>
      </c>
      <c r="G3978" s="44">
        <v>6.3</v>
      </c>
      <c r="H3978" s="43" t="s">
        <v>236</v>
      </c>
      <c r="I3978" s="40" t="s">
        <v>1281</v>
      </c>
    </row>
    <row r="3979" spans="1:9" x14ac:dyDescent="0.25">
      <c r="A3979" s="40" t="s">
        <v>1107</v>
      </c>
      <c r="B3979" s="28">
        <v>4266</v>
      </c>
      <c r="C3979" s="28" t="s">
        <v>1108</v>
      </c>
      <c r="D3979" s="28"/>
      <c r="E3979" s="41">
        <v>46140</v>
      </c>
      <c r="F3979" s="47">
        <v>0.92353009259259256</v>
      </c>
      <c r="G3979" s="44">
        <v>6.3</v>
      </c>
      <c r="H3979" s="43" t="s">
        <v>235</v>
      </c>
      <c r="I3979" s="40" t="s">
        <v>1281</v>
      </c>
    </row>
    <row r="3980" spans="1:9" x14ac:dyDescent="0.25">
      <c r="A3980" s="40" t="s">
        <v>1107</v>
      </c>
      <c r="B3980" s="28">
        <v>4266</v>
      </c>
      <c r="C3980" s="28" t="s">
        <v>1108</v>
      </c>
      <c r="D3980" s="28"/>
      <c r="E3980" s="41">
        <v>46140</v>
      </c>
      <c r="F3980" s="47">
        <v>0.93192129629629628</v>
      </c>
      <c r="G3980" s="44">
        <v>6.3</v>
      </c>
      <c r="H3980" s="43" t="s">
        <v>236</v>
      </c>
      <c r="I3980" s="40" t="s">
        <v>1281</v>
      </c>
    </row>
    <row r="3981" spans="1:9" x14ac:dyDescent="0.25">
      <c r="A3981" s="40" t="s">
        <v>1107</v>
      </c>
      <c r="B3981" s="28">
        <v>4266</v>
      </c>
      <c r="C3981" s="28">
        <v>5638191</v>
      </c>
      <c r="D3981" s="28"/>
      <c r="E3981" s="41">
        <v>46141</v>
      </c>
      <c r="F3981" s="47">
        <v>0.41819444444444442</v>
      </c>
      <c r="G3981" s="44">
        <v>6.3</v>
      </c>
      <c r="H3981" s="43" t="s">
        <v>235</v>
      </c>
      <c r="I3981" s="40" t="s">
        <v>1281</v>
      </c>
    </row>
    <row r="3982" spans="1:9" x14ac:dyDescent="0.25">
      <c r="A3982" s="40" t="s">
        <v>1107</v>
      </c>
      <c r="B3982" s="28">
        <v>4266</v>
      </c>
      <c r="C3982" s="28">
        <v>5638191</v>
      </c>
      <c r="D3982" s="28"/>
      <c r="E3982" s="41">
        <v>46141</v>
      </c>
      <c r="F3982" s="47">
        <v>0.42587962962962961</v>
      </c>
      <c r="G3982" s="44">
        <v>6.3</v>
      </c>
      <c r="H3982" s="43" t="s">
        <v>240</v>
      </c>
      <c r="I3982" s="40" t="s">
        <v>1281</v>
      </c>
    </row>
    <row r="3983" spans="1:9" x14ac:dyDescent="0.25">
      <c r="A3983" s="40" t="s">
        <v>1107</v>
      </c>
      <c r="B3983" s="28">
        <v>4266</v>
      </c>
      <c r="C3983" s="28">
        <v>5644249</v>
      </c>
      <c r="D3983" s="28"/>
      <c r="E3983" s="41">
        <v>46142</v>
      </c>
      <c r="F3983" s="47">
        <v>0.37847222222222221</v>
      </c>
      <c r="G3983" s="44">
        <v>6.3</v>
      </c>
      <c r="H3983" s="43" t="s">
        <v>235</v>
      </c>
      <c r="I3983" s="40" t="s">
        <v>1281</v>
      </c>
    </row>
    <row r="3984" spans="1:9" x14ac:dyDescent="0.25">
      <c r="A3984" s="40" t="s">
        <v>1107</v>
      </c>
      <c r="B3984" s="28">
        <v>4266</v>
      </c>
      <c r="C3984" s="28" t="s">
        <v>1109</v>
      </c>
      <c r="D3984" s="28"/>
      <c r="E3984" s="41">
        <v>46142</v>
      </c>
      <c r="F3984" s="47">
        <v>0.51719907407407406</v>
      </c>
      <c r="G3984" s="44">
        <v>6.3</v>
      </c>
      <c r="H3984" s="43" t="s">
        <v>235</v>
      </c>
      <c r="I3984" s="40" t="s">
        <v>1281</v>
      </c>
    </row>
    <row r="3985" spans="1:9" x14ac:dyDescent="0.25">
      <c r="A3985" s="40" t="s">
        <v>1107</v>
      </c>
      <c r="B3985" s="28">
        <v>4266</v>
      </c>
      <c r="C3985" s="28" t="s">
        <v>1109</v>
      </c>
      <c r="D3985" s="28"/>
      <c r="E3985" s="41">
        <v>46142</v>
      </c>
      <c r="F3985" s="47">
        <v>0.52774305555555556</v>
      </c>
      <c r="G3985" s="44">
        <v>6.3</v>
      </c>
      <c r="H3985" s="43" t="s">
        <v>236</v>
      </c>
      <c r="I3985" s="40" t="s">
        <v>1281</v>
      </c>
    </row>
    <row r="3986" spans="1:9" x14ac:dyDescent="0.25">
      <c r="A3986" s="40" t="s">
        <v>1107</v>
      </c>
      <c r="B3986" s="28">
        <v>4266</v>
      </c>
      <c r="C3986" s="28" t="s">
        <v>1110</v>
      </c>
      <c r="D3986" s="28"/>
      <c r="E3986" s="41">
        <v>46144</v>
      </c>
      <c r="F3986" s="47">
        <v>0.43987268518518519</v>
      </c>
      <c r="G3986" s="44">
        <v>6.3</v>
      </c>
      <c r="H3986" s="43" t="s">
        <v>235</v>
      </c>
      <c r="I3986" s="40" t="s">
        <v>1282</v>
      </c>
    </row>
    <row r="3987" spans="1:9" x14ac:dyDescent="0.25">
      <c r="A3987" s="40" t="s">
        <v>1107</v>
      </c>
      <c r="B3987" s="28">
        <v>4266</v>
      </c>
      <c r="C3987" s="28" t="s">
        <v>1110</v>
      </c>
      <c r="D3987" s="28"/>
      <c r="E3987" s="45">
        <v>46144</v>
      </c>
      <c r="F3987" s="48">
        <v>0.44694444444444442</v>
      </c>
      <c r="G3987" s="44">
        <v>6.3</v>
      </c>
      <c r="H3987" s="43" t="s">
        <v>236</v>
      </c>
      <c r="I3987" s="40" t="s">
        <v>1282</v>
      </c>
    </row>
    <row r="3988" spans="1:9" x14ac:dyDescent="0.25">
      <c r="A3988" s="40" t="s">
        <v>1111</v>
      </c>
      <c r="B3988" s="28">
        <v>4268</v>
      </c>
      <c r="C3988" s="28" t="s">
        <v>35</v>
      </c>
      <c r="D3988" s="28" t="s">
        <v>38</v>
      </c>
      <c r="E3988" s="41">
        <v>46140</v>
      </c>
      <c r="F3988" s="47">
        <v>0.86921296296296291</v>
      </c>
      <c r="G3988" s="44">
        <v>6.3</v>
      </c>
      <c r="H3988" s="43" t="s">
        <v>237</v>
      </c>
      <c r="I3988" s="40" t="s">
        <v>1281</v>
      </c>
    </row>
    <row r="3989" spans="1:9" x14ac:dyDescent="0.25">
      <c r="A3989" s="40" t="s">
        <v>1111</v>
      </c>
      <c r="B3989" s="28">
        <v>4268</v>
      </c>
      <c r="C3989" s="28" t="s">
        <v>35</v>
      </c>
      <c r="D3989" s="28" t="s">
        <v>38</v>
      </c>
      <c r="E3989" s="45">
        <v>46141</v>
      </c>
      <c r="F3989" s="48">
        <v>0.43170138888888887</v>
      </c>
      <c r="G3989" s="44">
        <v>6.3</v>
      </c>
      <c r="H3989" s="43" t="s">
        <v>233</v>
      </c>
      <c r="I3989" s="40" t="s">
        <v>1281</v>
      </c>
    </row>
    <row r="3990" spans="1:9" x14ac:dyDescent="0.25">
      <c r="A3990" s="40" t="s">
        <v>1111</v>
      </c>
      <c r="B3990" s="28">
        <v>4268</v>
      </c>
      <c r="C3990" s="28" t="s">
        <v>35</v>
      </c>
      <c r="D3990" s="28" t="s">
        <v>38</v>
      </c>
      <c r="E3990" s="41">
        <v>46141</v>
      </c>
      <c r="F3990" s="47">
        <v>0.83979166666666671</v>
      </c>
      <c r="G3990" s="44">
        <v>6.3</v>
      </c>
      <c r="H3990" s="43" t="s">
        <v>237</v>
      </c>
      <c r="I3990" s="40" t="s">
        <v>1281</v>
      </c>
    </row>
    <row r="3991" spans="1:9" x14ac:dyDescent="0.25">
      <c r="A3991" s="40" t="s">
        <v>1111</v>
      </c>
      <c r="B3991" s="28">
        <v>4268</v>
      </c>
      <c r="C3991" s="28">
        <v>5644553</v>
      </c>
      <c r="D3991" s="28"/>
      <c r="E3991" s="41">
        <v>46142</v>
      </c>
      <c r="F3991" s="47">
        <v>0.54886574074074079</v>
      </c>
      <c r="G3991" s="44">
        <v>6.3</v>
      </c>
      <c r="H3991" s="43" t="s">
        <v>233</v>
      </c>
      <c r="I3991" s="40" t="s">
        <v>1281</v>
      </c>
    </row>
    <row r="3992" spans="1:9" x14ac:dyDescent="0.25">
      <c r="A3992" s="40" t="s">
        <v>1111</v>
      </c>
      <c r="B3992" s="28">
        <v>4268</v>
      </c>
      <c r="C3992" s="28">
        <v>5644553</v>
      </c>
      <c r="D3992" s="28"/>
      <c r="E3992" s="45">
        <v>46142</v>
      </c>
      <c r="F3992" s="48">
        <v>0.55467592592592596</v>
      </c>
      <c r="G3992" s="44">
        <v>6.3</v>
      </c>
      <c r="H3992" s="43" t="s">
        <v>234</v>
      </c>
      <c r="I3992" s="40" t="s">
        <v>1281</v>
      </c>
    </row>
    <row r="3993" spans="1:9" x14ac:dyDescent="0.25">
      <c r="A3993" s="40" t="s">
        <v>1111</v>
      </c>
      <c r="B3993" s="28">
        <v>4268</v>
      </c>
      <c r="C3993" s="28" t="s">
        <v>35</v>
      </c>
      <c r="D3993" s="28" t="s">
        <v>38</v>
      </c>
      <c r="E3993" s="41">
        <v>46142</v>
      </c>
      <c r="F3993" s="47">
        <v>0.5965625</v>
      </c>
      <c r="G3993" s="42">
        <v>6.3</v>
      </c>
      <c r="H3993" s="40" t="s">
        <v>236</v>
      </c>
      <c r="I3993" s="40" t="s">
        <v>1281</v>
      </c>
    </row>
    <row r="3994" spans="1:9" x14ac:dyDescent="0.25">
      <c r="A3994" s="40" t="s">
        <v>1111</v>
      </c>
      <c r="B3994" s="28">
        <v>4268</v>
      </c>
      <c r="C3994" s="28" t="s">
        <v>35</v>
      </c>
      <c r="D3994" s="28" t="s">
        <v>38</v>
      </c>
      <c r="E3994" s="41">
        <v>46144</v>
      </c>
      <c r="F3994" s="47">
        <v>0.38332175925925926</v>
      </c>
      <c r="G3994" s="42">
        <v>6.3</v>
      </c>
      <c r="H3994" s="40" t="s">
        <v>233</v>
      </c>
      <c r="I3994" s="40" t="s">
        <v>1282</v>
      </c>
    </row>
    <row r="3995" spans="1:9" x14ac:dyDescent="0.25">
      <c r="A3995" s="40" t="s">
        <v>1111</v>
      </c>
      <c r="B3995" s="28">
        <v>4268</v>
      </c>
      <c r="C3995" s="28" t="s">
        <v>35</v>
      </c>
      <c r="D3995" s="28" t="s">
        <v>38</v>
      </c>
      <c r="E3995" s="41">
        <v>46145</v>
      </c>
      <c r="F3995" s="47">
        <v>0.40118055555555554</v>
      </c>
      <c r="G3995" s="44">
        <v>6.3</v>
      </c>
      <c r="H3995" s="43" t="s">
        <v>233</v>
      </c>
      <c r="I3995" s="40" t="s">
        <v>1282</v>
      </c>
    </row>
    <row r="3996" spans="1:9" x14ac:dyDescent="0.25">
      <c r="A3996" s="40" t="s">
        <v>1112</v>
      </c>
      <c r="B3996" s="28">
        <v>4278</v>
      </c>
      <c r="C3996" s="28" t="s">
        <v>1113</v>
      </c>
      <c r="D3996" s="28"/>
      <c r="E3996" s="41">
        <v>46140</v>
      </c>
      <c r="F3996" s="47">
        <v>0.57399305555555558</v>
      </c>
      <c r="G3996" s="44">
        <v>6.3</v>
      </c>
      <c r="H3996" s="43" t="s">
        <v>235</v>
      </c>
      <c r="I3996" s="40" t="s">
        <v>1281</v>
      </c>
    </row>
    <row r="3997" spans="1:9" x14ac:dyDescent="0.25">
      <c r="A3997" s="40" t="s">
        <v>1112</v>
      </c>
      <c r="B3997" s="28">
        <v>4278</v>
      </c>
      <c r="C3997" s="28" t="s">
        <v>1113</v>
      </c>
      <c r="D3997" s="28"/>
      <c r="E3997" s="41">
        <v>46140</v>
      </c>
      <c r="F3997" s="47">
        <v>0.58442129629629624</v>
      </c>
      <c r="G3997" s="44">
        <v>6.3</v>
      </c>
      <c r="H3997" s="43" t="s">
        <v>236</v>
      </c>
      <c r="I3997" s="40" t="s">
        <v>1281</v>
      </c>
    </row>
    <row r="3998" spans="1:9" x14ac:dyDescent="0.25">
      <c r="A3998" s="40" t="s">
        <v>1112</v>
      </c>
      <c r="B3998" s="28">
        <v>4278</v>
      </c>
      <c r="C3998" s="28">
        <v>5641804</v>
      </c>
      <c r="D3998" s="28"/>
      <c r="E3998" s="41">
        <v>46140</v>
      </c>
      <c r="F3998" s="47">
        <v>0.94438657407407411</v>
      </c>
      <c r="G3998" s="44">
        <v>6.3</v>
      </c>
      <c r="H3998" s="43" t="s">
        <v>235</v>
      </c>
      <c r="I3998" s="40" t="s">
        <v>1281</v>
      </c>
    </row>
    <row r="3999" spans="1:9" x14ac:dyDescent="0.25">
      <c r="A3999" s="40" t="s">
        <v>1112</v>
      </c>
      <c r="B3999" s="28">
        <v>4278</v>
      </c>
      <c r="C3999" s="28">
        <v>5641804</v>
      </c>
      <c r="D3999" s="28"/>
      <c r="E3999" s="41">
        <v>46140</v>
      </c>
      <c r="F3999" s="47">
        <v>0.95104166666666667</v>
      </c>
      <c r="G3999" s="44">
        <v>6.3</v>
      </c>
      <c r="H3999" s="43" t="s">
        <v>236</v>
      </c>
      <c r="I3999" s="40" t="s">
        <v>1281</v>
      </c>
    </row>
    <row r="4000" spans="1:9" x14ac:dyDescent="0.25">
      <c r="A4000" s="40" t="s">
        <v>1112</v>
      </c>
      <c r="B4000" s="28">
        <v>4278</v>
      </c>
      <c r="C4000" s="28" t="s">
        <v>1114</v>
      </c>
      <c r="D4000" s="28"/>
      <c r="E4000" s="41">
        <v>46142</v>
      </c>
      <c r="F4000" s="47">
        <v>0.88179398148148147</v>
      </c>
      <c r="G4000" s="44">
        <v>6.3</v>
      </c>
      <c r="H4000" s="43" t="s">
        <v>235</v>
      </c>
      <c r="I4000" s="40" t="s">
        <v>1281</v>
      </c>
    </row>
    <row r="4001" spans="1:9" x14ac:dyDescent="0.25">
      <c r="A4001" s="40" t="s">
        <v>1112</v>
      </c>
      <c r="B4001" s="28">
        <v>4278</v>
      </c>
      <c r="C4001" s="28" t="s">
        <v>1114</v>
      </c>
      <c r="D4001" s="28"/>
      <c r="E4001" s="41">
        <v>46142</v>
      </c>
      <c r="F4001" s="47">
        <v>0.88895833333333329</v>
      </c>
      <c r="G4001" s="44">
        <v>6.3</v>
      </c>
      <c r="H4001" s="43" t="s">
        <v>236</v>
      </c>
      <c r="I4001" s="40" t="s">
        <v>1281</v>
      </c>
    </row>
    <row r="4002" spans="1:9" x14ac:dyDescent="0.25">
      <c r="A4002" s="40" t="s">
        <v>1112</v>
      </c>
      <c r="B4002" s="28">
        <v>4278</v>
      </c>
      <c r="C4002" s="28" t="s">
        <v>1115</v>
      </c>
      <c r="D4002" s="28"/>
      <c r="E4002" s="45">
        <v>46143</v>
      </c>
      <c r="F4002" s="48">
        <v>0.48497685185185185</v>
      </c>
      <c r="G4002" s="44">
        <v>6.3</v>
      </c>
      <c r="H4002" s="43" t="s">
        <v>235</v>
      </c>
      <c r="I4002" s="40" t="s">
        <v>1282</v>
      </c>
    </row>
    <row r="4003" spans="1:9" x14ac:dyDescent="0.25">
      <c r="A4003" s="40" t="s">
        <v>1112</v>
      </c>
      <c r="B4003" s="28">
        <v>4278</v>
      </c>
      <c r="C4003" s="28" t="s">
        <v>1115</v>
      </c>
      <c r="D4003" s="28"/>
      <c r="E4003" s="41">
        <v>46143</v>
      </c>
      <c r="F4003" s="47">
        <v>0.49199074074074073</v>
      </c>
      <c r="G4003" s="44">
        <v>6.3</v>
      </c>
      <c r="H4003" s="43" t="s">
        <v>236</v>
      </c>
      <c r="I4003" s="40" t="s">
        <v>1282</v>
      </c>
    </row>
    <row r="4004" spans="1:9" x14ac:dyDescent="0.25">
      <c r="A4004" s="40" t="s">
        <v>1112</v>
      </c>
      <c r="B4004" s="28">
        <v>4278</v>
      </c>
      <c r="C4004" s="28">
        <v>5647775</v>
      </c>
      <c r="D4004" s="28"/>
      <c r="E4004" s="41">
        <v>46144</v>
      </c>
      <c r="F4004" s="47">
        <v>0.61175925925925922</v>
      </c>
      <c r="G4004" s="44">
        <v>6.3</v>
      </c>
      <c r="H4004" s="43" t="s">
        <v>235</v>
      </c>
      <c r="I4004" s="40" t="s">
        <v>1282</v>
      </c>
    </row>
    <row r="4005" spans="1:9" x14ac:dyDescent="0.25">
      <c r="A4005" s="40" t="s">
        <v>1112</v>
      </c>
      <c r="B4005" s="28">
        <v>4278</v>
      </c>
      <c r="C4005" s="28">
        <v>5647775</v>
      </c>
      <c r="D4005" s="28"/>
      <c r="E4005" s="41">
        <v>46144</v>
      </c>
      <c r="F4005" s="47">
        <v>0.61940972222222224</v>
      </c>
      <c r="G4005" s="44">
        <v>6.3</v>
      </c>
      <c r="H4005" s="43" t="s">
        <v>236</v>
      </c>
      <c r="I4005" s="40" t="s">
        <v>1282</v>
      </c>
    </row>
    <row r="4006" spans="1:9" x14ac:dyDescent="0.25">
      <c r="A4006" s="40" t="s">
        <v>1112</v>
      </c>
      <c r="B4006" s="28">
        <v>4278</v>
      </c>
      <c r="C4006" s="28">
        <v>5648471</v>
      </c>
      <c r="D4006" s="28"/>
      <c r="E4006" s="41">
        <v>46145</v>
      </c>
      <c r="F4006" s="47">
        <v>0.59782407407407412</v>
      </c>
      <c r="G4006" s="44">
        <v>6.3</v>
      </c>
      <c r="H4006" s="43" t="s">
        <v>237</v>
      </c>
      <c r="I4006" s="40" t="s">
        <v>1282</v>
      </c>
    </row>
    <row r="4007" spans="1:9" x14ac:dyDescent="0.25">
      <c r="A4007" s="40" t="s">
        <v>1112</v>
      </c>
      <c r="B4007" s="28">
        <v>4278</v>
      </c>
      <c r="C4007" s="28">
        <v>5648471</v>
      </c>
      <c r="D4007" s="28"/>
      <c r="E4007" s="41">
        <v>46145</v>
      </c>
      <c r="F4007" s="47">
        <v>0.60372685185185182</v>
      </c>
      <c r="G4007" s="44">
        <v>6.3</v>
      </c>
      <c r="H4007" s="43" t="s">
        <v>234</v>
      </c>
      <c r="I4007" s="40" t="s">
        <v>1282</v>
      </c>
    </row>
    <row r="4008" spans="1:9" x14ac:dyDescent="0.25">
      <c r="A4008" s="40" t="s">
        <v>1116</v>
      </c>
      <c r="B4008" s="28">
        <v>4279</v>
      </c>
      <c r="C4008" s="28">
        <v>5643120</v>
      </c>
      <c r="D4008" s="28"/>
      <c r="E4008" s="41">
        <v>46141</v>
      </c>
      <c r="F4008" s="47">
        <v>0.68333333333333335</v>
      </c>
      <c r="G4008" s="44">
        <v>6.3</v>
      </c>
      <c r="H4008" s="43" t="s">
        <v>235</v>
      </c>
      <c r="I4008" s="40" t="s">
        <v>1281</v>
      </c>
    </row>
    <row r="4009" spans="1:9" x14ac:dyDescent="0.25">
      <c r="A4009" s="40" t="s">
        <v>1116</v>
      </c>
      <c r="B4009" s="28">
        <v>4279</v>
      </c>
      <c r="C4009" s="28">
        <v>5643120</v>
      </c>
      <c r="D4009" s="28"/>
      <c r="E4009" s="41">
        <v>46141</v>
      </c>
      <c r="F4009" s="47">
        <v>0.69670138888888888</v>
      </c>
      <c r="G4009" s="44">
        <v>6.3</v>
      </c>
      <c r="H4009" s="43" t="s">
        <v>236</v>
      </c>
      <c r="I4009" s="40" t="s">
        <v>1281</v>
      </c>
    </row>
    <row r="4010" spans="1:9" x14ac:dyDescent="0.25">
      <c r="A4010" s="40" t="s">
        <v>1116</v>
      </c>
      <c r="B4010" s="28">
        <v>4279</v>
      </c>
      <c r="C4010" s="28" t="s">
        <v>1117</v>
      </c>
      <c r="D4010" s="28"/>
      <c r="E4010" s="41">
        <v>46142</v>
      </c>
      <c r="F4010" s="47">
        <v>0.77891203703703704</v>
      </c>
      <c r="G4010" s="42">
        <v>6.3</v>
      </c>
      <c r="H4010" s="40" t="s">
        <v>235</v>
      </c>
      <c r="I4010" s="40" t="s">
        <v>1281</v>
      </c>
    </row>
    <row r="4011" spans="1:9" x14ac:dyDescent="0.25">
      <c r="A4011" s="40" t="s">
        <v>1116</v>
      </c>
      <c r="B4011" s="28">
        <v>4279</v>
      </c>
      <c r="C4011" s="28" t="s">
        <v>1117</v>
      </c>
      <c r="D4011" s="28"/>
      <c r="E4011" s="41">
        <v>46142</v>
      </c>
      <c r="F4011" s="47">
        <v>0.7883796296296296</v>
      </c>
      <c r="G4011" s="42">
        <v>6.3</v>
      </c>
      <c r="H4011" s="40" t="s">
        <v>236</v>
      </c>
      <c r="I4011" s="40" t="s">
        <v>1281</v>
      </c>
    </row>
    <row r="4012" spans="1:9" x14ac:dyDescent="0.25">
      <c r="A4012" s="40" t="s">
        <v>1118</v>
      </c>
      <c r="B4012" s="28">
        <v>4280</v>
      </c>
      <c r="C4012" s="28" t="s">
        <v>35</v>
      </c>
      <c r="D4012" s="28" t="s">
        <v>38</v>
      </c>
      <c r="E4012" s="41">
        <v>46142</v>
      </c>
      <c r="F4012" s="47">
        <v>0.83685185185185185</v>
      </c>
      <c r="G4012" s="44">
        <v>6.3</v>
      </c>
      <c r="H4012" s="43" t="s">
        <v>236</v>
      </c>
      <c r="I4012" s="40" t="s">
        <v>1281</v>
      </c>
    </row>
    <row r="4013" spans="1:9" x14ac:dyDescent="0.25">
      <c r="A4013" s="40" t="s">
        <v>85</v>
      </c>
      <c r="B4013" s="28">
        <v>4286</v>
      </c>
      <c r="C4013" s="28">
        <v>5637579</v>
      </c>
      <c r="D4013" s="28"/>
      <c r="E4013" s="41">
        <v>46139</v>
      </c>
      <c r="F4013" s="47">
        <v>0.11486111111111111</v>
      </c>
      <c r="G4013" s="44">
        <v>6.3</v>
      </c>
      <c r="H4013" s="43" t="s">
        <v>233</v>
      </c>
      <c r="I4013" s="40" t="s">
        <v>1281</v>
      </c>
    </row>
    <row r="4014" spans="1:9" x14ac:dyDescent="0.25">
      <c r="A4014" s="40" t="s">
        <v>85</v>
      </c>
      <c r="B4014" s="28">
        <v>4286</v>
      </c>
      <c r="C4014" s="28">
        <v>5637579</v>
      </c>
      <c r="D4014" s="28"/>
      <c r="E4014" s="41">
        <v>46139</v>
      </c>
      <c r="F4014" s="47">
        <v>0.12008101851851852</v>
      </c>
      <c r="G4014" s="44">
        <v>6.3</v>
      </c>
      <c r="H4014" s="43" t="s">
        <v>234</v>
      </c>
      <c r="I4014" s="40" t="s">
        <v>1281</v>
      </c>
    </row>
    <row r="4015" spans="1:9" x14ac:dyDescent="0.25">
      <c r="A4015" s="40" t="s">
        <v>85</v>
      </c>
      <c r="B4015" s="28">
        <v>4286</v>
      </c>
      <c r="C4015" s="28" t="s">
        <v>1119</v>
      </c>
      <c r="D4015" s="28"/>
      <c r="E4015" s="41">
        <v>46140</v>
      </c>
      <c r="F4015" s="47">
        <v>0.33265046296296297</v>
      </c>
      <c r="G4015" s="44">
        <v>6.3</v>
      </c>
      <c r="H4015" s="43" t="s">
        <v>235</v>
      </c>
      <c r="I4015" s="40" t="s">
        <v>1281</v>
      </c>
    </row>
    <row r="4016" spans="1:9" x14ac:dyDescent="0.25">
      <c r="A4016" s="40" t="s">
        <v>85</v>
      </c>
      <c r="B4016" s="28">
        <v>4286</v>
      </c>
      <c r="C4016" s="28" t="s">
        <v>1119</v>
      </c>
      <c r="D4016" s="28"/>
      <c r="E4016" s="41">
        <v>46140</v>
      </c>
      <c r="F4016" s="47">
        <v>0.35193287037037035</v>
      </c>
      <c r="G4016" s="44">
        <v>6.3</v>
      </c>
      <c r="H4016" s="43" t="s">
        <v>236</v>
      </c>
      <c r="I4016" s="40" t="s">
        <v>1281</v>
      </c>
    </row>
    <row r="4017" spans="1:9" x14ac:dyDescent="0.25">
      <c r="A4017" s="40" t="s">
        <v>85</v>
      </c>
      <c r="B4017" s="28">
        <v>4286</v>
      </c>
      <c r="C4017" s="28" t="s">
        <v>35</v>
      </c>
      <c r="D4017" s="28" t="s">
        <v>38</v>
      </c>
      <c r="E4017" s="41">
        <v>46140</v>
      </c>
      <c r="F4017" s="47">
        <v>0.37369212962962961</v>
      </c>
      <c r="G4017" s="44">
        <v>6.3</v>
      </c>
      <c r="H4017" s="43" t="s">
        <v>237</v>
      </c>
      <c r="I4017" s="40" t="s">
        <v>1281</v>
      </c>
    </row>
    <row r="4018" spans="1:9" x14ac:dyDescent="0.25">
      <c r="A4018" s="40" t="s">
        <v>85</v>
      </c>
      <c r="B4018" s="28">
        <v>4286</v>
      </c>
      <c r="C4018" s="28" t="s">
        <v>35</v>
      </c>
      <c r="D4018" s="28" t="s">
        <v>38</v>
      </c>
      <c r="E4018" s="41">
        <v>46140</v>
      </c>
      <c r="F4018" s="47">
        <v>0.38751157407407405</v>
      </c>
      <c r="G4018" s="44">
        <v>6.3</v>
      </c>
      <c r="H4018" s="43" t="s">
        <v>234</v>
      </c>
      <c r="I4018" s="40" t="s">
        <v>1281</v>
      </c>
    </row>
    <row r="4019" spans="1:9" x14ac:dyDescent="0.25">
      <c r="A4019" s="40" t="s">
        <v>85</v>
      </c>
      <c r="B4019" s="28">
        <v>4286</v>
      </c>
      <c r="C4019" s="28">
        <v>5641451</v>
      </c>
      <c r="D4019" s="28"/>
      <c r="E4019" s="41">
        <v>46141</v>
      </c>
      <c r="F4019" s="47">
        <v>0.19518518518518518</v>
      </c>
      <c r="G4019" s="44">
        <v>6.3</v>
      </c>
      <c r="H4019" s="43" t="s">
        <v>234</v>
      </c>
      <c r="I4019" s="40" t="s">
        <v>1281</v>
      </c>
    </row>
    <row r="4020" spans="1:9" x14ac:dyDescent="0.25">
      <c r="A4020" s="40" t="s">
        <v>85</v>
      </c>
      <c r="B4020" s="28">
        <v>4286</v>
      </c>
      <c r="C4020" s="28">
        <v>5642110</v>
      </c>
      <c r="D4020" s="28" t="s">
        <v>36</v>
      </c>
      <c r="E4020" s="41">
        <v>46141</v>
      </c>
      <c r="F4020" s="47">
        <v>0.29878472222222224</v>
      </c>
      <c r="G4020" s="44">
        <v>6.3</v>
      </c>
      <c r="H4020" s="43" t="s">
        <v>237</v>
      </c>
      <c r="I4020" s="40" t="s">
        <v>1281</v>
      </c>
    </row>
    <row r="4021" spans="1:9" x14ac:dyDescent="0.25">
      <c r="A4021" s="40" t="s">
        <v>85</v>
      </c>
      <c r="B4021" s="28">
        <v>4286</v>
      </c>
      <c r="C4021" s="28" t="s">
        <v>35</v>
      </c>
      <c r="D4021" s="28" t="s">
        <v>38</v>
      </c>
      <c r="E4021" s="45">
        <v>46141</v>
      </c>
      <c r="F4021" s="48">
        <v>0.54003472222222226</v>
      </c>
      <c r="G4021" s="44">
        <v>6.3</v>
      </c>
      <c r="H4021" s="43" t="s">
        <v>237</v>
      </c>
      <c r="I4021" s="40" t="s">
        <v>1281</v>
      </c>
    </row>
    <row r="4022" spans="1:9" x14ac:dyDescent="0.25">
      <c r="A4022" s="40" t="s">
        <v>85</v>
      </c>
      <c r="B4022" s="28">
        <v>4286</v>
      </c>
      <c r="C4022" s="28">
        <v>5643003</v>
      </c>
      <c r="D4022" s="28"/>
      <c r="E4022" s="41">
        <v>46141</v>
      </c>
      <c r="F4022" s="47">
        <v>0.63804398148148145</v>
      </c>
      <c r="G4022" s="44">
        <v>6.3</v>
      </c>
      <c r="H4022" s="43" t="s">
        <v>235</v>
      </c>
      <c r="I4022" s="40" t="s">
        <v>1281</v>
      </c>
    </row>
    <row r="4023" spans="1:9" x14ac:dyDescent="0.25">
      <c r="A4023" s="40" t="s">
        <v>85</v>
      </c>
      <c r="B4023" s="28">
        <v>4286</v>
      </c>
      <c r="C4023" s="28">
        <v>5645059</v>
      </c>
      <c r="D4023" s="28"/>
      <c r="E4023" s="41">
        <v>46142</v>
      </c>
      <c r="F4023" s="47">
        <v>0.66503472222222226</v>
      </c>
      <c r="G4023" s="44">
        <v>6.3</v>
      </c>
      <c r="H4023" s="43" t="s">
        <v>235</v>
      </c>
      <c r="I4023" s="40" t="s">
        <v>1281</v>
      </c>
    </row>
    <row r="4024" spans="1:9" x14ac:dyDescent="0.25">
      <c r="A4024" s="40" t="s">
        <v>85</v>
      </c>
      <c r="B4024" s="28">
        <v>4286</v>
      </c>
      <c r="C4024" s="28">
        <v>5645059</v>
      </c>
      <c r="D4024" s="28"/>
      <c r="E4024" s="41">
        <v>46142</v>
      </c>
      <c r="F4024" s="47">
        <v>0.67616898148148152</v>
      </c>
      <c r="G4024" s="44">
        <v>6.3</v>
      </c>
      <c r="H4024" s="43" t="s">
        <v>239</v>
      </c>
      <c r="I4024" s="40" t="s">
        <v>1281</v>
      </c>
    </row>
    <row r="4025" spans="1:9" x14ac:dyDescent="0.25">
      <c r="A4025" s="40" t="s">
        <v>85</v>
      </c>
      <c r="B4025" s="28">
        <v>4286</v>
      </c>
      <c r="C4025" s="28">
        <v>5645908</v>
      </c>
      <c r="D4025" s="28"/>
      <c r="E4025" s="41">
        <v>46143</v>
      </c>
      <c r="F4025" s="47">
        <v>4.0289351851851854E-2</v>
      </c>
      <c r="G4025" s="44">
        <v>6.3</v>
      </c>
      <c r="H4025" s="43" t="s">
        <v>237</v>
      </c>
      <c r="I4025" s="40" t="s">
        <v>1282</v>
      </c>
    </row>
    <row r="4026" spans="1:9" x14ac:dyDescent="0.25">
      <c r="A4026" s="40" t="s">
        <v>85</v>
      </c>
      <c r="B4026" s="28">
        <v>4286</v>
      </c>
      <c r="C4026" s="28" t="s">
        <v>35</v>
      </c>
      <c r="D4026" s="28" t="s">
        <v>38</v>
      </c>
      <c r="E4026" s="41">
        <v>46143</v>
      </c>
      <c r="F4026" s="47">
        <v>0.25197916666666664</v>
      </c>
      <c r="G4026" s="42">
        <v>6.3</v>
      </c>
      <c r="H4026" s="40" t="s">
        <v>233</v>
      </c>
      <c r="I4026" s="40" t="s">
        <v>1282</v>
      </c>
    </row>
    <row r="4027" spans="1:9" x14ac:dyDescent="0.25">
      <c r="A4027" s="40" t="s">
        <v>85</v>
      </c>
      <c r="B4027" s="28">
        <v>4286</v>
      </c>
      <c r="C4027" s="28">
        <v>5647814</v>
      </c>
      <c r="D4027" s="28"/>
      <c r="E4027" s="41">
        <v>46144</v>
      </c>
      <c r="F4027" s="47">
        <v>0.64857638888888891</v>
      </c>
      <c r="G4027" s="42">
        <v>6.3</v>
      </c>
      <c r="H4027" s="40" t="s">
        <v>239</v>
      </c>
      <c r="I4027" s="40" t="s">
        <v>1282</v>
      </c>
    </row>
    <row r="4028" spans="1:9" x14ac:dyDescent="0.25">
      <c r="A4028" s="40" t="s">
        <v>85</v>
      </c>
      <c r="B4028" s="28">
        <v>4286</v>
      </c>
      <c r="C4028" s="28">
        <v>5647814</v>
      </c>
      <c r="D4028" s="28"/>
      <c r="E4028" s="45">
        <v>46144</v>
      </c>
      <c r="F4028" s="48">
        <v>0.64952546296296299</v>
      </c>
      <c r="G4028" s="42">
        <v>6.3</v>
      </c>
      <c r="H4028" s="40" t="s">
        <v>235</v>
      </c>
      <c r="I4028" s="40" t="s">
        <v>1282</v>
      </c>
    </row>
    <row r="4029" spans="1:9" x14ac:dyDescent="0.25">
      <c r="A4029" s="40" t="s">
        <v>85</v>
      </c>
      <c r="B4029" s="28">
        <v>4286</v>
      </c>
      <c r="C4029" s="28">
        <v>5644628</v>
      </c>
      <c r="D4029" s="28"/>
      <c r="E4029" s="41">
        <v>46145</v>
      </c>
      <c r="F4029" s="47">
        <v>0.16027777777777777</v>
      </c>
      <c r="G4029" s="42">
        <v>6.3</v>
      </c>
      <c r="H4029" s="40" t="s">
        <v>234</v>
      </c>
      <c r="I4029" s="40" t="s">
        <v>1282</v>
      </c>
    </row>
    <row r="4030" spans="1:9" x14ac:dyDescent="0.25">
      <c r="A4030" s="40" t="s">
        <v>85</v>
      </c>
      <c r="B4030" s="28">
        <v>4286</v>
      </c>
      <c r="C4030" s="28" t="s">
        <v>35</v>
      </c>
      <c r="D4030" s="28" t="s">
        <v>38</v>
      </c>
      <c r="E4030" s="41">
        <v>46145</v>
      </c>
      <c r="F4030" s="47">
        <v>0.18274305555555556</v>
      </c>
      <c r="G4030" s="44">
        <v>6.3</v>
      </c>
      <c r="H4030" s="43" t="s">
        <v>235</v>
      </c>
      <c r="I4030" s="40" t="s">
        <v>1282</v>
      </c>
    </row>
    <row r="4031" spans="1:9" x14ac:dyDescent="0.25">
      <c r="A4031" s="40" t="s">
        <v>85</v>
      </c>
      <c r="B4031" s="28">
        <v>4286</v>
      </c>
      <c r="C4031" s="28" t="s">
        <v>35</v>
      </c>
      <c r="D4031" s="28" t="s">
        <v>38</v>
      </c>
      <c r="E4031" s="41">
        <v>46145</v>
      </c>
      <c r="F4031" s="47">
        <v>0.27710648148148148</v>
      </c>
      <c r="G4031" s="44">
        <v>6.3</v>
      </c>
      <c r="H4031" s="43" t="s">
        <v>236</v>
      </c>
      <c r="I4031" s="40" t="s">
        <v>1282</v>
      </c>
    </row>
    <row r="4032" spans="1:9" x14ac:dyDescent="0.25">
      <c r="A4032" s="40" t="s">
        <v>85</v>
      </c>
      <c r="B4032" s="28">
        <v>4286</v>
      </c>
      <c r="C4032" s="28">
        <v>5648197</v>
      </c>
      <c r="D4032" s="28" t="s">
        <v>37</v>
      </c>
      <c r="E4032" s="41">
        <v>46145</v>
      </c>
      <c r="F4032" s="47">
        <v>0.31251157407407409</v>
      </c>
      <c r="G4032" s="44">
        <v>6.3</v>
      </c>
      <c r="H4032" s="43" t="s">
        <v>237</v>
      </c>
      <c r="I4032" s="40" t="s">
        <v>1282</v>
      </c>
    </row>
    <row r="4033" spans="1:9" x14ac:dyDescent="0.25">
      <c r="A4033" s="40" t="s">
        <v>85</v>
      </c>
      <c r="B4033" s="28">
        <v>4286</v>
      </c>
      <c r="C4033" s="28">
        <v>5648197</v>
      </c>
      <c r="D4033" s="28" t="s">
        <v>37</v>
      </c>
      <c r="E4033" s="41">
        <v>46145</v>
      </c>
      <c r="F4033" s="47">
        <v>0.31853009259259257</v>
      </c>
      <c r="G4033" s="44">
        <v>6.3</v>
      </c>
      <c r="H4033" s="43" t="s">
        <v>234</v>
      </c>
      <c r="I4033" s="40" t="s">
        <v>1282</v>
      </c>
    </row>
    <row r="4034" spans="1:9" x14ac:dyDescent="0.25">
      <c r="A4034" s="40" t="s">
        <v>85</v>
      </c>
      <c r="B4034" s="28">
        <v>4286</v>
      </c>
      <c r="C4034" s="28">
        <v>5648428</v>
      </c>
      <c r="D4034" s="28" t="s">
        <v>36</v>
      </c>
      <c r="E4034" s="41">
        <v>46145</v>
      </c>
      <c r="F4034" s="47">
        <v>0.42159722222222223</v>
      </c>
      <c r="G4034" s="44">
        <v>6.3</v>
      </c>
      <c r="H4034" s="43" t="s">
        <v>236</v>
      </c>
      <c r="I4034" s="40" t="s">
        <v>1282</v>
      </c>
    </row>
    <row r="4035" spans="1:9" x14ac:dyDescent="0.25">
      <c r="A4035" s="40" t="s">
        <v>85</v>
      </c>
      <c r="B4035" s="28">
        <v>4286</v>
      </c>
      <c r="C4035" s="28" t="s">
        <v>35</v>
      </c>
      <c r="D4035" s="28" t="s">
        <v>38</v>
      </c>
      <c r="E4035" s="41">
        <v>46145</v>
      </c>
      <c r="F4035" s="47">
        <v>0.44635416666666666</v>
      </c>
      <c r="G4035" s="44">
        <v>6.3</v>
      </c>
      <c r="H4035" s="43" t="s">
        <v>237</v>
      </c>
      <c r="I4035" s="40" t="s">
        <v>1282</v>
      </c>
    </row>
    <row r="4036" spans="1:9" x14ac:dyDescent="0.25">
      <c r="A4036" s="40" t="s">
        <v>1120</v>
      </c>
      <c r="B4036" s="28">
        <v>4290</v>
      </c>
      <c r="C4036" s="28" t="s">
        <v>1121</v>
      </c>
      <c r="D4036" s="28"/>
      <c r="E4036" s="45">
        <v>46140</v>
      </c>
      <c r="F4036" s="48">
        <v>0.95179398148148153</v>
      </c>
      <c r="G4036" s="44">
        <v>6.3</v>
      </c>
      <c r="H4036" s="43" t="s">
        <v>235</v>
      </c>
      <c r="I4036" s="40" t="s">
        <v>1281</v>
      </c>
    </row>
    <row r="4037" spans="1:9" x14ac:dyDescent="0.25">
      <c r="A4037" s="40" t="s">
        <v>1120</v>
      </c>
      <c r="B4037" s="28">
        <v>4290</v>
      </c>
      <c r="C4037" s="28" t="s">
        <v>1121</v>
      </c>
      <c r="D4037" s="28"/>
      <c r="E4037" s="41">
        <v>46140</v>
      </c>
      <c r="F4037" s="47">
        <v>0.9591898148148148</v>
      </c>
      <c r="G4037" s="44">
        <v>6.3</v>
      </c>
      <c r="H4037" s="43" t="s">
        <v>236</v>
      </c>
      <c r="I4037" s="40" t="s">
        <v>1281</v>
      </c>
    </row>
    <row r="4038" spans="1:9" x14ac:dyDescent="0.25">
      <c r="A4038" s="40" t="s">
        <v>1120</v>
      </c>
      <c r="B4038" s="28">
        <v>4290</v>
      </c>
      <c r="C4038" s="28">
        <v>5645255</v>
      </c>
      <c r="D4038" s="28"/>
      <c r="E4038" s="41">
        <v>46142</v>
      </c>
      <c r="F4038" s="47">
        <v>0.80284722222222227</v>
      </c>
      <c r="G4038" s="44">
        <v>6.3</v>
      </c>
      <c r="H4038" s="43" t="s">
        <v>235</v>
      </c>
      <c r="I4038" s="40" t="s">
        <v>1281</v>
      </c>
    </row>
    <row r="4039" spans="1:9" x14ac:dyDescent="0.25">
      <c r="A4039" s="40" t="s">
        <v>1120</v>
      </c>
      <c r="B4039" s="28">
        <v>4290</v>
      </c>
      <c r="C4039" s="28">
        <v>5645255</v>
      </c>
      <c r="D4039" s="28"/>
      <c r="E4039" s="41">
        <v>46142</v>
      </c>
      <c r="F4039" s="47">
        <v>0.81371527777777775</v>
      </c>
      <c r="G4039" s="44">
        <v>6.3</v>
      </c>
      <c r="H4039" s="43" t="s">
        <v>236</v>
      </c>
      <c r="I4039" s="40" t="s">
        <v>1281</v>
      </c>
    </row>
    <row r="4040" spans="1:9" x14ac:dyDescent="0.25">
      <c r="A4040" s="40" t="s">
        <v>1122</v>
      </c>
      <c r="B4040" s="28">
        <v>4294</v>
      </c>
      <c r="C4040" s="28" t="s">
        <v>1123</v>
      </c>
      <c r="D4040" s="28"/>
      <c r="E4040" s="41">
        <v>46140</v>
      </c>
      <c r="F4040" s="47">
        <v>0.28947916666666668</v>
      </c>
      <c r="G4040" s="42">
        <v>6.3</v>
      </c>
      <c r="H4040" s="40" t="s">
        <v>233</v>
      </c>
      <c r="I4040" s="40" t="s">
        <v>1281</v>
      </c>
    </row>
    <row r="4041" spans="1:9" x14ac:dyDescent="0.25">
      <c r="A4041" s="40" t="s">
        <v>1122</v>
      </c>
      <c r="B4041" s="28">
        <v>4294</v>
      </c>
      <c r="C4041" s="28" t="s">
        <v>1123</v>
      </c>
      <c r="D4041" s="28"/>
      <c r="E4041" s="45">
        <v>46140</v>
      </c>
      <c r="F4041" s="48">
        <v>0.29521990740740739</v>
      </c>
      <c r="G4041" s="42">
        <v>6.3</v>
      </c>
      <c r="H4041" s="40" t="s">
        <v>234</v>
      </c>
      <c r="I4041" s="40" t="s">
        <v>1281</v>
      </c>
    </row>
    <row r="4042" spans="1:9" x14ac:dyDescent="0.25">
      <c r="A4042" s="40" t="s">
        <v>1122</v>
      </c>
      <c r="B4042" s="28">
        <v>4294</v>
      </c>
      <c r="C4042" s="28" t="s">
        <v>1124</v>
      </c>
      <c r="D4042" s="28"/>
      <c r="E4042" s="41">
        <v>46140</v>
      </c>
      <c r="F4042" s="47">
        <v>0.57892361111111112</v>
      </c>
      <c r="G4042" s="42">
        <v>6.3</v>
      </c>
      <c r="H4042" s="40" t="s">
        <v>235</v>
      </c>
      <c r="I4042" s="40" t="s">
        <v>1281</v>
      </c>
    </row>
    <row r="4043" spans="1:9" x14ac:dyDescent="0.25">
      <c r="A4043" s="40" t="s">
        <v>1122</v>
      </c>
      <c r="B4043" s="28">
        <v>4294</v>
      </c>
      <c r="C4043" s="28" t="s">
        <v>1125</v>
      </c>
      <c r="D4043" s="28"/>
      <c r="E4043" s="45">
        <v>46141</v>
      </c>
      <c r="F4043" s="48">
        <v>0.2996064814814815</v>
      </c>
      <c r="G4043" s="44">
        <v>6.3</v>
      </c>
      <c r="H4043" s="43" t="s">
        <v>234</v>
      </c>
      <c r="I4043" s="40" t="s">
        <v>1281</v>
      </c>
    </row>
    <row r="4044" spans="1:9" x14ac:dyDescent="0.25">
      <c r="A4044" s="40" t="s">
        <v>1122</v>
      </c>
      <c r="B4044" s="28">
        <v>4294</v>
      </c>
      <c r="C4044" s="28" t="s">
        <v>1126</v>
      </c>
      <c r="D4044" s="28"/>
      <c r="E4044" s="41">
        <v>46141</v>
      </c>
      <c r="F4044" s="47">
        <v>0.40689814814814818</v>
      </c>
      <c r="G4044" s="44">
        <v>6.3</v>
      </c>
      <c r="H4044" s="43" t="s">
        <v>235</v>
      </c>
      <c r="I4044" s="40" t="s">
        <v>1281</v>
      </c>
    </row>
    <row r="4045" spans="1:9" x14ac:dyDescent="0.25">
      <c r="A4045" s="40" t="s">
        <v>1122</v>
      </c>
      <c r="B4045" s="28">
        <v>4294</v>
      </c>
      <c r="C4045" s="28" t="s">
        <v>1126</v>
      </c>
      <c r="D4045" s="28"/>
      <c r="E4045" s="41">
        <v>46141</v>
      </c>
      <c r="F4045" s="47">
        <v>0.42043981481481479</v>
      </c>
      <c r="G4045" s="44">
        <v>6.3</v>
      </c>
      <c r="H4045" s="43" t="s">
        <v>236</v>
      </c>
      <c r="I4045" s="40" t="s">
        <v>1281</v>
      </c>
    </row>
    <row r="4046" spans="1:9" x14ac:dyDescent="0.25">
      <c r="A4046" s="40" t="s">
        <v>1122</v>
      </c>
      <c r="B4046" s="28">
        <v>4294</v>
      </c>
      <c r="C4046" s="28" t="s">
        <v>1127</v>
      </c>
      <c r="D4046" s="28"/>
      <c r="E4046" s="41">
        <v>46141</v>
      </c>
      <c r="F4046" s="47">
        <v>0.63162037037037033</v>
      </c>
      <c r="G4046" s="44">
        <v>6.3</v>
      </c>
      <c r="H4046" s="43" t="s">
        <v>235</v>
      </c>
      <c r="I4046" s="40" t="s">
        <v>1281</v>
      </c>
    </row>
    <row r="4047" spans="1:9" x14ac:dyDescent="0.25">
      <c r="A4047" s="40" t="s">
        <v>1122</v>
      </c>
      <c r="B4047" s="28">
        <v>4294</v>
      </c>
      <c r="C4047" s="28" t="s">
        <v>35</v>
      </c>
      <c r="D4047" s="28" t="s">
        <v>38</v>
      </c>
      <c r="E4047" s="41">
        <v>46141</v>
      </c>
      <c r="F4047" s="47">
        <v>0.67172453703703705</v>
      </c>
      <c r="G4047" s="44">
        <v>6.3</v>
      </c>
      <c r="H4047" s="43" t="s">
        <v>237</v>
      </c>
      <c r="I4047" s="40" t="s">
        <v>1281</v>
      </c>
    </row>
    <row r="4048" spans="1:9" x14ac:dyDescent="0.25">
      <c r="A4048" s="40" t="s">
        <v>1122</v>
      </c>
      <c r="B4048" s="28">
        <v>4294</v>
      </c>
      <c r="C4048" s="28" t="s">
        <v>1128</v>
      </c>
      <c r="D4048" s="28"/>
      <c r="E4048" s="41">
        <v>46142</v>
      </c>
      <c r="F4048" s="47">
        <v>0.27725694444444443</v>
      </c>
      <c r="G4048" s="44">
        <v>6.3</v>
      </c>
      <c r="H4048" s="43" t="s">
        <v>237</v>
      </c>
      <c r="I4048" s="40" t="s">
        <v>1281</v>
      </c>
    </row>
    <row r="4049" spans="1:9" x14ac:dyDescent="0.25">
      <c r="A4049" s="40" t="s">
        <v>1122</v>
      </c>
      <c r="B4049" s="28">
        <v>4294</v>
      </c>
      <c r="C4049" s="28" t="s">
        <v>1128</v>
      </c>
      <c r="D4049" s="28"/>
      <c r="E4049" s="45">
        <v>46142</v>
      </c>
      <c r="F4049" s="48">
        <v>0.28607638888888887</v>
      </c>
      <c r="G4049" s="44">
        <v>6.3</v>
      </c>
      <c r="H4049" s="43" t="s">
        <v>234</v>
      </c>
      <c r="I4049" s="40" t="s">
        <v>1281</v>
      </c>
    </row>
    <row r="4050" spans="1:9" x14ac:dyDescent="0.25">
      <c r="A4050" s="40" t="s">
        <v>1122</v>
      </c>
      <c r="B4050" s="28">
        <v>4294</v>
      </c>
      <c r="C4050" s="28" t="s">
        <v>1129</v>
      </c>
      <c r="D4050" s="28"/>
      <c r="E4050" s="41">
        <v>46142</v>
      </c>
      <c r="F4050" s="47">
        <v>0.39878472222222222</v>
      </c>
      <c r="G4050" s="44">
        <v>6.3</v>
      </c>
      <c r="H4050" s="43" t="s">
        <v>235</v>
      </c>
      <c r="I4050" s="40" t="s">
        <v>1281</v>
      </c>
    </row>
    <row r="4051" spans="1:9" x14ac:dyDescent="0.25">
      <c r="A4051" s="40" t="s">
        <v>1122</v>
      </c>
      <c r="B4051" s="28">
        <v>4294</v>
      </c>
      <c r="C4051" s="28" t="s">
        <v>1130</v>
      </c>
      <c r="D4051" s="28"/>
      <c r="E4051" s="45">
        <v>46142</v>
      </c>
      <c r="F4051" s="48">
        <v>0.47923611111111108</v>
      </c>
      <c r="G4051" s="44">
        <v>6.3</v>
      </c>
      <c r="H4051" s="43" t="s">
        <v>234</v>
      </c>
      <c r="I4051" s="40" t="s">
        <v>1281</v>
      </c>
    </row>
    <row r="4052" spans="1:9" x14ac:dyDescent="0.25">
      <c r="A4052" s="40" t="s">
        <v>1122</v>
      </c>
      <c r="B4052" s="28">
        <v>4294</v>
      </c>
      <c r="C4052" s="28" t="s">
        <v>1131</v>
      </c>
      <c r="D4052" s="28"/>
      <c r="E4052" s="41">
        <v>46143</v>
      </c>
      <c r="F4052" s="47">
        <v>0.22877314814814814</v>
      </c>
      <c r="G4052" s="44">
        <v>6.3</v>
      </c>
      <c r="H4052" s="43" t="s">
        <v>234</v>
      </c>
      <c r="I4052" s="40" t="s">
        <v>1282</v>
      </c>
    </row>
    <row r="4053" spans="1:9" x14ac:dyDescent="0.25">
      <c r="A4053" s="40" t="s">
        <v>1122</v>
      </c>
      <c r="B4053" s="28">
        <v>4294</v>
      </c>
      <c r="C4053" s="28" t="s">
        <v>1132</v>
      </c>
      <c r="D4053" s="28"/>
      <c r="E4053" s="41">
        <v>46143</v>
      </c>
      <c r="F4053" s="47">
        <v>0.33579861111111109</v>
      </c>
      <c r="G4053" s="44">
        <v>6.3</v>
      </c>
      <c r="H4053" s="43" t="s">
        <v>235</v>
      </c>
      <c r="I4053" s="40" t="s">
        <v>1282</v>
      </c>
    </row>
    <row r="4054" spans="1:9" x14ac:dyDescent="0.25">
      <c r="A4054" s="40" t="s">
        <v>1122</v>
      </c>
      <c r="B4054" s="28">
        <v>4294</v>
      </c>
      <c r="C4054" s="28" t="s">
        <v>1132</v>
      </c>
      <c r="D4054" s="28"/>
      <c r="E4054" s="41">
        <v>46143</v>
      </c>
      <c r="F4054" s="47">
        <v>0.34282407407407406</v>
      </c>
      <c r="G4054" s="44">
        <v>6.3</v>
      </c>
      <c r="H4054" s="43" t="s">
        <v>236</v>
      </c>
      <c r="I4054" s="40" t="s">
        <v>1282</v>
      </c>
    </row>
    <row r="4055" spans="1:9" x14ac:dyDescent="0.25">
      <c r="A4055" s="40" t="s">
        <v>1122</v>
      </c>
      <c r="B4055" s="28">
        <v>4294</v>
      </c>
      <c r="C4055" s="28" t="s">
        <v>1133</v>
      </c>
      <c r="D4055" s="28"/>
      <c r="E4055" s="41">
        <v>46143</v>
      </c>
      <c r="F4055" s="47">
        <v>0.4026851851851852</v>
      </c>
      <c r="G4055" s="44">
        <v>6.3</v>
      </c>
      <c r="H4055" s="43" t="s">
        <v>237</v>
      </c>
      <c r="I4055" s="40" t="s">
        <v>1282</v>
      </c>
    </row>
    <row r="4056" spans="1:9" x14ac:dyDescent="0.25">
      <c r="A4056" s="40" t="s">
        <v>1122</v>
      </c>
      <c r="B4056" s="28">
        <v>4294</v>
      </c>
      <c r="C4056" s="28" t="s">
        <v>1133</v>
      </c>
      <c r="D4056" s="28"/>
      <c r="E4056" s="41">
        <v>46143</v>
      </c>
      <c r="F4056" s="47">
        <v>0.40778935185185183</v>
      </c>
      <c r="G4056" s="44">
        <v>6.3</v>
      </c>
      <c r="H4056" s="43" t="s">
        <v>234</v>
      </c>
      <c r="I4056" s="40" t="s">
        <v>1282</v>
      </c>
    </row>
    <row r="4057" spans="1:9" x14ac:dyDescent="0.25">
      <c r="A4057" s="40" t="s">
        <v>1122</v>
      </c>
      <c r="B4057" s="28">
        <v>4294</v>
      </c>
      <c r="C4057" s="28" t="s">
        <v>1134</v>
      </c>
      <c r="D4057" s="28"/>
      <c r="E4057" s="41">
        <v>46144</v>
      </c>
      <c r="F4057" s="47">
        <v>0.27045138888888887</v>
      </c>
      <c r="G4057" s="42">
        <v>6.3</v>
      </c>
      <c r="H4057" s="40" t="s">
        <v>237</v>
      </c>
      <c r="I4057" s="40" t="s">
        <v>1282</v>
      </c>
    </row>
    <row r="4058" spans="1:9" x14ac:dyDescent="0.25">
      <c r="A4058" s="40" t="s">
        <v>1122</v>
      </c>
      <c r="B4058" s="28">
        <v>4294</v>
      </c>
      <c r="C4058" s="28" t="s">
        <v>1134</v>
      </c>
      <c r="D4058" s="28"/>
      <c r="E4058" s="41">
        <v>46144</v>
      </c>
      <c r="F4058" s="47">
        <v>0.27562500000000001</v>
      </c>
      <c r="G4058" s="42">
        <v>6.3</v>
      </c>
      <c r="H4058" s="40" t="s">
        <v>234</v>
      </c>
      <c r="I4058" s="40" t="s">
        <v>1282</v>
      </c>
    </row>
    <row r="4059" spans="1:9" x14ac:dyDescent="0.25">
      <c r="A4059" s="40" t="s">
        <v>1135</v>
      </c>
      <c r="B4059" s="28">
        <v>4295</v>
      </c>
      <c r="C4059" s="28">
        <v>5648030</v>
      </c>
      <c r="D4059" s="28" t="s">
        <v>37</v>
      </c>
      <c r="E4059" s="41">
        <v>46144</v>
      </c>
      <c r="F4059" s="47">
        <v>0.9728472222222222</v>
      </c>
      <c r="G4059" s="42">
        <v>6.3</v>
      </c>
      <c r="H4059" s="40" t="s">
        <v>234</v>
      </c>
      <c r="I4059" s="40" t="s">
        <v>1282</v>
      </c>
    </row>
    <row r="4060" spans="1:9" x14ac:dyDescent="0.25">
      <c r="A4060" s="40" t="s">
        <v>1136</v>
      </c>
      <c r="B4060" s="28">
        <v>4297</v>
      </c>
      <c r="C4060" s="28" t="s">
        <v>1137</v>
      </c>
      <c r="D4060" s="28"/>
      <c r="E4060" s="45">
        <v>46142</v>
      </c>
      <c r="F4060" s="48">
        <v>0.30162037037037037</v>
      </c>
      <c r="G4060" s="42">
        <v>6.3</v>
      </c>
      <c r="H4060" s="40" t="s">
        <v>234</v>
      </c>
      <c r="I4060" s="40" t="s">
        <v>1281</v>
      </c>
    </row>
    <row r="4061" spans="1:9" x14ac:dyDescent="0.25">
      <c r="A4061" s="40" t="s">
        <v>1136</v>
      </c>
      <c r="B4061" s="28">
        <v>4297</v>
      </c>
      <c r="C4061" s="28" t="s">
        <v>1138</v>
      </c>
      <c r="D4061" s="28"/>
      <c r="E4061" s="41">
        <v>46142</v>
      </c>
      <c r="F4061" s="47">
        <v>0.52462962962962967</v>
      </c>
      <c r="G4061" s="44">
        <v>6.3</v>
      </c>
      <c r="H4061" s="43" t="s">
        <v>237</v>
      </c>
      <c r="I4061" s="40" t="s">
        <v>1281</v>
      </c>
    </row>
    <row r="4062" spans="1:9" x14ac:dyDescent="0.25">
      <c r="A4062" s="40" t="s">
        <v>1136</v>
      </c>
      <c r="B4062" s="28">
        <v>4297</v>
      </c>
      <c r="C4062" s="28" t="s">
        <v>1138</v>
      </c>
      <c r="D4062" s="28"/>
      <c r="E4062" s="41">
        <v>46142</v>
      </c>
      <c r="F4062" s="47">
        <v>0.53199074074074071</v>
      </c>
      <c r="G4062" s="44">
        <v>6.3</v>
      </c>
      <c r="H4062" s="43" t="s">
        <v>234</v>
      </c>
      <c r="I4062" s="40" t="s">
        <v>1281</v>
      </c>
    </row>
    <row r="4063" spans="1:9" x14ac:dyDescent="0.25">
      <c r="A4063" s="40" t="s">
        <v>1139</v>
      </c>
      <c r="B4063" s="28">
        <v>4300</v>
      </c>
      <c r="C4063" s="28">
        <v>5638277</v>
      </c>
      <c r="D4063" s="28"/>
      <c r="E4063" s="41">
        <v>46139</v>
      </c>
      <c r="F4063" s="47">
        <v>0.57874999999999999</v>
      </c>
      <c r="G4063" s="44">
        <v>6.3</v>
      </c>
      <c r="H4063" s="43" t="s">
        <v>237</v>
      </c>
      <c r="I4063" s="40" t="s">
        <v>1281</v>
      </c>
    </row>
    <row r="4064" spans="1:9" x14ac:dyDescent="0.25">
      <c r="A4064" s="40" t="s">
        <v>1139</v>
      </c>
      <c r="B4064" s="28">
        <v>4300</v>
      </c>
      <c r="C4064" s="28">
        <v>5638727</v>
      </c>
      <c r="D4064" s="28"/>
      <c r="E4064" s="41">
        <v>46139</v>
      </c>
      <c r="F4064" s="47">
        <v>0.69807870370370373</v>
      </c>
      <c r="G4064" s="44">
        <v>6.3</v>
      </c>
      <c r="H4064" s="43" t="s">
        <v>236</v>
      </c>
      <c r="I4064" s="40" t="s">
        <v>1281</v>
      </c>
    </row>
    <row r="4065" spans="1:9" x14ac:dyDescent="0.25">
      <c r="A4065" s="40" t="s">
        <v>1139</v>
      </c>
      <c r="B4065" s="28">
        <v>4300</v>
      </c>
      <c r="C4065" s="28">
        <v>5638932</v>
      </c>
      <c r="D4065" s="28"/>
      <c r="E4065" s="41">
        <v>46140</v>
      </c>
      <c r="F4065" s="47">
        <v>0.40001157407407406</v>
      </c>
      <c r="G4065" s="44">
        <v>6.3</v>
      </c>
      <c r="H4065" s="43" t="s">
        <v>235</v>
      </c>
      <c r="I4065" s="40" t="s">
        <v>1281</v>
      </c>
    </row>
    <row r="4066" spans="1:9" x14ac:dyDescent="0.25">
      <c r="A4066" s="40" t="s">
        <v>1139</v>
      </c>
      <c r="B4066" s="28">
        <v>4300</v>
      </c>
      <c r="C4066" s="28">
        <v>5638932</v>
      </c>
      <c r="D4066" s="28"/>
      <c r="E4066" s="41">
        <v>46140</v>
      </c>
      <c r="F4066" s="47">
        <v>0.41648148148148151</v>
      </c>
      <c r="G4066" s="44">
        <v>6.3</v>
      </c>
      <c r="H4066" s="43" t="s">
        <v>239</v>
      </c>
      <c r="I4066" s="40" t="s">
        <v>1281</v>
      </c>
    </row>
    <row r="4067" spans="1:9" x14ac:dyDescent="0.25">
      <c r="A4067" s="40" t="s">
        <v>1139</v>
      </c>
      <c r="B4067" s="28">
        <v>4300</v>
      </c>
      <c r="C4067" s="28">
        <v>5637120</v>
      </c>
      <c r="D4067" s="28"/>
      <c r="E4067" s="41">
        <v>46140</v>
      </c>
      <c r="F4067" s="47">
        <v>0.46810185185185182</v>
      </c>
      <c r="G4067" s="44">
        <v>6.3</v>
      </c>
      <c r="H4067" s="43" t="s">
        <v>233</v>
      </c>
      <c r="I4067" s="40" t="s">
        <v>1281</v>
      </c>
    </row>
    <row r="4068" spans="1:9" x14ac:dyDescent="0.25">
      <c r="A4068" s="40" t="s">
        <v>1139</v>
      </c>
      <c r="B4068" s="28">
        <v>4300</v>
      </c>
      <c r="C4068" s="28">
        <v>5637120</v>
      </c>
      <c r="D4068" s="28"/>
      <c r="E4068" s="41">
        <v>46140</v>
      </c>
      <c r="F4068" s="47">
        <v>0.47803240740740743</v>
      </c>
      <c r="G4068" s="44">
        <v>6.3</v>
      </c>
      <c r="H4068" s="43" t="s">
        <v>234</v>
      </c>
      <c r="I4068" s="40" t="s">
        <v>1281</v>
      </c>
    </row>
    <row r="4069" spans="1:9" x14ac:dyDescent="0.25">
      <c r="A4069" s="40" t="s">
        <v>1140</v>
      </c>
      <c r="B4069" s="28">
        <v>4302</v>
      </c>
      <c r="C4069" s="28" t="s">
        <v>1141</v>
      </c>
      <c r="D4069" s="28"/>
      <c r="E4069" s="41">
        <v>46139</v>
      </c>
      <c r="F4069" s="47">
        <v>0.25784722222222223</v>
      </c>
      <c r="G4069" s="44">
        <v>6.3</v>
      </c>
      <c r="H4069" s="43" t="s">
        <v>238</v>
      </c>
      <c r="I4069" s="40" t="s">
        <v>1281</v>
      </c>
    </row>
    <row r="4070" spans="1:9" x14ac:dyDescent="0.25">
      <c r="A4070" s="40" t="s">
        <v>1140</v>
      </c>
      <c r="B4070" s="28">
        <v>4302</v>
      </c>
      <c r="C4070" s="28" t="s">
        <v>1141</v>
      </c>
      <c r="D4070" s="28"/>
      <c r="E4070" s="41">
        <v>46139</v>
      </c>
      <c r="F4070" s="47">
        <v>0.26256944444444447</v>
      </c>
      <c r="G4070" s="44">
        <v>6.3</v>
      </c>
      <c r="H4070" s="43" t="s">
        <v>234</v>
      </c>
      <c r="I4070" s="40" t="s">
        <v>1281</v>
      </c>
    </row>
    <row r="4071" spans="1:9" x14ac:dyDescent="0.25">
      <c r="A4071" s="40" t="s">
        <v>1140</v>
      </c>
      <c r="B4071" s="28">
        <v>4302</v>
      </c>
      <c r="C4071" s="28" t="s">
        <v>1142</v>
      </c>
      <c r="D4071" s="28"/>
      <c r="E4071" s="41">
        <v>46139</v>
      </c>
      <c r="F4071" s="47">
        <v>0.74995370370370373</v>
      </c>
      <c r="G4071" s="44">
        <v>6.3</v>
      </c>
      <c r="H4071" s="43" t="s">
        <v>235</v>
      </c>
      <c r="I4071" s="40" t="s">
        <v>1281</v>
      </c>
    </row>
    <row r="4072" spans="1:9" x14ac:dyDescent="0.25">
      <c r="A4072" s="40" t="s">
        <v>1140</v>
      </c>
      <c r="B4072" s="28">
        <v>4302</v>
      </c>
      <c r="C4072" s="28" t="s">
        <v>1142</v>
      </c>
      <c r="D4072" s="28"/>
      <c r="E4072" s="41">
        <v>46139</v>
      </c>
      <c r="F4072" s="47">
        <v>0.76528935185185187</v>
      </c>
      <c r="G4072" s="44">
        <v>6.3</v>
      </c>
      <c r="H4072" s="43" t="s">
        <v>236</v>
      </c>
      <c r="I4072" s="40" t="s">
        <v>1281</v>
      </c>
    </row>
    <row r="4073" spans="1:9" x14ac:dyDescent="0.25">
      <c r="A4073" s="40" t="s">
        <v>1140</v>
      </c>
      <c r="B4073" s="28">
        <v>4302</v>
      </c>
      <c r="C4073" s="28" t="s">
        <v>1143</v>
      </c>
      <c r="D4073" s="28"/>
      <c r="E4073" s="41">
        <v>46140</v>
      </c>
      <c r="F4073" s="47">
        <v>0.34835648148148146</v>
      </c>
      <c r="G4073" s="44">
        <v>6.3</v>
      </c>
      <c r="H4073" s="43" t="s">
        <v>237</v>
      </c>
      <c r="I4073" s="40" t="s">
        <v>1281</v>
      </c>
    </row>
    <row r="4074" spans="1:9" x14ac:dyDescent="0.25">
      <c r="A4074" s="40" t="s">
        <v>1140</v>
      </c>
      <c r="B4074" s="28">
        <v>4302</v>
      </c>
      <c r="C4074" s="28" t="s">
        <v>1143</v>
      </c>
      <c r="D4074" s="28"/>
      <c r="E4074" s="41">
        <v>46140</v>
      </c>
      <c r="F4074" s="47">
        <v>0.36070601851851852</v>
      </c>
      <c r="G4074" s="44">
        <v>6.3</v>
      </c>
      <c r="H4074" s="43" t="s">
        <v>234</v>
      </c>
      <c r="I4074" s="40" t="s">
        <v>1281</v>
      </c>
    </row>
    <row r="4075" spans="1:9" x14ac:dyDescent="0.25">
      <c r="A4075" s="40" t="s">
        <v>1140</v>
      </c>
      <c r="B4075" s="28">
        <v>4302</v>
      </c>
      <c r="C4075" s="28" t="s">
        <v>1144</v>
      </c>
      <c r="D4075" s="28"/>
      <c r="E4075" s="41">
        <v>46140</v>
      </c>
      <c r="F4075" s="47">
        <v>0.62724537037037043</v>
      </c>
      <c r="G4075" s="44">
        <v>6.3</v>
      </c>
      <c r="H4075" s="43" t="s">
        <v>235</v>
      </c>
      <c r="I4075" s="40" t="s">
        <v>1281</v>
      </c>
    </row>
    <row r="4076" spans="1:9" x14ac:dyDescent="0.25">
      <c r="A4076" s="40" t="s">
        <v>1140</v>
      </c>
      <c r="B4076" s="28">
        <v>4302</v>
      </c>
      <c r="C4076" s="28" t="s">
        <v>1144</v>
      </c>
      <c r="D4076" s="28"/>
      <c r="E4076" s="41">
        <v>46140</v>
      </c>
      <c r="F4076" s="47">
        <v>0.63692129629629635</v>
      </c>
      <c r="G4076" s="42">
        <v>6.3</v>
      </c>
      <c r="H4076" s="40" t="s">
        <v>239</v>
      </c>
      <c r="I4076" s="40" t="s">
        <v>1281</v>
      </c>
    </row>
    <row r="4077" spans="1:9" x14ac:dyDescent="0.25">
      <c r="A4077" s="40" t="s">
        <v>1140</v>
      </c>
      <c r="B4077" s="28">
        <v>4302</v>
      </c>
      <c r="C4077" s="28" t="s">
        <v>1145</v>
      </c>
      <c r="D4077" s="28"/>
      <c r="E4077" s="41">
        <v>46141</v>
      </c>
      <c r="F4077" s="47">
        <v>0.26943287037037039</v>
      </c>
      <c r="G4077" s="42">
        <v>6.3</v>
      </c>
      <c r="H4077" s="40" t="s">
        <v>237</v>
      </c>
      <c r="I4077" s="40" t="s">
        <v>1281</v>
      </c>
    </row>
    <row r="4078" spans="1:9" x14ac:dyDescent="0.25">
      <c r="A4078" s="40" t="s">
        <v>1140</v>
      </c>
      <c r="B4078" s="28">
        <v>4302</v>
      </c>
      <c r="C4078" s="28" t="s">
        <v>1145</v>
      </c>
      <c r="D4078" s="28"/>
      <c r="E4078" s="41">
        <v>46141</v>
      </c>
      <c r="F4078" s="47">
        <v>0.27533564814814815</v>
      </c>
      <c r="G4078" s="42">
        <v>6.3</v>
      </c>
      <c r="H4078" s="40" t="s">
        <v>234</v>
      </c>
      <c r="I4078" s="40" t="s">
        <v>1281</v>
      </c>
    </row>
    <row r="4079" spans="1:9" x14ac:dyDescent="0.25">
      <c r="A4079" s="40" t="s">
        <v>1140</v>
      </c>
      <c r="B4079" s="28">
        <v>4302</v>
      </c>
      <c r="C4079" s="28" t="s">
        <v>1146</v>
      </c>
      <c r="D4079" s="28"/>
      <c r="E4079" s="41">
        <v>46141</v>
      </c>
      <c r="F4079" s="47">
        <v>0.66290509259259256</v>
      </c>
      <c r="G4079" s="42">
        <v>6.3</v>
      </c>
      <c r="H4079" s="40" t="s">
        <v>235</v>
      </c>
      <c r="I4079" s="40" t="s">
        <v>1281</v>
      </c>
    </row>
    <row r="4080" spans="1:9" x14ac:dyDescent="0.25">
      <c r="A4080" s="40" t="s">
        <v>1140</v>
      </c>
      <c r="B4080" s="28">
        <v>4302</v>
      </c>
      <c r="C4080" s="28" t="s">
        <v>1146</v>
      </c>
      <c r="D4080" s="28"/>
      <c r="E4080" s="41">
        <v>46141</v>
      </c>
      <c r="F4080" s="47">
        <v>0.67868055555555551</v>
      </c>
      <c r="G4080" s="44">
        <v>6.3</v>
      </c>
      <c r="H4080" s="43" t="s">
        <v>236</v>
      </c>
      <c r="I4080" s="40" t="s">
        <v>1281</v>
      </c>
    </row>
    <row r="4081" spans="1:9" x14ac:dyDescent="0.25">
      <c r="A4081" s="40" t="s">
        <v>1140</v>
      </c>
      <c r="B4081" s="28">
        <v>4302</v>
      </c>
      <c r="C4081" s="28" t="s">
        <v>1147</v>
      </c>
      <c r="D4081" s="28"/>
      <c r="E4081" s="41">
        <v>46142</v>
      </c>
      <c r="F4081" s="47">
        <v>0.24748842592592593</v>
      </c>
      <c r="G4081" s="44">
        <v>6.3</v>
      </c>
      <c r="H4081" s="43" t="s">
        <v>238</v>
      </c>
      <c r="I4081" s="40" t="s">
        <v>1281</v>
      </c>
    </row>
    <row r="4082" spans="1:9" x14ac:dyDescent="0.25">
      <c r="A4082" s="40" t="s">
        <v>1140</v>
      </c>
      <c r="B4082" s="28">
        <v>4302</v>
      </c>
      <c r="C4082" s="28" t="s">
        <v>1147</v>
      </c>
      <c r="D4082" s="28"/>
      <c r="E4082" s="45">
        <v>46142</v>
      </c>
      <c r="F4082" s="48">
        <v>0.25189814814814815</v>
      </c>
      <c r="G4082" s="44">
        <v>6.3</v>
      </c>
      <c r="H4082" s="43" t="s">
        <v>234</v>
      </c>
      <c r="I4082" s="40" t="s">
        <v>1281</v>
      </c>
    </row>
    <row r="4083" spans="1:9" x14ac:dyDescent="0.25">
      <c r="A4083" s="40" t="s">
        <v>1140</v>
      </c>
      <c r="B4083" s="28">
        <v>4302</v>
      </c>
      <c r="C4083" s="28" t="s">
        <v>1148</v>
      </c>
      <c r="D4083" s="28"/>
      <c r="E4083" s="41">
        <v>46142</v>
      </c>
      <c r="F4083" s="47">
        <v>0.3926736111111111</v>
      </c>
      <c r="G4083" s="44">
        <v>6.3</v>
      </c>
      <c r="H4083" s="43" t="s">
        <v>237</v>
      </c>
      <c r="I4083" s="40" t="s">
        <v>1281</v>
      </c>
    </row>
    <row r="4084" spans="1:9" x14ac:dyDescent="0.25">
      <c r="A4084" s="40" t="s">
        <v>1140</v>
      </c>
      <c r="B4084" s="28">
        <v>4302</v>
      </c>
      <c r="C4084" s="28" t="s">
        <v>1148</v>
      </c>
      <c r="D4084" s="28"/>
      <c r="E4084" s="41">
        <v>46142</v>
      </c>
      <c r="F4084" s="47">
        <v>0.3995023148148148</v>
      </c>
      <c r="G4084" s="44">
        <v>6.3</v>
      </c>
      <c r="H4084" s="43" t="s">
        <v>234</v>
      </c>
      <c r="I4084" s="40" t="s">
        <v>1281</v>
      </c>
    </row>
    <row r="4085" spans="1:9" x14ac:dyDescent="0.25">
      <c r="A4085" s="40" t="s">
        <v>1140</v>
      </c>
      <c r="B4085" s="28">
        <v>4302</v>
      </c>
      <c r="C4085" s="28" t="s">
        <v>35</v>
      </c>
      <c r="D4085" s="28" t="s">
        <v>38</v>
      </c>
      <c r="E4085" s="41">
        <v>46142</v>
      </c>
      <c r="F4085" s="47">
        <v>0.45295138888888886</v>
      </c>
      <c r="G4085" s="44">
        <v>6.3</v>
      </c>
      <c r="H4085" s="43" t="s">
        <v>235</v>
      </c>
      <c r="I4085" s="40" t="s">
        <v>1281</v>
      </c>
    </row>
    <row r="4086" spans="1:9" x14ac:dyDescent="0.25">
      <c r="A4086" s="40" t="s">
        <v>1140</v>
      </c>
      <c r="B4086" s="28">
        <v>4302</v>
      </c>
      <c r="C4086" s="28" t="s">
        <v>1149</v>
      </c>
      <c r="D4086" s="28"/>
      <c r="E4086" s="41">
        <v>46142</v>
      </c>
      <c r="F4086" s="47">
        <v>0.54093749999999996</v>
      </c>
      <c r="G4086" s="44">
        <v>6.3</v>
      </c>
      <c r="H4086" s="43" t="s">
        <v>237</v>
      </c>
      <c r="I4086" s="40" t="s">
        <v>1281</v>
      </c>
    </row>
    <row r="4087" spans="1:9" x14ac:dyDescent="0.25">
      <c r="A4087" s="40" t="s">
        <v>1140</v>
      </c>
      <c r="B4087" s="28">
        <v>4302</v>
      </c>
      <c r="C4087" s="28" t="s">
        <v>1149</v>
      </c>
      <c r="D4087" s="28"/>
      <c r="E4087" s="45">
        <v>46142</v>
      </c>
      <c r="F4087" s="48">
        <v>0.54674768518518524</v>
      </c>
      <c r="G4087" s="44">
        <v>6.3</v>
      </c>
      <c r="H4087" s="43" t="s">
        <v>234</v>
      </c>
      <c r="I4087" s="40" t="s">
        <v>1281</v>
      </c>
    </row>
    <row r="4088" spans="1:9" x14ac:dyDescent="0.25">
      <c r="A4088" s="40" t="s">
        <v>1140</v>
      </c>
      <c r="B4088" s="28">
        <v>4302</v>
      </c>
      <c r="C4088" s="28" t="s">
        <v>35</v>
      </c>
      <c r="D4088" s="28" t="s">
        <v>38</v>
      </c>
      <c r="E4088" s="45">
        <v>46142</v>
      </c>
      <c r="F4088" s="48">
        <v>0.73145833333333332</v>
      </c>
      <c r="G4088" s="44">
        <v>6.3</v>
      </c>
      <c r="H4088" s="43" t="s">
        <v>235</v>
      </c>
      <c r="I4088" s="40" t="s">
        <v>1281</v>
      </c>
    </row>
    <row r="4089" spans="1:9" x14ac:dyDescent="0.25">
      <c r="A4089" s="40" t="s">
        <v>1140</v>
      </c>
      <c r="B4089" s="28">
        <v>4302</v>
      </c>
      <c r="C4089" s="28" t="s">
        <v>1150</v>
      </c>
      <c r="D4089" s="28"/>
      <c r="E4089" s="41">
        <v>46143</v>
      </c>
      <c r="F4089" s="47">
        <v>0.23725694444444445</v>
      </c>
      <c r="G4089" s="44">
        <v>6.3</v>
      </c>
      <c r="H4089" s="43" t="s">
        <v>233</v>
      </c>
      <c r="I4089" s="40" t="s">
        <v>1282</v>
      </c>
    </row>
    <row r="4090" spans="1:9" x14ac:dyDescent="0.25">
      <c r="A4090" s="40" t="s">
        <v>1140</v>
      </c>
      <c r="B4090" s="28">
        <v>4302</v>
      </c>
      <c r="C4090" s="28" t="s">
        <v>1150</v>
      </c>
      <c r="D4090" s="28"/>
      <c r="E4090" s="41">
        <v>46143</v>
      </c>
      <c r="F4090" s="47">
        <v>0.2424537037037037</v>
      </c>
      <c r="G4090" s="44">
        <v>6.3</v>
      </c>
      <c r="H4090" s="43" t="s">
        <v>234</v>
      </c>
      <c r="I4090" s="40" t="s">
        <v>1282</v>
      </c>
    </row>
    <row r="4091" spans="1:9" x14ac:dyDescent="0.25">
      <c r="A4091" s="40" t="s">
        <v>1151</v>
      </c>
      <c r="B4091" s="28">
        <v>4306</v>
      </c>
      <c r="C4091" s="28" t="s">
        <v>1152</v>
      </c>
      <c r="D4091" s="28"/>
      <c r="E4091" s="41">
        <v>46139</v>
      </c>
      <c r="F4091" s="47">
        <v>0.77565972222222224</v>
      </c>
      <c r="G4091" s="44">
        <v>6.3</v>
      </c>
      <c r="H4091" s="43" t="s">
        <v>235</v>
      </c>
      <c r="I4091" s="40" t="s">
        <v>1281</v>
      </c>
    </row>
    <row r="4092" spans="1:9" x14ac:dyDescent="0.25">
      <c r="A4092" s="40" t="s">
        <v>1151</v>
      </c>
      <c r="B4092" s="28">
        <v>4306</v>
      </c>
      <c r="C4092" s="28" t="s">
        <v>1152</v>
      </c>
      <c r="D4092" s="28"/>
      <c r="E4092" s="41">
        <v>46139</v>
      </c>
      <c r="F4092" s="47">
        <v>0.78848379629629628</v>
      </c>
      <c r="G4092" s="44">
        <v>6.3</v>
      </c>
      <c r="H4092" s="43" t="s">
        <v>236</v>
      </c>
      <c r="I4092" s="40" t="s">
        <v>1281</v>
      </c>
    </row>
    <row r="4093" spans="1:9" x14ac:dyDescent="0.25">
      <c r="A4093" s="40" t="s">
        <v>1151</v>
      </c>
      <c r="B4093" s="28">
        <v>4306</v>
      </c>
      <c r="C4093" s="28" t="s">
        <v>35</v>
      </c>
      <c r="D4093" s="28" t="s">
        <v>38</v>
      </c>
      <c r="E4093" s="41">
        <v>46142</v>
      </c>
      <c r="F4093" s="47">
        <v>0.95538194444444446</v>
      </c>
      <c r="G4093" s="44">
        <v>6.3</v>
      </c>
      <c r="H4093" s="43" t="s">
        <v>234</v>
      </c>
      <c r="I4093" s="40" t="s">
        <v>1282</v>
      </c>
    </row>
    <row r="4094" spans="1:9" x14ac:dyDescent="0.25">
      <c r="A4094" s="40" t="s">
        <v>1151</v>
      </c>
      <c r="B4094" s="28">
        <v>4306</v>
      </c>
      <c r="C4094" s="28">
        <v>5649099</v>
      </c>
      <c r="D4094" s="28"/>
      <c r="E4094" s="41">
        <v>46145</v>
      </c>
      <c r="F4094" s="47">
        <v>0.79628472222222224</v>
      </c>
      <c r="G4094" s="44">
        <v>6.3</v>
      </c>
      <c r="H4094" s="43" t="s">
        <v>235</v>
      </c>
      <c r="I4094" s="40" t="s">
        <v>1282</v>
      </c>
    </row>
    <row r="4095" spans="1:9" x14ac:dyDescent="0.25">
      <c r="A4095" s="40" t="s">
        <v>1151</v>
      </c>
      <c r="B4095" s="28">
        <v>4306</v>
      </c>
      <c r="C4095" s="28">
        <v>5649099</v>
      </c>
      <c r="D4095" s="28"/>
      <c r="E4095" s="41">
        <v>46145</v>
      </c>
      <c r="F4095" s="47">
        <v>0.80377314814814815</v>
      </c>
      <c r="G4095" s="44">
        <v>6.3</v>
      </c>
      <c r="H4095" s="43" t="s">
        <v>236</v>
      </c>
      <c r="I4095" s="40" t="s">
        <v>1282</v>
      </c>
    </row>
    <row r="4096" spans="1:9" x14ac:dyDescent="0.25">
      <c r="A4096" s="40" t="s">
        <v>1153</v>
      </c>
      <c r="B4096" s="28">
        <v>4311</v>
      </c>
      <c r="C4096" s="28" t="s">
        <v>35</v>
      </c>
      <c r="D4096" s="28" t="s">
        <v>38</v>
      </c>
      <c r="E4096" s="41">
        <v>46139</v>
      </c>
      <c r="F4096" s="47">
        <v>0.14880787037037038</v>
      </c>
      <c r="G4096" s="44">
        <v>6.3</v>
      </c>
      <c r="H4096" s="43" t="s">
        <v>234</v>
      </c>
      <c r="I4096" s="40" t="s">
        <v>1281</v>
      </c>
    </row>
    <row r="4097" spans="1:9" x14ac:dyDescent="0.25">
      <c r="A4097" s="40" t="s">
        <v>1153</v>
      </c>
      <c r="B4097" s="28">
        <v>4311</v>
      </c>
      <c r="C4097" s="28" t="s">
        <v>35</v>
      </c>
      <c r="D4097" s="28" t="s">
        <v>38</v>
      </c>
      <c r="E4097" s="41">
        <v>46139</v>
      </c>
      <c r="F4097" s="47">
        <v>0.3561111111111111</v>
      </c>
      <c r="G4097" s="44">
        <v>6.3</v>
      </c>
      <c r="H4097" s="43" t="s">
        <v>235</v>
      </c>
      <c r="I4097" s="40" t="s">
        <v>1281</v>
      </c>
    </row>
    <row r="4098" spans="1:9" x14ac:dyDescent="0.25">
      <c r="A4098" s="40" t="s">
        <v>1153</v>
      </c>
      <c r="B4098" s="28">
        <v>4311</v>
      </c>
      <c r="C4098" s="28" t="s">
        <v>35</v>
      </c>
      <c r="D4098" s="28" t="s">
        <v>38</v>
      </c>
      <c r="E4098" s="41">
        <v>46140</v>
      </c>
      <c r="F4098" s="47">
        <v>0.72048611111111116</v>
      </c>
      <c r="G4098" s="44">
        <v>6.3</v>
      </c>
      <c r="H4098" s="43" t="s">
        <v>235</v>
      </c>
      <c r="I4098" s="40" t="s">
        <v>1281</v>
      </c>
    </row>
    <row r="4099" spans="1:9" x14ac:dyDescent="0.25">
      <c r="A4099" s="40" t="s">
        <v>1153</v>
      </c>
      <c r="B4099" s="28">
        <v>4311</v>
      </c>
      <c r="C4099" s="28" t="s">
        <v>35</v>
      </c>
      <c r="D4099" s="28" t="s">
        <v>38</v>
      </c>
      <c r="E4099" s="45">
        <v>46140</v>
      </c>
      <c r="F4099" s="48">
        <v>0.73682870370370368</v>
      </c>
      <c r="G4099" s="44">
        <v>6.3</v>
      </c>
      <c r="H4099" s="43" t="s">
        <v>236</v>
      </c>
      <c r="I4099" s="40" t="s">
        <v>1281</v>
      </c>
    </row>
    <row r="4100" spans="1:9" x14ac:dyDescent="0.25">
      <c r="A4100" s="40" t="s">
        <v>1153</v>
      </c>
      <c r="B4100" s="28">
        <v>4311</v>
      </c>
      <c r="C4100" s="28" t="s">
        <v>35</v>
      </c>
      <c r="D4100" s="28" t="s">
        <v>38</v>
      </c>
      <c r="E4100" s="45">
        <v>46142</v>
      </c>
      <c r="F4100" s="48">
        <v>0.56626157407407407</v>
      </c>
      <c r="G4100" s="44">
        <v>6.3</v>
      </c>
      <c r="H4100" s="43" t="s">
        <v>235</v>
      </c>
      <c r="I4100" s="40" t="s">
        <v>1281</v>
      </c>
    </row>
    <row r="4101" spans="1:9" x14ac:dyDescent="0.25">
      <c r="A4101" s="40" t="s">
        <v>1154</v>
      </c>
      <c r="B4101" s="28">
        <v>4312</v>
      </c>
      <c r="C4101" s="28" t="s">
        <v>1155</v>
      </c>
      <c r="D4101" s="28"/>
      <c r="E4101" s="45">
        <v>46139</v>
      </c>
      <c r="F4101" s="48">
        <v>0.55774305555555559</v>
      </c>
      <c r="G4101" s="44">
        <v>6.3</v>
      </c>
      <c r="H4101" s="43" t="s">
        <v>234</v>
      </c>
      <c r="I4101" s="40" t="s">
        <v>1281</v>
      </c>
    </row>
    <row r="4102" spans="1:9" x14ac:dyDescent="0.25">
      <c r="A4102" s="40" t="s">
        <v>1154</v>
      </c>
      <c r="B4102" s="28">
        <v>4312</v>
      </c>
      <c r="C4102" s="28" t="s">
        <v>1156</v>
      </c>
      <c r="D4102" s="28"/>
      <c r="E4102" s="41">
        <v>46142</v>
      </c>
      <c r="F4102" s="47">
        <v>0.23848379629629629</v>
      </c>
      <c r="G4102" s="44">
        <v>6.3</v>
      </c>
      <c r="H4102" s="43" t="s">
        <v>237</v>
      </c>
      <c r="I4102" s="40" t="s">
        <v>1281</v>
      </c>
    </row>
    <row r="4103" spans="1:9" x14ac:dyDescent="0.25">
      <c r="A4103" s="40" t="s">
        <v>1154</v>
      </c>
      <c r="B4103" s="28">
        <v>4312</v>
      </c>
      <c r="C4103" s="28" t="s">
        <v>1156</v>
      </c>
      <c r="D4103" s="28"/>
      <c r="E4103" s="41">
        <v>46142</v>
      </c>
      <c r="F4103" s="47">
        <v>0.24452546296296296</v>
      </c>
      <c r="G4103" s="44">
        <v>6.3</v>
      </c>
      <c r="H4103" s="43" t="s">
        <v>234</v>
      </c>
      <c r="I4103" s="40" t="s">
        <v>1281</v>
      </c>
    </row>
    <row r="4104" spans="1:9" x14ac:dyDescent="0.25">
      <c r="A4104" s="40" t="s">
        <v>1154</v>
      </c>
      <c r="B4104" s="28">
        <v>4312</v>
      </c>
      <c r="C4104" s="28" t="s">
        <v>1157</v>
      </c>
      <c r="D4104" s="28"/>
      <c r="E4104" s="41">
        <v>46144</v>
      </c>
      <c r="F4104" s="47">
        <v>0.23070601851851852</v>
      </c>
      <c r="G4104" s="44">
        <v>6.3</v>
      </c>
      <c r="H4104" s="43" t="s">
        <v>234</v>
      </c>
      <c r="I4104" s="40" t="s">
        <v>1282</v>
      </c>
    </row>
    <row r="4105" spans="1:9" x14ac:dyDescent="0.25">
      <c r="A4105" s="40" t="s">
        <v>1154</v>
      </c>
      <c r="B4105" s="28">
        <v>4312</v>
      </c>
      <c r="C4105" s="28" t="s">
        <v>35</v>
      </c>
      <c r="D4105" s="28" t="s">
        <v>38</v>
      </c>
      <c r="E4105" s="41">
        <v>46145</v>
      </c>
      <c r="F4105" s="47">
        <v>0.42118055555555556</v>
      </c>
      <c r="G4105" s="44">
        <v>6.3</v>
      </c>
      <c r="H4105" s="43" t="s">
        <v>236</v>
      </c>
      <c r="I4105" s="40" t="s">
        <v>1282</v>
      </c>
    </row>
    <row r="4106" spans="1:9" x14ac:dyDescent="0.25">
      <c r="A4106" s="40" t="s">
        <v>1158</v>
      </c>
      <c r="B4106" s="28">
        <v>4330</v>
      </c>
      <c r="C4106" s="28" t="s">
        <v>35</v>
      </c>
      <c r="D4106" s="28" t="s">
        <v>38</v>
      </c>
      <c r="E4106" s="41">
        <v>46139</v>
      </c>
      <c r="F4106" s="47">
        <v>0.51325231481481481</v>
      </c>
      <c r="G4106" s="44">
        <v>6.3</v>
      </c>
      <c r="H4106" s="43" t="s">
        <v>234</v>
      </c>
      <c r="I4106" s="40" t="s">
        <v>1281</v>
      </c>
    </row>
    <row r="4107" spans="1:9" x14ac:dyDescent="0.25">
      <c r="A4107" s="40" t="s">
        <v>1159</v>
      </c>
      <c r="B4107" s="28">
        <v>4331</v>
      </c>
      <c r="C4107" s="28">
        <v>5640514</v>
      </c>
      <c r="D4107" s="28"/>
      <c r="E4107" s="41">
        <v>46140</v>
      </c>
      <c r="F4107" s="47">
        <v>0.54828703703703707</v>
      </c>
      <c r="G4107" s="44">
        <v>6.3</v>
      </c>
      <c r="H4107" s="43" t="s">
        <v>235</v>
      </c>
      <c r="I4107" s="40" t="s">
        <v>1281</v>
      </c>
    </row>
    <row r="4108" spans="1:9" x14ac:dyDescent="0.25">
      <c r="A4108" s="40" t="s">
        <v>1159</v>
      </c>
      <c r="B4108" s="28">
        <v>4331</v>
      </c>
      <c r="C4108" s="28">
        <v>5640514</v>
      </c>
      <c r="D4108" s="28"/>
      <c r="E4108" s="41">
        <v>46140</v>
      </c>
      <c r="F4108" s="47">
        <v>0.55792824074074077</v>
      </c>
      <c r="G4108" s="44">
        <v>6.3</v>
      </c>
      <c r="H4108" s="43" t="s">
        <v>236</v>
      </c>
      <c r="I4108" s="40" t="s">
        <v>1281</v>
      </c>
    </row>
    <row r="4109" spans="1:9" x14ac:dyDescent="0.25">
      <c r="A4109" s="40" t="s">
        <v>1159</v>
      </c>
      <c r="B4109" s="28">
        <v>4331</v>
      </c>
      <c r="C4109" s="28" t="s">
        <v>35</v>
      </c>
      <c r="D4109" s="28" t="s">
        <v>38</v>
      </c>
      <c r="E4109" s="41">
        <v>46142</v>
      </c>
      <c r="F4109" s="47">
        <v>0.56167824074074069</v>
      </c>
      <c r="G4109" s="44">
        <v>6.3</v>
      </c>
      <c r="H4109" s="43" t="s">
        <v>235</v>
      </c>
      <c r="I4109" s="40" t="s">
        <v>1281</v>
      </c>
    </row>
    <row r="4110" spans="1:9" x14ac:dyDescent="0.25">
      <c r="A4110" s="40" t="s">
        <v>1159</v>
      </c>
      <c r="B4110" s="28">
        <v>4331</v>
      </c>
      <c r="C4110" s="28">
        <v>5644695</v>
      </c>
      <c r="D4110" s="28"/>
      <c r="E4110" s="41">
        <v>46142</v>
      </c>
      <c r="F4110" s="47">
        <v>0.58234953703703707</v>
      </c>
      <c r="G4110" s="44">
        <v>6.3</v>
      </c>
      <c r="H4110" s="43" t="s">
        <v>236</v>
      </c>
      <c r="I4110" s="40" t="s">
        <v>1281</v>
      </c>
    </row>
    <row r="4111" spans="1:9" x14ac:dyDescent="0.25">
      <c r="A4111" s="40" t="s">
        <v>1159</v>
      </c>
      <c r="B4111" s="28">
        <v>4331</v>
      </c>
      <c r="C4111" s="28" t="s">
        <v>1160</v>
      </c>
      <c r="D4111" s="28"/>
      <c r="E4111" s="45">
        <v>46143</v>
      </c>
      <c r="F4111" s="48">
        <v>0.51218750000000002</v>
      </c>
      <c r="G4111" s="44">
        <v>6.3</v>
      </c>
      <c r="H4111" s="43" t="s">
        <v>235</v>
      </c>
      <c r="I4111" s="40" t="s">
        <v>1282</v>
      </c>
    </row>
    <row r="4112" spans="1:9" x14ac:dyDescent="0.25">
      <c r="A4112" s="40" t="s">
        <v>1159</v>
      </c>
      <c r="B4112" s="28">
        <v>4331</v>
      </c>
      <c r="C4112" s="28" t="s">
        <v>1160</v>
      </c>
      <c r="D4112" s="28"/>
      <c r="E4112" s="41">
        <v>46143</v>
      </c>
      <c r="F4112" s="47">
        <v>0.51875000000000004</v>
      </c>
      <c r="G4112" s="44">
        <v>6.3</v>
      </c>
      <c r="H4112" s="43" t="s">
        <v>239</v>
      </c>
      <c r="I4112" s="40" t="s">
        <v>1282</v>
      </c>
    </row>
    <row r="4113" spans="1:9" x14ac:dyDescent="0.25">
      <c r="A4113" s="40" t="s">
        <v>1159</v>
      </c>
      <c r="B4113" s="28">
        <v>4331</v>
      </c>
      <c r="C4113" s="28" t="s">
        <v>35</v>
      </c>
      <c r="D4113" s="28" t="s">
        <v>38</v>
      </c>
      <c r="E4113" s="41">
        <v>46144</v>
      </c>
      <c r="F4113" s="47">
        <v>0.42606481481481484</v>
      </c>
      <c r="G4113" s="44">
        <v>6.3</v>
      </c>
      <c r="H4113" s="43" t="s">
        <v>240</v>
      </c>
      <c r="I4113" s="40" t="s">
        <v>1282</v>
      </c>
    </row>
    <row r="4114" spans="1:9" x14ac:dyDescent="0.25">
      <c r="A4114" s="40" t="s">
        <v>1159</v>
      </c>
      <c r="B4114" s="28">
        <v>4331</v>
      </c>
      <c r="C4114" s="28" t="s">
        <v>35</v>
      </c>
      <c r="D4114" s="28" t="s">
        <v>38</v>
      </c>
      <c r="E4114" s="41">
        <v>46144</v>
      </c>
      <c r="F4114" s="47">
        <v>0.88978009259259261</v>
      </c>
      <c r="G4114" s="44">
        <v>6.3</v>
      </c>
      <c r="H4114" s="43" t="s">
        <v>235</v>
      </c>
      <c r="I4114" s="40" t="s">
        <v>1282</v>
      </c>
    </row>
    <row r="4115" spans="1:9" x14ac:dyDescent="0.25">
      <c r="A4115" s="40" t="s">
        <v>1159</v>
      </c>
      <c r="B4115" s="28">
        <v>4331</v>
      </c>
      <c r="C4115" s="28" t="s">
        <v>35</v>
      </c>
      <c r="D4115" s="28" t="s">
        <v>38</v>
      </c>
      <c r="E4115" s="41">
        <v>46144</v>
      </c>
      <c r="F4115" s="47">
        <v>0.91553240740740738</v>
      </c>
      <c r="G4115" s="44">
        <v>6.3</v>
      </c>
      <c r="H4115" s="43" t="s">
        <v>234</v>
      </c>
      <c r="I4115" s="40" t="s">
        <v>1282</v>
      </c>
    </row>
    <row r="4116" spans="1:9" x14ac:dyDescent="0.25">
      <c r="A4116" s="40" t="s">
        <v>1159</v>
      </c>
      <c r="B4116" s="28">
        <v>4331</v>
      </c>
      <c r="C4116" s="28">
        <v>5647352</v>
      </c>
      <c r="D4116" s="28"/>
      <c r="E4116" s="41">
        <v>46144</v>
      </c>
      <c r="F4116" s="47">
        <v>0.99375000000000002</v>
      </c>
      <c r="G4116" s="44">
        <v>6.3</v>
      </c>
      <c r="H4116" s="43" t="s">
        <v>235</v>
      </c>
      <c r="I4116" s="40" t="s">
        <v>1282</v>
      </c>
    </row>
    <row r="4117" spans="1:9" x14ac:dyDescent="0.25">
      <c r="A4117" s="40" t="s">
        <v>1159</v>
      </c>
      <c r="B4117" s="28">
        <v>4331</v>
      </c>
      <c r="C4117" s="28">
        <v>5647352</v>
      </c>
      <c r="D4117" s="28"/>
      <c r="E4117" s="41">
        <v>46145</v>
      </c>
      <c r="F4117" s="47">
        <v>1.1805555555555556E-3</v>
      </c>
      <c r="G4117" s="44">
        <v>6.3</v>
      </c>
      <c r="H4117" s="43" t="s">
        <v>239</v>
      </c>
      <c r="I4117" s="40" t="s">
        <v>1282</v>
      </c>
    </row>
    <row r="4118" spans="1:9" x14ac:dyDescent="0.25">
      <c r="A4118" s="40" t="s">
        <v>1159</v>
      </c>
      <c r="B4118" s="28">
        <v>4331</v>
      </c>
      <c r="C4118" s="28">
        <v>5648521</v>
      </c>
      <c r="D4118" s="28"/>
      <c r="E4118" s="41">
        <v>46145</v>
      </c>
      <c r="F4118" s="47">
        <v>0.49582175925925925</v>
      </c>
      <c r="G4118" s="44">
        <v>6.3</v>
      </c>
      <c r="H4118" s="43" t="s">
        <v>235</v>
      </c>
      <c r="I4118" s="40" t="s">
        <v>1282</v>
      </c>
    </row>
    <row r="4119" spans="1:9" x14ac:dyDescent="0.25">
      <c r="A4119" s="40" t="s">
        <v>1159</v>
      </c>
      <c r="B4119" s="28">
        <v>4331</v>
      </c>
      <c r="C4119" s="28">
        <v>5648521</v>
      </c>
      <c r="D4119" s="28"/>
      <c r="E4119" s="41">
        <v>46145</v>
      </c>
      <c r="F4119" s="47">
        <v>0.50350694444444444</v>
      </c>
      <c r="G4119" s="44">
        <v>6.3</v>
      </c>
      <c r="H4119" s="43" t="s">
        <v>236</v>
      </c>
      <c r="I4119" s="40" t="s">
        <v>1282</v>
      </c>
    </row>
    <row r="4120" spans="1:9" x14ac:dyDescent="0.25">
      <c r="A4120" s="40" t="s">
        <v>1161</v>
      </c>
      <c r="B4120" s="28">
        <v>4334</v>
      </c>
      <c r="C4120" s="28">
        <v>5642303</v>
      </c>
      <c r="D4120" s="28"/>
      <c r="E4120" s="41">
        <v>46141</v>
      </c>
      <c r="F4120" s="47">
        <v>0.45944444444444443</v>
      </c>
      <c r="G4120" s="44">
        <v>6.3</v>
      </c>
      <c r="H4120" s="43" t="s">
        <v>233</v>
      </c>
      <c r="I4120" s="40" t="s">
        <v>1281</v>
      </c>
    </row>
    <row r="4121" spans="1:9" x14ac:dyDescent="0.25">
      <c r="A4121" s="40" t="s">
        <v>1161</v>
      </c>
      <c r="B4121" s="28">
        <v>4334</v>
      </c>
      <c r="C4121" s="28">
        <v>5642303</v>
      </c>
      <c r="D4121" s="28"/>
      <c r="E4121" s="41">
        <v>46141</v>
      </c>
      <c r="F4121" s="47">
        <v>0.47136574074074072</v>
      </c>
      <c r="G4121" s="42">
        <v>6.3</v>
      </c>
      <c r="H4121" s="40" t="s">
        <v>234</v>
      </c>
      <c r="I4121" s="40" t="s">
        <v>1281</v>
      </c>
    </row>
    <row r="4122" spans="1:9" x14ac:dyDescent="0.25">
      <c r="A4122" s="40" t="s">
        <v>1162</v>
      </c>
      <c r="B4122" s="28">
        <v>4337</v>
      </c>
      <c r="C4122" s="28" t="s">
        <v>35</v>
      </c>
      <c r="D4122" s="28" t="s">
        <v>38</v>
      </c>
      <c r="E4122" s="41">
        <v>46139</v>
      </c>
      <c r="F4122" s="47">
        <v>2.3842592592592591E-3</v>
      </c>
      <c r="G4122" s="42">
        <v>6.3</v>
      </c>
      <c r="H4122" s="40" t="s">
        <v>235</v>
      </c>
      <c r="I4122" s="40" t="s">
        <v>1281</v>
      </c>
    </row>
    <row r="4123" spans="1:9" x14ac:dyDescent="0.25">
      <c r="A4123" s="40" t="s">
        <v>1162</v>
      </c>
      <c r="B4123" s="28">
        <v>4337</v>
      </c>
      <c r="C4123" s="28" t="s">
        <v>35</v>
      </c>
      <c r="D4123" s="28" t="s">
        <v>38</v>
      </c>
      <c r="E4123" s="41">
        <v>46140</v>
      </c>
      <c r="F4123" s="47">
        <v>0.95921296296296299</v>
      </c>
      <c r="G4123" s="44">
        <v>6.3</v>
      </c>
      <c r="H4123" s="43" t="s">
        <v>237</v>
      </c>
      <c r="I4123" s="40" t="s">
        <v>1281</v>
      </c>
    </row>
    <row r="4124" spans="1:9" x14ac:dyDescent="0.25">
      <c r="A4124" s="40" t="s">
        <v>1162</v>
      </c>
      <c r="B4124" s="28">
        <v>4337</v>
      </c>
      <c r="C4124" s="28" t="s">
        <v>1163</v>
      </c>
      <c r="D4124" s="28"/>
      <c r="E4124" s="41">
        <v>46141</v>
      </c>
      <c r="F4124" s="47">
        <v>0.49767361111111114</v>
      </c>
      <c r="G4124" s="44">
        <v>6.3</v>
      </c>
      <c r="H4124" s="43" t="s">
        <v>234</v>
      </c>
      <c r="I4124" s="40" t="s">
        <v>1281</v>
      </c>
    </row>
    <row r="4125" spans="1:9" x14ac:dyDescent="0.25">
      <c r="A4125" s="40" t="s">
        <v>1162</v>
      </c>
      <c r="B4125" s="28">
        <v>4337</v>
      </c>
      <c r="C4125" s="28">
        <v>5642663</v>
      </c>
      <c r="D4125" s="28"/>
      <c r="E4125" s="41">
        <v>46141</v>
      </c>
      <c r="F4125" s="47">
        <v>0.72750000000000004</v>
      </c>
      <c r="G4125" s="44">
        <v>6.3</v>
      </c>
      <c r="H4125" s="43" t="s">
        <v>236</v>
      </c>
      <c r="I4125" s="40" t="s">
        <v>1281</v>
      </c>
    </row>
    <row r="4126" spans="1:9" x14ac:dyDescent="0.25">
      <c r="A4126" s="40" t="s">
        <v>1162</v>
      </c>
      <c r="B4126" s="28">
        <v>4337</v>
      </c>
      <c r="C4126" s="28">
        <v>5643753</v>
      </c>
      <c r="D4126" s="28"/>
      <c r="E4126" s="41">
        <v>46142</v>
      </c>
      <c r="F4126" s="47">
        <v>0.36611111111111111</v>
      </c>
      <c r="G4126" s="44">
        <v>6.3</v>
      </c>
      <c r="H4126" s="43" t="s">
        <v>236</v>
      </c>
      <c r="I4126" s="40" t="s">
        <v>1281</v>
      </c>
    </row>
    <row r="4127" spans="1:9" x14ac:dyDescent="0.25">
      <c r="A4127" s="40" t="s">
        <v>1162</v>
      </c>
      <c r="B4127" s="28">
        <v>4337</v>
      </c>
      <c r="C4127" s="28">
        <v>5645331</v>
      </c>
      <c r="D4127" s="28"/>
      <c r="E4127" s="41">
        <v>46142</v>
      </c>
      <c r="F4127" s="47">
        <v>0.83914351851851854</v>
      </c>
      <c r="G4127" s="44">
        <v>6.3</v>
      </c>
      <c r="H4127" s="43" t="s">
        <v>235</v>
      </c>
      <c r="I4127" s="40" t="s">
        <v>1281</v>
      </c>
    </row>
    <row r="4128" spans="1:9" x14ac:dyDescent="0.25">
      <c r="A4128" s="40" t="s">
        <v>1162</v>
      </c>
      <c r="B4128" s="28">
        <v>4337</v>
      </c>
      <c r="C4128" s="28" t="s">
        <v>35</v>
      </c>
      <c r="D4128" s="28" t="s">
        <v>38</v>
      </c>
      <c r="E4128" s="41">
        <v>46143</v>
      </c>
      <c r="F4128" s="47">
        <v>0.72662037037037042</v>
      </c>
      <c r="G4128" s="44">
        <v>6.3</v>
      </c>
      <c r="H4128" s="43" t="s">
        <v>235</v>
      </c>
      <c r="I4128" s="40" t="s">
        <v>1282</v>
      </c>
    </row>
    <row r="4129" spans="1:9" x14ac:dyDescent="0.25">
      <c r="A4129" s="40" t="s">
        <v>1162</v>
      </c>
      <c r="B4129" s="28">
        <v>4337</v>
      </c>
      <c r="C4129" s="28" t="s">
        <v>35</v>
      </c>
      <c r="D4129" s="28" t="s">
        <v>38</v>
      </c>
      <c r="E4129" s="41">
        <v>46143</v>
      </c>
      <c r="F4129" s="47">
        <v>0.7336111111111111</v>
      </c>
      <c r="G4129" s="44">
        <v>6.3</v>
      </c>
      <c r="H4129" s="43" t="s">
        <v>236</v>
      </c>
      <c r="I4129" s="40" t="s">
        <v>1282</v>
      </c>
    </row>
    <row r="4130" spans="1:9" x14ac:dyDescent="0.25">
      <c r="A4130" s="40" t="s">
        <v>1162</v>
      </c>
      <c r="B4130" s="28">
        <v>4337</v>
      </c>
      <c r="C4130" s="28" t="s">
        <v>1164</v>
      </c>
      <c r="D4130" s="28"/>
      <c r="E4130" s="41">
        <v>46143</v>
      </c>
      <c r="F4130" s="47">
        <v>0.82626157407407408</v>
      </c>
      <c r="G4130" s="44">
        <v>6.3</v>
      </c>
      <c r="H4130" s="43" t="s">
        <v>237</v>
      </c>
      <c r="I4130" s="40" t="s">
        <v>1282</v>
      </c>
    </row>
    <row r="4131" spans="1:9" x14ac:dyDescent="0.25">
      <c r="A4131" s="40" t="s">
        <v>1162</v>
      </c>
      <c r="B4131" s="28">
        <v>4337</v>
      </c>
      <c r="C4131" s="28" t="s">
        <v>1164</v>
      </c>
      <c r="D4131" s="28"/>
      <c r="E4131" s="45">
        <v>46143</v>
      </c>
      <c r="F4131" s="48">
        <v>0.8318402777777778</v>
      </c>
      <c r="G4131" s="44">
        <v>6.3</v>
      </c>
      <c r="H4131" s="43" t="s">
        <v>234</v>
      </c>
      <c r="I4131" s="40" t="s">
        <v>1282</v>
      </c>
    </row>
    <row r="4132" spans="1:9" x14ac:dyDescent="0.25">
      <c r="A4132" s="40" t="s">
        <v>1162</v>
      </c>
      <c r="B4132" s="28">
        <v>4337</v>
      </c>
      <c r="C4132" s="28">
        <v>5647989</v>
      </c>
      <c r="D4132" s="28" t="s">
        <v>37</v>
      </c>
      <c r="E4132" s="41">
        <v>46144</v>
      </c>
      <c r="F4132" s="47">
        <v>0.90604166666666663</v>
      </c>
      <c r="G4132" s="44">
        <v>6.3</v>
      </c>
      <c r="H4132" s="43" t="s">
        <v>236</v>
      </c>
      <c r="I4132" s="40" t="s">
        <v>1282</v>
      </c>
    </row>
    <row r="4133" spans="1:9" x14ac:dyDescent="0.25">
      <c r="A4133" s="40" t="s">
        <v>1162</v>
      </c>
      <c r="B4133" s="28">
        <v>4337</v>
      </c>
      <c r="C4133" s="28" t="s">
        <v>1165</v>
      </c>
      <c r="D4133" s="28"/>
      <c r="E4133" s="41">
        <v>46145</v>
      </c>
      <c r="F4133" s="47">
        <v>0.50701388888888888</v>
      </c>
      <c r="G4133" s="44">
        <v>6.3</v>
      </c>
      <c r="H4133" s="43" t="s">
        <v>234</v>
      </c>
      <c r="I4133" s="40" t="s">
        <v>1282</v>
      </c>
    </row>
    <row r="4134" spans="1:9" x14ac:dyDescent="0.25">
      <c r="A4134" s="40" t="s">
        <v>1166</v>
      </c>
      <c r="B4134" s="28">
        <v>4354</v>
      </c>
      <c r="C4134" s="28">
        <v>5644182</v>
      </c>
      <c r="D4134" s="28"/>
      <c r="E4134" s="41">
        <v>46142</v>
      </c>
      <c r="F4134" s="47">
        <v>0.33351851851851849</v>
      </c>
      <c r="G4134" s="44">
        <v>6.3</v>
      </c>
      <c r="H4134" s="43" t="s">
        <v>235</v>
      </c>
      <c r="I4134" s="40" t="s">
        <v>1281</v>
      </c>
    </row>
    <row r="4135" spans="1:9" x14ac:dyDescent="0.25">
      <c r="A4135" s="40" t="s">
        <v>1166</v>
      </c>
      <c r="B4135" s="28">
        <v>4354</v>
      </c>
      <c r="C4135" s="28">
        <v>5644182</v>
      </c>
      <c r="D4135" s="28"/>
      <c r="E4135" s="41">
        <v>46142</v>
      </c>
      <c r="F4135" s="47">
        <v>0.34708333333333335</v>
      </c>
      <c r="G4135" s="44">
        <v>6.3</v>
      </c>
      <c r="H4135" s="43" t="s">
        <v>236</v>
      </c>
      <c r="I4135" s="40" t="s">
        <v>1281</v>
      </c>
    </row>
    <row r="4136" spans="1:9" x14ac:dyDescent="0.25">
      <c r="A4136" s="40" t="s">
        <v>1166</v>
      </c>
      <c r="B4136" s="28">
        <v>4354</v>
      </c>
      <c r="C4136" s="28" t="s">
        <v>35</v>
      </c>
      <c r="D4136" s="28" t="s">
        <v>38</v>
      </c>
      <c r="E4136" s="45">
        <v>46142</v>
      </c>
      <c r="F4136" s="48">
        <v>0.40218749999999998</v>
      </c>
      <c r="G4136" s="44">
        <v>6.3</v>
      </c>
      <c r="H4136" s="43" t="s">
        <v>234</v>
      </c>
      <c r="I4136" s="40" t="s">
        <v>1281</v>
      </c>
    </row>
    <row r="4137" spans="1:9" x14ac:dyDescent="0.25">
      <c r="A4137" s="40" t="s">
        <v>1166</v>
      </c>
      <c r="B4137" s="28">
        <v>4354</v>
      </c>
      <c r="C4137" s="28" t="s">
        <v>35</v>
      </c>
      <c r="D4137" s="28" t="s">
        <v>38</v>
      </c>
      <c r="E4137" s="41">
        <v>46142</v>
      </c>
      <c r="F4137" s="47">
        <v>0.53849537037037032</v>
      </c>
      <c r="G4137" s="44">
        <v>6.3</v>
      </c>
      <c r="H4137" s="43" t="s">
        <v>237</v>
      </c>
      <c r="I4137" s="40" t="s">
        <v>1282</v>
      </c>
    </row>
    <row r="4138" spans="1:9" x14ac:dyDescent="0.25">
      <c r="A4138" s="40" t="s">
        <v>1166</v>
      </c>
      <c r="B4138" s="28">
        <v>4354</v>
      </c>
      <c r="C4138" s="28" t="s">
        <v>35</v>
      </c>
      <c r="D4138" s="28" t="s">
        <v>38</v>
      </c>
      <c r="E4138" s="41">
        <v>46142</v>
      </c>
      <c r="F4138" s="47">
        <v>0.54461805555555554</v>
      </c>
      <c r="G4138" s="44">
        <v>6.3</v>
      </c>
      <c r="H4138" s="43" t="s">
        <v>234</v>
      </c>
      <c r="I4138" s="40" t="s">
        <v>1281</v>
      </c>
    </row>
    <row r="4139" spans="1:9" x14ac:dyDescent="0.25">
      <c r="A4139" s="40" t="s">
        <v>1166</v>
      </c>
      <c r="B4139" s="28">
        <v>4354</v>
      </c>
      <c r="C4139" s="28" t="s">
        <v>1167</v>
      </c>
      <c r="D4139" s="28"/>
      <c r="E4139" s="41">
        <v>46144</v>
      </c>
      <c r="F4139" s="47">
        <v>0.33924768518518517</v>
      </c>
      <c r="G4139" s="44">
        <v>6.3</v>
      </c>
      <c r="H4139" s="43" t="s">
        <v>235</v>
      </c>
      <c r="I4139" s="40" t="s">
        <v>1282</v>
      </c>
    </row>
    <row r="4140" spans="1:9" x14ac:dyDescent="0.25">
      <c r="A4140" s="40" t="s">
        <v>1166</v>
      </c>
      <c r="B4140" s="28">
        <v>4354</v>
      </c>
      <c r="C4140" s="28" t="s">
        <v>35</v>
      </c>
      <c r="D4140" s="28" t="s">
        <v>38</v>
      </c>
      <c r="E4140" s="41">
        <v>46144</v>
      </c>
      <c r="F4140" s="47">
        <v>0.67190972222222223</v>
      </c>
      <c r="G4140" s="44">
        <v>6.3</v>
      </c>
      <c r="H4140" s="43" t="s">
        <v>237</v>
      </c>
      <c r="I4140" s="40" t="s">
        <v>1282</v>
      </c>
    </row>
    <row r="4141" spans="1:9" x14ac:dyDescent="0.25">
      <c r="A4141" s="40" t="s">
        <v>1166</v>
      </c>
      <c r="B4141" s="28">
        <v>4354</v>
      </c>
      <c r="C4141" s="28" t="s">
        <v>1168</v>
      </c>
      <c r="D4141" s="28"/>
      <c r="E4141" s="41">
        <v>46145</v>
      </c>
      <c r="F4141" s="47">
        <v>0.67425925925925922</v>
      </c>
      <c r="G4141" s="44">
        <v>6.3</v>
      </c>
      <c r="H4141" s="43" t="s">
        <v>235</v>
      </c>
      <c r="I4141" s="40" t="s">
        <v>1282</v>
      </c>
    </row>
    <row r="4142" spans="1:9" x14ac:dyDescent="0.25">
      <c r="A4142" s="40" t="s">
        <v>1166</v>
      </c>
      <c r="B4142" s="28">
        <v>4354</v>
      </c>
      <c r="C4142" s="28" t="s">
        <v>1168</v>
      </c>
      <c r="D4142" s="28"/>
      <c r="E4142" s="41">
        <v>46145</v>
      </c>
      <c r="F4142" s="47">
        <v>0.68511574074074078</v>
      </c>
      <c r="G4142" s="44">
        <v>6.3</v>
      </c>
      <c r="H4142" s="43" t="s">
        <v>236</v>
      </c>
      <c r="I4142" s="40" t="s">
        <v>1282</v>
      </c>
    </row>
    <row r="4143" spans="1:9" x14ac:dyDescent="0.25">
      <c r="A4143" s="40" t="s">
        <v>1166</v>
      </c>
      <c r="B4143" s="28">
        <v>4354</v>
      </c>
      <c r="C4143" s="28" t="s">
        <v>35</v>
      </c>
      <c r="D4143" s="28" t="s">
        <v>38</v>
      </c>
      <c r="E4143" s="41">
        <v>46145</v>
      </c>
      <c r="F4143" s="47">
        <v>0.70177083333333334</v>
      </c>
      <c r="G4143" s="44">
        <v>6.3</v>
      </c>
      <c r="H4143" s="43" t="s">
        <v>233</v>
      </c>
      <c r="I4143" s="40" t="s">
        <v>1282</v>
      </c>
    </row>
    <row r="4144" spans="1:9" x14ac:dyDescent="0.25">
      <c r="A4144" s="40" t="s">
        <v>1166</v>
      </c>
      <c r="B4144" s="28">
        <v>4354</v>
      </c>
      <c r="C4144" s="28" t="s">
        <v>35</v>
      </c>
      <c r="D4144" s="28" t="s">
        <v>38</v>
      </c>
      <c r="E4144" s="41">
        <v>46145</v>
      </c>
      <c r="F4144" s="47">
        <v>0.70810185185185182</v>
      </c>
      <c r="G4144" s="44">
        <v>6.3</v>
      </c>
      <c r="H4144" s="43" t="s">
        <v>234</v>
      </c>
      <c r="I4144" s="40" t="s">
        <v>1282</v>
      </c>
    </row>
    <row r="4145" spans="1:9" x14ac:dyDescent="0.25">
      <c r="A4145" s="40" t="s">
        <v>1166</v>
      </c>
      <c r="B4145" s="28">
        <v>4354</v>
      </c>
      <c r="C4145" s="28">
        <v>5649037</v>
      </c>
      <c r="D4145" s="28"/>
      <c r="E4145" s="41">
        <v>46145</v>
      </c>
      <c r="F4145" s="47">
        <v>0.76519675925925923</v>
      </c>
      <c r="G4145" s="44">
        <v>6.3</v>
      </c>
      <c r="H4145" s="43" t="s">
        <v>235</v>
      </c>
      <c r="I4145" s="40" t="s">
        <v>1282</v>
      </c>
    </row>
    <row r="4146" spans="1:9" x14ac:dyDescent="0.25">
      <c r="A4146" s="40" t="s">
        <v>1166</v>
      </c>
      <c r="B4146" s="28">
        <v>4354</v>
      </c>
      <c r="C4146" s="28">
        <v>5649037</v>
      </c>
      <c r="D4146" s="28"/>
      <c r="E4146" s="41">
        <v>46145</v>
      </c>
      <c r="F4146" s="47">
        <v>0.77326388888888886</v>
      </c>
      <c r="G4146" s="44">
        <v>6.3</v>
      </c>
      <c r="H4146" s="43" t="s">
        <v>236</v>
      </c>
      <c r="I4146" s="40" t="s">
        <v>1282</v>
      </c>
    </row>
    <row r="4147" spans="1:9" x14ac:dyDescent="0.25">
      <c r="A4147" s="40" t="s">
        <v>1166</v>
      </c>
      <c r="B4147" s="28">
        <v>4354</v>
      </c>
      <c r="C4147" s="28">
        <v>5649037</v>
      </c>
      <c r="D4147" s="28" t="s">
        <v>36</v>
      </c>
      <c r="E4147" s="41">
        <v>46145</v>
      </c>
      <c r="F4147" s="47">
        <v>0.77913194444444445</v>
      </c>
      <c r="G4147" s="44">
        <v>6.3</v>
      </c>
      <c r="H4147" s="43" t="s">
        <v>236</v>
      </c>
      <c r="I4147" s="40" t="s">
        <v>1282</v>
      </c>
    </row>
    <row r="4148" spans="1:9" x14ac:dyDescent="0.25">
      <c r="A4148" s="40" t="s">
        <v>1166</v>
      </c>
      <c r="B4148" s="28">
        <v>4354</v>
      </c>
      <c r="C4148" s="28" t="s">
        <v>35</v>
      </c>
      <c r="D4148" s="28" t="s">
        <v>38</v>
      </c>
      <c r="E4148" s="41">
        <v>46145</v>
      </c>
      <c r="F4148" s="47">
        <v>0.7984606481481481</v>
      </c>
      <c r="G4148" s="44">
        <v>6.3</v>
      </c>
      <c r="H4148" s="43" t="s">
        <v>237</v>
      </c>
      <c r="I4148" s="40" t="s">
        <v>1282</v>
      </c>
    </row>
    <row r="4149" spans="1:9" x14ac:dyDescent="0.25">
      <c r="A4149" s="40" t="s">
        <v>1169</v>
      </c>
      <c r="B4149" s="28">
        <v>4357</v>
      </c>
      <c r="C4149" s="28">
        <v>5640749</v>
      </c>
      <c r="D4149" s="28"/>
      <c r="E4149" s="41">
        <v>46140</v>
      </c>
      <c r="F4149" s="47">
        <v>0.64346064814814818</v>
      </c>
      <c r="G4149" s="44">
        <v>6.3</v>
      </c>
      <c r="H4149" s="43" t="s">
        <v>235</v>
      </c>
      <c r="I4149" s="40" t="s">
        <v>1281</v>
      </c>
    </row>
    <row r="4150" spans="1:9" x14ac:dyDescent="0.25">
      <c r="A4150" s="40" t="s">
        <v>1169</v>
      </c>
      <c r="B4150" s="28">
        <v>4357</v>
      </c>
      <c r="C4150" s="28" t="s">
        <v>35</v>
      </c>
      <c r="D4150" s="28" t="s">
        <v>38</v>
      </c>
      <c r="E4150" s="41">
        <v>46140</v>
      </c>
      <c r="F4150" s="47">
        <v>0.70844907407407409</v>
      </c>
      <c r="G4150" s="44">
        <v>6.3</v>
      </c>
      <c r="H4150" s="43" t="s">
        <v>237</v>
      </c>
      <c r="I4150" s="40" t="s">
        <v>1281</v>
      </c>
    </row>
    <row r="4151" spans="1:9" x14ac:dyDescent="0.25">
      <c r="A4151" s="40" t="s">
        <v>1169</v>
      </c>
      <c r="B4151" s="28">
        <v>4357</v>
      </c>
      <c r="C4151" s="28">
        <v>5646041</v>
      </c>
      <c r="D4151" s="28"/>
      <c r="E4151" s="41">
        <v>46143</v>
      </c>
      <c r="F4151" s="47">
        <v>0.2971064814814815</v>
      </c>
      <c r="G4151" s="44">
        <v>6.3</v>
      </c>
      <c r="H4151" s="43" t="s">
        <v>235</v>
      </c>
      <c r="I4151" s="40" t="s">
        <v>1282</v>
      </c>
    </row>
    <row r="4152" spans="1:9" x14ac:dyDescent="0.25">
      <c r="A4152" s="40" t="s">
        <v>1169</v>
      </c>
      <c r="B4152" s="28">
        <v>4357</v>
      </c>
      <c r="C4152" s="28">
        <v>5646041</v>
      </c>
      <c r="D4152" s="28"/>
      <c r="E4152" s="41">
        <v>46143</v>
      </c>
      <c r="F4152" s="47">
        <v>0.30407407407407405</v>
      </c>
      <c r="G4152" s="42">
        <v>6.3</v>
      </c>
      <c r="H4152" s="40" t="s">
        <v>236</v>
      </c>
      <c r="I4152" s="40" t="s">
        <v>1282</v>
      </c>
    </row>
    <row r="4153" spans="1:9" x14ac:dyDescent="0.25">
      <c r="A4153" s="40" t="s">
        <v>1169</v>
      </c>
      <c r="B4153" s="28">
        <v>4357</v>
      </c>
      <c r="C4153" s="28" t="s">
        <v>35</v>
      </c>
      <c r="D4153" s="28" t="s">
        <v>38</v>
      </c>
      <c r="E4153" s="45">
        <v>46143</v>
      </c>
      <c r="F4153" s="48">
        <v>0.77849537037037042</v>
      </c>
      <c r="G4153" s="42">
        <v>6.3</v>
      </c>
      <c r="H4153" s="40" t="s">
        <v>235</v>
      </c>
      <c r="I4153" s="40" t="s">
        <v>1282</v>
      </c>
    </row>
    <row r="4154" spans="1:9" x14ac:dyDescent="0.25">
      <c r="A4154" s="40" t="s">
        <v>1169</v>
      </c>
      <c r="B4154" s="28">
        <v>4357</v>
      </c>
      <c r="C4154" s="28" t="s">
        <v>35</v>
      </c>
      <c r="D4154" s="28" t="s">
        <v>38</v>
      </c>
      <c r="E4154" s="41">
        <v>46143</v>
      </c>
      <c r="F4154" s="47">
        <v>0.78630787037037042</v>
      </c>
      <c r="G4154" s="44">
        <v>6.3</v>
      </c>
      <c r="H4154" s="43" t="s">
        <v>236</v>
      </c>
      <c r="I4154" s="40" t="s">
        <v>1282</v>
      </c>
    </row>
    <row r="4155" spans="1:9" x14ac:dyDescent="0.25">
      <c r="A4155" s="40" t="s">
        <v>1169</v>
      </c>
      <c r="B4155" s="28">
        <v>4357</v>
      </c>
      <c r="C4155" s="28">
        <v>5648760</v>
      </c>
      <c r="D4155" s="28"/>
      <c r="E4155" s="41">
        <v>46145</v>
      </c>
      <c r="F4155" s="47">
        <v>0.5919444444444445</v>
      </c>
      <c r="G4155" s="44">
        <v>6.3</v>
      </c>
      <c r="H4155" s="43" t="s">
        <v>235</v>
      </c>
      <c r="I4155" s="40" t="s">
        <v>1282</v>
      </c>
    </row>
    <row r="4156" spans="1:9" x14ac:dyDescent="0.25">
      <c r="A4156" s="40" t="s">
        <v>1169</v>
      </c>
      <c r="B4156" s="28">
        <v>4357</v>
      </c>
      <c r="C4156" s="28">
        <v>5648760</v>
      </c>
      <c r="D4156" s="28"/>
      <c r="E4156" s="41">
        <v>46145</v>
      </c>
      <c r="F4156" s="47">
        <v>0.59910879629629632</v>
      </c>
      <c r="G4156" s="44">
        <v>6.3</v>
      </c>
      <c r="H4156" s="43" t="s">
        <v>236</v>
      </c>
      <c r="I4156" s="40" t="s">
        <v>1282</v>
      </c>
    </row>
    <row r="4157" spans="1:9" x14ac:dyDescent="0.25">
      <c r="A4157" s="40" t="s">
        <v>1169</v>
      </c>
      <c r="B4157" s="28">
        <v>4357</v>
      </c>
      <c r="C4157" s="28" t="s">
        <v>35</v>
      </c>
      <c r="D4157" s="28" t="s">
        <v>38</v>
      </c>
      <c r="E4157" s="41">
        <v>46145</v>
      </c>
      <c r="F4157" s="47">
        <v>0.66667824074074078</v>
      </c>
      <c r="G4157" s="44">
        <v>6.3</v>
      </c>
      <c r="H4157" s="43" t="s">
        <v>233</v>
      </c>
      <c r="I4157" s="40" t="s">
        <v>1282</v>
      </c>
    </row>
    <row r="4158" spans="1:9" x14ac:dyDescent="0.25">
      <c r="A4158" s="40" t="s">
        <v>220</v>
      </c>
      <c r="B4158" s="28">
        <v>5023</v>
      </c>
      <c r="C4158" s="28">
        <v>5637253</v>
      </c>
      <c r="D4158" s="28"/>
      <c r="E4158" s="41">
        <v>46139</v>
      </c>
      <c r="F4158" s="47">
        <v>0.25863425925925926</v>
      </c>
      <c r="G4158" s="42">
        <v>6.3</v>
      </c>
      <c r="H4158" s="40" t="s">
        <v>233</v>
      </c>
      <c r="I4158" s="40" t="s">
        <v>1281</v>
      </c>
    </row>
    <row r="4159" spans="1:9" x14ac:dyDescent="0.25">
      <c r="A4159" s="40" t="s">
        <v>220</v>
      </c>
      <c r="B4159" s="28">
        <v>5023</v>
      </c>
      <c r="C4159" s="28">
        <v>5637253</v>
      </c>
      <c r="D4159" s="28"/>
      <c r="E4159" s="41">
        <v>46139</v>
      </c>
      <c r="F4159" s="47">
        <v>0.26445601851851852</v>
      </c>
      <c r="G4159" s="42">
        <v>6.3</v>
      </c>
      <c r="H4159" s="40" t="s">
        <v>234</v>
      </c>
      <c r="I4159" s="40" t="s">
        <v>1281</v>
      </c>
    </row>
    <row r="4160" spans="1:9" x14ac:dyDescent="0.25">
      <c r="A4160" s="40" t="s">
        <v>220</v>
      </c>
      <c r="B4160" s="28">
        <v>5023</v>
      </c>
      <c r="C4160" s="28">
        <v>5637939</v>
      </c>
      <c r="D4160" s="28"/>
      <c r="E4160" s="41">
        <v>46139</v>
      </c>
      <c r="F4160" s="47">
        <v>0.37032407407407408</v>
      </c>
      <c r="G4160" s="44">
        <v>6.3</v>
      </c>
      <c r="H4160" s="43" t="s">
        <v>235</v>
      </c>
      <c r="I4160" s="40" t="s">
        <v>1281</v>
      </c>
    </row>
    <row r="4161" spans="1:9" x14ac:dyDescent="0.25">
      <c r="A4161" s="40" t="s">
        <v>220</v>
      </c>
      <c r="B4161" s="28">
        <v>5023</v>
      </c>
      <c r="C4161" s="28">
        <v>5639283</v>
      </c>
      <c r="D4161" s="28"/>
      <c r="E4161" s="41">
        <v>46140</v>
      </c>
      <c r="F4161" s="47">
        <v>0.27783564814814815</v>
      </c>
      <c r="G4161" s="44">
        <v>6.3</v>
      </c>
      <c r="H4161" s="43" t="s">
        <v>238</v>
      </c>
      <c r="I4161" s="40" t="s">
        <v>1281</v>
      </c>
    </row>
    <row r="4162" spans="1:9" x14ac:dyDescent="0.25">
      <c r="A4162" s="40" t="s">
        <v>220</v>
      </c>
      <c r="B4162" s="28">
        <v>5023</v>
      </c>
      <c r="C4162" s="28">
        <v>5642024</v>
      </c>
      <c r="D4162" s="28"/>
      <c r="E4162" s="41">
        <v>46141</v>
      </c>
      <c r="F4162" s="47">
        <v>0.32372685185185185</v>
      </c>
      <c r="G4162" s="44">
        <v>6.3</v>
      </c>
      <c r="H4162" s="43" t="s">
        <v>236</v>
      </c>
      <c r="I4162" s="40" t="s">
        <v>1281</v>
      </c>
    </row>
    <row r="4163" spans="1:9" x14ac:dyDescent="0.25">
      <c r="A4163" s="40" t="s">
        <v>220</v>
      </c>
      <c r="B4163" s="28">
        <v>5023</v>
      </c>
      <c r="C4163" s="28">
        <v>5640795</v>
      </c>
      <c r="D4163" s="28"/>
      <c r="E4163" s="41">
        <v>46141</v>
      </c>
      <c r="F4163" s="47">
        <v>0.62709490740740736</v>
      </c>
      <c r="G4163" s="44">
        <v>6.3</v>
      </c>
      <c r="H4163" s="43" t="s">
        <v>235</v>
      </c>
      <c r="I4163" s="40" t="s">
        <v>1281</v>
      </c>
    </row>
    <row r="4164" spans="1:9" x14ac:dyDescent="0.25">
      <c r="A4164" s="40" t="s">
        <v>220</v>
      </c>
      <c r="B4164" s="28">
        <v>5023</v>
      </c>
      <c r="C4164" s="28">
        <v>5640795</v>
      </c>
      <c r="D4164" s="28"/>
      <c r="E4164" s="41">
        <v>46141</v>
      </c>
      <c r="F4164" s="47">
        <v>0.63898148148148148</v>
      </c>
      <c r="G4164" s="44">
        <v>6.3</v>
      </c>
      <c r="H4164" s="43" t="s">
        <v>239</v>
      </c>
      <c r="I4164" s="40" t="s">
        <v>1281</v>
      </c>
    </row>
    <row r="4165" spans="1:9" x14ac:dyDescent="0.25">
      <c r="A4165" s="40" t="s">
        <v>220</v>
      </c>
      <c r="B4165" s="28">
        <v>5023</v>
      </c>
      <c r="C4165" s="28">
        <v>5643059</v>
      </c>
      <c r="D4165" s="28"/>
      <c r="E4165" s="41">
        <v>46142</v>
      </c>
      <c r="F4165" s="47">
        <v>0.33297453703703705</v>
      </c>
      <c r="G4165" s="44">
        <v>6.3</v>
      </c>
      <c r="H4165" s="43" t="s">
        <v>233</v>
      </c>
      <c r="I4165" s="40" t="s">
        <v>1281</v>
      </c>
    </row>
    <row r="4166" spans="1:9" x14ac:dyDescent="0.25">
      <c r="A4166" s="40" t="s">
        <v>220</v>
      </c>
      <c r="B4166" s="28">
        <v>5023</v>
      </c>
      <c r="C4166" s="28">
        <v>5643059</v>
      </c>
      <c r="D4166" s="28"/>
      <c r="E4166" s="41">
        <v>46142</v>
      </c>
      <c r="F4166" s="47">
        <v>0.34414351851851854</v>
      </c>
      <c r="G4166" s="44">
        <v>6.3</v>
      </c>
      <c r="H4166" s="43" t="s">
        <v>234</v>
      </c>
      <c r="I4166" s="40" t="s">
        <v>1281</v>
      </c>
    </row>
    <row r="4167" spans="1:9" x14ac:dyDescent="0.25">
      <c r="A4167" s="40" t="s">
        <v>220</v>
      </c>
      <c r="B4167" s="28">
        <v>5023</v>
      </c>
      <c r="C4167" s="28" t="s">
        <v>35</v>
      </c>
      <c r="D4167" s="28" t="s">
        <v>38</v>
      </c>
      <c r="E4167" s="41">
        <v>46142</v>
      </c>
      <c r="F4167" s="47">
        <v>0.63744212962962965</v>
      </c>
      <c r="G4167" s="44">
        <v>6.3</v>
      </c>
      <c r="H4167" s="43" t="s">
        <v>240</v>
      </c>
      <c r="I4167" s="40" t="s">
        <v>1281</v>
      </c>
    </row>
    <row r="4168" spans="1:9" x14ac:dyDescent="0.25">
      <c r="A4168" s="40" t="s">
        <v>220</v>
      </c>
      <c r="B4168" s="28">
        <v>5023</v>
      </c>
      <c r="C4168" s="28" t="s">
        <v>35</v>
      </c>
      <c r="D4168" s="28" t="s">
        <v>38</v>
      </c>
      <c r="E4168" s="41">
        <v>46143</v>
      </c>
      <c r="F4168" s="47">
        <v>0.68123842592592587</v>
      </c>
      <c r="G4168" s="44">
        <v>6.3</v>
      </c>
      <c r="H4168" s="43" t="s">
        <v>241</v>
      </c>
      <c r="I4168" s="40" t="s">
        <v>1282</v>
      </c>
    </row>
    <row r="4169" spans="1:9" x14ac:dyDescent="0.25">
      <c r="A4169" s="40" t="s">
        <v>220</v>
      </c>
      <c r="B4169" s="28">
        <v>5023</v>
      </c>
      <c r="C4169" s="28" t="s">
        <v>35</v>
      </c>
      <c r="D4169" s="28" t="s">
        <v>38</v>
      </c>
      <c r="E4169" s="41">
        <v>46144</v>
      </c>
      <c r="F4169" s="47">
        <v>0.41517361111111112</v>
      </c>
      <c r="G4169" s="44">
        <v>6.3</v>
      </c>
      <c r="H4169" s="43" t="s">
        <v>240</v>
      </c>
      <c r="I4169" s="40" t="s">
        <v>1282</v>
      </c>
    </row>
    <row r="4170" spans="1:9" x14ac:dyDescent="0.25">
      <c r="A4170" s="40" t="s">
        <v>131</v>
      </c>
      <c r="B4170" s="28">
        <v>5032</v>
      </c>
      <c r="C4170" s="28">
        <v>5639738</v>
      </c>
      <c r="D4170" s="28"/>
      <c r="E4170" s="41">
        <v>46140</v>
      </c>
      <c r="F4170" s="47">
        <v>0.26747685185185183</v>
      </c>
      <c r="G4170" s="44">
        <v>6.3</v>
      </c>
      <c r="H4170" s="43" t="s">
        <v>242</v>
      </c>
      <c r="I4170" s="40" t="s">
        <v>1281</v>
      </c>
    </row>
    <row r="4171" spans="1:9" x14ac:dyDescent="0.25">
      <c r="A4171" s="40" t="s">
        <v>131</v>
      </c>
      <c r="B4171" s="28">
        <v>5032</v>
      </c>
      <c r="C4171" s="28">
        <v>5639738</v>
      </c>
      <c r="D4171" s="28"/>
      <c r="E4171" s="41">
        <v>46140</v>
      </c>
      <c r="F4171" s="47">
        <v>0.27525462962962965</v>
      </c>
      <c r="G4171" s="44">
        <v>6.3</v>
      </c>
      <c r="H4171" s="43" t="s">
        <v>240</v>
      </c>
      <c r="I4171" s="40" t="s">
        <v>1281</v>
      </c>
    </row>
    <row r="4172" spans="1:9" x14ac:dyDescent="0.25">
      <c r="A4172" s="40" t="s">
        <v>131</v>
      </c>
      <c r="B4172" s="28">
        <v>5032</v>
      </c>
      <c r="C4172" s="28" t="s">
        <v>1170</v>
      </c>
      <c r="D4172" s="28"/>
      <c r="E4172" s="41">
        <v>46145</v>
      </c>
      <c r="F4172" s="47">
        <v>0.29825231481481479</v>
      </c>
      <c r="G4172" s="44">
        <v>6.3</v>
      </c>
      <c r="H4172" s="43" t="s">
        <v>237</v>
      </c>
      <c r="I4172" s="40" t="s">
        <v>1282</v>
      </c>
    </row>
    <row r="4173" spans="1:9" x14ac:dyDescent="0.25">
      <c r="A4173" s="40" t="s">
        <v>131</v>
      </c>
      <c r="B4173" s="28">
        <v>5032</v>
      </c>
      <c r="C4173" s="28" t="s">
        <v>1170</v>
      </c>
      <c r="D4173" s="28"/>
      <c r="E4173" s="41">
        <v>46145</v>
      </c>
      <c r="F4173" s="47">
        <v>0.30344907407407407</v>
      </c>
      <c r="G4173" s="44">
        <v>6.3</v>
      </c>
      <c r="H4173" s="43" t="s">
        <v>234</v>
      </c>
      <c r="I4173" s="40" t="s">
        <v>1282</v>
      </c>
    </row>
    <row r="4174" spans="1:9" x14ac:dyDescent="0.25">
      <c r="A4174" s="40" t="s">
        <v>132</v>
      </c>
      <c r="B4174" s="28">
        <v>5142</v>
      </c>
      <c r="C4174" s="28">
        <v>5638566</v>
      </c>
      <c r="D4174" s="28"/>
      <c r="E4174" s="41">
        <v>46139</v>
      </c>
      <c r="F4174" s="47">
        <v>0.65113425925925927</v>
      </c>
      <c r="G4174" s="44">
        <v>6.3</v>
      </c>
      <c r="H4174" s="43" t="s">
        <v>237</v>
      </c>
      <c r="I4174" s="40" t="s">
        <v>1281</v>
      </c>
    </row>
    <row r="4175" spans="1:9" x14ac:dyDescent="0.25">
      <c r="A4175" s="40" t="s">
        <v>132</v>
      </c>
      <c r="B4175" s="28">
        <v>5142</v>
      </c>
      <c r="C4175" s="28">
        <v>5638566</v>
      </c>
      <c r="D4175" s="28"/>
      <c r="E4175" s="41">
        <v>46139</v>
      </c>
      <c r="F4175" s="47">
        <v>0.65763888888888888</v>
      </c>
      <c r="G4175" s="44">
        <v>6.3</v>
      </c>
      <c r="H4175" s="43" t="s">
        <v>234</v>
      </c>
      <c r="I4175" s="40" t="s">
        <v>1281</v>
      </c>
    </row>
    <row r="4176" spans="1:9" x14ac:dyDescent="0.25">
      <c r="A4176" s="40" t="s">
        <v>155</v>
      </c>
      <c r="B4176" s="28">
        <v>7027</v>
      </c>
      <c r="C4176" s="28" t="s">
        <v>35</v>
      </c>
      <c r="D4176" s="28" t="s">
        <v>38</v>
      </c>
      <c r="E4176" s="41">
        <v>46140</v>
      </c>
      <c r="F4176" s="47">
        <v>0.92660879629629633</v>
      </c>
      <c r="G4176" s="44">
        <v>6.3</v>
      </c>
      <c r="H4176" s="43" t="s">
        <v>236</v>
      </c>
      <c r="I4176" s="40" t="s">
        <v>1281</v>
      </c>
    </row>
    <row r="4177" spans="1:9" x14ac:dyDescent="0.25">
      <c r="A4177" s="40" t="s">
        <v>155</v>
      </c>
      <c r="B4177" s="28">
        <v>7027</v>
      </c>
      <c r="C4177" s="28" t="s">
        <v>35</v>
      </c>
      <c r="D4177" s="28" t="s">
        <v>38</v>
      </c>
      <c r="E4177" s="41">
        <v>46142</v>
      </c>
      <c r="F4177" s="47">
        <v>0.43168981481481483</v>
      </c>
      <c r="G4177" s="44">
        <v>6.3</v>
      </c>
      <c r="H4177" s="43" t="s">
        <v>235</v>
      </c>
      <c r="I4177" s="40" t="s">
        <v>1281</v>
      </c>
    </row>
    <row r="4178" spans="1:9" x14ac:dyDescent="0.25">
      <c r="A4178" s="40" t="s">
        <v>155</v>
      </c>
      <c r="B4178" s="28">
        <v>7027</v>
      </c>
      <c r="C4178" s="28" t="s">
        <v>35</v>
      </c>
      <c r="D4178" s="28" t="s">
        <v>38</v>
      </c>
      <c r="E4178" s="41">
        <v>46142</v>
      </c>
      <c r="F4178" s="47">
        <v>0.45104166666666667</v>
      </c>
      <c r="G4178" s="44">
        <v>6.3</v>
      </c>
      <c r="H4178" s="43" t="s">
        <v>239</v>
      </c>
      <c r="I4178" s="40" t="s">
        <v>1281</v>
      </c>
    </row>
    <row r="4179" spans="1:9" x14ac:dyDescent="0.25">
      <c r="A4179" s="40" t="s">
        <v>155</v>
      </c>
      <c r="B4179" s="28">
        <v>7027</v>
      </c>
      <c r="C4179" s="28" t="s">
        <v>35</v>
      </c>
      <c r="D4179" s="28" t="s">
        <v>38</v>
      </c>
      <c r="E4179" s="41">
        <v>46143</v>
      </c>
      <c r="F4179" s="47">
        <v>0.85127314814814814</v>
      </c>
      <c r="G4179" s="44">
        <v>6.3</v>
      </c>
      <c r="H4179" s="43" t="s">
        <v>236</v>
      </c>
      <c r="I4179" s="40" t="s">
        <v>1282</v>
      </c>
    </row>
    <row r="4180" spans="1:9" x14ac:dyDescent="0.25">
      <c r="A4180" s="40" t="s">
        <v>155</v>
      </c>
      <c r="B4180" s="28">
        <v>7027</v>
      </c>
      <c r="C4180" s="28" t="s">
        <v>35</v>
      </c>
      <c r="D4180" s="28" t="s">
        <v>38</v>
      </c>
      <c r="E4180" s="41">
        <v>46144</v>
      </c>
      <c r="F4180" s="47">
        <v>0.41567129629629629</v>
      </c>
      <c r="G4180" s="44">
        <v>6.3</v>
      </c>
      <c r="H4180" s="43" t="s">
        <v>235</v>
      </c>
      <c r="I4180" s="40" t="s">
        <v>1282</v>
      </c>
    </row>
    <row r="4181" spans="1:9" x14ac:dyDescent="0.25">
      <c r="A4181" s="40" t="s">
        <v>155</v>
      </c>
      <c r="B4181" s="28">
        <v>7027</v>
      </c>
      <c r="C4181" s="28" t="s">
        <v>35</v>
      </c>
      <c r="D4181" s="28" t="s">
        <v>38</v>
      </c>
      <c r="E4181" s="41">
        <v>46144</v>
      </c>
      <c r="F4181" s="47">
        <v>0.42725694444444445</v>
      </c>
      <c r="G4181" s="42">
        <v>6.3</v>
      </c>
      <c r="H4181" s="40" t="s">
        <v>236</v>
      </c>
      <c r="I4181" s="40" t="s">
        <v>1282</v>
      </c>
    </row>
    <row r="4182" spans="1:9" x14ac:dyDescent="0.25">
      <c r="A4182" s="40" t="s">
        <v>155</v>
      </c>
      <c r="B4182" s="28">
        <v>7027</v>
      </c>
      <c r="C4182" s="28" t="s">
        <v>35</v>
      </c>
      <c r="D4182" s="28" t="s">
        <v>38</v>
      </c>
      <c r="E4182" s="41">
        <v>46145</v>
      </c>
      <c r="F4182" s="47">
        <v>8.9560185185185187E-2</v>
      </c>
      <c r="G4182" s="42">
        <v>6.3</v>
      </c>
      <c r="H4182" s="40" t="s">
        <v>236</v>
      </c>
      <c r="I4182" s="40" t="s">
        <v>1282</v>
      </c>
    </row>
    <row r="4183" spans="1:9" x14ac:dyDescent="0.25">
      <c r="A4183" s="40" t="s">
        <v>87</v>
      </c>
      <c r="B4183" s="28">
        <v>7028</v>
      </c>
      <c r="C4183" s="28">
        <v>5634567</v>
      </c>
      <c r="D4183" s="28"/>
      <c r="E4183" s="41">
        <v>46139</v>
      </c>
      <c r="F4183" s="47">
        <v>0.6166666666666667</v>
      </c>
      <c r="G4183" s="42">
        <v>6.3</v>
      </c>
      <c r="H4183" s="40" t="s">
        <v>239</v>
      </c>
      <c r="I4183" s="40" t="s">
        <v>1281</v>
      </c>
    </row>
    <row r="4184" spans="1:9" x14ac:dyDescent="0.25">
      <c r="A4184" s="40" t="s">
        <v>87</v>
      </c>
      <c r="B4184" s="28">
        <v>7028</v>
      </c>
      <c r="C4184" s="28" t="s">
        <v>35</v>
      </c>
      <c r="D4184" s="28" t="s">
        <v>38</v>
      </c>
      <c r="E4184" s="41">
        <v>46140</v>
      </c>
      <c r="F4184" s="47">
        <v>0.12893518518518518</v>
      </c>
      <c r="G4184" s="42">
        <v>6.3</v>
      </c>
      <c r="H4184" s="40" t="s">
        <v>237</v>
      </c>
      <c r="I4184" s="40" t="s">
        <v>1281</v>
      </c>
    </row>
    <row r="4185" spans="1:9" x14ac:dyDescent="0.25">
      <c r="A4185" s="40" t="s">
        <v>87</v>
      </c>
      <c r="B4185" s="28">
        <v>7028</v>
      </c>
      <c r="C4185" s="28">
        <v>5643498</v>
      </c>
      <c r="D4185" s="28" t="s">
        <v>37</v>
      </c>
      <c r="E4185" s="41">
        <v>46142</v>
      </c>
      <c r="F4185" s="47">
        <v>0.15841435185185185</v>
      </c>
      <c r="G4185" s="44">
        <v>6.3</v>
      </c>
      <c r="H4185" s="43" t="s">
        <v>237</v>
      </c>
      <c r="I4185" s="40" t="s">
        <v>1281</v>
      </c>
    </row>
    <row r="4186" spans="1:9" x14ac:dyDescent="0.25">
      <c r="A4186" s="40" t="s">
        <v>87</v>
      </c>
      <c r="B4186" s="28">
        <v>7028</v>
      </c>
      <c r="C4186" s="28">
        <v>5643498</v>
      </c>
      <c r="D4186" s="28" t="s">
        <v>37</v>
      </c>
      <c r="E4186" s="41">
        <v>46142</v>
      </c>
      <c r="F4186" s="47">
        <v>0.16412037037037036</v>
      </c>
      <c r="G4186" s="44">
        <v>6.3</v>
      </c>
      <c r="H4186" s="43" t="s">
        <v>234</v>
      </c>
      <c r="I4186" s="40" t="s">
        <v>1281</v>
      </c>
    </row>
    <row r="4187" spans="1:9" x14ac:dyDescent="0.25">
      <c r="A4187" s="40" t="s">
        <v>87</v>
      </c>
      <c r="B4187" s="28">
        <v>7028</v>
      </c>
      <c r="C4187" s="28" t="s">
        <v>35</v>
      </c>
      <c r="D4187" s="28" t="s">
        <v>38</v>
      </c>
      <c r="E4187" s="41">
        <v>46143</v>
      </c>
      <c r="F4187" s="47">
        <v>0.43716435185185187</v>
      </c>
      <c r="G4187" s="44">
        <v>6.3</v>
      </c>
      <c r="H4187" s="43" t="s">
        <v>235</v>
      </c>
      <c r="I4187" s="40" t="s">
        <v>1282</v>
      </c>
    </row>
    <row r="4188" spans="1:9" x14ac:dyDescent="0.25">
      <c r="A4188" s="40" t="s">
        <v>87</v>
      </c>
      <c r="B4188" s="28">
        <v>7028</v>
      </c>
      <c r="C4188" s="28" t="s">
        <v>35</v>
      </c>
      <c r="D4188" s="28" t="s">
        <v>38</v>
      </c>
      <c r="E4188" s="41">
        <v>46143</v>
      </c>
      <c r="F4188" s="47">
        <v>0.44490740740740742</v>
      </c>
      <c r="G4188" s="44">
        <v>6.3</v>
      </c>
      <c r="H4188" s="43" t="s">
        <v>236</v>
      </c>
      <c r="I4188" s="40" t="s">
        <v>1282</v>
      </c>
    </row>
    <row r="4189" spans="1:9" x14ac:dyDescent="0.25">
      <c r="A4189" s="40" t="s">
        <v>87</v>
      </c>
      <c r="B4189" s="28">
        <v>7028</v>
      </c>
      <c r="C4189" s="28" t="s">
        <v>35</v>
      </c>
      <c r="D4189" s="28" t="s">
        <v>38</v>
      </c>
      <c r="E4189" s="41">
        <v>46145</v>
      </c>
      <c r="F4189" s="47">
        <v>0.1323148148148148</v>
      </c>
      <c r="G4189" s="44">
        <v>6.3</v>
      </c>
      <c r="H4189" s="43" t="s">
        <v>237</v>
      </c>
      <c r="I4189" s="40" t="s">
        <v>1282</v>
      </c>
    </row>
    <row r="4190" spans="1:9" x14ac:dyDescent="0.25">
      <c r="A4190" s="40" t="s">
        <v>87</v>
      </c>
      <c r="B4190" s="28">
        <v>7028</v>
      </c>
      <c r="C4190" s="28" t="s">
        <v>35</v>
      </c>
      <c r="D4190" s="28" t="s">
        <v>38</v>
      </c>
      <c r="E4190" s="45">
        <v>46145</v>
      </c>
      <c r="F4190" s="48">
        <v>0.1373611111111111</v>
      </c>
      <c r="G4190" s="44">
        <v>6.3</v>
      </c>
      <c r="H4190" s="43" t="s">
        <v>234</v>
      </c>
      <c r="I4190" s="40" t="s">
        <v>1282</v>
      </c>
    </row>
    <row r="4191" spans="1:9" x14ac:dyDescent="0.25">
      <c r="A4191" s="40" t="s">
        <v>87</v>
      </c>
      <c r="B4191" s="28">
        <v>7028</v>
      </c>
      <c r="C4191" s="28">
        <v>5647952</v>
      </c>
      <c r="D4191" s="28" t="s">
        <v>37</v>
      </c>
      <c r="E4191" s="41">
        <v>46145</v>
      </c>
      <c r="F4191" s="47">
        <v>0.35833333333333334</v>
      </c>
      <c r="G4191" s="44">
        <v>6.3</v>
      </c>
      <c r="H4191" s="43" t="s">
        <v>237</v>
      </c>
      <c r="I4191" s="40" t="s">
        <v>1282</v>
      </c>
    </row>
    <row r="4192" spans="1:9" x14ac:dyDescent="0.25">
      <c r="A4192" s="40" t="s">
        <v>87</v>
      </c>
      <c r="B4192" s="28">
        <v>7028</v>
      </c>
      <c r="C4192" s="28">
        <v>5647952</v>
      </c>
      <c r="D4192" s="28" t="s">
        <v>37</v>
      </c>
      <c r="E4192" s="41">
        <v>46145</v>
      </c>
      <c r="F4192" s="47">
        <v>0.36353009259259261</v>
      </c>
      <c r="G4192" s="44">
        <v>6.3</v>
      </c>
      <c r="H4192" s="43" t="s">
        <v>234</v>
      </c>
      <c r="I4192" s="40" t="s">
        <v>1282</v>
      </c>
    </row>
    <row r="4193" spans="1:9" x14ac:dyDescent="0.25">
      <c r="A4193" s="40" t="s">
        <v>375</v>
      </c>
      <c r="B4193" s="28">
        <v>7038</v>
      </c>
      <c r="C4193" s="28">
        <v>5645693</v>
      </c>
      <c r="D4193" s="28" t="s">
        <v>37</v>
      </c>
      <c r="E4193" s="41">
        <v>46142</v>
      </c>
      <c r="F4193" s="47">
        <v>0.96895833333333337</v>
      </c>
      <c r="G4193" s="44">
        <v>6.3</v>
      </c>
      <c r="H4193" s="43" t="s">
        <v>237</v>
      </c>
      <c r="I4193" s="40" t="s">
        <v>1281</v>
      </c>
    </row>
    <row r="4194" spans="1:9" x14ac:dyDescent="0.25">
      <c r="A4194" s="40" t="s">
        <v>375</v>
      </c>
      <c r="B4194" s="28">
        <v>7038</v>
      </c>
      <c r="C4194" s="28">
        <v>5648225</v>
      </c>
      <c r="D4194" s="28"/>
      <c r="E4194" s="41">
        <v>46145</v>
      </c>
      <c r="F4194" s="47">
        <v>0.38996527777777779</v>
      </c>
      <c r="G4194" s="44">
        <v>6.3</v>
      </c>
      <c r="H4194" s="43" t="s">
        <v>236</v>
      </c>
      <c r="I4194" s="40" t="s">
        <v>1282</v>
      </c>
    </row>
    <row r="4195" spans="1:9" x14ac:dyDescent="0.25">
      <c r="A4195" s="40" t="s">
        <v>1171</v>
      </c>
      <c r="B4195" s="28">
        <v>7045</v>
      </c>
      <c r="C4195" s="28" t="s">
        <v>35</v>
      </c>
      <c r="D4195" s="28" t="s">
        <v>38</v>
      </c>
      <c r="E4195" s="41">
        <v>46140</v>
      </c>
      <c r="F4195" s="47">
        <v>0.2663888888888889</v>
      </c>
      <c r="G4195" s="44">
        <v>6.3</v>
      </c>
      <c r="H4195" s="43" t="s">
        <v>238</v>
      </c>
      <c r="I4195" s="40" t="s">
        <v>1281</v>
      </c>
    </row>
    <row r="4196" spans="1:9" x14ac:dyDescent="0.25">
      <c r="A4196" s="40" t="s">
        <v>1171</v>
      </c>
      <c r="B4196" s="28">
        <v>7045</v>
      </c>
      <c r="C4196" s="28" t="s">
        <v>35</v>
      </c>
      <c r="D4196" s="28" t="s">
        <v>38</v>
      </c>
      <c r="E4196" s="45">
        <v>46142</v>
      </c>
      <c r="F4196" s="48">
        <v>0.79026620370370371</v>
      </c>
      <c r="G4196" s="44">
        <v>6.3</v>
      </c>
      <c r="H4196" s="43" t="s">
        <v>234</v>
      </c>
      <c r="I4196" s="40" t="s">
        <v>1281</v>
      </c>
    </row>
    <row r="4197" spans="1:9" x14ac:dyDescent="0.25">
      <c r="A4197" s="40" t="s">
        <v>1171</v>
      </c>
      <c r="B4197" s="28">
        <v>7045</v>
      </c>
      <c r="C4197" s="28" t="s">
        <v>35</v>
      </c>
      <c r="D4197" s="28" t="s">
        <v>38</v>
      </c>
      <c r="E4197" s="41">
        <v>46142</v>
      </c>
      <c r="F4197" s="47">
        <v>0.84039351851851851</v>
      </c>
      <c r="G4197" s="44">
        <v>6.3</v>
      </c>
      <c r="H4197" s="43" t="s">
        <v>235</v>
      </c>
      <c r="I4197" s="40" t="s">
        <v>1281</v>
      </c>
    </row>
    <row r="4198" spans="1:9" x14ac:dyDescent="0.25">
      <c r="A4198" s="40" t="s">
        <v>1171</v>
      </c>
      <c r="B4198" s="28">
        <v>7045</v>
      </c>
      <c r="C4198" s="28" t="s">
        <v>35</v>
      </c>
      <c r="D4198" s="28" t="s">
        <v>38</v>
      </c>
      <c r="E4198" s="41">
        <v>46143</v>
      </c>
      <c r="F4198" s="47">
        <v>0.70151620370370371</v>
      </c>
      <c r="G4198" s="44">
        <v>6.3</v>
      </c>
      <c r="H4198" s="43" t="s">
        <v>237</v>
      </c>
      <c r="I4198" s="40" t="s">
        <v>1282</v>
      </c>
    </row>
    <row r="4199" spans="1:9" x14ac:dyDescent="0.25">
      <c r="A4199" s="40" t="s">
        <v>133</v>
      </c>
      <c r="B4199" s="28">
        <v>7065</v>
      </c>
      <c r="C4199" s="28">
        <v>5641378</v>
      </c>
      <c r="D4199" s="28"/>
      <c r="E4199" s="41">
        <v>46140</v>
      </c>
      <c r="F4199" s="47">
        <v>0.81880787037037039</v>
      </c>
      <c r="G4199" s="44">
        <v>6.3</v>
      </c>
      <c r="H4199" s="43" t="s">
        <v>234</v>
      </c>
      <c r="I4199" s="40" t="s">
        <v>1281</v>
      </c>
    </row>
    <row r="4200" spans="1:9" x14ac:dyDescent="0.25">
      <c r="A4200" s="40" t="s">
        <v>133</v>
      </c>
      <c r="B4200" s="28">
        <v>7065</v>
      </c>
      <c r="C4200" s="28">
        <v>5641607</v>
      </c>
      <c r="D4200" s="28"/>
      <c r="E4200" s="41">
        <v>46140</v>
      </c>
      <c r="F4200" s="47">
        <v>0.89831018518518524</v>
      </c>
      <c r="G4200" s="44">
        <v>6.3</v>
      </c>
      <c r="H4200" s="43" t="s">
        <v>236</v>
      </c>
      <c r="I4200" s="40" t="s">
        <v>1281</v>
      </c>
    </row>
    <row r="4201" spans="1:9" x14ac:dyDescent="0.25">
      <c r="A4201" s="40" t="s">
        <v>133</v>
      </c>
      <c r="B4201" s="28">
        <v>7065</v>
      </c>
      <c r="C4201" s="28">
        <v>5642020</v>
      </c>
      <c r="D4201" s="28"/>
      <c r="E4201" s="41">
        <v>46141</v>
      </c>
      <c r="F4201" s="47">
        <v>0.34439814814814818</v>
      </c>
      <c r="G4201" s="44">
        <v>6.3</v>
      </c>
      <c r="H4201" s="43" t="s">
        <v>237</v>
      </c>
      <c r="I4201" s="40" t="s">
        <v>1281</v>
      </c>
    </row>
    <row r="4202" spans="1:9" x14ac:dyDescent="0.25">
      <c r="A4202" s="40" t="s">
        <v>133</v>
      </c>
      <c r="B4202" s="28">
        <v>7065</v>
      </c>
      <c r="C4202" s="28">
        <v>5642020</v>
      </c>
      <c r="D4202" s="28"/>
      <c r="E4202" s="45">
        <v>46141</v>
      </c>
      <c r="F4202" s="48">
        <v>0.3543634259259259</v>
      </c>
      <c r="G4202" s="44">
        <v>6.3</v>
      </c>
      <c r="H4202" s="43" t="s">
        <v>234</v>
      </c>
      <c r="I4202" s="40" t="s">
        <v>1281</v>
      </c>
    </row>
    <row r="4203" spans="1:9" x14ac:dyDescent="0.25">
      <c r="A4203" s="40" t="s">
        <v>133</v>
      </c>
      <c r="B4203" s="28">
        <v>7065</v>
      </c>
      <c r="C4203" s="28" t="s">
        <v>35</v>
      </c>
      <c r="D4203" s="28" t="s">
        <v>38</v>
      </c>
      <c r="E4203" s="41">
        <v>46145</v>
      </c>
      <c r="F4203" s="47">
        <v>0.8153125</v>
      </c>
      <c r="G4203" s="42">
        <v>6.3</v>
      </c>
      <c r="H4203" s="40" t="s">
        <v>237</v>
      </c>
      <c r="I4203" s="40" t="s">
        <v>1282</v>
      </c>
    </row>
    <row r="4204" spans="1:9" x14ac:dyDescent="0.25">
      <c r="A4204" s="40" t="s">
        <v>172</v>
      </c>
      <c r="B4204" s="28">
        <v>7090</v>
      </c>
      <c r="C4204" s="28">
        <v>10548565</v>
      </c>
      <c r="D4204" s="28"/>
      <c r="E4204" s="45">
        <v>46139</v>
      </c>
      <c r="F4204" s="48">
        <v>0.31209490740740742</v>
      </c>
      <c r="G4204" s="42">
        <v>6.3</v>
      </c>
      <c r="H4204" s="40" t="s">
        <v>237</v>
      </c>
      <c r="I4204" s="40" t="s">
        <v>1281</v>
      </c>
    </row>
    <row r="4205" spans="1:9" x14ac:dyDescent="0.25">
      <c r="A4205" s="40" t="s">
        <v>172</v>
      </c>
      <c r="B4205" s="28">
        <v>7090</v>
      </c>
      <c r="C4205" s="28">
        <v>10548565</v>
      </c>
      <c r="D4205" s="28"/>
      <c r="E4205" s="41">
        <v>46139</v>
      </c>
      <c r="F4205" s="47">
        <v>0.32576388888888891</v>
      </c>
      <c r="G4205" s="42">
        <v>6.3</v>
      </c>
      <c r="H4205" s="40" t="s">
        <v>234</v>
      </c>
      <c r="I4205" s="40" t="s">
        <v>1281</v>
      </c>
    </row>
    <row r="4206" spans="1:9" x14ac:dyDescent="0.25">
      <c r="A4206" s="40" t="s">
        <v>172</v>
      </c>
      <c r="B4206" s="28">
        <v>7090</v>
      </c>
      <c r="C4206" s="28">
        <v>5639890</v>
      </c>
      <c r="D4206" s="28"/>
      <c r="E4206" s="41">
        <v>46140</v>
      </c>
      <c r="F4206" s="47">
        <v>0.34171296296296294</v>
      </c>
      <c r="G4206" s="42">
        <v>6.3</v>
      </c>
      <c r="H4206" s="40" t="s">
        <v>237</v>
      </c>
      <c r="I4206" s="40" t="s">
        <v>1281</v>
      </c>
    </row>
    <row r="4207" spans="1:9" x14ac:dyDescent="0.25">
      <c r="A4207" s="40" t="s">
        <v>172</v>
      </c>
      <c r="B4207" s="28">
        <v>7090</v>
      </c>
      <c r="C4207" s="28">
        <v>5639890</v>
      </c>
      <c r="D4207" s="28"/>
      <c r="E4207" s="41">
        <v>46140</v>
      </c>
      <c r="F4207" s="47">
        <v>0.35570601851851852</v>
      </c>
      <c r="G4207" s="42">
        <v>6.3</v>
      </c>
      <c r="H4207" s="40" t="s">
        <v>234</v>
      </c>
      <c r="I4207" s="40" t="s">
        <v>1281</v>
      </c>
    </row>
    <row r="4208" spans="1:9" x14ac:dyDescent="0.25">
      <c r="A4208" s="40" t="s">
        <v>172</v>
      </c>
      <c r="B4208" s="28">
        <v>7090</v>
      </c>
      <c r="C4208" s="28">
        <v>10573006</v>
      </c>
      <c r="D4208" s="28"/>
      <c r="E4208" s="41">
        <v>46142</v>
      </c>
      <c r="F4208" s="47">
        <v>0.51450231481481479</v>
      </c>
      <c r="G4208" s="44">
        <v>6.3</v>
      </c>
      <c r="H4208" s="43" t="s">
        <v>237</v>
      </c>
      <c r="I4208" s="40" t="s">
        <v>1282</v>
      </c>
    </row>
    <row r="4209" spans="1:9" x14ac:dyDescent="0.25">
      <c r="A4209" s="40" t="s">
        <v>172</v>
      </c>
      <c r="B4209" s="28">
        <v>7090</v>
      </c>
      <c r="C4209" s="28">
        <v>10573006</v>
      </c>
      <c r="D4209" s="28"/>
      <c r="E4209" s="41">
        <v>46142</v>
      </c>
      <c r="F4209" s="47">
        <v>0.52527777777777773</v>
      </c>
      <c r="G4209" s="44">
        <v>6.3</v>
      </c>
      <c r="H4209" s="43" t="s">
        <v>234</v>
      </c>
      <c r="I4209" s="40" t="s">
        <v>1281</v>
      </c>
    </row>
    <row r="4210" spans="1:9" x14ac:dyDescent="0.25">
      <c r="A4210" s="40" t="s">
        <v>172</v>
      </c>
      <c r="B4210" s="28">
        <v>7090</v>
      </c>
      <c r="C4210" s="28" t="s">
        <v>1172</v>
      </c>
      <c r="D4210" s="28"/>
      <c r="E4210" s="45">
        <v>46142</v>
      </c>
      <c r="F4210" s="48">
        <v>0.62452546296296296</v>
      </c>
      <c r="G4210" s="44">
        <v>6.3</v>
      </c>
      <c r="H4210" s="43" t="s">
        <v>235</v>
      </c>
      <c r="I4210" s="40" t="s">
        <v>1281</v>
      </c>
    </row>
    <row r="4211" spans="1:9" x14ac:dyDescent="0.25">
      <c r="A4211" s="40" t="s">
        <v>172</v>
      </c>
      <c r="B4211" s="28">
        <v>7090</v>
      </c>
      <c r="C4211" s="28">
        <v>10573270</v>
      </c>
      <c r="D4211" s="28"/>
      <c r="E4211" s="41">
        <v>46143</v>
      </c>
      <c r="F4211" s="47">
        <v>0.31967592592592592</v>
      </c>
      <c r="G4211" s="44">
        <v>6.3</v>
      </c>
      <c r="H4211" s="43" t="s">
        <v>237</v>
      </c>
      <c r="I4211" s="40" t="s">
        <v>1282</v>
      </c>
    </row>
    <row r="4212" spans="1:9" x14ac:dyDescent="0.25">
      <c r="A4212" s="40" t="s">
        <v>172</v>
      </c>
      <c r="B4212" s="28">
        <v>7090</v>
      </c>
      <c r="C4212" s="28">
        <v>10573270</v>
      </c>
      <c r="D4212" s="28"/>
      <c r="E4212" s="41">
        <v>46143</v>
      </c>
      <c r="F4212" s="47">
        <v>0.32707175925925924</v>
      </c>
      <c r="G4212" s="44">
        <v>6.3</v>
      </c>
      <c r="H4212" s="43" t="s">
        <v>234</v>
      </c>
      <c r="I4212" s="40" t="s">
        <v>1282</v>
      </c>
    </row>
    <row r="4213" spans="1:9" x14ac:dyDescent="0.25">
      <c r="A4213" s="40" t="s">
        <v>172</v>
      </c>
      <c r="B4213" s="28">
        <v>7090</v>
      </c>
      <c r="C4213" s="28">
        <v>10579864</v>
      </c>
      <c r="D4213" s="28" t="s">
        <v>36</v>
      </c>
      <c r="E4213" s="41">
        <v>46144</v>
      </c>
      <c r="F4213" s="47">
        <v>0.33515046296296297</v>
      </c>
      <c r="G4213" s="44">
        <v>6.3</v>
      </c>
      <c r="H4213" s="43" t="s">
        <v>237</v>
      </c>
      <c r="I4213" s="40" t="s">
        <v>1282</v>
      </c>
    </row>
    <row r="4214" spans="1:9" x14ac:dyDescent="0.25">
      <c r="A4214" s="40" t="s">
        <v>172</v>
      </c>
      <c r="B4214" s="28">
        <v>7090</v>
      </c>
      <c r="C4214" s="28">
        <v>10579864</v>
      </c>
      <c r="D4214" s="28" t="s">
        <v>36</v>
      </c>
      <c r="E4214" s="41">
        <v>46144</v>
      </c>
      <c r="F4214" s="47">
        <v>0.34222222222222221</v>
      </c>
      <c r="G4214" s="44">
        <v>6.3</v>
      </c>
      <c r="H4214" s="43" t="s">
        <v>234</v>
      </c>
      <c r="I4214" s="40" t="s">
        <v>1282</v>
      </c>
    </row>
    <row r="4215" spans="1:9" x14ac:dyDescent="0.25">
      <c r="A4215" s="40" t="s">
        <v>403</v>
      </c>
      <c r="B4215" s="28">
        <v>7106</v>
      </c>
      <c r="C4215" s="28" t="s">
        <v>35</v>
      </c>
      <c r="D4215" s="28" t="s">
        <v>38</v>
      </c>
      <c r="E4215" s="41">
        <v>46139</v>
      </c>
      <c r="F4215" s="47">
        <v>0.20070601851851852</v>
      </c>
      <c r="G4215" s="42">
        <v>6.3</v>
      </c>
      <c r="H4215" s="40" t="s">
        <v>234</v>
      </c>
      <c r="I4215" s="40" t="s">
        <v>1281</v>
      </c>
    </row>
    <row r="4216" spans="1:9" x14ac:dyDescent="0.25">
      <c r="A4216" s="40" t="s">
        <v>403</v>
      </c>
      <c r="B4216" s="28">
        <v>7106</v>
      </c>
      <c r="C4216" s="28" t="s">
        <v>35</v>
      </c>
      <c r="D4216" s="28" t="s">
        <v>38</v>
      </c>
      <c r="E4216" s="41">
        <v>46143</v>
      </c>
      <c r="F4216" s="47">
        <v>0.29115740740740742</v>
      </c>
      <c r="G4216" s="42">
        <v>6.3</v>
      </c>
      <c r="H4216" s="40" t="s">
        <v>234</v>
      </c>
      <c r="I4216" s="40" t="s">
        <v>1282</v>
      </c>
    </row>
    <row r="4217" spans="1:9" x14ac:dyDescent="0.25">
      <c r="A4217" s="40" t="s">
        <v>403</v>
      </c>
      <c r="B4217" s="28">
        <v>7106</v>
      </c>
      <c r="C4217" s="28">
        <v>5647094</v>
      </c>
      <c r="D4217" s="28"/>
      <c r="E4217" s="41">
        <v>46144</v>
      </c>
      <c r="F4217" s="47">
        <v>0.26348379629629631</v>
      </c>
      <c r="G4217" s="42">
        <v>6.3</v>
      </c>
      <c r="H4217" s="40" t="s">
        <v>236</v>
      </c>
      <c r="I4217" s="40" t="s">
        <v>1282</v>
      </c>
    </row>
    <row r="4218" spans="1:9" x14ac:dyDescent="0.25">
      <c r="A4218" s="40" t="s">
        <v>403</v>
      </c>
      <c r="B4218" s="28">
        <v>7106</v>
      </c>
      <c r="C4218" s="28" t="s">
        <v>35</v>
      </c>
      <c r="D4218" s="28" t="s">
        <v>38</v>
      </c>
      <c r="E4218" s="41">
        <v>46144</v>
      </c>
      <c r="F4218" s="47">
        <v>0.33329861111111109</v>
      </c>
      <c r="G4218" s="42">
        <v>6.3</v>
      </c>
      <c r="H4218" s="40" t="s">
        <v>233</v>
      </c>
      <c r="I4218" s="40" t="s">
        <v>1282</v>
      </c>
    </row>
    <row r="4219" spans="1:9" x14ac:dyDescent="0.25">
      <c r="A4219" s="40" t="s">
        <v>403</v>
      </c>
      <c r="B4219" s="28">
        <v>7106</v>
      </c>
      <c r="C4219" s="28" t="s">
        <v>35</v>
      </c>
      <c r="D4219" s="28" t="s">
        <v>38</v>
      </c>
      <c r="E4219" s="41">
        <v>46145</v>
      </c>
      <c r="F4219" s="47">
        <v>0.53773148148148153</v>
      </c>
      <c r="G4219" s="44">
        <v>6.3</v>
      </c>
      <c r="H4219" s="43" t="s">
        <v>237</v>
      </c>
      <c r="I4219" s="40" t="s">
        <v>1282</v>
      </c>
    </row>
    <row r="4220" spans="1:9" x14ac:dyDescent="0.25">
      <c r="A4220" s="40" t="s">
        <v>1173</v>
      </c>
      <c r="B4220" s="28">
        <v>7109</v>
      </c>
      <c r="C4220" s="28">
        <v>5637643</v>
      </c>
      <c r="D4220" s="28"/>
      <c r="E4220" s="41">
        <v>46139</v>
      </c>
      <c r="F4220" s="47">
        <v>0.20046296296296295</v>
      </c>
      <c r="G4220" s="44">
        <v>6.3</v>
      </c>
      <c r="H4220" s="43" t="s">
        <v>234</v>
      </c>
      <c r="I4220" s="40" t="s">
        <v>1281</v>
      </c>
    </row>
    <row r="4221" spans="1:9" x14ac:dyDescent="0.25">
      <c r="A4221" s="40" t="s">
        <v>1173</v>
      </c>
      <c r="B4221" s="28">
        <v>7109</v>
      </c>
      <c r="C4221" s="28" t="s">
        <v>35</v>
      </c>
      <c r="D4221" s="28" t="s">
        <v>38</v>
      </c>
      <c r="E4221" s="41">
        <v>46139</v>
      </c>
      <c r="F4221" s="47">
        <v>0.33983796296296298</v>
      </c>
      <c r="G4221" s="44">
        <v>6.3</v>
      </c>
      <c r="H4221" s="43" t="s">
        <v>237</v>
      </c>
      <c r="I4221" s="40" t="s">
        <v>1281</v>
      </c>
    </row>
    <row r="4222" spans="1:9" x14ac:dyDescent="0.25">
      <c r="A4222" s="40" t="s">
        <v>1173</v>
      </c>
      <c r="B4222" s="28">
        <v>7109</v>
      </c>
      <c r="C4222" s="28">
        <v>5643718</v>
      </c>
      <c r="D4222" s="28"/>
      <c r="E4222" s="41">
        <v>46141</v>
      </c>
      <c r="F4222" s="47">
        <v>0.93556712962962962</v>
      </c>
      <c r="G4222" s="44">
        <v>6.3</v>
      </c>
      <c r="H4222" s="43" t="s">
        <v>237</v>
      </c>
      <c r="I4222" s="40" t="s">
        <v>1281</v>
      </c>
    </row>
    <row r="4223" spans="1:9" x14ac:dyDescent="0.25">
      <c r="A4223" s="40" t="s">
        <v>1173</v>
      </c>
      <c r="B4223" s="28">
        <v>7109</v>
      </c>
      <c r="C4223" s="28">
        <v>5643718</v>
      </c>
      <c r="D4223" s="28"/>
      <c r="E4223" s="41">
        <v>46141</v>
      </c>
      <c r="F4223" s="47">
        <v>0.94072916666666662</v>
      </c>
      <c r="G4223" s="44">
        <v>6.3</v>
      </c>
      <c r="H4223" s="43" t="s">
        <v>234</v>
      </c>
      <c r="I4223" s="40" t="s">
        <v>1281</v>
      </c>
    </row>
    <row r="4224" spans="1:9" x14ac:dyDescent="0.25">
      <c r="A4224" s="40" t="s">
        <v>1173</v>
      </c>
      <c r="B4224" s="28">
        <v>7109</v>
      </c>
      <c r="C4224" s="28">
        <v>5643845</v>
      </c>
      <c r="D4224" s="28"/>
      <c r="E4224" s="41">
        <v>46141</v>
      </c>
      <c r="F4224" s="47">
        <v>0.97767361111111106</v>
      </c>
      <c r="G4224" s="44">
        <v>6.3</v>
      </c>
      <c r="H4224" s="43" t="s">
        <v>235</v>
      </c>
      <c r="I4224" s="40" t="s">
        <v>1281</v>
      </c>
    </row>
    <row r="4225" spans="1:9" x14ac:dyDescent="0.25">
      <c r="A4225" s="40" t="s">
        <v>1173</v>
      </c>
      <c r="B4225" s="28">
        <v>7109</v>
      </c>
      <c r="C4225" s="28">
        <v>5643845</v>
      </c>
      <c r="D4225" s="28"/>
      <c r="E4225" s="41">
        <v>46141</v>
      </c>
      <c r="F4225" s="47">
        <v>0.98515046296296294</v>
      </c>
      <c r="G4225" s="44">
        <v>6.3</v>
      </c>
      <c r="H4225" s="43" t="s">
        <v>236</v>
      </c>
      <c r="I4225" s="40" t="s">
        <v>1281</v>
      </c>
    </row>
    <row r="4226" spans="1:9" x14ac:dyDescent="0.25">
      <c r="A4226" s="40" t="s">
        <v>1173</v>
      </c>
      <c r="B4226" s="28">
        <v>7109</v>
      </c>
      <c r="C4226" s="28">
        <v>5644034</v>
      </c>
      <c r="D4226" s="28"/>
      <c r="E4226" s="41">
        <v>46142</v>
      </c>
      <c r="F4226" s="47">
        <v>7.3217592592592598E-2</v>
      </c>
      <c r="G4226" s="44">
        <v>6.3</v>
      </c>
      <c r="H4226" s="43" t="s">
        <v>239</v>
      </c>
      <c r="I4226" s="40" t="s">
        <v>1281</v>
      </c>
    </row>
    <row r="4227" spans="1:9" x14ac:dyDescent="0.25">
      <c r="A4227" s="40" t="s">
        <v>1173</v>
      </c>
      <c r="B4227" s="28">
        <v>7109</v>
      </c>
      <c r="C4227" s="28" t="s">
        <v>35</v>
      </c>
      <c r="D4227" s="28" t="s">
        <v>38</v>
      </c>
      <c r="E4227" s="41">
        <v>46144</v>
      </c>
      <c r="F4227" s="47">
        <v>8.4652777777777771E-2</v>
      </c>
      <c r="G4227" s="42">
        <v>6.3</v>
      </c>
      <c r="H4227" s="40" t="s">
        <v>235</v>
      </c>
      <c r="I4227" s="40" t="s">
        <v>1282</v>
      </c>
    </row>
    <row r="4228" spans="1:9" x14ac:dyDescent="0.25">
      <c r="A4228" s="40" t="s">
        <v>1173</v>
      </c>
      <c r="B4228" s="28">
        <v>7109</v>
      </c>
      <c r="C4228" s="28" t="s">
        <v>35</v>
      </c>
      <c r="D4228" s="28" t="s">
        <v>38</v>
      </c>
      <c r="E4228" s="41">
        <v>46144</v>
      </c>
      <c r="F4228" s="47">
        <v>0.45859953703703704</v>
      </c>
      <c r="G4228" s="42">
        <v>6.3</v>
      </c>
      <c r="H4228" s="40" t="s">
        <v>234</v>
      </c>
      <c r="I4228" s="40" t="s">
        <v>1282</v>
      </c>
    </row>
    <row r="4229" spans="1:9" x14ac:dyDescent="0.25">
      <c r="A4229" s="40" t="s">
        <v>1173</v>
      </c>
      <c r="B4229" s="28">
        <v>7109</v>
      </c>
      <c r="C4229" s="28">
        <v>5647730</v>
      </c>
      <c r="D4229" s="28"/>
      <c r="E4229" s="41">
        <v>46144</v>
      </c>
      <c r="F4229" s="47">
        <v>0.64471064814814816</v>
      </c>
      <c r="G4229" s="42">
        <v>6.3</v>
      </c>
      <c r="H4229" s="40" t="s">
        <v>235</v>
      </c>
      <c r="I4229" s="40" t="s">
        <v>1282</v>
      </c>
    </row>
    <row r="4230" spans="1:9" x14ac:dyDescent="0.25">
      <c r="A4230" s="40" t="s">
        <v>1173</v>
      </c>
      <c r="B4230" s="28">
        <v>7109</v>
      </c>
      <c r="C4230" s="28">
        <v>5647730</v>
      </c>
      <c r="D4230" s="28"/>
      <c r="E4230" s="41">
        <v>46144</v>
      </c>
      <c r="F4230" s="47">
        <v>0.65395833333333331</v>
      </c>
      <c r="G4230" s="42">
        <v>6.3</v>
      </c>
      <c r="H4230" s="40" t="s">
        <v>236</v>
      </c>
      <c r="I4230" s="40" t="s">
        <v>1282</v>
      </c>
    </row>
    <row r="4231" spans="1:9" x14ac:dyDescent="0.25">
      <c r="A4231" s="40" t="s">
        <v>1174</v>
      </c>
      <c r="B4231" s="28">
        <v>7116</v>
      </c>
      <c r="C4231" s="28" t="s">
        <v>35</v>
      </c>
      <c r="D4231" s="28" t="s">
        <v>38</v>
      </c>
      <c r="E4231" s="41">
        <v>46142</v>
      </c>
      <c r="F4231" s="47">
        <v>0.4432638888888889</v>
      </c>
      <c r="G4231" s="42">
        <v>6.3</v>
      </c>
      <c r="H4231" s="40" t="s">
        <v>238</v>
      </c>
      <c r="I4231" s="40" t="s">
        <v>1281</v>
      </c>
    </row>
    <row r="4232" spans="1:9" x14ac:dyDescent="0.25">
      <c r="A4232" s="40" t="s">
        <v>1174</v>
      </c>
      <c r="B4232" s="28">
        <v>7116</v>
      </c>
      <c r="C4232" s="28" t="s">
        <v>35</v>
      </c>
      <c r="D4232" s="28" t="s">
        <v>38</v>
      </c>
      <c r="E4232" s="41">
        <v>46142</v>
      </c>
      <c r="F4232" s="47">
        <v>0.45012731481481483</v>
      </c>
      <c r="G4232" s="42">
        <v>6.3</v>
      </c>
      <c r="H4232" s="40" t="s">
        <v>234</v>
      </c>
      <c r="I4232" s="40" t="s">
        <v>1281</v>
      </c>
    </row>
    <row r="4233" spans="1:9" x14ac:dyDescent="0.25">
      <c r="A4233" s="40" t="s">
        <v>106</v>
      </c>
      <c r="B4233" s="28">
        <v>7438</v>
      </c>
      <c r="C4233" s="28">
        <v>5639488</v>
      </c>
      <c r="D4233" s="28"/>
      <c r="E4233" s="45">
        <v>46139</v>
      </c>
      <c r="F4233" s="48">
        <v>0.9085185185185185</v>
      </c>
      <c r="G4233" s="42">
        <v>6.3</v>
      </c>
      <c r="H4233" s="40" t="s">
        <v>235</v>
      </c>
      <c r="I4233" s="40" t="s">
        <v>1281</v>
      </c>
    </row>
    <row r="4234" spans="1:9" x14ac:dyDescent="0.25">
      <c r="A4234" s="40" t="s">
        <v>106</v>
      </c>
      <c r="B4234" s="28">
        <v>7438</v>
      </c>
      <c r="C4234" s="28">
        <v>5639488</v>
      </c>
      <c r="D4234" s="28"/>
      <c r="E4234" s="45">
        <v>46139</v>
      </c>
      <c r="F4234" s="48">
        <v>0.91596064814814815</v>
      </c>
      <c r="G4234" s="42">
        <v>6.3</v>
      </c>
      <c r="H4234" s="40" t="s">
        <v>236</v>
      </c>
      <c r="I4234" s="40" t="s">
        <v>1281</v>
      </c>
    </row>
    <row r="4235" spans="1:9" x14ac:dyDescent="0.25">
      <c r="A4235" s="40" t="s">
        <v>106</v>
      </c>
      <c r="B4235" s="28">
        <v>7438</v>
      </c>
      <c r="C4235" s="28" t="s">
        <v>1175</v>
      </c>
      <c r="D4235" s="28"/>
      <c r="E4235" s="41">
        <v>46140</v>
      </c>
      <c r="F4235" s="47">
        <v>4.1886574074074076E-2</v>
      </c>
      <c r="G4235" s="42">
        <v>6.3</v>
      </c>
      <c r="H4235" s="40" t="s">
        <v>235</v>
      </c>
      <c r="I4235" s="40" t="s">
        <v>1281</v>
      </c>
    </row>
    <row r="4236" spans="1:9" x14ac:dyDescent="0.25">
      <c r="A4236" s="40" t="s">
        <v>106</v>
      </c>
      <c r="B4236" s="28">
        <v>7438</v>
      </c>
      <c r="C4236" s="28" t="s">
        <v>1175</v>
      </c>
      <c r="D4236" s="28"/>
      <c r="E4236" s="41">
        <v>46140</v>
      </c>
      <c r="F4236" s="47">
        <v>4.9166666666666664E-2</v>
      </c>
      <c r="G4236" s="44">
        <v>6.3</v>
      </c>
      <c r="H4236" s="43" t="s">
        <v>236</v>
      </c>
      <c r="I4236" s="40" t="s">
        <v>1281</v>
      </c>
    </row>
    <row r="4237" spans="1:9" x14ac:dyDescent="0.25">
      <c r="A4237" s="40" t="s">
        <v>255</v>
      </c>
      <c r="B4237" s="28">
        <v>7581</v>
      </c>
      <c r="C4237" s="28">
        <v>5637818</v>
      </c>
      <c r="D4237" s="28"/>
      <c r="E4237" s="41">
        <v>46139</v>
      </c>
      <c r="F4237" s="47">
        <v>0.40114583333333331</v>
      </c>
      <c r="G4237" s="44">
        <v>6.3</v>
      </c>
      <c r="H4237" s="43" t="s">
        <v>237</v>
      </c>
      <c r="I4237" s="40" t="s">
        <v>1281</v>
      </c>
    </row>
    <row r="4238" spans="1:9" x14ac:dyDescent="0.25">
      <c r="A4238" s="40" t="s">
        <v>255</v>
      </c>
      <c r="B4238" s="28">
        <v>7581</v>
      </c>
      <c r="C4238" s="28">
        <v>5637818</v>
      </c>
      <c r="D4238" s="28"/>
      <c r="E4238" s="41">
        <v>46139</v>
      </c>
      <c r="F4238" s="47">
        <v>0.40797453703703701</v>
      </c>
      <c r="G4238" s="44">
        <v>6.3</v>
      </c>
      <c r="H4238" s="43" t="s">
        <v>234</v>
      </c>
      <c r="I4238" s="40" t="s">
        <v>1281</v>
      </c>
    </row>
    <row r="4239" spans="1:9" x14ac:dyDescent="0.25">
      <c r="A4239" s="40" t="s">
        <v>255</v>
      </c>
      <c r="B4239" s="28">
        <v>7581</v>
      </c>
      <c r="C4239" s="28" t="s">
        <v>1176</v>
      </c>
      <c r="D4239" s="28"/>
      <c r="E4239" s="41">
        <v>46139</v>
      </c>
      <c r="F4239" s="47">
        <v>0.47192129629629631</v>
      </c>
      <c r="G4239" s="44">
        <v>6.3</v>
      </c>
      <c r="H4239" s="43" t="s">
        <v>235</v>
      </c>
      <c r="I4239" s="40" t="s">
        <v>1281</v>
      </c>
    </row>
    <row r="4240" spans="1:9" x14ac:dyDescent="0.25">
      <c r="A4240" s="40" t="s">
        <v>255</v>
      </c>
      <c r="B4240" s="28">
        <v>7581</v>
      </c>
      <c r="C4240" s="28" t="s">
        <v>1176</v>
      </c>
      <c r="D4240" s="28"/>
      <c r="E4240" s="41">
        <v>46139</v>
      </c>
      <c r="F4240" s="47">
        <v>0.4805787037037037</v>
      </c>
      <c r="G4240" s="44">
        <v>6.3</v>
      </c>
      <c r="H4240" s="43" t="s">
        <v>236</v>
      </c>
      <c r="I4240" s="40" t="s">
        <v>1281</v>
      </c>
    </row>
    <row r="4241" spans="1:9" x14ac:dyDescent="0.25">
      <c r="A4241" s="40" t="s">
        <v>255</v>
      </c>
      <c r="B4241" s="28">
        <v>7581</v>
      </c>
      <c r="C4241" s="28" t="s">
        <v>1177</v>
      </c>
      <c r="D4241" s="28"/>
      <c r="E4241" s="41">
        <v>46145</v>
      </c>
      <c r="F4241" s="47">
        <v>0.40244212962962961</v>
      </c>
      <c r="G4241" s="44">
        <v>6.3</v>
      </c>
      <c r="H4241" s="43" t="s">
        <v>237</v>
      </c>
      <c r="I4241" s="40" t="s">
        <v>1282</v>
      </c>
    </row>
    <row r="4242" spans="1:9" x14ac:dyDescent="0.25">
      <c r="A4242" s="40" t="s">
        <v>255</v>
      </c>
      <c r="B4242" s="28">
        <v>7581</v>
      </c>
      <c r="C4242" s="28" t="s">
        <v>1177</v>
      </c>
      <c r="D4242" s="28"/>
      <c r="E4242" s="41">
        <v>46145</v>
      </c>
      <c r="F4242" s="47">
        <v>0.40783564814814816</v>
      </c>
      <c r="G4242" s="44">
        <v>6.3</v>
      </c>
      <c r="H4242" s="43" t="s">
        <v>234</v>
      </c>
      <c r="I4242" s="40" t="s">
        <v>1282</v>
      </c>
    </row>
    <row r="4243" spans="1:9" x14ac:dyDescent="0.25">
      <c r="A4243" s="40" t="s">
        <v>198</v>
      </c>
      <c r="B4243" s="28">
        <v>7606</v>
      </c>
      <c r="C4243" s="28" t="s">
        <v>35</v>
      </c>
      <c r="D4243" s="28" t="s">
        <v>38</v>
      </c>
      <c r="E4243" s="41">
        <v>46139</v>
      </c>
      <c r="F4243" s="47">
        <v>0.1348263888888889</v>
      </c>
      <c r="G4243" s="44">
        <v>6.3</v>
      </c>
      <c r="H4243" s="43" t="s">
        <v>237</v>
      </c>
      <c r="I4243" s="40" t="s">
        <v>1281</v>
      </c>
    </row>
    <row r="4244" spans="1:9" x14ac:dyDescent="0.25">
      <c r="A4244" s="40" t="s">
        <v>198</v>
      </c>
      <c r="B4244" s="28">
        <v>7606</v>
      </c>
      <c r="C4244" s="28" t="s">
        <v>35</v>
      </c>
      <c r="D4244" s="28" t="s">
        <v>38</v>
      </c>
      <c r="E4244" s="45">
        <v>46139</v>
      </c>
      <c r="F4244" s="48">
        <v>0.14059027777777777</v>
      </c>
      <c r="G4244" s="44">
        <v>6.3</v>
      </c>
      <c r="H4244" s="43" t="s">
        <v>234</v>
      </c>
      <c r="I4244" s="40" t="s">
        <v>1281</v>
      </c>
    </row>
    <row r="4245" spans="1:9" x14ac:dyDescent="0.25">
      <c r="A4245" s="40" t="s">
        <v>198</v>
      </c>
      <c r="B4245" s="28">
        <v>7606</v>
      </c>
      <c r="C4245" s="28" t="s">
        <v>1178</v>
      </c>
      <c r="D4245" s="28"/>
      <c r="E4245" s="41">
        <v>46139</v>
      </c>
      <c r="F4245" s="47">
        <v>0.25831018518518517</v>
      </c>
      <c r="G4245" s="44">
        <v>6.3</v>
      </c>
      <c r="H4245" s="43" t="s">
        <v>237</v>
      </c>
      <c r="I4245" s="40" t="s">
        <v>1281</v>
      </c>
    </row>
    <row r="4246" spans="1:9" x14ac:dyDescent="0.25">
      <c r="A4246" s="40" t="s">
        <v>198</v>
      </c>
      <c r="B4246" s="28">
        <v>7606</v>
      </c>
      <c r="C4246" s="28" t="s">
        <v>1178</v>
      </c>
      <c r="D4246" s="28"/>
      <c r="E4246" s="41">
        <v>46139</v>
      </c>
      <c r="F4246" s="47">
        <v>0.26454861111111111</v>
      </c>
      <c r="G4246" s="44">
        <v>6.3</v>
      </c>
      <c r="H4246" s="43" t="s">
        <v>234</v>
      </c>
      <c r="I4246" s="40" t="s">
        <v>1281</v>
      </c>
    </row>
    <row r="4247" spans="1:9" x14ac:dyDescent="0.25">
      <c r="A4247" s="40" t="s">
        <v>198</v>
      </c>
      <c r="B4247" s="28">
        <v>7606</v>
      </c>
      <c r="C4247" s="28">
        <v>5637891</v>
      </c>
      <c r="D4247" s="28"/>
      <c r="E4247" s="41">
        <v>46139</v>
      </c>
      <c r="F4247" s="47">
        <v>0.35243055555555558</v>
      </c>
      <c r="G4247" s="44">
        <v>6.3</v>
      </c>
      <c r="H4247" s="43" t="s">
        <v>235</v>
      </c>
      <c r="I4247" s="40" t="s">
        <v>1281</v>
      </c>
    </row>
    <row r="4248" spans="1:9" x14ac:dyDescent="0.25">
      <c r="A4248" s="40" t="s">
        <v>198</v>
      </c>
      <c r="B4248" s="28">
        <v>7606</v>
      </c>
      <c r="C4248" s="28">
        <v>5637891</v>
      </c>
      <c r="D4248" s="28"/>
      <c r="E4248" s="41">
        <v>46139</v>
      </c>
      <c r="F4248" s="47">
        <v>0.38138888888888889</v>
      </c>
      <c r="G4248" s="44">
        <v>6.3</v>
      </c>
      <c r="H4248" s="43" t="s">
        <v>236</v>
      </c>
      <c r="I4248" s="40" t="s">
        <v>1281</v>
      </c>
    </row>
    <row r="4249" spans="1:9" x14ac:dyDescent="0.25">
      <c r="A4249" s="40" t="s">
        <v>198</v>
      </c>
      <c r="B4249" s="28">
        <v>7606</v>
      </c>
      <c r="C4249" s="28" t="s">
        <v>35</v>
      </c>
      <c r="D4249" s="28" t="s">
        <v>38</v>
      </c>
      <c r="E4249" s="41">
        <v>46139</v>
      </c>
      <c r="F4249" s="47">
        <v>0.64006944444444447</v>
      </c>
      <c r="G4249" s="44">
        <v>6.3</v>
      </c>
      <c r="H4249" s="43" t="s">
        <v>238</v>
      </c>
      <c r="I4249" s="40" t="s">
        <v>1281</v>
      </c>
    </row>
    <row r="4250" spans="1:9" x14ac:dyDescent="0.25">
      <c r="A4250" s="40" t="s">
        <v>198</v>
      </c>
      <c r="B4250" s="28">
        <v>7606</v>
      </c>
      <c r="C4250" s="28" t="s">
        <v>35</v>
      </c>
      <c r="D4250" s="28" t="s">
        <v>38</v>
      </c>
      <c r="E4250" s="41">
        <v>46140</v>
      </c>
      <c r="F4250" s="47">
        <v>0.56991898148148146</v>
      </c>
      <c r="G4250" s="44">
        <v>6.3</v>
      </c>
      <c r="H4250" s="43" t="s">
        <v>236</v>
      </c>
      <c r="I4250" s="40" t="s">
        <v>1281</v>
      </c>
    </row>
    <row r="4251" spans="1:9" x14ac:dyDescent="0.25">
      <c r="A4251" s="40" t="s">
        <v>198</v>
      </c>
      <c r="B4251" s="28">
        <v>7606</v>
      </c>
      <c r="C4251" s="28" t="s">
        <v>1179</v>
      </c>
      <c r="D4251" s="28"/>
      <c r="E4251" s="41">
        <v>46143</v>
      </c>
      <c r="F4251" s="47">
        <v>0.46233796296296298</v>
      </c>
      <c r="G4251" s="44">
        <v>6.3</v>
      </c>
      <c r="H4251" s="43" t="s">
        <v>237</v>
      </c>
      <c r="I4251" s="40" t="s">
        <v>1282</v>
      </c>
    </row>
    <row r="4252" spans="1:9" x14ac:dyDescent="0.25">
      <c r="A4252" s="40" t="s">
        <v>198</v>
      </c>
      <c r="B4252" s="28">
        <v>7606</v>
      </c>
      <c r="C4252" s="28" t="s">
        <v>1179</v>
      </c>
      <c r="D4252" s="28"/>
      <c r="E4252" s="41">
        <v>46143</v>
      </c>
      <c r="F4252" s="47">
        <v>0.4679861111111111</v>
      </c>
      <c r="G4252" s="44">
        <v>6.3</v>
      </c>
      <c r="H4252" s="43" t="s">
        <v>234</v>
      </c>
      <c r="I4252" s="40" t="s">
        <v>1282</v>
      </c>
    </row>
    <row r="4253" spans="1:9" x14ac:dyDescent="0.25">
      <c r="A4253" s="40" t="s">
        <v>198</v>
      </c>
      <c r="B4253" s="28">
        <v>7606</v>
      </c>
      <c r="C4253" s="28" t="s">
        <v>35</v>
      </c>
      <c r="D4253" s="28" t="s">
        <v>38</v>
      </c>
      <c r="E4253" s="41">
        <v>46143</v>
      </c>
      <c r="F4253" s="47">
        <v>0.75673611111111116</v>
      </c>
      <c r="G4253" s="42">
        <v>6.3</v>
      </c>
      <c r="H4253" s="40" t="s">
        <v>238</v>
      </c>
      <c r="I4253" s="40" t="s">
        <v>1282</v>
      </c>
    </row>
    <row r="4254" spans="1:9" x14ac:dyDescent="0.25">
      <c r="A4254" s="40" t="s">
        <v>88</v>
      </c>
      <c r="B4254" s="28">
        <v>7628</v>
      </c>
      <c r="C4254" s="28" t="s">
        <v>35</v>
      </c>
      <c r="D4254" s="28" t="s">
        <v>38</v>
      </c>
      <c r="E4254" s="41">
        <v>46140</v>
      </c>
      <c r="F4254" s="47">
        <v>0.48432870370370368</v>
      </c>
      <c r="G4254" s="42">
        <v>6.3</v>
      </c>
      <c r="H4254" s="40" t="s">
        <v>238</v>
      </c>
      <c r="I4254" s="40" t="s">
        <v>1281</v>
      </c>
    </row>
    <row r="4255" spans="1:9" x14ac:dyDescent="0.25">
      <c r="A4255" s="40" t="s">
        <v>88</v>
      </c>
      <c r="B4255" s="28">
        <v>7628</v>
      </c>
      <c r="C4255" s="28" t="s">
        <v>35</v>
      </c>
      <c r="D4255" s="28" t="s">
        <v>38</v>
      </c>
      <c r="E4255" s="45">
        <v>46140</v>
      </c>
      <c r="F4255" s="48">
        <v>0.49105324074074075</v>
      </c>
      <c r="G4255" s="42">
        <v>6.3</v>
      </c>
      <c r="H4255" s="40" t="s">
        <v>234</v>
      </c>
      <c r="I4255" s="40" t="s">
        <v>1281</v>
      </c>
    </row>
    <row r="4256" spans="1:9" x14ac:dyDescent="0.25">
      <c r="A4256" s="40" t="s">
        <v>88</v>
      </c>
      <c r="B4256" s="28">
        <v>7628</v>
      </c>
      <c r="C4256" s="28" t="s">
        <v>35</v>
      </c>
      <c r="D4256" s="28" t="s">
        <v>38</v>
      </c>
      <c r="E4256" s="45">
        <v>46141</v>
      </c>
      <c r="F4256" s="48">
        <v>3.1597222222222222E-3</v>
      </c>
      <c r="G4256" s="42">
        <v>6.3</v>
      </c>
      <c r="H4256" s="40" t="s">
        <v>238</v>
      </c>
      <c r="I4256" s="40" t="s">
        <v>1281</v>
      </c>
    </row>
    <row r="4257" spans="1:9" x14ac:dyDescent="0.25">
      <c r="A4257" s="40" t="s">
        <v>88</v>
      </c>
      <c r="B4257" s="28">
        <v>7628</v>
      </c>
      <c r="C4257" s="28" t="s">
        <v>35</v>
      </c>
      <c r="D4257" s="28" t="s">
        <v>38</v>
      </c>
      <c r="E4257" s="41">
        <v>46141</v>
      </c>
      <c r="F4257" s="47">
        <v>7.66087962962963E-2</v>
      </c>
      <c r="G4257" s="42">
        <v>6.3</v>
      </c>
      <c r="H4257" s="40" t="s">
        <v>235</v>
      </c>
      <c r="I4257" s="40" t="s">
        <v>1281</v>
      </c>
    </row>
    <row r="4258" spans="1:9" x14ac:dyDescent="0.25">
      <c r="A4258" s="40" t="s">
        <v>88</v>
      </c>
      <c r="B4258" s="28">
        <v>7628</v>
      </c>
      <c r="C4258" s="28" t="s">
        <v>35</v>
      </c>
      <c r="D4258" s="28" t="s">
        <v>38</v>
      </c>
      <c r="E4258" s="41">
        <v>46141</v>
      </c>
      <c r="F4258" s="47">
        <v>0.39488425925925924</v>
      </c>
      <c r="G4258" s="42">
        <v>6.3</v>
      </c>
      <c r="H4258" s="40" t="s">
        <v>237</v>
      </c>
      <c r="I4258" s="40" t="s">
        <v>1281</v>
      </c>
    </row>
    <row r="4259" spans="1:9" x14ac:dyDescent="0.25">
      <c r="A4259" s="40" t="s">
        <v>88</v>
      </c>
      <c r="B4259" s="28">
        <v>7628</v>
      </c>
      <c r="C4259" s="28" t="s">
        <v>35</v>
      </c>
      <c r="D4259" s="28" t="s">
        <v>38</v>
      </c>
      <c r="E4259" s="41">
        <v>46141</v>
      </c>
      <c r="F4259" s="47">
        <v>0.40988425925925925</v>
      </c>
      <c r="G4259" s="42">
        <v>6.3</v>
      </c>
      <c r="H4259" s="40" t="s">
        <v>234</v>
      </c>
      <c r="I4259" s="40" t="s">
        <v>1281</v>
      </c>
    </row>
    <row r="4260" spans="1:9" x14ac:dyDescent="0.25">
      <c r="A4260" s="40" t="s">
        <v>88</v>
      </c>
      <c r="B4260" s="28">
        <v>7628</v>
      </c>
      <c r="C4260" s="28">
        <v>5642381</v>
      </c>
      <c r="D4260" s="28" t="s">
        <v>37</v>
      </c>
      <c r="E4260" s="45">
        <v>46141</v>
      </c>
      <c r="F4260" s="48">
        <v>0.44707175925925924</v>
      </c>
      <c r="G4260" s="42">
        <v>6.3</v>
      </c>
      <c r="H4260" s="40" t="s">
        <v>235</v>
      </c>
      <c r="I4260" s="40" t="s">
        <v>1281</v>
      </c>
    </row>
    <row r="4261" spans="1:9" x14ac:dyDescent="0.25">
      <c r="A4261" s="40" t="s">
        <v>88</v>
      </c>
      <c r="B4261" s="28">
        <v>7628</v>
      </c>
      <c r="C4261" s="28">
        <v>5642381</v>
      </c>
      <c r="D4261" s="28" t="s">
        <v>37</v>
      </c>
      <c r="E4261" s="41">
        <v>46141</v>
      </c>
      <c r="F4261" s="47">
        <v>0.45796296296296296</v>
      </c>
      <c r="G4261" s="42">
        <v>6.3</v>
      </c>
      <c r="H4261" s="40" t="s">
        <v>236</v>
      </c>
      <c r="I4261" s="40" t="s">
        <v>1281</v>
      </c>
    </row>
    <row r="4262" spans="1:9" x14ac:dyDescent="0.25">
      <c r="A4262" s="40" t="s">
        <v>88</v>
      </c>
      <c r="B4262" s="28">
        <v>7628</v>
      </c>
      <c r="C4262" s="28" t="s">
        <v>35</v>
      </c>
      <c r="D4262" s="28" t="s">
        <v>38</v>
      </c>
      <c r="E4262" s="41">
        <v>46141</v>
      </c>
      <c r="F4262" s="47">
        <v>0.66168981481481481</v>
      </c>
      <c r="G4262" s="42">
        <v>6.3</v>
      </c>
      <c r="H4262" s="40" t="s">
        <v>233</v>
      </c>
      <c r="I4262" s="40" t="s">
        <v>1281</v>
      </c>
    </row>
    <row r="4263" spans="1:9" x14ac:dyDescent="0.25">
      <c r="A4263" s="40" t="s">
        <v>88</v>
      </c>
      <c r="B4263" s="28">
        <v>7628</v>
      </c>
      <c r="C4263" s="28" t="s">
        <v>35</v>
      </c>
      <c r="D4263" s="28" t="s">
        <v>38</v>
      </c>
      <c r="E4263" s="41">
        <v>46141</v>
      </c>
      <c r="F4263" s="47">
        <v>0.66763888888888889</v>
      </c>
      <c r="G4263" s="42">
        <v>6.3</v>
      </c>
      <c r="H4263" s="40" t="s">
        <v>234</v>
      </c>
      <c r="I4263" s="40" t="s">
        <v>1281</v>
      </c>
    </row>
    <row r="4264" spans="1:9" x14ac:dyDescent="0.25">
      <c r="A4264" s="40" t="s">
        <v>88</v>
      </c>
      <c r="B4264" s="28">
        <v>7628</v>
      </c>
      <c r="C4264" s="28">
        <v>5643694</v>
      </c>
      <c r="D4264" s="28"/>
      <c r="E4264" s="41">
        <v>46141</v>
      </c>
      <c r="F4264" s="47">
        <v>0.88853009259259264</v>
      </c>
      <c r="G4264" s="44">
        <v>6.3</v>
      </c>
      <c r="H4264" s="43" t="s">
        <v>235</v>
      </c>
      <c r="I4264" s="40" t="s">
        <v>1281</v>
      </c>
    </row>
    <row r="4265" spans="1:9" x14ac:dyDescent="0.25">
      <c r="A4265" s="40" t="s">
        <v>88</v>
      </c>
      <c r="B4265" s="28">
        <v>7628</v>
      </c>
      <c r="C4265" s="28">
        <v>5643694</v>
      </c>
      <c r="D4265" s="28"/>
      <c r="E4265" s="41">
        <v>46141</v>
      </c>
      <c r="F4265" s="47">
        <v>0.89577546296296295</v>
      </c>
      <c r="G4265" s="44">
        <v>6.3</v>
      </c>
      <c r="H4265" s="43" t="s">
        <v>236</v>
      </c>
      <c r="I4265" s="40" t="s">
        <v>1281</v>
      </c>
    </row>
    <row r="4266" spans="1:9" x14ac:dyDescent="0.25">
      <c r="A4266" s="40" t="s">
        <v>88</v>
      </c>
      <c r="B4266" s="28">
        <v>7628</v>
      </c>
      <c r="C4266" s="28" t="s">
        <v>1180</v>
      </c>
      <c r="D4266" s="28"/>
      <c r="E4266" s="41">
        <v>46142</v>
      </c>
      <c r="F4266" s="47">
        <v>0.65857638888888892</v>
      </c>
      <c r="G4266" s="44">
        <v>6.3</v>
      </c>
      <c r="H4266" s="43" t="s">
        <v>235</v>
      </c>
      <c r="I4266" s="40" t="s">
        <v>1281</v>
      </c>
    </row>
    <row r="4267" spans="1:9" x14ac:dyDescent="0.25">
      <c r="A4267" s="40" t="s">
        <v>88</v>
      </c>
      <c r="B4267" s="28">
        <v>7628</v>
      </c>
      <c r="C4267" s="28" t="s">
        <v>1180</v>
      </c>
      <c r="D4267" s="28"/>
      <c r="E4267" s="45">
        <v>46142</v>
      </c>
      <c r="F4267" s="48">
        <v>0.66974537037037041</v>
      </c>
      <c r="G4267" s="44">
        <v>6.3</v>
      </c>
      <c r="H4267" s="43" t="s">
        <v>240</v>
      </c>
      <c r="I4267" s="40" t="s">
        <v>1281</v>
      </c>
    </row>
    <row r="4268" spans="1:9" x14ac:dyDescent="0.25">
      <c r="A4268" s="40" t="s">
        <v>88</v>
      </c>
      <c r="B4268" s="28">
        <v>7628</v>
      </c>
      <c r="C4268" s="28" t="s">
        <v>35</v>
      </c>
      <c r="D4268" s="28" t="s">
        <v>38</v>
      </c>
      <c r="E4268" s="41">
        <v>46142</v>
      </c>
      <c r="F4268" s="47">
        <v>0.74546296296296299</v>
      </c>
      <c r="G4268" s="44">
        <v>6.3</v>
      </c>
      <c r="H4268" s="43" t="s">
        <v>241</v>
      </c>
      <c r="I4268" s="40" t="s">
        <v>1281</v>
      </c>
    </row>
    <row r="4269" spans="1:9" x14ac:dyDescent="0.25">
      <c r="A4269" s="40" t="s">
        <v>88</v>
      </c>
      <c r="B4269" s="28">
        <v>7628</v>
      </c>
      <c r="C4269" s="28" t="s">
        <v>35</v>
      </c>
      <c r="D4269" s="28" t="s">
        <v>38</v>
      </c>
      <c r="E4269" s="41">
        <v>46142</v>
      </c>
      <c r="F4269" s="47">
        <v>0.76364583333333336</v>
      </c>
      <c r="G4269" s="44">
        <v>6.3</v>
      </c>
      <c r="H4269" s="43" t="s">
        <v>234</v>
      </c>
      <c r="I4269" s="40" t="s">
        <v>1281</v>
      </c>
    </row>
    <row r="4270" spans="1:9" x14ac:dyDescent="0.25">
      <c r="A4270" s="40" t="s">
        <v>88</v>
      </c>
      <c r="B4270" s="28">
        <v>7628</v>
      </c>
      <c r="C4270" s="28" t="s">
        <v>1181</v>
      </c>
      <c r="D4270" s="28"/>
      <c r="E4270" s="41">
        <v>46142</v>
      </c>
      <c r="F4270" s="47">
        <v>0.8185069444444445</v>
      </c>
      <c r="G4270" s="44">
        <v>6.3</v>
      </c>
      <c r="H4270" s="43" t="s">
        <v>235</v>
      </c>
      <c r="I4270" s="40" t="s">
        <v>1281</v>
      </c>
    </row>
    <row r="4271" spans="1:9" x14ac:dyDescent="0.25">
      <c r="A4271" s="40" t="s">
        <v>88</v>
      </c>
      <c r="B4271" s="28">
        <v>7628</v>
      </c>
      <c r="C4271" s="28" t="s">
        <v>1181</v>
      </c>
      <c r="D4271" s="28"/>
      <c r="E4271" s="41">
        <v>46142</v>
      </c>
      <c r="F4271" s="47">
        <v>0.82954861111111111</v>
      </c>
      <c r="G4271" s="44">
        <v>6.3</v>
      </c>
      <c r="H4271" s="43" t="s">
        <v>239</v>
      </c>
      <c r="I4271" s="40" t="s">
        <v>1281</v>
      </c>
    </row>
    <row r="4272" spans="1:9" x14ac:dyDescent="0.25">
      <c r="A4272" s="40" t="s">
        <v>88</v>
      </c>
      <c r="B4272" s="28">
        <v>7628</v>
      </c>
      <c r="C4272" s="28" t="s">
        <v>1182</v>
      </c>
      <c r="D4272" s="28"/>
      <c r="E4272" s="41">
        <v>46144</v>
      </c>
      <c r="F4272" s="47">
        <v>0.28907407407407409</v>
      </c>
      <c r="G4272" s="44">
        <v>6.3</v>
      </c>
      <c r="H4272" s="43" t="s">
        <v>237</v>
      </c>
      <c r="I4272" s="40" t="s">
        <v>1282</v>
      </c>
    </row>
    <row r="4273" spans="1:9" x14ac:dyDescent="0.25">
      <c r="A4273" s="40" t="s">
        <v>88</v>
      </c>
      <c r="B4273" s="28">
        <v>7628</v>
      </c>
      <c r="C4273" s="28" t="s">
        <v>1182</v>
      </c>
      <c r="D4273" s="28"/>
      <c r="E4273" s="41">
        <v>46144</v>
      </c>
      <c r="F4273" s="47">
        <v>0.29434027777777777</v>
      </c>
      <c r="G4273" s="44">
        <v>6.3</v>
      </c>
      <c r="H4273" s="43" t="s">
        <v>234</v>
      </c>
      <c r="I4273" s="40" t="s">
        <v>1282</v>
      </c>
    </row>
    <row r="4274" spans="1:9" x14ac:dyDescent="0.25">
      <c r="A4274" s="40" t="s">
        <v>1183</v>
      </c>
      <c r="B4274" s="28">
        <v>7629</v>
      </c>
      <c r="C4274" s="28">
        <v>10544301</v>
      </c>
      <c r="D4274" s="28"/>
      <c r="E4274" s="41">
        <v>46139</v>
      </c>
      <c r="F4274" s="47">
        <v>2.8009259259259259E-3</v>
      </c>
      <c r="G4274" s="44">
        <v>6.3</v>
      </c>
      <c r="H4274" s="43" t="s">
        <v>234</v>
      </c>
      <c r="I4274" s="40" t="s">
        <v>1281</v>
      </c>
    </row>
    <row r="4275" spans="1:9" x14ac:dyDescent="0.25">
      <c r="A4275" s="40" t="s">
        <v>1183</v>
      </c>
      <c r="B4275" s="28">
        <v>7629</v>
      </c>
      <c r="C4275" s="28" t="s">
        <v>1184</v>
      </c>
      <c r="D4275" s="28"/>
      <c r="E4275" s="45">
        <v>46139</v>
      </c>
      <c r="F4275" s="48">
        <v>4.5567129629629631E-2</v>
      </c>
      <c r="G4275" s="44">
        <v>6.3</v>
      </c>
      <c r="H4275" s="43" t="s">
        <v>235</v>
      </c>
      <c r="I4275" s="40" t="s">
        <v>1281</v>
      </c>
    </row>
    <row r="4276" spans="1:9" x14ac:dyDescent="0.25">
      <c r="A4276" s="40" t="s">
        <v>1183</v>
      </c>
      <c r="B4276" s="28">
        <v>7629</v>
      </c>
      <c r="C4276" s="28" t="s">
        <v>1184</v>
      </c>
      <c r="D4276" s="28"/>
      <c r="E4276" s="41">
        <v>46139</v>
      </c>
      <c r="F4276" s="47">
        <v>5.3761574074074073E-2</v>
      </c>
      <c r="G4276" s="44">
        <v>6.3</v>
      </c>
      <c r="H4276" s="43" t="s">
        <v>236</v>
      </c>
      <c r="I4276" s="40" t="s">
        <v>1281</v>
      </c>
    </row>
    <row r="4277" spans="1:9" x14ac:dyDescent="0.25">
      <c r="A4277" s="40" t="s">
        <v>1183</v>
      </c>
      <c r="B4277" s="28">
        <v>7629</v>
      </c>
      <c r="C4277" s="28" t="s">
        <v>35</v>
      </c>
      <c r="D4277" s="28" t="s">
        <v>38</v>
      </c>
      <c r="E4277" s="41">
        <v>46144</v>
      </c>
      <c r="F4277" s="47">
        <v>0.41782407407407407</v>
      </c>
      <c r="G4277" s="44">
        <v>6.3</v>
      </c>
      <c r="H4277" s="43" t="s">
        <v>233</v>
      </c>
      <c r="I4277" s="40" t="s">
        <v>1282</v>
      </c>
    </row>
    <row r="4278" spans="1:9" x14ac:dyDescent="0.25">
      <c r="A4278" s="40" t="s">
        <v>188</v>
      </c>
      <c r="B4278" s="28">
        <v>7635</v>
      </c>
      <c r="C4278" s="28" t="s">
        <v>1185</v>
      </c>
      <c r="D4278" s="28"/>
      <c r="E4278" s="41">
        <v>46139</v>
      </c>
      <c r="F4278" s="47">
        <v>0.24024305555555556</v>
      </c>
      <c r="G4278" s="44">
        <v>6.3</v>
      </c>
      <c r="H4278" s="43" t="s">
        <v>237</v>
      </c>
      <c r="I4278" s="40" t="s">
        <v>1281</v>
      </c>
    </row>
    <row r="4279" spans="1:9" x14ac:dyDescent="0.25">
      <c r="A4279" s="40" t="s">
        <v>188</v>
      </c>
      <c r="B4279" s="28">
        <v>7635</v>
      </c>
      <c r="C4279" s="28" t="s">
        <v>1185</v>
      </c>
      <c r="D4279" s="28"/>
      <c r="E4279" s="41">
        <v>46139</v>
      </c>
      <c r="F4279" s="47">
        <v>0.2456712962962963</v>
      </c>
      <c r="G4279" s="44">
        <v>6.3</v>
      </c>
      <c r="H4279" s="43" t="s">
        <v>234</v>
      </c>
      <c r="I4279" s="40" t="s">
        <v>1281</v>
      </c>
    </row>
    <row r="4280" spans="1:9" x14ac:dyDescent="0.25">
      <c r="A4280" s="40" t="s">
        <v>188</v>
      </c>
      <c r="B4280" s="28">
        <v>7635</v>
      </c>
      <c r="C4280" s="28" t="s">
        <v>1186</v>
      </c>
      <c r="D4280" s="28"/>
      <c r="E4280" s="41">
        <v>46139</v>
      </c>
      <c r="F4280" s="47">
        <v>0.33216435185185184</v>
      </c>
      <c r="G4280" s="44">
        <v>6.3</v>
      </c>
      <c r="H4280" s="43" t="s">
        <v>235</v>
      </c>
      <c r="I4280" s="40" t="s">
        <v>1281</v>
      </c>
    </row>
    <row r="4281" spans="1:9" x14ac:dyDescent="0.25">
      <c r="A4281" s="40" t="s">
        <v>188</v>
      </c>
      <c r="B4281" s="28">
        <v>7635</v>
      </c>
      <c r="C4281" s="28" t="s">
        <v>35</v>
      </c>
      <c r="D4281" s="28" t="s">
        <v>38</v>
      </c>
      <c r="E4281" s="41">
        <v>46140</v>
      </c>
      <c r="F4281" s="47">
        <v>0.29333333333333333</v>
      </c>
      <c r="G4281" s="44">
        <v>6.3</v>
      </c>
      <c r="H4281" s="43" t="s">
        <v>233</v>
      </c>
      <c r="I4281" s="40" t="s">
        <v>1281</v>
      </c>
    </row>
    <row r="4282" spans="1:9" x14ac:dyDescent="0.25">
      <c r="A4282" s="40" t="s">
        <v>188</v>
      </c>
      <c r="B4282" s="28">
        <v>7635</v>
      </c>
      <c r="C4282" s="28" t="s">
        <v>35</v>
      </c>
      <c r="D4282" s="28" t="s">
        <v>38</v>
      </c>
      <c r="E4282" s="41">
        <v>46140</v>
      </c>
      <c r="F4282" s="47">
        <v>0.29931712962962964</v>
      </c>
      <c r="G4282" s="44">
        <v>6.3</v>
      </c>
      <c r="H4282" s="43" t="s">
        <v>234</v>
      </c>
      <c r="I4282" s="40" t="s">
        <v>1281</v>
      </c>
    </row>
    <row r="4283" spans="1:9" x14ac:dyDescent="0.25">
      <c r="A4283" s="40" t="s">
        <v>188</v>
      </c>
      <c r="B4283" s="28">
        <v>7635</v>
      </c>
      <c r="C4283" s="28" t="s">
        <v>1187</v>
      </c>
      <c r="D4283" s="28"/>
      <c r="E4283" s="41">
        <v>46141</v>
      </c>
      <c r="F4283" s="47">
        <v>0.26030092592592591</v>
      </c>
      <c r="G4283" s="44">
        <v>6.3</v>
      </c>
      <c r="H4283" s="43" t="s">
        <v>233</v>
      </c>
      <c r="I4283" s="40" t="s">
        <v>1281</v>
      </c>
    </row>
    <row r="4284" spans="1:9" x14ac:dyDescent="0.25">
      <c r="A4284" s="40" t="s">
        <v>188</v>
      </c>
      <c r="B4284" s="28">
        <v>7635</v>
      </c>
      <c r="C4284" s="28" t="s">
        <v>1187</v>
      </c>
      <c r="D4284" s="28"/>
      <c r="E4284" s="41">
        <v>46141</v>
      </c>
      <c r="F4284" s="47">
        <v>0.26620370370370372</v>
      </c>
      <c r="G4284" s="44">
        <v>6.3</v>
      </c>
      <c r="H4284" s="43" t="s">
        <v>234</v>
      </c>
      <c r="I4284" s="40" t="s">
        <v>1281</v>
      </c>
    </row>
    <row r="4285" spans="1:9" x14ac:dyDescent="0.25">
      <c r="A4285" s="40" t="s">
        <v>188</v>
      </c>
      <c r="B4285" s="28">
        <v>7635</v>
      </c>
      <c r="C4285" s="28">
        <v>5642520</v>
      </c>
      <c r="D4285" s="28"/>
      <c r="E4285" s="41">
        <v>46141</v>
      </c>
      <c r="F4285" s="47">
        <v>0.49857638888888889</v>
      </c>
      <c r="G4285" s="44">
        <v>6.3</v>
      </c>
      <c r="H4285" s="43" t="s">
        <v>235</v>
      </c>
      <c r="I4285" s="40" t="s">
        <v>1281</v>
      </c>
    </row>
    <row r="4286" spans="1:9" x14ac:dyDescent="0.25">
      <c r="A4286" s="40" t="s">
        <v>188</v>
      </c>
      <c r="B4286" s="28">
        <v>7635</v>
      </c>
      <c r="C4286" s="28">
        <v>5642520</v>
      </c>
      <c r="D4286" s="28"/>
      <c r="E4286" s="45">
        <v>46141</v>
      </c>
      <c r="F4286" s="48">
        <v>0.51043981481481482</v>
      </c>
      <c r="G4286" s="44">
        <v>6.3</v>
      </c>
      <c r="H4286" s="43" t="s">
        <v>236</v>
      </c>
      <c r="I4286" s="40" t="s">
        <v>1281</v>
      </c>
    </row>
    <row r="4287" spans="1:9" x14ac:dyDescent="0.25">
      <c r="A4287" s="40" t="s">
        <v>188</v>
      </c>
      <c r="B4287" s="28">
        <v>7635</v>
      </c>
      <c r="C4287" s="28" t="s">
        <v>1188</v>
      </c>
      <c r="D4287" s="28"/>
      <c r="E4287" s="41">
        <v>46142</v>
      </c>
      <c r="F4287" s="47">
        <v>0.26376157407407408</v>
      </c>
      <c r="G4287" s="44">
        <v>6.3</v>
      </c>
      <c r="H4287" s="43" t="s">
        <v>233</v>
      </c>
      <c r="I4287" s="40" t="s">
        <v>1281</v>
      </c>
    </row>
    <row r="4288" spans="1:9" x14ac:dyDescent="0.25">
      <c r="A4288" s="40" t="s">
        <v>188</v>
      </c>
      <c r="B4288" s="28">
        <v>7635</v>
      </c>
      <c r="C4288" s="28" t="s">
        <v>1188</v>
      </c>
      <c r="D4288" s="28"/>
      <c r="E4288" s="41">
        <v>46142</v>
      </c>
      <c r="F4288" s="47">
        <v>0.27025462962962965</v>
      </c>
      <c r="G4288" s="44">
        <v>6.3</v>
      </c>
      <c r="H4288" s="43" t="s">
        <v>234</v>
      </c>
      <c r="I4288" s="40" t="s">
        <v>1281</v>
      </c>
    </row>
    <row r="4289" spans="1:9" x14ac:dyDescent="0.25">
      <c r="A4289" s="40" t="s">
        <v>188</v>
      </c>
      <c r="B4289" s="28">
        <v>7635</v>
      </c>
      <c r="C4289" s="28" t="s">
        <v>1189</v>
      </c>
      <c r="D4289" s="28"/>
      <c r="E4289" s="41">
        <v>46143</v>
      </c>
      <c r="F4289" s="47">
        <v>0.26483796296296297</v>
      </c>
      <c r="G4289" s="44">
        <v>6.3</v>
      </c>
      <c r="H4289" s="43" t="s">
        <v>237</v>
      </c>
      <c r="I4289" s="40" t="s">
        <v>1282</v>
      </c>
    </row>
    <row r="4290" spans="1:9" x14ac:dyDescent="0.25">
      <c r="A4290" s="40" t="s">
        <v>188</v>
      </c>
      <c r="B4290" s="28">
        <v>7635</v>
      </c>
      <c r="C4290" s="28" t="s">
        <v>1189</v>
      </c>
      <c r="D4290" s="28"/>
      <c r="E4290" s="41">
        <v>46143</v>
      </c>
      <c r="F4290" s="47">
        <v>0.27035879629629628</v>
      </c>
      <c r="G4290" s="44">
        <v>6.3</v>
      </c>
      <c r="H4290" s="43" t="s">
        <v>234</v>
      </c>
      <c r="I4290" s="40" t="s">
        <v>1282</v>
      </c>
    </row>
    <row r="4291" spans="1:9" x14ac:dyDescent="0.25">
      <c r="A4291" s="40" t="s">
        <v>188</v>
      </c>
      <c r="B4291" s="28">
        <v>7635</v>
      </c>
      <c r="C4291" s="28">
        <v>5646105</v>
      </c>
      <c r="D4291" s="28"/>
      <c r="E4291" s="45">
        <v>46143</v>
      </c>
      <c r="F4291" s="48">
        <v>0.33333333333333331</v>
      </c>
      <c r="G4291" s="44">
        <v>6.3</v>
      </c>
      <c r="H4291" s="43" t="s">
        <v>235</v>
      </c>
      <c r="I4291" s="40" t="s">
        <v>1282</v>
      </c>
    </row>
    <row r="4292" spans="1:9" x14ac:dyDescent="0.25">
      <c r="A4292" s="40" t="s">
        <v>188</v>
      </c>
      <c r="B4292" s="28">
        <v>7635</v>
      </c>
      <c r="C4292" s="28">
        <v>5646105</v>
      </c>
      <c r="D4292" s="28"/>
      <c r="E4292" s="45">
        <v>46143</v>
      </c>
      <c r="F4292" s="48">
        <v>0.34082175925925928</v>
      </c>
      <c r="G4292" s="44">
        <v>6.3</v>
      </c>
      <c r="H4292" s="43" t="s">
        <v>236</v>
      </c>
      <c r="I4292" s="40" t="s">
        <v>1282</v>
      </c>
    </row>
    <row r="4293" spans="1:9" x14ac:dyDescent="0.25">
      <c r="A4293" s="40" t="s">
        <v>188</v>
      </c>
      <c r="B4293" s="28">
        <v>7635</v>
      </c>
      <c r="C4293" s="28" t="s">
        <v>35</v>
      </c>
      <c r="D4293" s="28" t="s">
        <v>38</v>
      </c>
      <c r="E4293" s="41">
        <v>46143</v>
      </c>
      <c r="F4293" s="47">
        <v>0.74641203703703707</v>
      </c>
      <c r="G4293" s="44">
        <v>6.3</v>
      </c>
      <c r="H4293" s="43" t="s">
        <v>233</v>
      </c>
      <c r="I4293" s="40" t="s">
        <v>1282</v>
      </c>
    </row>
    <row r="4294" spans="1:9" x14ac:dyDescent="0.25">
      <c r="A4294" s="40" t="s">
        <v>188</v>
      </c>
      <c r="B4294" s="28">
        <v>7635</v>
      </c>
      <c r="C4294" s="28" t="s">
        <v>1190</v>
      </c>
      <c r="D4294" s="28"/>
      <c r="E4294" s="41">
        <v>46145</v>
      </c>
      <c r="F4294" s="47">
        <v>0.39840277777777777</v>
      </c>
      <c r="G4294" s="44">
        <v>6.3</v>
      </c>
      <c r="H4294" s="43" t="s">
        <v>233</v>
      </c>
      <c r="I4294" s="40" t="s">
        <v>1282</v>
      </c>
    </row>
    <row r="4295" spans="1:9" x14ac:dyDescent="0.25">
      <c r="A4295" s="40" t="s">
        <v>188</v>
      </c>
      <c r="B4295" s="28">
        <v>7635</v>
      </c>
      <c r="C4295" s="28" t="s">
        <v>1190</v>
      </c>
      <c r="D4295" s="28"/>
      <c r="E4295" s="41">
        <v>46145</v>
      </c>
      <c r="F4295" s="47">
        <v>0.40377314814814813</v>
      </c>
      <c r="G4295" s="44">
        <v>6.3</v>
      </c>
      <c r="H4295" s="43" t="s">
        <v>234</v>
      </c>
      <c r="I4295" s="40" t="s">
        <v>1282</v>
      </c>
    </row>
    <row r="4296" spans="1:9" x14ac:dyDescent="0.25">
      <c r="A4296" s="40" t="s">
        <v>188</v>
      </c>
      <c r="B4296" s="28">
        <v>7635</v>
      </c>
      <c r="C4296" s="28">
        <v>5648873</v>
      </c>
      <c r="D4296" s="28" t="s">
        <v>37</v>
      </c>
      <c r="E4296" s="45">
        <v>46145</v>
      </c>
      <c r="F4296" s="48">
        <v>0.67034722222222221</v>
      </c>
      <c r="G4296" s="44">
        <v>6.3</v>
      </c>
      <c r="H4296" s="43" t="s">
        <v>235</v>
      </c>
      <c r="I4296" s="40" t="s">
        <v>1282</v>
      </c>
    </row>
    <row r="4297" spans="1:9" x14ac:dyDescent="0.25">
      <c r="A4297" s="40" t="s">
        <v>188</v>
      </c>
      <c r="B4297" s="28">
        <v>7635</v>
      </c>
      <c r="C4297" s="28">
        <v>5648873</v>
      </c>
      <c r="D4297" s="28" t="s">
        <v>37</v>
      </c>
      <c r="E4297" s="41">
        <v>46145</v>
      </c>
      <c r="F4297" s="47">
        <v>0.67702546296296295</v>
      </c>
      <c r="G4297" s="44">
        <v>6.3</v>
      </c>
      <c r="H4297" s="43" t="s">
        <v>239</v>
      </c>
      <c r="I4297" s="40" t="s">
        <v>1282</v>
      </c>
    </row>
    <row r="4298" spans="1:9" x14ac:dyDescent="0.25">
      <c r="A4298" s="40" t="s">
        <v>188</v>
      </c>
      <c r="B4298" s="28">
        <v>7635</v>
      </c>
      <c r="C4298" s="28" t="s">
        <v>35</v>
      </c>
      <c r="D4298" s="28" t="s">
        <v>38</v>
      </c>
      <c r="E4298" s="41">
        <v>46145</v>
      </c>
      <c r="F4298" s="47">
        <v>0.71092592592592596</v>
      </c>
      <c r="G4298" s="44">
        <v>6.3</v>
      </c>
      <c r="H4298" s="43" t="s">
        <v>233</v>
      </c>
      <c r="I4298" s="40" t="s">
        <v>1282</v>
      </c>
    </row>
    <row r="4299" spans="1:9" x14ac:dyDescent="0.25">
      <c r="A4299" s="40" t="s">
        <v>227</v>
      </c>
      <c r="B4299" s="28">
        <v>9004</v>
      </c>
      <c r="C4299" s="28">
        <v>5637207</v>
      </c>
      <c r="D4299" s="28"/>
      <c r="E4299" s="41">
        <v>46139</v>
      </c>
      <c r="F4299" s="47">
        <v>0.33614583333333331</v>
      </c>
      <c r="G4299" s="44">
        <v>6.3</v>
      </c>
      <c r="H4299" s="43" t="s">
        <v>235</v>
      </c>
      <c r="I4299" s="40" t="s">
        <v>1281</v>
      </c>
    </row>
    <row r="4300" spans="1:9" x14ac:dyDescent="0.25">
      <c r="A4300" s="40" t="s">
        <v>227</v>
      </c>
      <c r="B4300" s="28">
        <v>9004</v>
      </c>
      <c r="C4300" s="28">
        <v>5637207</v>
      </c>
      <c r="D4300" s="28"/>
      <c r="E4300" s="41">
        <v>46139</v>
      </c>
      <c r="F4300" s="47">
        <v>0.36350694444444442</v>
      </c>
      <c r="G4300" s="44">
        <v>6.3</v>
      </c>
      <c r="H4300" s="43" t="s">
        <v>236</v>
      </c>
      <c r="I4300" s="40" t="s">
        <v>1281</v>
      </c>
    </row>
    <row r="4301" spans="1:9" x14ac:dyDescent="0.25">
      <c r="A4301" s="40" t="s">
        <v>227</v>
      </c>
      <c r="B4301" s="28">
        <v>9004</v>
      </c>
      <c r="C4301" s="28">
        <v>5642199</v>
      </c>
      <c r="D4301" s="28"/>
      <c r="E4301" s="41">
        <v>46141</v>
      </c>
      <c r="F4301" s="47">
        <v>0.41550925925925924</v>
      </c>
      <c r="G4301" s="44">
        <v>6.3</v>
      </c>
      <c r="H4301" s="43" t="s">
        <v>237</v>
      </c>
      <c r="I4301" s="40" t="s">
        <v>1281</v>
      </c>
    </row>
    <row r="4302" spans="1:9" x14ac:dyDescent="0.25">
      <c r="A4302" s="40" t="s">
        <v>227</v>
      </c>
      <c r="B4302" s="28">
        <v>9004</v>
      </c>
      <c r="C4302" s="28">
        <v>5642199</v>
      </c>
      <c r="D4302" s="28"/>
      <c r="E4302" s="41">
        <v>46141</v>
      </c>
      <c r="F4302" s="47">
        <v>0.43334490740740739</v>
      </c>
      <c r="G4302" s="44">
        <v>6.3</v>
      </c>
      <c r="H4302" s="43" t="s">
        <v>234</v>
      </c>
      <c r="I4302" s="40" t="s">
        <v>1281</v>
      </c>
    </row>
    <row r="4303" spans="1:9" x14ac:dyDescent="0.25">
      <c r="A4303" s="40" t="s">
        <v>227</v>
      </c>
      <c r="B4303" s="28">
        <v>9004</v>
      </c>
      <c r="C4303" s="28">
        <v>5634361</v>
      </c>
      <c r="D4303" s="28"/>
      <c r="E4303" s="45">
        <v>46142</v>
      </c>
      <c r="F4303" s="48">
        <v>0.27142361111111113</v>
      </c>
      <c r="G4303" s="44">
        <v>6.3</v>
      </c>
      <c r="H4303" s="43" t="s">
        <v>235</v>
      </c>
      <c r="I4303" s="40" t="s">
        <v>1281</v>
      </c>
    </row>
    <row r="4304" spans="1:9" x14ac:dyDescent="0.25">
      <c r="A4304" s="40" t="s">
        <v>227</v>
      </c>
      <c r="B4304" s="28">
        <v>9004</v>
      </c>
      <c r="C4304" s="28">
        <v>5634361</v>
      </c>
      <c r="D4304" s="28"/>
      <c r="E4304" s="41">
        <v>46142</v>
      </c>
      <c r="F4304" s="47">
        <v>0.28790509259259262</v>
      </c>
      <c r="G4304" s="44">
        <v>6.3</v>
      </c>
      <c r="H4304" s="43" t="s">
        <v>236</v>
      </c>
      <c r="I4304" s="40" t="s">
        <v>1281</v>
      </c>
    </row>
    <row r="4305" spans="1:9" x14ac:dyDescent="0.25">
      <c r="A4305" s="40" t="s">
        <v>227</v>
      </c>
      <c r="B4305" s="28">
        <v>9004</v>
      </c>
      <c r="C4305" s="28">
        <v>5628753</v>
      </c>
      <c r="D4305" s="28"/>
      <c r="E4305" s="41">
        <v>46142</v>
      </c>
      <c r="F4305" s="47">
        <v>0.35421296296296295</v>
      </c>
      <c r="G4305" s="44">
        <v>6.3</v>
      </c>
      <c r="H4305" s="43" t="s">
        <v>237</v>
      </c>
      <c r="I4305" s="40" t="s">
        <v>1281</v>
      </c>
    </row>
    <row r="4306" spans="1:9" x14ac:dyDescent="0.25">
      <c r="A4306" s="40" t="s">
        <v>227</v>
      </c>
      <c r="B4306" s="28">
        <v>9004</v>
      </c>
      <c r="C4306" s="28">
        <v>5628753</v>
      </c>
      <c r="D4306" s="28"/>
      <c r="E4306" s="45">
        <v>46142</v>
      </c>
      <c r="F4306" s="48">
        <v>0.36440972222222223</v>
      </c>
      <c r="G4306" s="44">
        <v>6.3</v>
      </c>
      <c r="H4306" s="43" t="s">
        <v>234</v>
      </c>
      <c r="I4306" s="40" t="s">
        <v>1281</v>
      </c>
    </row>
    <row r="4307" spans="1:9" x14ac:dyDescent="0.25">
      <c r="A4307" s="40" t="s">
        <v>227</v>
      </c>
      <c r="B4307" s="28">
        <v>9004</v>
      </c>
      <c r="C4307" s="28">
        <v>5644350</v>
      </c>
      <c r="D4307" s="28"/>
      <c r="E4307" s="41">
        <v>46142</v>
      </c>
      <c r="F4307" s="47">
        <v>0.42984953703703704</v>
      </c>
      <c r="G4307" s="44">
        <v>6.3</v>
      </c>
      <c r="H4307" s="43" t="s">
        <v>235</v>
      </c>
      <c r="I4307" s="40" t="s">
        <v>1281</v>
      </c>
    </row>
    <row r="4308" spans="1:9" x14ac:dyDescent="0.25">
      <c r="A4308" s="40" t="s">
        <v>227</v>
      </c>
      <c r="B4308" s="28">
        <v>9004</v>
      </c>
      <c r="C4308" s="28">
        <v>5644350</v>
      </c>
      <c r="D4308" s="28"/>
      <c r="E4308" s="41">
        <v>46142</v>
      </c>
      <c r="F4308" s="47">
        <v>0.44310185185185186</v>
      </c>
      <c r="G4308" s="44">
        <v>6.3</v>
      </c>
      <c r="H4308" s="43" t="s">
        <v>236</v>
      </c>
      <c r="I4308" s="40" t="s">
        <v>1281</v>
      </c>
    </row>
    <row r="4309" spans="1:9" x14ac:dyDescent="0.25">
      <c r="A4309" s="40" t="s">
        <v>227</v>
      </c>
      <c r="B4309" s="28">
        <v>9004</v>
      </c>
      <c r="C4309" s="28">
        <v>5644368</v>
      </c>
      <c r="D4309" s="28"/>
      <c r="E4309" s="41">
        <v>46142</v>
      </c>
      <c r="F4309" s="47">
        <v>0.53712962962962962</v>
      </c>
      <c r="G4309" s="44">
        <v>6.3</v>
      </c>
      <c r="H4309" s="43" t="s">
        <v>237</v>
      </c>
      <c r="I4309" s="40" t="s">
        <v>1281</v>
      </c>
    </row>
    <row r="4310" spans="1:9" x14ac:dyDescent="0.25">
      <c r="A4310" s="40" t="s">
        <v>227</v>
      </c>
      <c r="B4310" s="28">
        <v>9004</v>
      </c>
      <c r="C4310" s="28">
        <v>5644368</v>
      </c>
      <c r="D4310" s="28"/>
      <c r="E4310" s="41">
        <v>46142</v>
      </c>
      <c r="F4310" s="47">
        <v>0.54362268518518519</v>
      </c>
      <c r="G4310" s="44">
        <v>6.3</v>
      </c>
      <c r="H4310" s="43" t="s">
        <v>234</v>
      </c>
      <c r="I4310" s="40" t="s">
        <v>1281</v>
      </c>
    </row>
    <row r="4311" spans="1:9" x14ac:dyDescent="0.25">
      <c r="A4311" s="40" t="s">
        <v>227</v>
      </c>
      <c r="B4311" s="28">
        <v>9004</v>
      </c>
      <c r="C4311" s="28">
        <v>5647224</v>
      </c>
      <c r="D4311" s="28"/>
      <c r="E4311" s="41">
        <v>46144</v>
      </c>
      <c r="F4311" s="47">
        <v>0.35346064814814815</v>
      </c>
      <c r="G4311" s="44">
        <v>6.3</v>
      </c>
      <c r="H4311" s="43" t="s">
        <v>235</v>
      </c>
      <c r="I4311" s="40" t="s">
        <v>1282</v>
      </c>
    </row>
    <row r="4312" spans="1:9" x14ac:dyDescent="0.25">
      <c r="A4312" s="40" t="s">
        <v>227</v>
      </c>
      <c r="B4312" s="28">
        <v>9004</v>
      </c>
      <c r="C4312" s="28">
        <v>5647224</v>
      </c>
      <c r="D4312" s="28"/>
      <c r="E4312" s="41">
        <v>46144</v>
      </c>
      <c r="F4312" s="47">
        <v>0.36144675925925923</v>
      </c>
      <c r="G4312" s="42">
        <v>6.3</v>
      </c>
      <c r="H4312" s="40" t="s">
        <v>239</v>
      </c>
      <c r="I4312" s="40" t="s">
        <v>1282</v>
      </c>
    </row>
    <row r="4313" spans="1:9" x14ac:dyDescent="0.25">
      <c r="A4313" s="40" t="s">
        <v>227</v>
      </c>
      <c r="B4313" s="28">
        <v>9004</v>
      </c>
      <c r="C4313" s="28" t="s">
        <v>35</v>
      </c>
      <c r="D4313" s="28" t="s">
        <v>38</v>
      </c>
      <c r="E4313" s="45">
        <v>46144</v>
      </c>
      <c r="F4313" s="48">
        <v>0.38809027777777777</v>
      </c>
      <c r="G4313" s="42">
        <v>6.3</v>
      </c>
      <c r="H4313" s="40" t="s">
        <v>233</v>
      </c>
      <c r="I4313" s="40" t="s">
        <v>1282</v>
      </c>
    </row>
    <row r="4314" spans="1:9" x14ac:dyDescent="0.25">
      <c r="A4314" s="40" t="s">
        <v>227</v>
      </c>
      <c r="B4314" s="28">
        <v>9004</v>
      </c>
      <c r="C4314" s="28">
        <v>5647408</v>
      </c>
      <c r="D4314" s="28"/>
      <c r="E4314" s="41">
        <v>46144</v>
      </c>
      <c r="F4314" s="47">
        <v>0.49501157407407409</v>
      </c>
      <c r="G4314" s="44">
        <v>6.3</v>
      </c>
      <c r="H4314" s="43" t="s">
        <v>235</v>
      </c>
      <c r="I4314" s="40" t="s">
        <v>1282</v>
      </c>
    </row>
    <row r="4315" spans="1:9" x14ac:dyDescent="0.25">
      <c r="A4315" s="40" t="s">
        <v>227</v>
      </c>
      <c r="B4315" s="28">
        <v>9004</v>
      </c>
      <c r="C4315" s="28">
        <v>5647408</v>
      </c>
      <c r="D4315" s="28"/>
      <c r="E4315" s="45">
        <v>46144</v>
      </c>
      <c r="F4315" s="48">
        <v>0.50497685185185182</v>
      </c>
      <c r="G4315" s="44">
        <v>6.3</v>
      </c>
      <c r="H4315" s="43" t="s">
        <v>236</v>
      </c>
      <c r="I4315" s="40" t="s">
        <v>1282</v>
      </c>
    </row>
    <row r="4316" spans="1:9" x14ac:dyDescent="0.25">
      <c r="A4316" s="40" t="s">
        <v>89</v>
      </c>
      <c r="B4316" s="28">
        <v>9017</v>
      </c>
      <c r="C4316" s="28">
        <v>5638171</v>
      </c>
      <c r="D4316" s="28"/>
      <c r="E4316" s="41">
        <v>46139</v>
      </c>
      <c r="F4316" s="47">
        <v>0.49246527777777777</v>
      </c>
      <c r="G4316" s="44">
        <v>6.3</v>
      </c>
      <c r="H4316" s="43" t="s">
        <v>235</v>
      </c>
      <c r="I4316" s="40" t="s">
        <v>1281</v>
      </c>
    </row>
    <row r="4317" spans="1:9" x14ac:dyDescent="0.25">
      <c r="A4317" s="40" t="s">
        <v>89</v>
      </c>
      <c r="B4317" s="28">
        <v>9017</v>
      </c>
      <c r="C4317" s="28">
        <v>5638196</v>
      </c>
      <c r="D4317" s="28"/>
      <c r="E4317" s="41">
        <v>46139</v>
      </c>
      <c r="F4317" s="47">
        <v>0.56403935185185183</v>
      </c>
      <c r="G4317" s="44">
        <v>6.3</v>
      </c>
      <c r="H4317" s="43" t="s">
        <v>234</v>
      </c>
      <c r="I4317" s="40" t="s">
        <v>1281</v>
      </c>
    </row>
    <row r="4318" spans="1:9" x14ac:dyDescent="0.25">
      <c r="A4318" s="40" t="s">
        <v>89</v>
      </c>
      <c r="B4318" s="28">
        <v>9017</v>
      </c>
      <c r="C4318" s="28">
        <v>5638734</v>
      </c>
      <c r="D4318" s="28"/>
      <c r="E4318" s="41">
        <v>46139</v>
      </c>
      <c r="F4318" s="47">
        <v>0.87089120370370365</v>
      </c>
      <c r="G4318" s="44">
        <v>6.3</v>
      </c>
      <c r="H4318" s="43" t="s">
        <v>235</v>
      </c>
      <c r="I4318" s="40" t="s">
        <v>1281</v>
      </c>
    </row>
    <row r="4319" spans="1:9" x14ac:dyDescent="0.25">
      <c r="A4319" s="40" t="s">
        <v>89</v>
      </c>
      <c r="B4319" s="28">
        <v>9017</v>
      </c>
      <c r="C4319" s="28">
        <v>5638734</v>
      </c>
      <c r="D4319" s="28"/>
      <c r="E4319" s="41">
        <v>46139</v>
      </c>
      <c r="F4319" s="47">
        <v>0.87966435185185188</v>
      </c>
      <c r="G4319" s="44">
        <v>6.3</v>
      </c>
      <c r="H4319" s="43" t="s">
        <v>236</v>
      </c>
      <c r="I4319" s="40" t="s">
        <v>1281</v>
      </c>
    </row>
    <row r="4320" spans="1:9" x14ac:dyDescent="0.25">
      <c r="A4320" s="40" t="s">
        <v>89</v>
      </c>
      <c r="B4320" s="28">
        <v>9017</v>
      </c>
      <c r="C4320" s="28" t="s">
        <v>1191</v>
      </c>
      <c r="D4320" s="28"/>
      <c r="E4320" s="41">
        <v>46140</v>
      </c>
      <c r="F4320" s="47">
        <v>0.3205324074074074</v>
      </c>
      <c r="G4320" s="44">
        <v>6.3</v>
      </c>
      <c r="H4320" s="43" t="s">
        <v>235</v>
      </c>
      <c r="I4320" s="40" t="s">
        <v>1281</v>
      </c>
    </row>
    <row r="4321" spans="1:9" x14ac:dyDescent="0.25">
      <c r="A4321" s="40" t="s">
        <v>89</v>
      </c>
      <c r="B4321" s="28">
        <v>9017</v>
      </c>
      <c r="C4321" s="28" t="s">
        <v>1191</v>
      </c>
      <c r="D4321" s="28"/>
      <c r="E4321" s="41">
        <v>46140</v>
      </c>
      <c r="F4321" s="47">
        <v>0.33671296296296294</v>
      </c>
      <c r="G4321" s="44">
        <v>6.3</v>
      </c>
      <c r="H4321" s="43" t="s">
        <v>236</v>
      </c>
      <c r="I4321" s="40" t="s">
        <v>1281</v>
      </c>
    </row>
    <row r="4322" spans="1:9" x14ac:dyDescent="0.25">
      <c r="A4322" s="40" t="s">
        <v>89</v>
      </c>
      <c r="B4322" s="28">
        <v>9017</v>
      </c>
      <c r="C4322" s="28">
        <v>5639578</v>
      </c>
      <c r="D4322" s="28"/>
      <c r="E4322" s="41">
        <v>46140</v>
      </c>
      <c r="F4322" s="47">
        <v>0.41730324074074077</v>
      </c>
      <c r="G4322" s="44">
        <v>6.3</v>
      </c>
      <c r="H4322" s="43" t="s">
        <v>237</v>
      </c>
      <c r="I4322" s="40" t="s">
        <v>1281</v>
      </c>
    </row>
    <row r="4323" spans="1:9" x14ac:dyDescent="0.25">
      <c r="A4323" s="40" t="s">
        <v>89</v>
      </c>
      <c r="B4323" s="28">
        <v>9017</v>
      </c>
      <c r="C4323" s="28">
        <v>5639578</v>
      </c>
      <c r="D4323" s="28"/>
      <c r="E4323" s="41">
        <v>46140</v>
      </c>
      <c r="F4323" s="47">
        <v>0.43141203703703701</v>
      </c>
      <c r="G4323" s="44">
        <v>6.3</v>
      </c>
      <c r="H4323" s="43" t="s">
        <v>234</v>
      </c>
      <c r="I4323" s="40" t="s">
        <v>1281</v>
      </c>
    </row>
    <row r="4324" spans="1:9" x14ac:dyDescent="0.25">
      <c r="A4324" s="40" t="s">
        <v>89</v>
      </c>
      <c r="B4324" s="28">
        <v>9017</v>
      </c>
      <c r="C4324" s="28" t="s">
        <v>35</v>
      </c>
      <c r="D4324" s="28" t="s">
        <v>38</v>
      </c>
      <c r="E4324" s="45">
        <v>46140</v>
      </c>
      <c r="F4324" s="48">
        <v>0.6875</v>
      </c>
      <c r="G4324" s="44">
        <v>6.3</v>
      </c>
      <c r="H4324" s="43" t="s">
        <v>234</v>
      </c>
      <c r="I4324" s="40" t="s">
        <v>1281</v>
      </c>
    </row>
    <row r="4325" spans="1:9" x14ac:dyDescent="0.25">
      <c r="A4325" s="40" t="s">
        <v>89</v>
      </c>
      <c r="B4325" s="28">
        <v>9017</v>
      </c>
      <c r="C4325" s="28">
        <v>5642282</v>
      </c>
      <c r="D4325" s="28"/>
      <c r="E4325" s="45">
        <v>46141</v>
      </c>
      <c r="F4325" s="48">
        <v>0.46446759259259257</v>
      </c>
      <c r="G4325" s="44">
        <v>6.3</v>
      </c>
      <c r="H4325" s="43" t="s">
        <v>235</v>
      </c>
      <c r="I4325" s="40" t="s">
        <v>1281</v>
      </c>
    </row>
    <row r="4326" spans="1:9" x14ac:dyDescent="0.25">
      <c r="A4326" s="40" t="s">
        <v>89</v>
      </c>
      <c r="B4326" s="28">
        <v>9017</v>
      </c>
      <c r="C4326" s="28">
        <v>5642282</v>
      </c>
      <c r="D4326" s="28"/>
      <c r="E4326" s="41">
        <v>46141</v>
      </c>
      <c r="F4326" s="47">
        <v>0.47288194444444442</v>
      </c>
      <c r="G4326" s="44">
        <v>6.3</v>
      </c>
      <c r="H4326" s="43" t="s">
        <v>236</v>
      </c>
      <c r="I4326" s="40" t="s">
        <v>1281</v>
      </c>
    </row>
    <row r="4327" spans="1:9" x14ac:dyDescent="0.25">
      <c r="A4327" s="40" t="s">
        <v>138</v>
      </c>
      <c r="B4327" s="28">
        <v>9035</v>
      </c>
      <c r="C4327" s="28">
        <v>5638123</v>
      </c>
      <c r="D4327" s="28"/>
      <c r="E4327" s="41">
        <v>46139</v>
      </c>
      <c r="F4327" s="47">
        <v>0.5770601851851852</v>
      </c>
      <c r="G4327" s="44">
        <v>6.3</v>
      </c>
      <c r="H4327" s="43" t="s">
        <v>235</v>
      </c>
      <c r="I4327" s="40" t="s">
        <v>1281</v>
      </c>
    </row>
    <row r="4328" spans="1:9" x14ac:dyDescent="0.25">
      <c r="A4328" s="40" t="s">
        <v>138</v>
      </c>
      <c r="B4328" s="28">
        <v>9035</v>
      </c>
      <c r="C4328" s="28">
        <v>5640010</v>
      </c>
      <c r="D4328" s="28"/>
      <c r="E4328" s="41">
        <v>46140</v>
      </c>
      <c r="F4328" s="47">
        <v>0.31974537037037037</v>
      </c>
      <c r="G4328" s="44">
        <v>6.3</v>
      </c>
      <c r="H4328" s="43" t="s">
        <v>234</v>
      </c>
      <c r="I4328" s="40" t="s">
        <v>1281</v>
      </c>
    </row>
    <row r="4329" spans="1:9" x14ac:dyDescent="0.25">
      <c r="A4329" s="40" t="s">
        <v>138</v>
      </c>
      <c r="B4329" s="28">
        <v>9035</v>
      </c>
      <c r="C4329" s="28" t="s">
        <v>35</v>
      </c>
      <c r="D4329" s="28" t="s">
        <v>38</v>
      </c>
      <c r="E4329" s="41">
        <v>46141</v>
      </c>
      <c r="F4329" s="47">
        <v>0.22450231481481481</v>
      </c>
      <c r="G4329" s="44">
        <v>6.3</v>
      </c>
      <c r="H4329" s="43" t="s">
        <v>239</v>
      </c>
      <c r="I4329" s="40" t="s">
        <v>1281</v>
      </c>
    </row>
    <row r="4330" spans="1:9" x14ac:dyDescent="0.25">
      <c r="A4330" s="40" t="s">
        <v>138</v>
      </c>
      <c r="B4330" s="28">
        <v>9035</v>
      </c>
      <c r="C4330" s="28">
        <v>5641867</v>
      </c>
      <c r="D4330" s="28"/>
      <c r="E4330" s="41">
        <v>46141</v>
      </c>
      <c r="F4330" s="47">
        <v>0.26442129629629629</v>
      </c>
      <c r="G4330" s="44">
        <v>6.3</v>
      </c>
      <c r="H4330" s="43" t="s">
        <v>237</v>
      </c>
      <c r="I4330" s="40" t="s">
        <v>1281</v>
      </c>
    </row>
    <row r="4331" spans="1:9" x14ac:dyDescent="0.25">
      <c r="A4331" s="40" t="s">
        <v>138</v>
      </c>
      <c r="B4331" s="28">
        <v>9035</v>
      </c>
      <c r="C4331" s="28">
        <v>5641867</v>
      </c>
      <c r="D4331" s="28"/>
      <c r="E4331" s="41">
        <v>46141</v>
      </c>
      <c r="F4331" s="47">
        <v>0.2707060185185185</v>
      </c>
      <c r="G4331" s="44">
        <v>6.3</v>
      </c>
      <c r="H4331" s="43" t="s">
        <v>234</v>
      </c>
      <c r="I4331" s="40" t="s">
        <v>1281</v>
      </c>
    </row>
    <row r="4332" spans="1:9" x14ac:dyDescent="0.25">
      <c r="A4332" s="40" t="s">
        <v>138</v>
      </c>
      <c r="B4332" s="28">
        <v>9035</v>
      </c>
      <c r="C4332" s="28" t="s">
        <v>1192</v>
      </c>
      <c r="D4332" s="28"/>
      <c r="E4332" s="45">
        <v>46141</v>
      </c>
      <c r="F4332" s="48">
        <v>0.38938657407407407</v>
      </c>
      <c r="G4332" s="44">
        <v>6.3</v>
      </c>
      <c r="H4332" s="43" t="s">
        <v>235</v>
      </c>
      <c r="I4332" s="40" t="s">
        <v>1281</v>
      </c>
    </row>
    <row r="4333" spans="1:9" x14ac:dyDescent="0.25">
      <c r="A4333" s="40" t="s">
        <v>138</v>
      </c>
      <c r="B4333" s="28">
        <v>9035</v>
      </c>
      <c r="C4333" s="28" t="s">
        <v>35</v>
      </c>
      <c r="D4333" s="28" t="s">
        <v>38</v>
      </c>
      <c r="E4333" s="41">
        <v>46141</v>
      </c>
      <c r="F4333" s="47">
        <v>0.40531250000000002</v>
      </c>
      <c r="G4333" s="42">
        <v>6.3</v>
      </c>
      <c r="H4333" s="40" t="s">
        <v>236</v>
      </c>
      <c r="I4333" s="40" t="s">
        <v>1281</v>
      </c>
    </row>
    <row r="4334" spans="1:9" x14ac:dyDescent="0.25">
      <c r="A4334" s="40" t="s">
        <v>138</v>
      </c>
      <c r="B4334" s="28">
        <v>9035</v>
      </c>
      <c r="C4334" s="28" t="s">
        <v>35</v>
      </c>
      <c r="D4334" s="28" t="s">
        <v>38</v>
      </c>
      <c r="E4334" s="41">
        <v>46141</v>
      </c>
      <c r="F4334" s="47">
        <v>0.8706018518518519</v>
      </c>
      <c r="G4334" s="42">
        <v>6.3</v>
      </c>
      <c r="H4334" s="40" t="s">
        <v>237</v>
      </c>
      <c r="I4334" s="40" t="s">
        <v>1281</v>
      </c>
    </row>
    <row r="4335" spans="1:9" x14ac:dyDescent="0.25">
      <c r="A4335" s="40" t="s">
        <v>138</v>
      </c>
      <c r="B4335" s="28">
        <v>9035</v>
      </c>
      <c r="C4335" s="28">
        <v>5646602</v>
      </c>
      <c r="D4335" s="28"/>
      <c r="E4335" s="41">
        <v>46143</v>
      </c>
      <c r="F4335" s="47">
        <v>0.64918981481481486</v>
      </c>
      <c r="G4335" s="42">
        <v>6.3</v>
      </c>
      <c r="H4335" s="40" t="s">
        <v>235</v>
      </c>
      <c r="I4335" s="40" t="s">
        <v>1282</v>
      </c>
    </row>
    <row r="4336" spans="1:9" x14ac:dyDescent="0.25">
      <c r="A4336" s="40" t="s">
        <v>138</v>
      </c>
      <c r="B4336" s="28">
        <v>9035</v>
      </c>
      <c r="C4336" s="28">
        <v>5646602</v>
      </c>
      <c r="D4336" s="28"/>
      <c r="E4336" s="41">
        <v>46143</v>
      </c>
      <c r="F4336" s="47">
        <v>0.6568518518518518</v>
      </c>
      <c r="G4336" s="42">
        <v>6.3</v>
      </c>
      <c r="H4336" s="40" t="s">
        <v>236</v>
      </c>
      <c r="I4336" s="40" t="s">
        <v>1282</v>
      </c>
    </row>
    <row r="4337" spans="1:9" x14ac:dyDescent="0.25">
      <c r="A4337" s="40" t="s">
        <v>138</v>
      </c>
      <c r="B4337" s="28">
        <v>9035</v>
      </c>
      <c r="C4337" s="28" t="s">
        <v>35</v>
      </c>
      <c r="D4337" s="28" t="s">
        <v>38</v>
      </c>
      <c r="E4337" s="41">
        <v>46143</v>
      </c>
      <c r="F4337" s="47">
        <v>0.67017361111111107</v>
      </c>
      <c r="G4337" s="44">
        <v>6.3</v>
      </c>
      <c r="H4337" s="43" t="s">
        <v>237</v>
      </c>
      <c r="I4337" s="40" t="s">
        <v>1282</v>
      </c>
    </row>
    <row r="4338" spans="1:9" x14ac:dyDescent="0.25">
      <c r="A4338" s="40" t="s">
        <v>141</v>
      </c>
      <c r="B4338" s="28">
        <v>9063</v>
      </c>
      <c r="C4338" s="28" t="s">
        <v>1193</v>
      </c>
      <c r="D4338" s="28"/>
      <c r="E4338" s="41">
        <v>46143</v>
      </c>
      <c r="F4338" s="47">
        <v>0.32502314814814814</v>
      </c>
      <c r="G4338" s="44">
        <v>6.3</v>
      </c>
      <c r="H4338" s="43" t="s">
        <v>235</v>
      </c>
      <c r="I4338" s="40" t="s">
        <v>1282</v>
      </c>
    </row>
    <row r="4339" spans="1:9" x14ac:dyDescent="0.25">
      <c r="A4339" s="40" t="s">
        <v>141</v>
      </c>
      <c r="B4339" s="28">
        <v>9063</v>
      </c>
      <c r="C4339" s="28" t="s">
        <v>1193</v>
      </c>
      <c r="D4339" s="28"/>
      <c r="E4339" s="41">
        <v>46143</v>
      </c>
      <c r="F4339" s="47">
        <v>0.33234953703703701</v>
      </c>
      <c r="G4339" s="44">
        <v>6.3</v>
      </c>
      <c r="H4339" s="43" t="s">
        <v>236</v>
      </c>
      <c r="I4339" s="40" t="s">
        <v>1282</v>
      </c>
    </row>
    <row r="4340" spans="1:9" x14ac:dyDescent="0.25">
      <c r="A4340" s="40" t="s">
        <v>141</v>
      </c>
      <c r="B4340" s="28">
        <v>9063</v>
      </c>
      <c r="C4340" s="28">
        <v>5646115</v>
      </c>
      <c r="D4340" s="28" t="s">
        <v>37</v>
      </c>
      <c r="E4340" s="41">
        <v>46143</v>
      </c>
      <c r="F4340" s="47">
        <v>0.3790162037037037</v>
      </c>
      <c r="G4340" s="44">
        <v>6.3</v>
      </c>
      <c r="H4340" s="43" t="s">
        <v>237</v>
      </c>
      <c r="I4340" s="40" t="s">
        <v>1282</v>
      </c>
    </row>
    <row r="4341" spans="1:9" x14ac:dyDescent="0.25">
      <c r="A4341" s="40" t="s">
        <v>141</v>
      </c>
      <c r="B4341" s="28">
        <v>9063</v>
      </c>
      <c r="C4341" s="28">
        <v>5646115</v>
      </c>
      <c r="D4341" s="28" t="s">
        <v>37</v>
      </c>
      <c r="E4341" s="41">
        <v>46143</v>
      </c>
      <c r="F4341" s="47">
        <v>0.38417824074074075</v>
      </c>
      <c r="G4341" s="44">
        <v>6.3</v>
      </c>
      <c r="H4341" s="43" t="s">
        <v>234</v>
      </c>
      <c r="I4341" s="40" t="s">
        <v>1282</v>
      </c>
    </row>
    <row r="4342" spans="1:9" x14ac:dyDescent="0.25">
      <c r="A4342" s="40" t="s">
        <v>141</v>
      </c>
      <c r="B4342" s="28">
        <v>9063</v>
      </c>
      <c r="C4342" s="28" t="s">
        <v>1194</v>
      </c>
      <c r="D4342" s="28"/>
      <c r="E4342" s="41">
        <v>46143</v>
      </c>
      <c r="F4342" s="47">
        <v>0.64031249999999995</v>
      </c>
      <c r="G4342" s="44">
        <v>6.3</v>
      </c>
      <c r="H4342" s="43" t="s">
        <v>235</v>
      </c>
      <c r="I4342" s="40" t="s">
        <v>1282</v>
      </c>
    </row>
    <row r="4343" spans="1:9" x14ac:dyDescent="0.25">
      <c r="A4343" s="40" t="s">
        <v>141</v>
      </c>
      <c r="B4343" s="28">
        <v>9063</v>
      </c>
      <c r="C4343" s="28" t="s">
        <v>1194</v>
      </c>
      <c r="D4343" s="28"/>
      <c r="E4343" s="41">
        <v>46143</v>
      </c>
      <c r="F4343" s="47">
        <v>0.64556712962962959</v>
      </c>
      <c r="G4343" s="44">
        <v>6.3</v>
      </c>
      <c r="H4343" s="43" t="s">
        <v>240</v>
      </c>
      <c r="I4343" s="40" t="s">
        <v>1282</v>
      </c>
    </row>
    <row r="4344" spans="1:9" x14ac:dyDescent="0.25">
      <c r="A4344" s="40" t="s">
        <v>141</v>
      </c>
      <c r="B4344" s="28">
        <v>9063</v>
      </c>
      <c r="C4344" s="28" t="s">
        <v>35</v>
      </c>
      <c r="D4344" s="28" t="s">
        <v>38</v>
      </c>
      <c r="E4344" s="45">
        <v>46143</v>
      </c>
      <c r="F4344" s="48">
        <v>0.68106481481481485</v>
      </c>
      <c r="G4344" s="44">
        <v>6.3</v>
      </c>
      <c r="H4344" s="43" t="s">
        <v>241</v>
      </c>
      <c r="I4344" s="40" t="s">
        <v>1282</v>
      </c>
    </row>
    <row r="4345" spans="1:9" x14ac:dyDescent="0.25">
      <c r="A4345" s="40" t="s">
        <v>167</v>
      </c>
      <c r="B4345" s="28">
        <v>9084</v>
      </c>
      <c r="C4345" s="28">
        <v>5638907</v>
      </c>
      <c r="D4345" s="28" t="s">
        <v>36</v>
      </c>
      <c r="E4345" s="41">
        <v>46140</v>
      </c>
      <c r="F4345" s="47">
        <v>0.22409722222222223</v>
      </c>
      <c r="G4345" s="42">
        <v>6.3</v>
      </c>
      <c r="H4345" s="40" t="s">
        <v>234</v>
      </c>
      <c r="I4345" s="40" t="s">
        <v>1281</v>
      </c>
    </row>
    <row r="4346" spans="1:9" x14ac:dyDescent="0.25">
      <c r="A4346" s="40" t="s">
        <v>167</v>
      </c>
      <c r="B4346" s="28">
        <v>9084</v>
      </c>
      <c r="C4346" s="28">
        <v>5641902</v>
      </c>
      <c r="D4346" s="28"/>
      <c r="E4346" s="41">
        <v>46142</v>
      </c>
      <c r="F4346" s="47">
        <v>0.54059027777777779</v>
      </c>
      <c r="G4346" s="42">
        <v>6.3</v>
      </c>
      <c r="H4346" s="40" t="s">
        <v>237</v>
      </c>
      <c r="I4346" s="40" t="s">
        <v>1281</v>
      </c>
    </row>
    <row r="4347" spans="1:9" x14ac:dyDescent="0.25">
      <c r="A4347" s="40" t="s">
        <v>167</v>
      </c>
      <c r="B4347" s="28">
        <v>9084</v>
      </c>
      <c r="C4347" s="28">
        <v>5641902</v>
      </c>
      <c r="D4347" s="28"/>
      <c r="E4347" s="41">
        <v>46142</v>
      </c>
      <c r="F4347" s="47">
        <v>0.54680555555555554</v>
      </c>
      <c r="G4347" s="44">
        <v>6.3</v>
      </c>
      <c r="H4347" s="43" t="s">
        <v>234</v>
      </c>
      <c r="I4347" s="40" t="s">
        <v>1281</v>
      </c>
    </row>
    <row r="4348" spans="1:9" x14ac:dyDescent="0.25">
      <c r="A4348" s="40" t="s">
        <v>221</v>
      </c>
      <c r="B4348" s="28">
        <v>9099</v>
      </c>
      <c r="C4348" s="28">
        <v>10566533</v>
      </c>
      <c r="D4348" s="28"/>
      <c r="E4348" s="41">
        <v>46142</v>
      </c>
      <c r="F4348" s="47">
        <v>0.12040509259259259</v>
      </c>
      <c r="G4348" s="44">
        <v>6.3</v>
      </c>
      <c r="H4348" s="43" t="s">
        <v>237</v>
      </c>
      <c r="I4348" s="40" t="s">
        <v>1281</v>
      </c>
    </row>
    <row r="4349" spans="1:9" x14ac:dyDescent="0.25">
      <c r="A4349" s="40" t="s">
        <v>221</v>
      </c>
      <c r="B4349" s="28">
        <v>9099</v>
      </c>
      <c r="C4349" s="28">
        <v>10566533</v>
      </c>
      <c r="D4349" s="28"/>
      <c r="E4349" s="41">
        <v>46142</v>
      </c>
      <c r="F4349" s="47">
        <v>0.12562499999999999</v>
      </c>
      <c r="G4349" s="44">
        <v>6.3</v>
      </c>
      <c r="H4349" s="43" t="s">
        <v>234</v>
      </c>
      <c r="I4349" s="40" t="s">
        <v>1281</v>
      </c>
    </row>
    <row r="4350" spans="1:9" x14ac:dyDescent="0.25">
      <c r="A4350" s="40" t="s">
        <v>221</v>
      </c>
      <c r="B4350" s="28">
        <v>9099</v>
      </c>
      <c r="C4350" s="28">
        <v>10579976</v>
      </c>
      <c r="D4350" s="28" t="s">
        <v>36</v>
      </c>
      <c r="E4350" s="41">
        <v>46144</v>
      </c>
      <c r="F4350" s="47">
        <v>0.8300925925925926</v>
      </c>
      <c r="G4350" s="44">
        <v>6.3</v>
      </c>
      <c r="H4350" s="43" t="s">
        <v>235</v>
      </c>
      <c r="I4350" s="40" t="s">
        <v>1282</v>
      </c>
    </row>
    <row r="4351" spans="1:9" x14ac:dyDescent="0.25">
      <c r="A4351" s="40" t="s">
        <v>221</v>
      </c>
      <c r="B4351" s="28">
        <v>9099</v>
      </c>
      <c r="C4351" s="28">
        <v>10579976</v>
      </c>
      <c r="D4351" s="28" t="s">
        <v>36</v>
      </c>
      <c r="E4351" s="41">
        <v>46144</v>
      </c>
      <c r="F4351" s="47">
        <v>0.83725694444444443</v>
      </c>
      <c r="G4351" s="44">
        <v>6.3</v>
      </c>
      <c r="H4351" s="43" t="s">
        <v>236</v>
      </c>
      <c r="I4351" s="40" t="s">
        <v>1282</v>
      </c>
    </row>
    <row r="4352" spans="1:9" x14ac:dyDescent="0.25">
      <c r="A4352" s="40" t="s">
        <v>1195</v>
      </c>
      <c r="B4352" s="28">
        <v>9102</v>
      </c>
      <c r="C4352" s="28">
        <v>5637835</v>
      </c>
      <c r="D4352" s="28"/>
      <c r="E4352" s="41">
        <v>46140</v>
      </c>
      <c r="F4352" s="47">
        <v>0.17667824074074073</v>
      </c>
      <c r="G4352" s="42">
        <v>6.3</v>
      </c>
      <c r="H4352" s="40" t="s">
        <v>237</v>
      </c>
      <c r="I4352" s="40" t="s">
        <v>1281</v>
      </c>
    </row>
    <row r="4353" spans="1:9" x14ac:dyDescent="0.25">
      <c r="A4353" s="40" t="s">
        <v>1195</v>
      </c>
      <c r="B4353" s="28">
        <v>9102</v>
      </c>
      <c r="C4353" s="28">
        <v>5637835</v>
      </c>
      <c r="D4353" s="28"/>
      <c r="E4353" s="41">
        <v>46140</v>
      </c>
      <c r="F4353" s="47">
        <v>0.18185185185185185</v>
      </c>
      <c r="G4353" s="42">
        <v>6.3</v>
      </c>
      <c r="H4353" s="40" t="s">
        <v>234</v>
      </c>
      <c r="I4353" s="40" t="s">
        <v>1281</v>
      </c>
    </row>
    <row r="4354" spans="1:9" x14ac:dyDescent="0.25">
      <c r="A4354" s="40" t="s">
        <v>1195</v>
      </c>
      <c r="B4354" s="28">
        <v>9102</v>
      </c>
      <c r="C4354" s="28">
        <v>5641595</v>
      </c>
      <c r="D4354" s="28"/>
      <c r="E4354" s="41">
        <v>46141</v>
      </c>
      <c r="F4354" s="47">
        <v>0.46535879629629628</v>
      </c>
      <c r="G4354" s="42">
        <v>6.3</v>
      </c>
      <c r="H4354" s="40" t="s">
        <v>235</v>
      </c>
      <c r="I4354" s="40" t="s">
        <v>1281</v>
      </c>
    </row>
    <row r="4355" spans="1:9" x14ac:dyDescent="0.25">
      <c r="A4355" s="40" t="s">
        <v>1195</v>
      </c>
      <c r="B4355" s="28">
        <v>9102</v>
      </c>
      <c r="C4355" s="28">
        <v>5641595</v>
      </c>
      <c r="D4355" s="28"/>
      <c r="E4355" s="41">
        <v>46141</v>
      </c>
      <c r="F4355" s="47">
        <v>0.47393518518518518</v>
      </c>
      <c r="G4355" s="44">
        <v>6.3</v>
      </c>
      <c r="H4355" s="43" t="s">
        <v>236</v>
      </c>
      <c r="I4355" s="40" t="s">
        <v>1281</v>
      </c>
    </row>
    <row r="4356" spans="1:9" x14ac:dyDescent="0.25">
      <c r="A4356" s="40" t="s">
        <v>1195</v>
      </c>
      <c r="B4356" s="28">
        <v>9102</v>
      </c>
      <c r="C4356" s="28" t="s">
        <v>1196</v>
      </c>
      <c r="D4356" s="28"/>
      <c r="E4356" s="45">
        <v>46141</v>
      </c>
      <c r="F4356" s="48">
        <v>0.75027777777777782</v>
      </c>
      <c r="G4356" s="44">
        <v>6.3</v>
      </c>
      <c r="H4356" s="43" t="s">
        <v>235</v>
      </c>
      <c r="I4356" s="40" t="s">
        <v>1281</v>
      </c>
    </row>
    <row r="4357" spans="1:9" x14ac:dyDescent="0.25">
      <c r="A4357" s="40" t="s">
        <v>1195</v>
      </c>
      <c r="B4357" s="28">
        <v>9102</v>
      </c>
      <c r="C4357" s="28" t="s">
        <v>1196</v>
      </c>
      <c r="D4357" s="28"/>
      <c r="E4357" s="41">
        <v>46141</v>
      </c>
      <c r="F4357" s="47">
        <v>0.76887731481481481</v>
      </c>
      <c r="G4357" s="44">
        <v>6.3</v>
      </c>
      <c r="H4357" s="43" t="s">
        <v>236</v>
      </c>
      <c r="I4357" s="40" t="s">
        <v>1281</v>
      </c>
    </row>
    <row r="4358" spans="1:9" x14ac:dyDescent="0.25">
      <c r="A4358" s="40" t="s">
        <v>1195</v>
      </c>
      <c r="B4358" s="28">
        <v>9102</v>
      </c>
      <c r="C4358" s="28" t="s">
        <v>35</v>
      </c>
      <c r="D4358" s="28" t="s">
        <v>38</v>
      </c>
      <c r="E4358" s="41">
        <v>46141</v>
      </c>
      <c r="F4358" s="47">
        <v>0.81505787037037036</v>
      </c>
      <c r="G4358" s="44">
        <v>6.3</v>
      </c>
      <c r="H4358" s="43" t="s">
        <v>233</v>
      </c>
      <c r="I4358" s="40" t="s">
        <v>1281</v>
      </c>
    </row>
    <row r="4359" spans="1:9" x14ac:dyDescent="0.25">
      <c r="A4359" s="40" t="s">
        <v>1195</v>
      </c>
      <c r="B4359" s="28">
        <v>9102</v>
      </c>
      <c r="C4359" s="28">
        <v>5642621</v>
      </c>
      <c r="D4359" s="28"/>
      <c r="E4359" s="45">
        <v>46141</v>
      </c>
      <c r="F4359" s="48">
        <v>0.92600694444444442</v>
      </c>
      <c r="G4359" s="44">
        <v>6.3</v>
      </c>
      <c r="H4359" s="43" t="s">
        <v>235</v>
      </c>
      <c r="I4359" s="40" t="s">
        <v>1281</v>
      </c>
    </row>
    <row r="4360" spans="1:9" x14ac:dyDescent="0.25">
      <c r="A4360" s="40" t="s">
        <v>1195</v>
      </c>
      <c r="B4360" s="28">
        <v>9102</v>
      </c>
      <c r="C4360" s="28">
        <v>5642621</v>
      </c>
      <c r="D4360" s="28"/>
      <c r="E4360" s="41">
        <v>46141</v>
      </c>
      <c r="F4360" s="47">
        <v>0.93347222222222226</v>
      </c>
      <c r="G4360" s="44">
        <v>6.3</v>
      </c>
      <c r="H4360" s="43" t="s">
        <v>239</v>
      </c>
      <c r="I4360" s="40" t="s">
        <v>1281</v>
      </c>
    </row>
    <row r="4361" spans="1:9" x14ac:dyDescent="0.25">
      <c r="A4361" s="40" t="s">
        <v>1195</v>
      </c>
      <c r="B4361" s="28">
        <v>9102</v>
      </c>
      <c r="C4361" s="28">
        <v>5644120</v>
      </c>
      <c r="D4361" s="28"/>
      <c r="E4361" s="41">
        <v>46142</v>
      </c>
      <c r="F4361" s="47">
        <v>0.3684027777777778</v>
      </c>
      <c r="G4361" s="44">
        <v>6.3</v>
      </c>
      <c r="H4361" s="43" t="s">
        <v>237</v>
      </c>
      <c r="I4361" s="40" t="s">
        <v>1281</v>
      </c>
    </row>
    <row r="4362" spans="1:9" x14ac:dyDescent="0.25">
      <c r="A4362" s="40" t="s">
        <v>1195</v>
      </c>
      <c r="B4362" s="28">
        <v>9102</v>
      </c>
      <c r="C4362" s="28">
        <v>5645806</v>
      </c>
      <c r="D4362" s="28"/>
      <c r="E4362" s="45">
        <v>46142</v>
      </c>
      <c r="F4362" s="48">
        <v>0.96050925925925923</v>
      </c>
      <c r="G4362" s="44">
        <v>6.3</v>
      </c>
      <c r="H4362" s="43" t="s">
        <v>235</v>
      </c>
      <c r="I4362" s="40" t="s">
        <v>1281</v>
      </c>
    </row>
    <row r="4363" spans="1:9" x14ac:dyDescent="0.25">
      <c r="A4363" s="40" t="s">
        <v>1195</v>
      </c>
      <c r="B4363" s="28">
        <v>9102</v>
      </c>
      <c r="C4363" s="28">
        <v>5645806</v>
      </c>
      <c r="D4363" s="28"/>
      <c r="E4363" s="41">
        <v>46142</v>
      </c>
      <c r="F4363" s="47">
        <v>0.96854166666666663</v>
      </c>
      <c r="G4363" s="44">
        <v>6.3</v>
      </c>
      <c r="H4363" s="43" t="s">
        <v>236</v>
      </c>
      <c r="I4363" s="40" t="s">
        <v>1282</v>
      </c>
    </row>
    <row r="4364" spans="1:9" x14ac:dyDescent="0.25">
      <c r="A4364" s="40" t="s">
        <v>1195</v>
      </c>
      <c r="B4364" s="28">
        <v>9102</v>
      </c>
      <c r="C4364" s="28">
        <v>5642035</v>
      </c>
      <c r="D4364" s="28"/>
      <c r="E4364" s="41">
        <v>46144</v>
      </c>
      <c r="F4364" s="47">
        <v>0.41164351851851849</v>
      </c>
      <c r="G4364" s="44">
        <v>6.3</v>
      </c>
      <c r="H4364" s="43" t="s">
        <v>237</v>
      </c>
      <c r="I4364" s="40" t="s">
        <v>1282</v>
      </c>
    </row>
    <row r="4365" spans="1:9" x14ac:dyDescent="0.25">
      <c r="A4365" s="40" t="s">
        <v>1195</v>
      </c>
      <c r="B4365" s="28">
        <v>9102</v>
      </c>
      <c r="C4365" s="28">
        <v>5642035</v>
      </c>
      <c r="D4365" s="28"/>
      <c r="E4365" s="41">
        <v>46144</v>
      </c>
      <c r="F4365" s="47">
        <v>0.41707175925925927</v>
      </c>
      <c r="G4365" s="44">
        <v>6.3</v>
      </c>
      <c r="H4365" s="43" t="s">
        <v>234</v>
      </c>
      <c r="I4365" s="40" t="s">
        <v>1282</v>
      </c>
    </row>
    <row r="4366" spans="1:9" x14ac:dyDescent="0.25">
      <c r="A4366" s="40" t="s">
        <v>1195</v>
      </c>
      <c r="B4366" s="28">
        <v>9102</v>
      </c>
      <c r="C4366" s="28" t="s">
        <v>1197</v>
      </c>
      <c r="D4366" s="28"/>
      <c r="E4366" s="45">
        <v>46144</v>
      </c>
      <c r="F4366" s="48">
        <v>0.52298611111111115</v>
      </c>
      <c r="G4366" s="44">
        <v>6.3</v>
      </c>
      <c r="H4366" s="43" t="s">
        <v>235</v>
      </c>
      <c r="I4366" s="40" t="s">
        <v>1282</v>
      </c>
    </row>
    <row r="4367" spans="1:9" x14ac:dyDescent="0.25">
      <c r="A4367" s="40" t="s">
        <v>1195</v>
      </c>
      <c r="B4367" s="28">
        <v>9102</v>
      </c>
      <c r="C4367" s="28" t="s">
        <v>1197</v>
      </c>
      <c r="D4367" s="28"/>
      <c r="E4367" s="41">
        <v>46144</v>
      </c>
      <c r="F4367" s="47">
        <v>0.53035879629629634</v>
      </c>
      <c r="G4367" s="44">
        <v>6.3</v>
      </c>
      <c r="H4367" s="43" t="s">
        <v>236</v>
      </c>
      <c r="I4367" s="40" t="s">
        <v>1282</v>
      </c>
    </row>
    <row r="4368" spans="1:9" x14ac:dyDescent="0.25">
      <c r="A4368" s="40" t="s">
        <v>1195</v>
      </c>
      <c r="B4368" s="28">
        <v>9102</v>
      </c>
      <c r="C4368" s="28" t="s">
        <v>1198</v>
      </c>
      <c r="D4368" s="28"/>
      <c r="E4368" s="41">
        <v>46145</v>
      </c>
      <c r="F4368" s="47">
        <v>8.5983796296296294E-2</v>
      </c>
      <c r="G4368" s="44">
        <v>6.3</v>
      </c>
      <c r="H4368" s="43" t="s">
        <v>235</v>
      </c>
      <c r="I4368" s="40" t="s">
        <v>1282</v>
      </c>
    </row>
    <row r="4369" spans="1:9" x14ac:dyDescent="0.25">
      <c r="A4369" s="40" t="s">
        <v>1195</v>
      </c>
      <c r="B4369" s="28">
        <v>9102</v>
      </c>
      <c r="C4369" s="28" t="s">
        <v>1198</v>
      </c>
      <c r="D4369" s="28"/>
      <c r="E4369" s="41">
        <v>46145</v>
      </c>
      <c r="F4369" s="47">
        <v>9.1979166666666667E-2</v>
      </c>
      <c r="G4369" s="44">
        <v>6.3</v>
      </c>
      <c r="H4369" s="43" t="s">
        <v>239</v>
      </c>
      <c r="I4369" s="40" t="s">
        <v>1282</v>
      </c>
    </row>
    <row r="4370" spans="1:9" x14ac:dyDescent="0.25">
      <c r="A4370" s="40" t="s">
        <v>278</v>
      </c>
      <c r="B4370" s="28">
        <v>9110</v>
      </c>
      <c r="C4370" s="28">
        <v>5637916</v>
      </c>
      <c r="D4370" s="28"/>
      <c r="E4370" s="41">
        <v>46139</v>
      </c>
      <c r="F4370" s="47">
        <v>0.38871527777777776</v>
      </c>
      <c r="G4370" s="44">
        <v>6.3</v>
      </c>
      <c r="H4370" s="43" t="s">
        <v>237</v>
      </c>
      <c r="I4370" s="40" t="s">
        <v>1281</v>
      </c>
    </row>
    <row r="4371" spans="1:9" x14ac:dyDescent="0.25">
      <c r="A4371" s="40" t="s">
        <v>278</v>
      </c>
      <c r="B4371" s="28">
        <v>9110</v>
      </c>
      <c r="C4371" s="28">
        <v>5637916</v>
      </c>
      <c r="D4371" s="28"/>
      <c r="E4371" s="41">
        <v>46139</v>
      </c>
      <c r="F4371" s="47">
        <v>0.40237268518518521</v>
      </c>
      <c r="G4371" s="42">
        <v>6.3</v>
      </c>
      <c r="H4371" s="40" t="s">
        <v>234</v>
      </c>
      <c r="I4371" s="40" t="s">
        <v>1281</v>
      </c>
    </row>
    <row r="4372" spans="1:9" x14ac:dyDescent="0.25">
      <c r="A4372" s="40" t="s">
        <v>278</v>
      </c>
      <c r="B4372" s="28">
        <v>9110</v>
      </c>
      <c r="C4372" s="28" t="s">
        <v>1199</v>
      </c>
      <c r="D4372" s="28"/>
      <c r="E4372" s="41">
        <v>46139</v>
      </c>
      <c r="F4372" s="47">
        <v>0.83268518518518519</v>
      </c>
      <c r="G4372" s="42">
        <v>6.3</v>
      </c>
      <c r="H4372" s="40" t="s">
        <v>234</v>
      </c>
      <c r="I4372" s="40" t="s">
        <v>1281</v>
      </c>
    </row>
    <row r="4373" spans="1:9" x14ac:dyDescent="0.25">
      <c r="A4373" s="40" t="s">
        <v>278</v>
      </c>
      <c r="B4373" s="28">
        <v>9110</v>
      </c>
      <c r="C4373" s="28" t="s">
        <v>1200</v>
      </c>
      <c r="D4373" s="28"/>
      <c r="E4373" s="41">
        <v>46140</v>
      </c>
      <c r="F4373" s="47">
        <v>0.26010416666666669</v>
      </c>
      <c r="G4373" s="42">
        <v>6.3</v>
      </c>
      <c r="H4373" s="40" t="s">
        <v>238</v>
      </c>
      <c r="I4373" s="40" t="s">
        <v>1281</v>
      </c>
    </row>
    <row r="4374" spans="1:9" x14ac:dyDescent="0.25">
      <c r="A4374" s="40" t="s">
        <v>278</v>
      </c>
      <c r="B4374" s="28">
        <v>9110</v>
      </c>
      <c r="C4374" s="28" t="s">
        <v>1200</v>
      </c>
      <c r="D4374" s="28"/>
      <c r="E4374" s="45">
        <v>46140</v>
      </c>
      <c r="F4374" s="48">
        <v>0.2646296296296296</v>
      </c>
      <c r="G4374" s="42">
        <v>6.3</v>
      </c>
      <c r="H4374" s="40" t="s">
        <v>234</v>
      </c>
      <c r="I4374" s="40" t="s">
        <v>1281</v>
      </c>
    </row>
    <row r="4375" spans="1:9" x14ac:dyDescent="0.25">
      <c r="A4375" s="40" t="s">
        <v>278</v>
      </c>
      <c r="B4375" s="28">
        <v>9110</v>
      </c>
      <c r="C4375" s="28" t="s">
        <v>35</v>
      </c>
      <c r="D4375" s="28" t="s">
        <v>38</v>
      </c>
      <c r="E4375" s="45">
        <v>46140</v>
      </c>
      <c r="F4375" s="48">
        <v>0.82807870370370373</v>
      </c>
      <c r="G4375" s="44">
        <v>6.3</v>
      </c>
      <c r="H4375" s="43" t="s">
        <v>233</v>
      </c>
      <c r="I4375" s="40" t="s">
        <v>1281</v>
      </c>
    </row>
    <row r="4376" spans="1:9" x14ac:dyDescent="0.25">
      <c r="A4376" s="40" t="s">
        <v>278</v>
      </c>
      <c r="B4376" s="28">
        <v>9110</v>
      </c>
      <c r="C4376" s="28" t="s">
        <v>35</v>
      </c>
      <c r="D4376" s="28" t="s">
        <v>38</v>
      </c>
      <c r="E4376" s="45">
        <v>46140</v>
      </c>
      <c r="F4376" s="48">
        <v>0.85078703703703706</v>
      </c>
      <c r="G4376" s="44">
        <v>6.3</v>
      </c>
      <c r="H4376" s="43" t="s">
        <v>234</v>
      </c>
      <c r="I4376" s="40" t="s">
        <v>1281</v>
      </c>
    </row>
    <row r="4377" spans="1:9" x14ac:dyDescent="0.25">
      <c r="A4377" s="40" t="s">
        <v>278</v>
      </c>
      <c r="B4377" s="28">
        <v>9110</v>
      </c>
      <c r="C4377" s="28" t="s">
        <v>1201</v>
      </c>
      <c r="D4377" s="28"/>
      <c r="E4377" s="41">
        <v>46141</v>
      </c>
      <c r="F4377" s="47">
        <v>0.60637731481481483</v>
      </c>
      <c r="G4377" s="44">
        <v>6.3</v>
      </c>
      <c r="H4377" s="43" t="s">
        <v>235</v>
      </c>
      <c r="I4377" s="40" t="s">
        <v>1281</v>
      </c>
    </row>
    <row r="4378" spans="1:9" x14ac:dyDescent="0.25">
      <c r="A4378" s="40" t="s">
        <v>278</v>
      </c>
      <c r="B4378" s="28">
        <v>9110</v>
      </c>
      <c r="C4378" s="28" t="s">
        <v>1201</v>
      </c>
      <c r="D4378" s="28"/>
      <c r="E4378" s="41">
        <v>46141</v>
      </c>
      <c r="F4378" s="47">
        <v>0.61739583333333337</v>
      </c>
      <c r="G4378" s="44">
        <v>6.3</v>
      </c>
      <c r="H4378" s="43" t="s">
        <v>236</v>
      </c>
      <c r="I4378" s="40" t="s">
        <v>1281</v>
      </c>
    </row>
    <row r="4379" spans="1:9" x14ac:dyDescent="0.25">
      <c r="A4379" s="40" t="s">
        <v>278</v>
      </c>
      <c r="B4379" s="28">
        <v>9110</v>
      </c>
      <c r="C4379" s="28" t="s">
        <v>35</v>
      </c>
      <c r="D4379" s="28" t="s">
        <v>38</v>
      </c>
      <c r="E4379" s="41">
        <v>46141</v>
      </c>
      <c r="F4379" s="47">
        <v>0.86866898148148153</v>
      </c>
      <c r="G4379" s="44">
        <v>6.3</v>
      </c>
      <c r="H4379" s="43" t="s">
        <v>234</v>
      </c>
      <c r="I4379" s="40" t="s">
        <v>1281</v>
      </c>
    </row>
    <row r="4380" spans="1:9" x14ac:dyDescent="0.25">
      <c r="A4380" s="40" t="s">
        <v>278</v>
      </c>
      <c r="B4380" s="28">
        <v>9110</v>
      </c>
      <c r="C4380" s="28">
        <v>5643978</v>
      </c>
      <c r="D4380" s="28"/>
      <c r="E4380" s="41">
        <v>46142</v>
      </c>
      <c r="F4380" s="47">
        <v>2.3356481481481482E-2</v>
      </c>
      <c r="G4380" s="44">
        <v>6.3</v>
      </c>
      <c r="H4380" s="43" t="s">
        <v>237</v>
      </c>
      <c r="I4380" s="40" t="s">
        <v>1281</v>
      </c>
    </row>
    <row r="4381" spans="1:9" x14ac:dyDescent="0.25">
      <c r="A4381" s="40" t="s">
        <v>278</v>
      </c>
      <c r="B4381" s="28">
        <v>9110</v>
      </c>
      <c r="C4381" s="28" t="s">
        <v>1202</v>
      </c>
      <c r="D4381" s="28"/>
      <c r="E4381" s="45">
        <v>46142</v>
      </c>
      <c r="F4381" s="48">
        <v>0.40793981481481484</v>
      </c>
      <c r="G4381" s="44">
        <v>6.3</v>
      </c>
      <c r="H4381" s="43" t="s">
        <v>233</v>
      </c>
      <c r="I4381" s="40" t="s">
        <v>1281</v>
      </c>
    </row>
    <row r="4382" spans="1:9" x14ac:dyDescent="0.25">
      <c r="A4382" s="40" t="s">
        <v>278</v>
      </c>
      <c r="B4382" s="28">
        <v>9110</v>
      </c>
      <c r="C4382" s="28" t="s">
        <v>1202</v>
      </c>
      <c r="D4382" s="28"/>
      <c r="E4382" s="41">
        <v>46142</v>
      </c>
      <c r="F4382" s="47">
        <v>0.41390046296296296</v>
      </c>
      <c r="G4382" s="42">
        <v>6.3</v>
      </c>
      <c r="H4382" s="40" t="s">
        <v>234</v>
      </c>
      <c r="I4382" s="40" t="s">
        <v>1281</v>
      </c>
    </row>
    <row r="4383" spans="1:9" x14ac:dyDescent="0.25">
      <c r="A4383" s="40" t="s">
        <v>278</v>
      </c>
      <c r="B4383" s="28">
        <v>9110</v>
      </c>
      <c r="C4383" s="28">
        <v>5645743</v>
      </c>
      <c r="D4383" s="28"/>
      <c r="E4383" s="41">
        <v>46142</v>
      </c>
      <c r="F4383" s="47">
        <v>0.93259259259259264</v>
      </c>
      <c r="G4383" s="42">
        <v>6.3</v>
      </c>
      <c r="H4383" s="40" t="s">
        <v>235</v>
      </c>
      <c r="I4383" s="40" t="s">
        <v>1282</v>
      </c>
    </row>
    <row r="4384" spans="1:9" x14ac:dyDescent="0.25">
      <c r="A4384" s="40" t="s">
        <v>278</v>
      </c>
      <c r="B4384" s="28">
        <v>9110</v>
      </c>
      <c r="C4384" s="28">
        <v>5645743</v>
      </c>
      <c r="D4384" s="28"/>
      <c r="E4384" s="41">
        <v>46142</v>
      </c>
      <c r="F4384" s="47">
        <v>0.93938657407407411</v>
      </c>
      <c r="G4384" s="42">
        <v>6.3</v>
      </c>
      <c r="H4384" s="40" t="s">
        <v>239</v>
      </c>
      <c r="I4384" s="40" t="s">
        <v>1281</v>
      </c>
    </row>
    <row r="4385" spans="1:9" x14ac:dyDescent="0.25">
      <c r="A4385" s="40" t="s">
        <v>156</v>
      </c>
      <c r="B4385" s="28">
        <v>9112</v>
      </c>
      <c r="C4385" s="28">
        <v>5643479</v>
      </c>
      <c r="D4385" s="28"/>
      <c r="E4385" s="41">
        <v>46141</v>
      </c>
      <c r="F4385" s="47">
        <v>0.91189814814814818</v>
      </c>
      <c r="G4385" s="42">
        <v>6.3</v>
      </c>
      <c r="H4385" s="40" t="s">
        <v>235</v>
      </c>
      <c r="I4385" s="40" t="s">
        <v>1281</v>
      </c>
    </row>
    <row r="4386" spans="1:9" x14ac:dyDescent="0.25">
      <c r="A4386" s="40" t="s">
        <v>156</v>
      </c>
      <c r="B4386" s="28">
        <v>9112</v>
      </c>
      <c r="C4386" s="28">
        <v>5643479</v>
      </c>
      <c r="D4386" s="28"/>
      <c r="E4386" s="41">
        <v>46141</v>
      </c>
      <c r="F4386" s="47">
        <v>0.91908564814814819</v>
      </c>
      <c r="G4386" s="42">
        <v>6.3</v>
      </c>
      <c r="H4386" s="40" t="s">
        <v>236</v>
      </c>
      <c r="I4386" s="40" t="s">
        <v>1281</v>
      </c>
    </row>
    <row r="4387" spans="1:9" x14ac:dyDescent="0.25">
      <c r="A4387" s="40" t="s">
        <v>156</v>
      </c>
      <c r="B4387" s="28">
        <v>9112</v>
      </c>
      <c r="C4387" s="28" t="s">
        <v>35</v>
      </c>
      <c r="D4387" s="28" t="s">
        <v>38</v>
      </c>
      <c r="E4387" s="41">
        <v>46143</v>
      </c>
      <c r="F4387" s="47">
        <v>1.3888888888888889E-3</v>
      </c>
      <c r="G4387" s="44">
        <v>6.3</v>
      </c>
      <c r="H4387" s="43" t="s">
        <v>237</v>
      </c>
      <c r="I4387" s="40" t="s">
        <v>1282</v>
      </c>
    </row>
    <row r="4388" spans="1:9" x14ac:dyDescent="0.25">
      <c r="A4388" s="40" t="s">
        <v>156</v>
      </c>
      <c r="B4388" s="28">
        <v>9112</v>
      </c>
      <c r="C4388" s="28" t="s">
        <v>35</v>
      </c>
      <c r="D4388" s="28" t="s">
        <v>38</v>
      </c>
      <c r="E4388" s="41">
        <v>46143</v>
      </c>
      <c r="F4388" s="47">
        <v>7.1990740740740739E-3</v>
      </c>
      <c r="G4388" s="44">
        <v>6.3</v>
      </c>
      <c r="H4388" s="43" t="s">
        <v>234</v>
      </c>
      <c r="I4388" s="40" t="s">
        <v>1282</v>
      </c>
    </row>
    <row r="4389" spans="1:9" x14ac:dyDescent="0.25">
      <c r="A4389" s="40" t="s">
        <v>156</v>
      </c>
      <c r="B4389" s="28">
        <v>9112</v>
      </c>
      <c r="C4389" s="28">
        <v>5647101</v>
      </c>
      <c r="D4389" s="28"/>
      <c r="E4389" s="41">
        <v>46144</v>
      </c>
      <c r="F4389" s="47">
        <v>2.3657407407407408E-2</v>
      </c>
      <c r="G4389" s="44">
        <v>6.3</v>
      </c>
      <c r="H4389" s="43" t="s">
        <v>237</v>
      </c>
      <c r="I4389" s="40" t="s">
        <v>1282</v>
      </c>
    </row>
    <row r="4390" spans="1:9" x14ac:dyDescent="0.25">
      <c r="A4390" s="40" t="s">
        <v>156</v>
      </c>
      <c r="B4390" s="28">
        <v>9112</v>
      </c>
      <c r="C4390" s="28">
        <v>5647101</v>
      </c>
      <c r="D4390" s="28"/>
      <c r="E4390" s="41">
        <v>46144</v>
      </c>
      <c r="F4390" s="47">
        <v>2.8437500000000001E-2</v>
      </c>
      <c r="G4390" s="44">
        <v>6.3</v>
      </c>
      <c r="H4390" s="43" t="s">
        <v>234</v>
      </c>
      <c r="I4390" s="40" t="s">
        <v>1282</v>
      </c>
    </row>
    <row r="4391" spans="1:9" x14ac:dyDescent="0.25">
      <c r="A4391" s="40" t="s">
        <v>156</v>
      </c>
      <c r="B4391" s="28">
        <v>9112</v>
      </c>
      <c r="C4391" s="28">
        <v>5647152</v>
      </c>
      <c r="D4391" s="28"/>
      <c r="E4391" s="45">
        <v>46144</v>
      </c>
      <c r="F4391" s="48">
        <v>6.056712962962963E-2</v>
      </c>
      <c r="G4391" s="44">
        <v>6.3</v>
      </c>
      <c r="H4391" s="43" t="s">
        <v>235</v>
      </c>
      <c r="I4391" s="40" t="s">
        <v>1282</v>
      </c>
    </row>
    <row r="4392" spans="1:9" x14ac:dyDescent="0.25">
      <c r="A4392" s="40" t="s">
        <v>156</v>
      </c>
      <c r="B4392" s="28">
        <v>9112</v>
      </c>
      <c r="C4392" s="28">
        <v>5647152</v>
      </c>
      <c r="D4392" s="28"/>
      <c r="E4392" s="41">
        <v>46144</v>
      </c>
      <c r="F4392" s="47">
        <v>6.7037037037037034E-2</v>
      </c>
      <c r="G4392" s="44">
        <v>6.3</v>
      </c>
      <c r="H4392" s="43" t="s">
        <v>236</v>
      </c>
      <c r="I4392" s="40" t="s">
        <v>1282</v>
      </c>
    </row>
    <row r="4393" spans="1:9" x14ac:dyDescent="0.25">
      <c r="A4393" s="40" t="s">
        <v>310</v>
      </c>
      <c r="B4393" s="28">
        <v>9120</v>
      </c>
      <c r="C4393" s="28" t="s">
        <v>35</v>
      </c>
      <c r="D4393" s="28" t="s">
        <v>38</v>
      </c>
      <c r="E4393" s="41">
        <v>46141</v>
      </c>
      <c r="F4393" s="47">
        <v>0.16002314814814814</v>
      </c>
      <c r="G4393" s="42">
        <v>6.3</v>
      </c>
      <c r="H4393" s="40" t="s">
        <v>238</v>
      </c>
      <c r="I4393" s="40" t="s">
        <v>1281</v>
      </c>
    </row>
    <row r="4394" spans="1:9" x14ac:dyDescent="0.25">
      <c r="A4394" s="40" t="s">
        <v>310</v>
      </c>
      <c r="B4394" s="28">
        <v>9120</v>
      </c>
      <c r="C4394" s="28" t="s">
        <v>35</v>
      </c>
      <c r="D4394" s="28" t="s">
        <v>38</v>
      </c>
      <c r="E4394" s="41">
        <v>46141</v>
      </c>
      <c r="F4394" s="47">
        <v>0.16430555555555557</v>
      </c>
      <c r="G4394" s="42">
        <v>6.3</v>
      </c>
      <c r="H4394" s="40" t="s">
        <v>234</v>
      </c>
      <c r="I4394" s="40" t="s">
        <v>1281</v>
      </c>
    </row>
    <row r="4395" spans="1:9" x14ac:dyDescent="0.25">
      <c r="A4395" s="40" t="s">
        <v>310</v>
      </c>
      <c r="B4395" s="28">
        <v>9120</v>
      </c>
      <c r="C4395" s="28" t="s">
        <v>35</v>
      </c>
      <c r="D4395" s="28" t="s">
        <v>38</v>
      </c>
      <c r="E4395" s="41">
        <v>46141</v>
      </c>
      <c r="F4395" s="47">
        <v>0.76697916666666666</v>
      </c>
      <c r="G4395" s="42">
        <v>6.3</v>
      </c>
      <c r="H4395" s="40" t="s">
        <v>237</v>
      </c>
      <c r="I4395" s="40" t="s">
        <v>1281</v>
      </c>
    </row>
    <row r="4396" spans="1:9" x14ac:dyDescent="0.25">
      <c r="A4396" s="40" t="s">
        <v>310</v>
      </c>
      <c r="B4396" s="28">
        <v>9120</v>
      </c>
      <c r="C4396" s="28" t="s">
        <v>35</v>
      </c>
      <c r="D4396" s="28" t="s">
        <v>38</v>
      </c>
      <c r="E4396" s="41">
        <v>46141</v>
      </c>
      <c r="F4396" s="47">
        <v>0.78733796296296299</v>
      </c>
      <c r="G4396" s="42">
        <v>6.3</v>
      </c>
      <c r="H4396" s="40" t="s">
        <v>234</v>
      </c>
      <c r="I4396" s="40" t="s">
        <v>1281</v>
      </c>
    </row>
    <row r="4397" spans="1:9" x14ac:dyDescent="0.25">
      <c r="A4397" s="40" t="s">
        <v>310</v>
      </c>
      <c r="B4397" s="28">
        <v>9120</v>
      </c>
      <c r="C4397" s="28">
        <v>5643365</v>
      </c>
      <c r="D4397" s="28"/>
      <c r="E4397" s="41">
        <v>46141</v>
      </c>
      <c r="F4397" s="47">
        <v>0.91039351851851846</v>
      </c>
      <c r="G4397" s="44">
        <v>6.3</v>
      </c>
      <c r="H4397" s="43" t="s">
        <v>235</v>
      </c>
      <c r="I4397" s="40" t="s">
        <v>1281</v>
      </c>
    </row>
    <row r="4398" spans="1:9" x14ac:dyDescent="0.25">
      <c r="A4398" s="40" t="s">
        <v>310</v>
      </c>
      <c r="B4398" s="28">
        <v>9120</v>
      </c>
      <c r="C4398" s="28">
        <v>5643365</v>
      </c>
      <c r="D4398" s="28"/>
      <c r="E4398" s="41">
        <v>46141</v>
      </c>
      <c r="F4398" s="47">
        <v>0.91746527777777775</v>
      </c>
      <c r="G4398" s="44">
        <v>6.3</v>
      </c>
      <c r="H4398" s="43" t="s">
        <v>236</v>
      </c>
      <c r="I4398" s="40" t="s">
        <v>1281</v>
      </c>
    </row>
    <row r="4399" spans="1:9" x14ac:dyDescent="0.25">
      <c r="A4399" s="40" t="s">
        <v>310</v>
      </c>
      <c r="B4399" s="28">
        <v>9120</v>
      </c>
      <c r="C4399" s="28">
        <v>5646847</v>
      </c>
      <c r="D4399" s="28" t="s">
        <v>37</v>
      </c>
      <c r="E4399" s="41">
        <v>46143</v>
      </c>
      <c r="F4399" s="47">
        <v>0.80431712962962965</v>
      </c>
      <c r="G4399" s="44">
        <v>6.3</v>
      </c>
      <c r="H4399" s="43" t="s">
        <v>234</v>
      </c>
      <c r="I4399" s="40" t="s">
        <v>1282</v>
      </c>
    </row>
    <row r="4400" spans="1:9" x14ac:dyDescent="0.25">
      <c r="A4400" s="40" t="s">
        <v>152</v>
      </c>
      <c r="B4400" s="28">
        <v>9132</v>
      </c>
      <c r="C4400" s="28" t="s">
        <v>1203</v>
      </c>
      <c r="D4400" s="28"/>
      <c r="E4400" s="41">
        <v>46140</v>
      </c>
      <c r="F4400" s="47">
        <v>0.93767361111111114</v>
      </c>
      <c r="G4400" s="44">
        <v>6.3</v>
      </c>
      <c r="H4400" s="43" t="s">
        <v>235</v>
      </c>
      <c r="I4400" s="40" t="s">
        <v>1281</v>
      </c>
    </row>
    <row r="4401" spans="1:9" x14ac:dyDescent="0.25">
      <c r="A4401" s="40" t="s">
        <v>152</v>
      </c>
      <c r="B4401" s="28">
        <v>9132</v>
      </c>
      <c r="C4401" s="28" t="s">
        <v>1203</v>
      </c>
      <c r="D4401" s="28"/>
      <c r="E4401" s="41">
        <v>46140</v>
      </c>
      <c r="F4401" s="47">
        <v>0.94506944444444441</v>
      </c>
      <c r="G4401" s="44">
        <v>6.3</v>
      </c>
      <c r="H4401" s="43" t="s">
        <v>236</v>
      </c>
      <c r="I4401" s="40" t="s">
        <v>1281</v>
      </c>
    </row>
    <row r="4402" spans="1:9" x14ac:dyDescent="0.25">
      <c r="A4402" s="40" t="s">
        <v>152</v>
      </c>
      <c r="B4402" s="28">
        <v>9132</v>
      </c>
      <c r="C4402" s="28" t="s">
        <v>35</v>
      </c>
      <c r="D4402" s="28" t="s">
        <v>38</v>
      </c>
      <c r="E4402" s="41">
        <v>46140</v>
      </c>
      <c r="F4402" s="47">
        <v>0.95903935185185185</v>
      </c>
      <c r="G4402" s="44">
        <v>6.3</v>
      </c>
      <c r="H4402" s="43" t="s">
        <v>237</v>
      </c>
      <c r="I4402" s="40" t="s">
        <v>1281</v>
      </c>
    </row>
    <row r="4403" spans="1:9" x14ac:dyDescent="0.25">
      <c r="A4403" s="40" t="s">
        <v>152</v>
      </c>
      <c r="B4403" s="28">
        <v>9132</v>
      </c>
      <c r="C4403" s="28" t="s">
        <v>35</v>
      </c>
      <c r="D4403" s="28" t="s">
        <v>38</v>
      </c>
      <c r="E4403" s="41">
        <v>46140</v>
      </c>
      <c r="F4403" s="47">
        <v>0.96483796296296298</v>
      </c>
      <c r="G4403" s="44">
        <v>6.3</v>
      </c>
      <c r="H4403" s="43" t="s">
        <v>234</v>
      </c>
      <c r="I4403" s="40" t="s">
        <v>1281</v>
      </c>
    </row>
    <row r="4404" spans="1:9" x14ac:dyDescent="0.25">
      <c r="A4404" s="40" t="s">
        <v>152</v>
      </c>
      <c r="B4404" s="28">
        <v>9132</v>
      </c>
      <c r="C4404" s="28" t="s">
        <v>35</v>
      </c>
      <c r="D4404" s="28" t="s">
        <v>38</v>
      </c>
      <c r="E4404" s="41">
        <v>46141</v>
      </c>
      <c r="F4404" s="47">
        <v>0.84127314814814813</v>
      </c>
      <c r="G4404" s="44">
        <v>6.3</v>
      </c>
      <c r="H4404" s="43" t="s">
        <v>237</v>
      </c>
      <c r="I4404" s="40" t="s">
        <v>1281</v>
      </c>
    </row>
    <row r="4405" spans="1:9" x14ac:dyDescent="0.25">
      <c r="A4405" s="40" t="s">
        <v>152</v>
      </c>
      <c r="B4405" s="28">
        <v>9132</v>
      </c>
      <c r="C4405" s="28" t="s">
        <v>1204</v>
      </c>
      <c r="D4405" s="28"/>
      <c r="E4405" s="41">
        <v>46143</v>
      </c>
      <c r="F4405" s="47">
        <v>0.98637731481481483</v>
      </c>
      <c r="G4405" s="44">
        <v>6.3</v>
      </c>
      <c r="H4405" s="43" t="s">
        <v>235</v>
      </c>
      <c r="I4405" s="40" t="s">
        <v>1282</v>
      </c>
    </row>
    <row r="4406" spans="1:9" x14ac:dyDescent="0.25">
      <c r="A4406" s="40" t="s">
        <v>152</v>
      </c>
      <c r="B4406" s="28">
        <v>9132</v>
      </c>
      <c r="C4406" s="28" t="s">
        <v>1204</v>
      </c>
      <c r="D4406" s="28"/>
      <c r="E4406" s="41">
        <v>46143</v>
      </c>
      <c r="F4406" s="47">
        <v>0.9955208333333333</v>
      </c>
      <c r="G4406" s="44">
        <v>6.3</v>
      </c>
      <c r="H4406" s="43" t="s">
        <v>236</v>
      </c>
      <c r="I4406" s="40" t="s">
        <v>1282</v>
      </c>
    </row>
    <row r="4407" spans="1:9" x14ac:dyDescent="0.25">
      <c r="A4407" s="40" t="s">
        <v>152</v>
      </c>
      <c r="B4407" s="28">
        <v>9132</v>
      </c>
      <c r="C4407" s="28" t="s">
        <v>35</v>
      </c>
      <c r="D4407" s="28" t="s">
        <v>38</v>
      </c>
      <c r="E4407" s="41">
        <v>46144</v>
      </c>
      <c r="F4407" s="47">
        <v>1.5034722222222222E-2</v>
      </c>
      <c r="G4407" s="44">
        <v>6.3</v>
      </c>
      <c r="H4407" s="43" t="s">
        <v>237</v>
      </c>
      <c r="I4407" s="40" t="s">
        <v>1282</v>
      </c>
    </row>
    <row r="4408" spans="1:9" x14ac:dyDescent="0.25">
      <c r="A4408" s="40" t="s">
        <v>152</v>
      </c>
      <c r="B4408" s="28">
        <v>9132</v>
      </c>
      <c r="C4408" s="28" t="s">
        <v>1205</v>
      </c>
      <c r="D4408" s="28"/>
      <c r="E4408" s="41">
        <v>46144</v>
      </c>
      <c r="F4408" s="47">
        <v>8.2129629629629636E-2</v>
      </c>
      <c r="G4408" s="44">
        <v>6.3</v>
      </c>
      <c r="H4408" s="43" t="s">
        <v>235</v>
      </c>
      <c r="I4408" s="40" t="s">
        <v>1282</v>
      </c>
    </row>
    <row r="4409" spans="1:9" x14ac:dyDescent="0.25">
      <c r="A4409" s="40" t="s">
        <v>152</v>
      </c>
      <c r="B4409" s="28">
        <v>9132</v>
      </c>
      <c r="C4409" s="28" t="s">
        <v>1205</v>
      </c>
      <c r="D4409" s="28"/>
      <c r="E4409" s="41">
        <v>46144</v>
      </c>
      <c r="F4409" s="47">
        <v>9.0347222222222218E-2</v>
      </c>
      <c r="G4409" s="44">
        <v>6.3</v>
      </c>
      <c r="H4409" s="43" t="s">
        <v>236</v>
      </c>
      <c r="I4409" s="40" t="s">
        <v>1282</v>
      </c>
    </row>
    <row r="4410" spans="1:9" x14ac:dyDescent="0.25">
      <c r="A4410" s="40" t="s">
        <v>152</v>
      </c>
      <c r="B4410" s="28">
        <v>9132</v>
      </c>
      <c r="C4410" s="28" t="s">
        <v>1206</v>
      </c>
      <c r="D4410" s="28"/>
      <c r="E4410" s="41">
        <v>46145</v>
      </c>
      <c r="F4410" s="47">
        <v>0.62209490740740736</v>
      </c>
      <c r="G4410" s="44">
        <v>6.3</v>
      </c>
      <c r="H4410" s="43" t="s">
        <v>235</v>
      </c>
      <c r="I4410" s="40" t="s">
        <v>1282</v>
      </c>
    </row>
    <row r="4411" spans="1:9" x14ac:dyDescent="0.25">
      <c r="A4411" s="40" t="s">
        <v>152</v>
      </c>
      <c r="B4411" s="28">
        <v>9132</v>
      </c>
      <c r="C4411" s="28" t="s">
        <v>1206</v>
      </c>
      <c r="D4411" s="28"/>
      <c r="E4411" s="41">
        <v>46145</v>
      </c>
      <c r="F4411" s="47">
        <v>0.62946759259259255</v>
      </c>
      <c r="G4411" s="44">
        <v>6.3</v>
      </c>
      <c r="H4411" s="43" t="s">
        <v>236</v>
      </c>
      <c r="I4411" s="40" t="s">
        <v>1282</v>
      </c>
    </row>
    <row r="4412" spans="1:9" x14ac:dyDescent="0.25">
      <c r="A4412" s="40" t="s">
        <v>152</v>
      </c>
      <c r="B4412" s="28">
        <v>9132</v>
      </c>
      <c r="C4412" s="28" t="s">
        <v>35</v>
      </c>
      <c r="D4412" s="28" t="s">
        <v>38</v>
      </c>
      <c r="E4412" s="41">
        <v>46145</v>
      </c>
      <c r="F4412" s="47">
        <v>0.63967592592592593</v>
      </c>
      <c r="G4412" s="44">
        <v>6.3</v>
      </c>
      <c r="H4412" s="43" t="s">
        <v>237</v>
      </c>
      <c r="I4412" s="40" t="s">
        <v>1282</v>
      </c>
    </row>
    <row r="4413" spans="1:9" x14ac:dyDescent="0.25">
      <c r="A4413" s="40" t="s">
        <v>152</v>
      </c>
      <c r="B4413" s="28">
        <v>9132</v>
      </c>
      <c r="C4413" s="28" t="s">
        <v>35</v>
      </c>
      <c r="D4413" s="28" t="s">
        <v>38</v>
      </c>
      <c r="E4413" s="41">
        <v>46145</v>
      </c>
      <c r="F4413" s="47">
        <v>0.64491898148148152</v>
      </c>
      <c r="G4413" s="44">
        <v>6.3</v>
      </c>
      <c r="H4413" s="43" t="s">
        <v>234</v>
      </c>
      <c r="I4413" s="40" t="s">
        <v>1282</v>
      </c>
    </row>
    <row r="4414" spans="1:9" x14ac:dyDescent="0.25">
      <c r="A4414" s="40" t="s">
        <v>152</v>
      </c>
      <c r="B4414" s="28">
        <v>9132</v>
      </c>
      <c r="C4414" s="28" t="s">
        <v>35</v>
      </c>
      <c r="D4414" s="28" t="s">
        <v>38</v>
      </c>
      <c r="E4414" s="41">
        <v>46145</v>
      </c>
      <c r="F4414" s="47">
        <v>0.67775462962962962</v>
      </c>
      <c r="G4414" s="44">
        <v>6.3</v>
      </c>
      <c r="H4414" s="43" t="s">
        <v>235</v>
      </c>
      <c r="I4414" s="40" t="s">
        <v>1282</v>
      </c>
    </row>
    <row r="4415" spans="1:9" x14ac:dyDescent="0.25">
      <c r="A4415" s="40" t="s">
        <v>152</v>
      </c>
      <c r="B4415" s="28">
        <v>9132</v>
      </c>
      <c r="C4415" s="28" t="s">
        <v>35</v>
      </c>
      <c r="D4415" s="28" t="s">
        <v>38</v>
      </c>
      <c r="E4415" s="41">
        <v>46145</v>
      </c>
      <c r="F4415" s="47">
        <v>0.6887268518518519</v>
      </c>
      <c r="G4415" s="44">
        <v>6.3</v>
      </c>
      <c r="H4415" s="43" t="s">
        <v>236</v>
      </c>
      <c r="I4415" s="40" t="s">
        <v>1282</v>
      </c>
    </row>
    <row r="4416" spans="1:9" x14ac:dyDescent="0.25">
      <c r="A4416" s="40" t="s">
        <v>152</v>
      </c>
      <c r="B4416" s="28">
        <v>9132</v>
      </c>
      <c r="C4416" s="28" t="s">
        <v>35</v>
      </c>
      <c r="D4416" s="28" t="s">
        <v>38</v>
      </c>
      <c r="E4416" s="41">
        <v>46145</v>
      </c>
      <c r="F4416" s="47">
        <v>0.69982638888888893</v>
      </c>
      <c r="G4416" s="44">
        <v>6.3</v>
      </c>
      <c r="H4416" s="43" t="s">
        <v>237</v>
      </c>
      <c r="I4416" s="40" t="s">
        <v>1282</v>
      </c>
    </row>
    <row r="4417" spans="1:9" x14ac:dyDescent="0.25">
      <c r="A4417" s="40" t="s">
        <v>152</v>
      </c>
      <c r="B4417" s="28">
        <v>9132</v>
      </c>
      <c r="C4417" s="28" t="s">
        <v>1207</v>
      </c>
      <c r="D4417" s="28"/>
      <c r="E4417" s="41">
        <v>46145</v>
      </c>
      <c r="F4417" s="47">
        <v>0.74937500000000001</v>
      </c>
      <c r="G4417" s="44">
        <v>6.3</v>
      </c>
      <c r="H4417" s="43" t="s">
        <v>235</v>
      </c>
      <c r="I4417" s="40" t="s">
        <v>1282</v>
      </c>
    </row>
    <row r="4418" spans="1:9" x14ac:dyDescent="0.25">
      <c r="A4418" s="40" t="s">
        <v>152</v>
      </c>
      <c r="B4418" s="28">
        <v>9132</v>
      </c>
      <c r="C4418" s="28" t="s">
        <v>1207</v>
      </c>
      <c r="D4418" s="28"/>
      <c r="E4418" s="41">
        <v>46145</v>
      </c>
      <c r="F4418" s="47">
        <v>0.75679398148148147</v>
      </c>
      <c r="G4418" s="44">
        <v>6.3</v>
      </c>
      <c r="H4418" s="43" t="s">
        <v>236</v>
      </c>
      <c r="I4418" s="40" t="s">
        <v>1282</v>
      </c>
    </row>
    <row r="4419" spans="1:9" x14ac:dyDescent="0.25">
      <c r="A4419" s="40" t="s">
        <v>151</v>
      </c>
      <c r="B4419" s="28">
        <v>9134</v>
      </c>
      <c r="C4419" s="28" t="s">
        <v>1208</v>
      </c>
      <c r="D4419" s="28"/>
      <c r="E4419" s="41">
        <v>46140</v>
      </c>
      <c r="F4419" s="47">
        <v>0.76728009259259256</v>
      </c>
      <c r="G4419" s="42">
        <v>6.3</v>
      </c>
      <c r="H4419" s="40" t="s">
        <v>235</v>
      </c>
      <c r="I4419" s="40" t="s">
        <v>1281</v>
      </c>
    </row>
    <row r="4420" spans="1:9" x14ac:dyDescent="0.25">
      <c r="A4420" s="40" t="s">
        <v>151</v>
      </c>
      <c r="B4420" s="28">
        <v>9134</v>
      </c>
      <c r="C4420" s="28" t="s">
        <v>1208</v>
      </c>
      <c r="D4420" s="28"/>
      <c r="E4420" s="41">
        <v>46140</v>
      </c>
      <c r="F4420" s="47">
        <v>0.78015046296296298</v>
      </c>
      <c r="G4420" s="42">
        <v>6.3</v>
      </c>
      <c r="H4420" s="40" t="s">
        <v>236</v>
      </c>
      <c r="I4420" s="40" t="s">
        <v>1281</v>
      </c>
    </row>
    <row r="4421" spans="1:9" x14ac:dyDescent="0.25">
      <c r="A4421" s="40" t="s">
        <v>151</v>
      </c>
      <c r="B4421" s="28">
        <v>9134</v>
      </c>
      <c r="C4421" s="28">
        <v>5642321</v>
      </c>
      <c r="D4421" s="28"/>
      <c r="E4421" s="41">
        <v>46141</v>
      </c>
      <c r="F4421" s="47">
        <v>0.48855324074074075</v>
      </c>
      <c r="G4421" s="42">
        <v>6.3</v>
      </c>
      <c r="H4421" s="40" t="s">
        <v>235</v>
      </c>
      <c r="I4421" s="40" t="s">
        <v>1281</v>
      </c>
    </row>
    <row r="4422" spans="1:9" x14ac:dyDescent="0.25">
      <c r="A4422" s="40" t="s">
        <v>151</v>
      </c>
      <c r="B4422" s="28">
        <v>9134</v>
      </c>
      <c r="C4422" s="28">
        <v>5642321</v>
      </c>
      <c r="D4422" s="28"/>
      <c r="E4422" s="41">
        <v>46141</v>
      </c>
      <c r="F4422" s="47">
        <v>0.4987847222222222</v>
      </c>
      <c r="G4422" s="42">
        <v>6.3</v>
      </c>
      <c r="H4422" s="40" t="s">
        <v>236</v>
      </c>
      <c r="I4422" s="40" t="s">
        <v>1281</v>
      </c>
    </row>
    <row r="4423" spans="1:9" x14ac:dyDescent="0.25">
      <c r="A4423" s="40" t="s">
        <v>151</v>
      </c>
      <c r="B4423" s="28">
        <v>9134</v>
      </c>
      <c r="C4423" s="28" t="s">
        <v>35</v>
      </c>
      <c r="D4423" s="28" t="s">
        <v>38</v>
      </c>
      <c r="E4423" s="41">
        <v>46141</v>
      </c>
      <c r="F4423" s="47">
        <v>0.54592592592592593</v>
      </c>
      <c r="G4423" s="44">
        <v>6.3</v>
      </c>
      <c r="H4423" s="43" t="s">
        <v>233</v>
      </c>
      <c r="I4423" s="40" t="s">
        <v>1281</v>
      </c>
    </row>
    <row r="4424" spans="1:9" x14ac:dyDescent="0.25">
      <c r="A4424" s="40" t="s">
        <v>151</v>
      </c>
      <c r="B4424" s="28">
        <v>9134</v>
      </c>
      <c r="C4424" s="28" t="s">
        <v>35</v>
      </c>
      <c r="D4424" s="28" t="s">
        <v>38</v>
      </c>
      <c r="E4424" s="41">
        <v>46141</v>
      </c>
      <c r="F4424" s="47">
        <v>0.56167824074074069</v>
      </c>
      <c r="G4424" s="44">
        <v>6.3</v>
      </c>
      <c r="H4424" s="43" t="s">
        <v>234</v>
      </c>
      <c r="I4424" s="40" t="s">
        <v>1281</v>
      </c>
    </row>
    <row r="4425" spans="1:9" x14ac:dyDescent="0.25">
      <c r="A4425" s="40" t="s">
        <v>151</v>
      </c>
      <c r="B4425" s="28">
        <v>9134</v>
      </c>
      <c r="C4425" s="28">
        <v>5644131</v>
      </c>
      <c r="D4425" s="28"/>
      <c r="E4425" s="41">
        <v>46142</v>
      </c>
      <c r="F4425" s="47">
        <v>0.28946759259259258</v>
      </c>
      <c r="G4425" s="44">
        <v>6.3</v>
      </c>
      <c r="H4425" s="43" t="s">
        <v>236</v>
      </c>
      <c r="I4425" s="40" t="s">
        <v>1281</v>
      </c>
    </row>
    <row r="4426" spans="1:9" x14ac:dyDescent="0.25">
      <c r="A4426" s="40" t="s">
        <v>151</v>
      </c>
      <c r="B4426" s="28">
        <v>9134</v>
      </c>
      <c r="C4426" s="28">
        <v>5644185</v>
      </c>
      <c r="D4426" s="28" t="s">
        <v>37</v>
      </c>
      <c r="E4426" s="41">
        <v>46142</v>
      </c>
      <c r="F4426" s="47">
        <v>0.35771990740740739</v>
      </c>
      <c r="G4426" s="44">
        <v>6.3</v>
      </c>
      <c r="H4426" s="43" t="s">
        <v>237</v>
      </c>
      <c r="I4426" s="40" t="s">
        <v>1281</v>
      </c>
    </row>
    <row r="4427" spans="1:9" x14ac:dyDescent="0.25">
      <c r="A4427" s="40" t="s">
        <v>151</v>
      </c>
      <c r="B4427" s="28">
        <v>9134</v>
      </c>
      <c r="C4427" s="28">
        <v>5644185</v>
      </c>
      <c r="D4427" s="28" t="s">
        <v>37</v>
      </c>
      <c r="E4427" s="41">
        <v>46142</v>
      </c>
      <c r="F4427" s="47">
        <v>0.36636574074074074</v>
      </c>
      <c r="G4427" s="44">
        <v>6.3</v>
      </c>
      <c r="H4427" s="43" t="s">
        <v>234</v>
      </c>
      <c r="I4427" s="40" t="s">
        <v>1281</v>
      </c>
    </row>
    <row r="4428" spans="1:9" x14ac:dyDescent="0.25">
      <c r="A4428" s="40" t="s">
        <v>151</v>
      </c>
      <c r="B4428" s="28">
        <v>9134</v>
      </c>
      <c r="C4428" s="28" t="s">
        <v>1209</v>
      </c>
      <c r="D4428" s="28"/>
      <c r="E4428" s="41">
        <v>46142</v>
      </c>
      <c r="F4428" s="47">
        <v>0.43542824074074077</v>
      </c>
      <c r="G4428" s="44">
        <v>6.3</v>
      </c>
      <c r="H4428" s="43" t="s">
        <v>235</v>
      </c>
      <c r="I4428" s="40" t="s">
        <v>1281</v>
      </c>
    </row>
    <row r="4429" spans="1:9" x14ac:dyDescent="0.25">
      <c r="A4429" s="40" t="s">
        <v>151</v>
      </c>
      <c r="B4429" s="28">
        <v>9134</v>
      </c>
      <c r="C4429" s="28" t="s">
        <v>1209</v>
      </c>
      <c r="D4429" s="28"/>
      <c r="E4429" s="41">
        <v>46142</v>
      </c>
      <c r="F4429" s="47">
        <v>0.45287037037037037</v>
      </c>
      <c r="G4429" s="44">
        <v>6.3</v>
      </c>
      <c r="H4429" s="43" t="s">
        <v>239</v>
      </c>
      <c r="I4429" s="40" t="s">
        <v>1281</v>
      </c>
    </row>
    <row r="4430" spans="1:9" x14ac:dyDescent="0.25">
      <c r="A4430" s="40" t="s">
        <v>151</v>
      </c>
      <c r="B4430" s="28">
        <v>9134</v>
      </c>
      <c r="C4430" s="28">
        <v>5646733</v>
      </c>
      <c r="D4430" s="28"/>
      <c r="E4430" s="41">
        <v>46143</v>
      </c>
      <c r="F4430" s="47">
        <v>0.84146990740740746</v>
      </c>
      <c r="G4430" s="44">
        <v>6.3</v>
      </c>
      <c r="H4430" s="43" t="s">
        <v>235</v>
      </c>
      <c r="I4430" s="40" t="s">
        <v>1282</v>
      </c>
    </row>
    <row r="4431" spans="1:9" x14ac:dyDescent="0.25">
      <c r="A4431" s="40" t="s">
        <v>151</v>
      </c>
      <c r="B4431" s="28">
        <v>9134</v>
      </c>
      <c r="C4431" s="28">
        <v>5646733</v>
      </c>
      <c r="D4431" s="28"/>
      <c r="E4431" s="41">
        <v>46143</v>
      </c>
      <c r="F4431" s="47">
        <v>0.84918981481481481</v>
      </c>
      <c r="G4431" s="44">
        <v>6.3</v>
      </c>
      <c r="H4431" s="43" t="s">
        <v>236</v>
      </c>
      <c r="I4431" s="40" t="s">
        <v>1282</v>
      </c>
    </row>
    <row r="4432" spans="1:9" x14ac:dyDescent="0.25">
      <c r="A4432" s="40" t="s">
        <v>151</v>
      </c>
      <c r="B4432" s="28">
        <v>9134</v>
      </c>
      <c r="C4432" s="28">
        <v>5647135</v>
      </c>
      <c r="D4432" s="28"/>
      <c r="E4432" s="41">
        <v>46144</v>
      </c>
      <c r="F4432" s="47">
        <v>0.22273148148148147</v>
      </c>
      <c r="G4432" s="44">
        <v>6.3</v>
      </c>
      <c r="H4432" s="43" t="s">
        <v>237</v>
      </c>
      <c r="I4432" s="40" t="s">
        <v>1282</v>
      </c>
    </row>
    <row r="4433" spans="1:9" x14ac:dyDescent="0.25">
      <c r="A4433" s="40" t="s">
        <v>151</v>
      </c>
      <c r="B4433" s="28">
        <v>9134</v>
      </c>
      <c r="C4433" s="28">
        <v>5647135</v>
      </c>
      <c r="D4433" s="28"/>
      <c r="E4433" s="41">
        <v>46144</v>
      </c>
      <c r="F4433" s="47">
        <v>0.22753472222222224</v>
      </c>
      <c r="G4433" s="44">
        <v>6.3</v>
      </c>
      <c r="H4433" s="43" t="s">
        <v>234</v>
      </c>
      <c r="I4433" s="40" t="s">
        <v>1282</v>
      </c>
    </row>
    <row r="4434" spans="1:9" x14ac:dyDescent="0.25">
      <c r="A4434" s="40" t="s">
        <v>151</v>
      </c>
      <c r="B4434" s="28">
        <v>9134</v>
      </c>
      <c r="C4434" s="28">
        <v>5648380</v>
      </c>
      <c r="D4434" s="28"/>
      <c r="E4434" s="41">
        <v>46145</v>
      </c>
      <c r="F4434" s="47">
        <v>0.35929398148148151</v>
      </c>
      <c r="G4434" s="44">
        <v>6.3</v>
      </c>
      <c r="H4434" s="43" t="s">
        <v>235</v>
      </c>
      <c r="I4434" s="40" t="s">
        <v>1282</v>
      </c>
    </row>
    <row r="4435" spans="1:9" x14ac:dyDescent="0.25">
      <c r="A4435" s="40" t="s">
        <v>151</v>
      </c>
      <c r="B4435" s="28">
        <v>9134</v>
      </c>
      <c r="C4435" s="28">
        <v>5648380</v>
      </c>
      <c r="D4435" s="28"/>
      <c r="E4435" s="41">
        <v>46145</v>
      </c>
      <c r="F4435" s="47">
        <v>0.36862268518518521</v>
      </c>
      <c r="G4435" s="44">
        <v>6.3</v>
      </c>
      <c r="H4435" s="43" t="s">
        <v>236</v>
      </c>
      <c r="I4435" s="40" t="s">
        <v>1282</v>
      </c>
    </row>
    <row r="4436" spans="1:9" x14ac:dyDescent="0.25">
      <c r="A4436" s="40" t="s">
        <v>154</v>
      </c>
      <c r="B4436" s="28">
        <v>9152</v>
      </c>
      <c r="C4436" s="28" t="s">
        <v>35</v>
      </c>
      <c r="D4436" s="28" t="s">
        <v>38</v>
      </c>
      <c r="E4436" s="41">
        <v>46140</v>
      </c>
      <c r="F4436" s="47">
        <v>0.24533564814814815</v>
      </c>
      <c r="G4436" s="42">
        <v>6.3</v>
      </c>
      <c r="H4436" s="40" t="s">
        <v>233</v>
      </c>
      <c r="I4436" s="40" t="s">
        <v>1281</v>
      </c>
    </row>
    <row r="4437" spans="1:9" x14ac:dyDescent="0.25">
      <c r="A4437" s="40" t="s">
        <v>154</v>
      </c>
      <c r="B4437" s="28">
        <v>9152</v>
      </c>
      <c r="C4437" s="28" t="s">
        <v>35</v>
      </c>
      <c r="D4437" s="28" t="s">
        <v>38</v>
      </c>
      <c r="E4437" s="41">
        <v>46140</v>
      </c>
      <c r="F4437" s="47">
        <v>0.25083333333333335</v>
      </c>
      <c r="G4437" s="42">
        <v>6.3</v>
      </c>
      <c r="H4437" s="40" t="s">
        <v>234</v>
      </c>
      <c r="I4437" s="40" t="s">
        <v>1281</v>
      </c>
    </row>
    <row r="4438" spans="1:9" x14ac:dyDescent="0.25">
      <c r="A4438" s="40" t="s">
        <v>154</v>
      </c>
      <c r="B4438" s="28">
        <v>9152</v>
      </c>
      <c r="C4438" s="28">
        <v>5640143</v>
      </c>
      <c r="D4438" s="28"/>
      <c r="E4438" s="41">
        <v>46140</v>
      </c>
      <c r="F4438" s="47">
        <v>0.37185185185185188</v>
      </c>
      <c r="G4438" s="42">
        <v>6.3</v>
      </c>
      <c r="H4438" s="40" t="s">
        <v>235</v>
      </c>
      <c r="I4438" s="40" t="s">
        <v>1281</v>
      </c>
    </row>
    <row r="4439" spans="1:9" x14ac:dyDescent="0.25">
      <c r="A4439" s="40" t="s">
        <v>154</v>
      </c>
      <c r="B4439" s="28">
        <v>9152</v>
      </c>
      <c r="C4439" s="28">
        <v>5640143</v>
      </c>
      <c r="D4439" s="28"/>
      <c r="E4439" s="41">
        <v>46140</v>
      </c>
      <c r="F4439" s="47">
        <v>0.39064814814814813</v>
      </c>
      <c r="G4439" s="42">
        <v>6.3</v>
      </c>
      <c r="H4439" s="40" t="s">
        <v>236</v>
      </c>
      <c r="I4439" s="40" t="s">
        <v>1281</v>
      </c>
    </row>
    <row r="4440" spans="1:9" x14ac:dyDescent="0.25">
      <c r="A4440" s="40" t="s">
        <v>154</v>
      </c>
      <c r="B4440" s="28">
        <v>9152</v>
      </c>
      <c r="C4440" s="28">
        <v>5643025</v>
      </c>
      <c r="D4440" s="28"/>
      <c r="E4440" s="41">
        <v>46141</v>
      </c>
      <c r="F4440" s="47">
        <v>0.63263888888888886</v>
      </c>
      <c r="G4440" s="42">
        <v>6.3</v>
      </c>
      <c r="H4440" s="40" t="s">
        <v>237</v>
      </c>
      <c r="I4440" s="40" t="s">
        <v>1281</v>
      </c>
    </row>
    <row r="4441" spans="1:9" x14ac:dyDescent="0.25">
      <c r="A4441" s="40" t="s">
        <v>154</v>
      </c>
      <c r="B4441" s="28">
        <v>9152</v>
      </c>
      <c r="C4441" s="28">
        <v>5643025</v>
      </c>
      <c r="D4441" s="28"/>
      <c r="E4441" s="41">
        <v>46141</v>
      </c>
      <c r="F4441" s="47">
        <v>0.63946759259259256</v>
      </c>
      <c r="G4441" s="42">
        <v>6.3</v>
      </c>
      <c r="H4441" s="40" t="s">
        <v>234</v>
      </c>
      <c r="I4441" s="40" t="s">
        <v>1281</v>
      </c>
    </row>
    <row r="4442" spans="1:9" x14ac:dyDescent="0.25">
      <c r="A4442" s="40" t="s">
        <v>154</v>
      </c>
      <c r="B4442" s="28">
        <v>9152</v>
      </c>
      <c r="C4442" s="28" t="s">
        <v>35</v>
      </c>
      <c r="D4442" s="28" t="s">
        <v>38</v>
      </c>
      <c r="E4442" s="41">
        <v>46141</v>
      </c>
      <c r="F4442" s="47">
        <v>0.70126157407407408</v>
      </c>
      <c r="G4442" s="44">
        <v>6.3</v>
      </c>
      <c r="H4442" s="43" t="s">
        <v>235</v>
      </c>
      <c r="I4442" s="40" t="s">
        <v>1281</v>
      </c>
    </row>
    <row r="4443" spans="1:9" x14ac:dyDescent="0.25">
      <c r="A4443" s="40" t="s">
        <v>146</v>
      </c>
      <c r="B4443" s="28">
        <v>9154</v>
      </c>
      <c r="C4443" s="28" t="s">
        <v>1210</v>
      </c>
      <c r="D4443" s="28"/>
      <c r="E4443" s="41">
        <v>46139</v>
      </c>
      <c r="F4443" s="47">
        <v>0.6214467592592593</v>
      </c>
      <c r="G4443" s="44">
        <v>6.3</v>
      </c>
      <c r="H4443" s="43" t="s">
        <v>235</v>
      </c>
      <c r="I4443" s="40" t="s">
        <v>1281</v>
      </c>
    </row>
    <row r="4444" spans="1:9" x14ac:dyDescent="0.25">
      <c r="A4444" s="40" t="s">
        <v>146</v>
      </c>
      <c r="B4444" s="28">
        <v>9154</v>
      </c>
      <c r="C4444" s="28" t="s">
        <v>1210</v>
      </c>
      <c r="D4444" s="28"/>
      <c r="E4444" s="41">
        <v>46139</v>
      </c>
      <c r="F4444" s="47">
        <v>0.63222222222222224</v>
      </c>
      <c r="G4444" s="44">
        <v>6.3</v>
      </c>
      <c r="H4444" s="43" t="s">
        <v>236</v>
      </c>
      <c r="I4444" s="40" t="s">
        <v>1281</v>
      </c>
    </row>
    <row r="4445" spans="1:9" x14ac:dyDescent="0.25">
      <c r="A4445" s="40" t="s">
        <v>146</v>
      </c>
      <c r="B4445" s="28">
        <v>9154</v>
      </c>
      <c r="C4445" s="28" t="s">
        <v>1211</v>
      </c>
      <c r="D4445" s="28"/>
      <c r="E4445" s="41">
        <v>46140</v>
      </c>
      <c r="F4445" s="47">
        <v>0.63556712962962958</v>
      </c>
      <c r="G4445" s="44">
        <v>6.3</v>
      </c>
      <c r="H4445" s="43" t="s">
        <v>235</v>
      </c>
      <c r="I4445" s="40" t="s">
        <v>1281</v>
      </c>
    </row>
    <row r="4446" spans="1:9" x14ac:dyDescent="0.25">
      <c r="A4446" s="40" t="s">
        <v>146</v>
      </c>
      <c r="B4446" s="28">
        <v>9154</v>
      </c>
      <c r="C4446" s="28" t="s">
        <v>1211</v>
      </c>
      <c r="D4446" s="28"/>
      <c r="E4446" s="41">
        <v>46140</v>
      </c>
      <c r="F4446" s="47">
        <v>0.64405092592592594</v>
      </c>
      <c r="G4446" s="44">
        <v>6.3</v>
      </c>
      <c r="H4446" s="43" t="s">
        <v>236</v>
      </c>
      <c r="I4446" s="40" t="s">
        <v>1281</v>
      </c>
    </row>
    <row r="4447" spans="1:9" x14ac:dyDescent="0.25">
      <c r="A4447" s="40" t="s">
        <v>146</v>
      </c>
      <c r="B4447" s="28">
        <v>9154</v>
      </c>
      <c r="C4447" s="28" t="s">
        <v>1212</v>
      </c>
      <c r="D4447" s="28"/>
      <c r="E4447" s="41">
        <v>46141</v>
      </c>
      <c r="F4447" s="47">
        <v>0.59927083333333331</v>
      </c>
      <c r="G4447" s="44">
        <v>6.3</v>
      </c>
      <c r="H4447" s="43" t="s">
        <v>235</v>
      </c>
      <c r="I4447" s="40" t="s">
        <v>1281</v>
      </c>
    </row>
    <row r="4448" spans="1:9" x14ac:dyDescent="0.25">
      <c r="A4448" s="40" t="s">
        <v>146</v>
      </c>
      <c r="B4448" s="28">
        <v>9154</v>
      </c>
      <c r="C4448" s="28" t="s">
        <v>1212</v>
      </c>
      <c r="D4448" s="28"/>
      <c r="E4448" s="41">
        <v>46141</v>
      </c>
      <c r="F4448" s="47">
        <v>0.61379629629629628</v>
      </c>
      <c r="G4448" s="44">
        <v>6.3</v>
      </c>
      <c r="H4448" s="43" t="s">
        <v>236</v>
      </c>
      <c r="I4448" s="40" t="s">
        <v>1281</v>
      </c>
    </row>
    <row r="4449" spans="1:9" x14ac:dyDescent="0.25">
      <c r="A4449" s="40" t="s">
        <v>146</v>
      </c>
      <c r="B4449" s="28">
        <v>9154</v>
      </c>
      <c r="C4449" s="28">
        <v>5643008</v>
      </c>
      <c r="D4449" s="28"/>
      <c r="E4449" s="41">
        <v>46141</v>
      </c>
      <c r="F4449" s="47">
        <v>0.66318287037037038</v>
      </c>
      <c r="G4449" s="44">
        <v>6.3</v>
      </c>
      <c r="H4449" s="43" t="s">
        <v>237</v>
      </c>
      <c r="I4449" s="40" t="s">
        <v>1281</v>
      </c>
    </row>
    <row r="4450" spans="1:9" x14ac:dyDescent="0.25">
      <c r="A4450" s="40" t="s">
        <v>146</v>
      </c>
      <c r="B4450" s="28">
        <v>9154</v>
      </c>
      <c r="C4450" s="28">
        <v>5643008</v>
      </c>
      <c r="D4450" s="28"/>
      <c r="E4450" s="41">
        <v>46141</v>
      </c>
      <c r="F4450" s="47">
        <v>0.67019675925925926</v>
      </c>
      <c r="G4450" s="44">
        <v>6.3</v>
      </c>
      <c r="H4450" s="43" t="s">
        <v>234</v>
      </c>
      <c r="I4450" s="40" t="s">
        <v>1281</v>
      </c>
    </row>
    <row r="4451" spans="1:9" x14ac:dyDescent="0.25">
      <c r="A4451" s="40" t="s">
        <v>146</v>
      </c>
      <c r="B4451" s="28">
        <v>9154</v>
      </c>
      <c r="C4451" s="28" t="s">
        <v>1213</v>
      </c>
      <c r="D4451" s="28"/>
      <c r="E4451" s="41">
        <v>46141</v>
      </c>
      <c r="F4451" s="47">
        <v>0.8039236111111111</v>
      </c>
      <c r="G4451" s="44">
        <v>6.3</v>
      </c>
      <c r="H4451" s="43" t="s">
        <v>235</v>
      </c>
      <c r="I4451" s="40" t="s">
        <v>1281</v>
      </c>
    </row>
    <row r="4452" spans="1:9" x14ac:dyDescent="0.25">
      <c r="A4452" s="40" t="s">
        <v>146</v>
      </c>
      <c r="B4452" s="28">
        <v>9154</v>
      </c>
      <c r="C4452" s="28" t="s">
        <v>35</v>
      </c>
      <c r="D4452" s="28" t="s">
        <v>38</v>
      </c>
      <c r="E4452" s="41">
        <v>46141</v>
      </c>
      <c r="F4452" s="47">
        <v>0.823125</v>
      </c>
      <c r="G4452" s="44">
        <v>6.3</v>
      </c>
      <c r="H4452" s="43" t="s">
        <v>239</v>
      </c>
      <c r="I4452" s="40" t="s">
        <v>1281</v>
      </c>
    </row>
    <row r="4453" spans="1:9" x14ac:dyDescent="0.25">
      <c r="A4453" s="40" t="s">
        <v>1214</v>
      </c>
      <c r="B4453" s="28">
        <v>9158</v>
      </c>
      <c r="C4453" s="28">
        <v>5648176</v>
      </c>
      <c r="D4453" s="28"/>
      <c r="E4453" s="41">
        <v>46144</v>
      </c>
      <c r="F4453" s="47">
        <v>0.91202546296296294</v>
      </c>
      <c r="G4453" s="44">
        <v>6.3</v>
      </c>
      <c r="H4453" s="43" t="s">
        <v>235</v>
      </c>
      <c r="I4453" s="40" t="s">
        <v>1282</v>
      </c>
    </row>
    <row r="4454" spans="1:9" x14ac:dyDescent="0.25">
      <c r="A4454" s="40" t="s">
        <v>1214</v>
      </c>
      <c r="B4454" s="28">
        <v>9158</v>
      </c>
      <c r="C4454" s="28">
        <v>5648176</v>
      </c>
      <c r="D4454" s="28"/>
      <c r="E4454" s="41">
        <v>46144</v>
      </c>
      <c r="F4454" s="47">
        <v>0.91927083333333337</v>
      </c>
      <c r="G4454" s="44">
        <v>6.3</v>
      </c>
      <c r="H4454" s="43" t="s">
        <v>236</v>
      </c>
      <c r="I4454" s="40" t="s">
        <v>1282</v>
      </c>
    </row>
    <row r="4455" spans="1:9" x14ac:dyDescent="0.25">
      <c r="A4455" s="40" t="s">
        <v>1214</v>
      </c>
      <c r="B4455" s="28">
        <v>9158</v>
      </c>
      <c r="C4455" s="28">
        <v>5648285</v>
      </c>
      <c r="D4455" s="28"/>
      <c r="E4455" s="41">
        <v>46145</v>
      </c>
      <c r="F4455" s="47">
        <v>1.6886574074074075E-2</v>
      </c>
      <c r="G4455" s="44">
        <v>6.3</v>
      </c>
      <c r="H4455" s="43" t="s">
        <v>235</v>
      </c>
      <c r="I4455" s="40" t="s">
        <v>1282</v>
      </c>
    </row>
    <row r="4456" spans="1:9" x14ac:dyDescent="0.25">
      <c r="A4456" s="40" t="s">
        <v>253</v>
      </c>
      <c r="B4456" s="28">
        <v>9172</v>
      </c>
      <c r="C4456" s="28">
        <v>5637154</v>
      </c>
      <c r="D4456" s="28"/>
      <c r="E4456" s="41">
        <v>46139</v>
      </c>
      <c r="F4456" s="47">
        <v>0.75785879629629627</v>
      </c>
      <c r="G4456" s="44">
        <v>6.3</v>
      </c>
      <c r="H4456" s="43" t="s">
        <v>236</v>
      </c>
      <c r="I4456" s="40" t="s">
        <v>1281</v>
      </c>
    </row>
    <row r="4457" spans="1:9" x14ac:dyDescent="0.25">
      <c r="A4457" s="40" t="s">
        <v>253</v>
      </c>
      <c r="B4457" s="28">
        <v>9172</v>
      </c>
      <c r="C4457" s="28">
        <v>5638931</v>
      </c>
      <c r="D4457" s="28"/>
      <c r="E4457" s="41">
        <v>46139</v>
      </c>
      <c r="F4457" s="47">
        <v>0.97193287037037035</v>
      </c>
      <c r="G4457" s="44">
        <v>6.3</v>
      </c>
      <c r="H4457" s="43" t="s">
        <v>237</v>
      </c>
      <c r="I4457" s="40" t="s">
        <v>1281</v>
      </c>
    </row>
    <row r="4458" spans="1:9" x14ac:dyDescent="0.25">
      <c r="A4458" s="40" t="s">
        <v>253</v>
      </c>
      <c r="B4458" s="28">
        <v>9172</v>
      </c>
      <c r="C4458" s="28" t="s">
        <v>35</v>
      </c>
      <c r="D4458" s="28" t="s">
        <v>38</v>
      </c>
      <c r="E4458" s="41">
        <v>46140</v>
      </c>
      <c r="F4458" s="47">
        <v>0.8401967592592593</v>
      </c>
      <c r="G4458" s="44">
        <v>6.3</v>
      </c>
      <c r="H4458" s="43" t="s">
        <v>236</v>
      </c>
      <c r="I4458" s="40" t="s">
        <v>1281</v>
      </c>
    </row>
    <row r="4459" spans="1:9" x14ac:dyDescent="0.25">
      <c r="A4459" s="40" t="s">
        <v>253</v>
      </c>
      <c r="B4459" s="28">
        <v>9172</v>
      </c>
      <c r="C4459" s="28">
        <v>5641896</v>
      </c>
      <c r="D4459" s="28"/>
      <c r="E4459" s="41">
        <v>46140</v>
      </c>
      <c r="F4459" s="47">
        <v>0.98175925925925922</v>
      </c>
      <c r="G4459" s="44">
        <v>6.3</v>
      </c>
      <c r="H4459" s="43" t="s">
        <v>237</v>
      </c>
      <c r="I4459" s="40" t="s">
        <v>1281</v>
      </c>
    </row>
    <row r="4460" spans="1:9" x14ac:dyDescent="0.25">
      <c r="A4460" s="40" t="s">
        <v>253</v>
      </c>
      <c r="B4460" s="28">
        <v>9172</v>
      </c>
      <c r="C4460" s="28">
        <v>5644257</v>
      </c>
      <c r="D4460" s="28"/>
      <c r="E4460" s="41">
        <v>46142</v>
      </c>
      <c r="F4460" s="47">
        <v>0.76226851851851851</v>
      </c>
      <c r="G4460" s="44">
        <v>6.3</v>
      </c>
      <c r="H4460" s="43" t="s">
        <v>236</v>
      </c>
      <c r="I4460" s="40" t="s">
        <v>1281</v>
      </c>
    </row>
    <row r="4461" spans="1:9" x14ac:dyDescent="0.25">
      <c r="A4461" s="40" t="s">
        <v>253</v>
      </c>
      <c r="B4461" s="28">
        <v>9172</v>
      </c>
      <c r="C4461" s="28" t="s">
        <v>35</v>
      </c>
      <c r="D4461" s="28" t="s">
        <v>38</v>
      </c>
      <c r="E4461" s="41">
        <v>46143</v>
      </c>
      <c r="F4461" s="47">
        <v>1.5682870370370371E-2</v>
      </c>
      <c r="G4461" s="44">
        <v>6.3</v>
      </c>
      <c r="H4461" s="43" t="s">
        <v>239</v>
      </c>
      <c r="I4461" s="40" t="s">
        <v>1282</v>
      </c>
    </row>
    <row r="4462" spans="1:9" x14ac:dyDescent="0.25">
      <c r="A4462" s="40" t="s">
        <v>253</v>
      </c>
      <c r="B4462" s="28">
        <v>9172</v>
      </c>
      <c r="C4462" s="28" t="s">
        <v>35</v>
      </c>
      <c r="D4462" s="28" t="s">
        <v>38</v>
      </c>
      <c r="E4462" s="41">
        <v>46143</v>
      </c>
      <c r="F4462" s="47">
        <v>2.7696759259259258E-2</v>
      </c>
      <c r="G4462" s="44">
        <v>6.3</v>
      </c>
      <c r="H4462" s="43" t="s">
        <v>237</v>
      </c>
      <c r="I4462" s="40" t="s">
        <v>1282</v>
      </c>
    </row>
    <row r="4463" spans="1:9" x14ac:dyDescent="0.25">
      <c r="A4463" s="40" t="s">
        <v>253</v>
      </c>
      <c r="B4463" s="28">
        <v>9172</v>
      </c>
      <c r="C4463" s="28" t="s">
        <v>35</v>
      </c>
      <c r="D4463" s="28" t="s">
        <v>38</v>
      </c>
      <c r="E4463" s="41">
        <v>46144</v>
      </c>
      <c r="F4463" s="47">
        <v>0.87417824074074069</v>
      </c>
      <c r="G4463" s="44">
        <v>6.3</v>
      </c>
      <c r="H4463" s="43" t="s">
        <v>237</v>
      </c>
      <c r="I4463" s="40" t="s">
        <v>1282</v>
      </c>
    </row>
    <row r="4464" spans="1:9" x14ac:dyDescent="0.25">
      <c r="A4464" s="40" t="s">
        <v>253</v>
      </c>
      <c r="B4464" s="28">
        <v>9172</v>
      </c>
      <c r="C4464" s="28" t="s">
        <v>35</v>
      </c>
      <c r="D4464" s="28" t="s">
        <v>38</v>
      </c>
      <c r="E4464" s="41">
        <v>46144</v>
      </c>
      <c r="F4464" s="47">
        <v>0.950775462962963</v>
      </c>
      <c r="G4464" s="44">
        <v>6.3</v>
      </c>
      <c r="H4464" s="43" t="s">
        <v>239</v>
      </c>
      <c r="I4464" s="40" t="s">
        <v>1282</v>
      </c>
    </row>
    <row r="4465" spans="1:9" x14ac:dyDescent="0.25">
      <c r="A4465" s="40" t="s">
        <v>253</v>
      </c>
      <c r="B4465" s="28">
        <v>9172</v>
      </c>
      <c r="C4465" s="28" t="s">
        <v>35</v>
      </c>
      <c r="D4465" s="28" t="s">
        <v>38</v>
      </c>
      <c r="E4465" s="41">
        <v>46145</v>
      </c>
      <c r="F4465" s="47">
        <v>0.828125</v>
      </c>
      <c r="G4465" s="44">
        <v>6.3</v>
      </c>
      <c r="H4465" s="43" t="s">
        <v>236</v>
      </c>
      <c r="I4465" s="40" t="s">
        <v>1282</v>
      </c>
    </row>
    <row r="4466" spans="1:9" x14ac:dyDescent="0.25">
      <c r="A4466" s="40" t="s">
        <v>413</v>
      </c>
      <c r="B4466" s="28">
        <v>9177</v>
      </c>
      <c r="C4466" s="28">
        <v>5638157</v>
      </c>
      <c r="D4466" s="28"/>
      <c r="E4466" s="41">
        <v>46139</v>
      </c>
      <c r="F4466" s="47">
        <v>0.61859953703703707</v>
      </c>
      <c r="G4466" s="42">
        <v>6.3</v>
      </c>
      <c r="H4466" s="40" t="s">
        <v>238</v>
      </c>
      <c r="I4466" s="40" t="s">
        <v>1281</v>
      </c>
    </row>
    <row r="4467" spans="1:9" x14ac:dyDescent="0.25">
      <c r="A4467" s="40" t="s">
        <v>413</v>
      </c>
      <c r="B4467" s="28">
        <v>9177</v>
      </c>
      <c r="C4467" s="28">
        <v>5638157</v>
      </c>
      <c r="D4467" s="28"/>
      <c r="E4467" s="41">
        <v>46139</v>
      </c>
      <c r="F4467" s="47">
        <v>0.62372685185185184</v>
      </c>
      <c r="G4467" s="42">
        <v>6.3</v>
      </c>
      <c r="H4467" s="40" t="s">
        <v>234</v>
      </c>
      <c r="I4467" s="40" t="s">
        <v>1281</v>
      </c>
    </row>
    <row r="4468" spans="1:9" x14ac:dyDescent="0.25">
      <c r="A4468" s="40" t="s">
        <v>413</v>
      </c>
      <c r="B4468" s="28">
        <v>9177</v>
      </c>
      <c r="C4468" s="28" t="s">
        <v>35</v>
      </c>
      <c r="D4468" s="28" t="s">
        <v>38</v>
      </c>
      <c r="E4468" s="41">
        <v>46140</v>
      </c>
      <c r="F4468" s="47">
        <v>0.5685069444444445</v>
      </c>
      <c r="G4468" s="42">
        <v>6.3</v>
      </c>
      <c r="H4468" s="40" t="s">
        <v>235</v>
      </c>
      <c r="I4468" s="40" t="s">
        <v>1281</v>
      </c>
    </row>
    <row r="4469" spans="1:9" x14ac:dyDescent="0.25">
      <c r="A4469" s="40" t="s">
        <v>413</v>
      </c>
      <c r="B4469" s="28">
        <v>9177</v>
      </c>
      <c r="C4469" s="28" t="s">
        <v>35</v>
      </c>
      <c r="D4469" s="28" t="s">
        <v>38</v>
      </c>
      <c r="E4469" s="41">
        <v>46140</v>
      </c>
      <c r="F4469" s="47">
        <v>0.5809375</v>
      </c>
      <c r="G4469" s="42">
        <v>6.3</v>
      </c>
      <c r="H4469" s="40" t="s">
        <v>236</v>
      </c>
      <c r="I4469" s="40" t="s">
        <v>1281</v>
      </c>
    </row>
    <row r="4470" spans="1:9" x14ac:dyDescent="0.25">
      <c r="A4470" s="40" t="s">
        <v>413</v>
      </c>
      <c r="B4470" s="28">
        <v>9177</v>
      </c>
      <c r="C4470" s="28" t="s">
        <v>35</v>
      </c>
      <c r="D4470" s="28" t="s">
        <v>38</v>
      </c>
      <c r="E4470" s="41">
        <v>46141</v>
      </c>
      <c r="F4470" s="47">
        <v>0.5458101851851852</v>
      </c>
      <c r="G4470" s="44">
        <v>6.3</v>
      </c>
      <c r="H4470" s="43" t="s">
        <v>235</v>
      </c>
      <c r="I4470" s="40" t="s">
        <v>1281</v>
      </c>
    </row>
    <row r="4471" spans="1:9" x14ac:dyDescent="0.25">
      <c r="A4471" s="40" t="s">
        <v>413</v>
      </c>
      <c r="B4471" s="28">
        <v>9177</v>
      </c>
      <c r="C4471" s="28">
        <v>5644694</v>
      </c>
      <c r="D4471" s="28"/>
      <c r="E4471" s="41">
        <v>46142</v>
      </c>
      <c r="F4471" s="47">
        <v>0.67799768518518522</v>
      </c>
      <c r="G4471" s="44">
        <v>6.3</v>
      </c>
      <c r="H4471" s="43" t="s">
        <v>237</v>
      </c>
      <c r="I4471" s="40" t="s">
        <v>1281</v>
      </c>
    </row>
    <row r="4472" spans="1:9" x14ac:dyDescent="0.25">
      <c r="A4472" s="40" t="s">
        <v>413</v>
      </c>
      <c r="B4472" s="28">
        <v>9177</v>
      </c>
      <c r="C4472" s="28" t="s">
        <v>35</v>
      </c>
      <c r="D4472" s="28" t="s">
        <v>38</v>
      </c>
      <c r="E4472" s="41">
        <v>46142</v>
      </c>
      <c r="F4472" s="47">
        <v>0.7424074074074074</v>
      </c>
      <c r="G4472" s="44">
        <v>6.3</v>
      </c>
      <c r="H4472" s="43" t="s">
        <v>236</v>
      </c>
      <c r="I4472" s="40" t="s">
        <v>1281</v>
      </c>
    </row>
    <row r="4473" spans="1:9" x14ac:dyDescent="0.25">
      <c r="A4473" s="40" t="s">
        <v>413</v>
      </c>
      <c r="B4473" s="28">
        <v>9177</v>
      </c>
      <c r="C4473" s="28" t="s">
        <v>35</v>
      </c>
      <c r="D4473" s="28" t="s">
        <v>38</v>
      </c>
      <c r="E4473" s="41">
        <v>46142</v>
      </c>
      <c r="F4473" s="47">
        <v>0.77059027777777778</v>
      </c>
      <c r="G4473" s="44">
        <v>6.3</v>
      </c>
      <c r="H4473" s="43" t="s">
        <v>237</v>
      </c>
      <c r="I4473" s="40" t="s">
        <v>1281</v>
      </c>
    </row>
    <row r="4474" spans="1:9" x14ac:dyDescent="0.25">
      <c r="A4474" s="40" t="s">
        <v>413</v>
      </c>
      <c r="B4474" s="28">
        <v>9177</v>
      </c>
      <c r="C4474" s="28" t="s">
        <v>35</v>
      </c>
      <c r="D4474" s="28" t="s">
        <v>38</v>
      </c>
      <c r="E4474" s="41">
        <v>46142</v>
      </c>
      <c r="F4474" s="47">
        <v>0.87974537037037037</v>
      </c>
      <c r="G4474" s="44">
        <v>6.3</v>
      </c>
      <c r="H4474" s="43" t="s">
        <v>239</v>
      </c>
      <c r="I4474" s="40" t="s">
        <v>1281</v>
      </c>
    </row>
    <row r="4475" spans="1:9" x14ac:dyDescent="0.25">
      <c r="A4475" s="40" t="s">
        <v>413</v>
      </c>
      <c r="B4475" s="28">
        <v>9177</v>
      </c>
      <c r="C4475" s="28" t="s">
        <v>35</v>
      </c>
      <c r="D4475" s="28" t="s">
        <v>38</v>
      </c>
      <c r="E4475" s="41">
        <v>46144</v>
      </c>
      <c r="F4475" s="47">
        <v>0.74516203703703698</v>
      </c>
      <c r="G4475" s="44">
        <v>6.3</v>
      </c>
      <c r="H4475" s="43" t="s">
        <v>236</v>
      </c>
      <c r="I4475" s="40" t="s">
        <v>1282</v>
      </c>
    </row>
    <row r="4476" spans="1:9" x14ac:dyDescent="0.25">
      <c r="A4476" s="40" t="s">
        <v>413</v>
      </c>
      <c r="B4476" s="28">
        <v>9177</v>
      </c>
      <c r="C4476" s="28" t="s">
        <v>35</v>
      </c>
      <c r="D4476" s="28" t="s">
        <v>38</v>
      </c>
      <c r="E4476" s="41">
        <v>46145</v>
      </c>
      <c r="F4476" s="47">
        <v>0.67776620370370366</v>
      </c>
      <c r="G4476" s="44">
        <v>6.3</v>
      </c>
      <c r="H4476" s="43" t="s">
        <v>236</v>
      </c>
      <c r="I4476" s="40" t="s">
        <v>1282</v>
      </c>
    </row>
    <row r="4477" spans="1:9" x14ac:dyDescent="0.25">
      <c r="A4477" s="40" t="s">
        <v>159</v>
      </c>
      <c r="B4477" s="28">
        <v>9190</v>
      </c>
      <c r="C4477" s="28" t="s">
        <v>35</v>
      </c>
      <c r="D4477" s="28" t="s">
        <v>38</v>
      </c>
      <c r="E4477" s="41">
        <v>46144</v>
      </c>
      <c r="F4477" s="47">
        <v>0.62968749999999996</v>
      </c>
      <c r="G4477" s="42">
        <v>6.3</v>
      </c>
      <c r="H4477" s="40" t="s">
        <v>234</v>
      </c>
      <c r="I4477" s="40" t="s">
        <v>1282</v>
      </c>
    </row>
    <row r="4478" spans="1:9" x14ac:dyDescent="0.25">
      <c r="A4478" s="40" t="s">
        <v>159</v>
      </c>
      <c r="B4478" s="28">
        <v>9190</v>
      </c>
      <c r="C4478" s="28" t="s">
        <v>35</v>
      </c>
      <c r="D4478" s="28" t="s">
        <v>38</v>
      </c>
      <c r="E4478" s="41">
        <v>46144</v>
      </c>
      <c r="F4478" s="47">
        <v>0.93725694444444441</v>
      </c>
      <c r="G4478" s="42">
        <v>6.3</v>
      </c>
      <c r="H4478" s="40" t="s">
        <v>239</v>
      </c>
      <c r="I4478" s="40" t="s">
        <v>1282</v>
      </c>
    </row>
    <row r="4479" spans="1:9" x14ac:dyDescent="0.25">
      <c r="A4479" s="40" t="s">
        <v>159</v>
      </c>
      <c r="B4479" s="28">
        <v>9190</v>
      </c>
      <c r="C4479" s="28" t="s">
        <v>35</v>
      </c>
      <c r="D4479" s="28" t="s">
        <v>38</v>
      </c>
      <c r="E4479" s="41">
        <v>46144</v>
      </c>
      <c r="F4479" s="47">
        <v>0.97076388888888887</v>
      </c>
      <c r="G4479" s="44">
        <v>6.3</v>
      </c>
      <c r="H4479" s="43" t="s">
        <v>238</v>
      </c>
      <c r="I4479" s="40" t="s">
        <v>1282</v>
      </c>
    </row>
    <row r="4480" spans="1:9" x14ac:dyDescent="0.25">
      <c r="A4480" s="40" t="s">
        <v>194</v>
      </c>
      <c r="B4480" s="28">
        <v>9195</v>
      </c>
      <c r="C4480" s="28" t="s">
        <v>1215</v>
      </c>
      <c r="D4480" s="28"/>
      <c r="E4480" s="41">
        <v>46140</v>
      </c>
      <c r="F4480" s="47">
        <v>2.75E-2</v>
      </c>
      <c r="G4480" s="44">
        <v>6.3</v>
      </c>
      <c r="H4480" s="43" t="s">
        <v>235</v>
      </c>
      <c r="I4480" s="40" t="s">
        <v>1281</v>
      </c>
    </row>
    <row r="4481" spans="1:9" x14ac:dyDescent="0.25">
      <c r="A4481" s="40" t="s">
        <v>194</v>
      </c>
      <c r="B4481" s="28">
        <v>9195</v>
      </c>
      <c r="C4481" s="28" t="s">
        <v>1215</v>
      </c>
      <c r="D4481" s="28"/>
      <c r="E4481" s="41">
        <v>46140</v>
      </c>
      <c r="F4481" s="47">
        <v>3.5138888888888886E-2</v>
      </c>
      <c r="G4481" s="44">
        <v>6.3</v>
      </c>
      <c r="H4481" s="43" t="s">
        <v>236</v>
      </c>
      <c r="I4481" s="40" t="s">
        <v>1281</v>
      </c>
    </row>
    <row r="4482" spans="1:9" x14ac:dyDescent="0.25">
      <c r="A4482" s="40" t="s">
        <v>194</v>
      </c>
      <c r="B4482" s="28">
        <v>9195</v>
      </c>
      <c r="C4482" s="28">
        <v>5638354</v>
      </c>
      <c r="D4482" s="28"/>
      <c r="E4482" s="41">
        <v>46140</v>
      </c>
      <c r="F4482" s="47">
        <v>0.13593749999999999</v>
      </c>
      <c r="G4482" s="44">
        <v>6.3</v>
      </c>
      <c r="H4482" s="43" t="s">
        <v>238</v>
      </c>
      <c r="I4482" s="40" t="s">
        <v>1281</v>
      </c>
    </row>
    <row r="4483" spans="1:9" x14ac:dyDescent="0.25">
      <c r="A4483" s="40" t="s">
        <v>194</v>
      </c>
      <c r="B4483" s="28">
        <v>9195</v>
      </c>
      <c r="C4483" s="28">
        <v>5638354</v>
      </c>
      <c r="D4483" s="28"/>
      <c r="E4483" s="41">
        <v>46140</v>
      </c>
      <c r="F4483" s="47">
        <v>0.14070601851851852</v>
      </c>
      <c r="G4483" s="44">
        <v>6.3</v>
      </c>
      <c r="H4483" s="43" t="s">
        <v>234</v>
      </c>
      <c r="I4483" s="40" t="s">
        <v>1281</v>
      </c>
    </row>
    <row r="4484" spans="1:9" x14ac:dyDescent="0.25">
      <c r="A4484" s="40" t="s">
        <v>194</v>
      </c>
      <c r="B4484" s="28">
        <v>9195</v>
      </c>
      <c r="C4484" s="28">
        <v>5638414</v>
      </c>
      <c r="D4484" s="28"/>
      <c r="E4484" s="41">
        <v>46141</v>
      </c>
      <c r="F4484" s="47">
        <v>2.6006944444444444E-2</v>
      </c>
      <c r="G4484" s="44">
        <v>6.3</v>
      </c>
      <c r="H4484" s="43" t="s">
        <v>235</v>
      </c>
      <c r="I4484" s="40" t="s">
        <v>1281</v>
      </c>
    </row>
    <row r="4485" spans="1:9" x14ac:dyDescent="0.25">
      <c r="A4485" s="40" t="s">
        <v>194</v>
      </c>
      <c r="B4485" s="28">
        <v>9195</v>
      </c>
      <c r="C4485" s="28">
        <v>5638414</v>
      </c>
      <c r="D4485" s="28"/>
      <c r="E4485" s="41">
        <v>46141</v>
      </c>
      <c r="F4485" s="47">
        <v>3.3692129629629627E-2</v>
      </c>
      <c r="G4485" s="44">
        <v>6.3</v>
      </c>
      <c r="H4485" s="43" t="s">
        <v>236</v>
      </c>
      <c r="I4485" s="40" t="s">
        <v>1281</v>
      </c>
    </row>
    <row r="4486" spans="1:9" x14ac:dyDescent="0.25">
      <c r="A4486" s="40" t="s">
        <v>194</v>
      </c>
      <c r="B4486" s="28">
        <v>9195</v>
      </c>
      <c r="C4486" s="28">
        <v>5640767</v>
      </c>
      <c r="D4486" s="28"/>
      <c r="E4486" s="41">
        <v>46141</v>
      </c>
      <c r="F4486" s="47">
        <v>0.13017361111111111</v>
      </c>
      <c r="G4486" s="44">
        <v>6.3</v>
      </c>
      <c r="H4486" s="43" t="s">
        <v>233</v>
      </c>
      <c r="I4486" s="40" t="s">
        <v>1281</v>
      </c>
    </row>
    <row r="4487" spans="1:9" x14ac:dyDescent="0.25">
      <c r="A4487" s="40" t="s">
        <v>194</v>
      </c>
      <c r="B4487" s="28">
        <v>9195</v>
      </c>
      <c r="C4487" s="28">
        <v>5640767</v>
      </c>
      <c r="D4487" s="28"/>
      <c r="E4487" s="41">
        <v>46141</v>
      </c>
      <c r="F4487" s="47">
        <v>0.13574074074074075</v>
      </c>
      <c r="G4487" s="44">
        <v>6.3</v>
      </c>
      <c r="H4487" s="43" t="s">
        <v>234</v>
      </c>
      <c r="I4487" s="40" t="s">
        <v>1281</v>
      </c>
    </row>
    <row r="4488" spans="1:9" x14ac:dyDescent="0.25">
      <c r="A4488" s="40" t="s">
        <v>194</v>
      </c>
      <c r="B4488" s="28">
        <v>9195</v>
      </c>
      <c r="C4488" s="28" t="s">
        <v>1216</v>
      </c>
      <c r="D4488" s="28"/>
      <c r="E4488" s="41">
        <v>46141</v>
      </c>
      <c r="F4488" s="47">
        <v>0.18677083333333333</v>
      </c>
      <c r="G4488" s="44">
        <v>6.3</v>
      </c>
      <c r="H4488" s="43" t="s">
        <v>237</v>
      </c>
      <c r="I4488" s="40" t="s">
        <v>1281</v>
      </c>
    </row>
    <row r="4489" spans="1:9" x14ac:dyDescent="0.25">
      <c r="A4489" s="40" t="s">
        <v>194</v>
      </c>
      <c r="B4489" s="28">
        <v>9195</v>
      </c>
      <c r="C4489" s="28" t="s">
        <v>1216</v>
      </c>
      <c r="D4489" s="28"/>
      <c r="E4489" s="41">
        <v>46141</v>
      </c>
      <c r="F4489" s="47">
        <v>0.19226851851851851</v>
      </c>
      <c r="G4489" s="44">
        <v>6.3</v>
      </c>
      <c r="H4489" s="43" t="s">
        <v>234</v>
      </c>
      <c r="I4489" s="40" t="s">
        <v>1281</v>
      </c>
    </row>
    <row r="4490" spans="1:9" x14ac:dyDescent="0.25">
      <c r="A4490" s="40" t="s">
        <v>194</v>
      </c>
      <c r="B4490" s="28">
        <v>9195</v>
      </c>
      <c r="C4490" s="28">
        <v>5640836</v>
      </c>
      <c r="D4490" s="28"/>
      <c r="E4490" s="41">
        <v>46141</v>
      </c>
      <c r="F4490" s="47">
        <v>0.5544675925925926</v>
      </c>
      <c r="G4490" s="44">
        <v>6.3</v>
      </c>
      <c r="H4490" s="43" t="s">
        <v>234</v>
      </c>
      <c r="I4490" s="40" t="s">
        <v>1281</v>
      </c>
    </row>
    <row r="4491" spans="1:9" x14ac:dyDescent="0.25">
      <c r="A4491" s="40" t="s">
        <v>194</v>
      </c>
      <c r="B4491" s="28">
        <v>9195</v>
      </c>
      <c r="C4491" s="28">
        <v>5643383</v>
      </c>
      <c r="D4491" s="28"/>
      <c r="E4491" s="41">
        <v>46142</v>
      </c>
      <c r="F4491" s="47">
        <v>0.13247685185185185</v>
      </c>
      <c r="G4491" s="44">
        <v>6.3</v>
      </c>
      <c r="H4491" s="43" t="s">
        <v>237</v>
      </c>
      <c r="I4491" s="40" t="s">
        <v>1281</v>
      </c>
    </row>
    <row r="4492" spans="1:9" x14ac:dyDescent="0.25">
      <c r="A4492" s="40" t="s">
        <v>194</v>
      </c>
      <c r="B4492" s="28">
        <v>9195</v>
      </c>
      <c r="C4492" s="28">
        <v>5643383</v>
      </c>
      <c r="D4492" s="28"/>
      <c r="E4492" s="41">
        <v>46142</v>
      </c>
      <c r="F4492" s="47">
        <v>0.13811342592592593</v>
      </c>
      <c r="G4492" s="44">
        <v>6.3</v>
      </c>
      <c r="H4492" s="43" t="s">
        <v>234</v>
      </c>
      <c r="I4492" s="40" t="s">
        <v>1281</v>
      </c>
    </row>
    <row r="4493" spans="1:9" x14ac:dyDescent="0.25">
      <c r="A4493" s="40" t="s">
        <v>168</v>
      </c>
      <c r="B4493" s="28">
        <v>9204</v>
      </c>
      <c r="C4493" s="28" t="s">
        <v>35</v>
      </c>
      <c r="D4493" s="28" t="s">
        <v>38</v>
      </c>
      <c r="E4493" s="41">
        <v>46144</v>
      </c>
      <c r="F4493" s="47">
        <v>0.46359953703703705</v>
      </c>
      <c r="G4493" s="44">
        <v>6.3</v>
      </c>
      <c r="H4493" s="43" t="s">
        <v>237</v>
      </c>
      <c r="I4493" s="40" t="s">
        <v>1282</v>
      </c>
    </row>
    <row r="4494" spans="1:9" x14ac:dyDescent="0.25">
      <c r="A4494" s="40" t="s">
        <v>168</v>
      </c>
      <c r="B4494" s="28">
        <v>9204</v>
      </c>
      <c r="C4494" s="28">
        <v>5647366</v>
      </c>
      <c r="D4494" s="28"/>
      <c r="E4494" s="41">
        <v>46144</v>
      </c>
      <c r="F4494" s="47">
        <v>0.48319444444444443</v>
      </c>
      <c r="G4494" s="44">
        <v>6.3</v>
      </c>
      <c r="H4494" s="43" t="s">
        <v>236</v>
      </c>
      <c r="I4494" s="40" t="s">
        <v>1282</v>
      </c>
    </row>
    <row r="4495" spans="1:9" x14ac:dyDescent="0.25">
      <c r="A4495" s="40" t="s">
        <v>169</v>
      </c>
      <c r="B4495" s="28">
        <v>9214</v>
      </c>
      <c r="C4495" s="28">
        <v>5639596</v>
      </c>
      <c r="D4495" s="28"/>
      <c r="E4495" s="41">
        <v>46140</v>
      </c>
      <c r="F4495" s="47">
        <v>0.39278935185185188</v>
      </c>
      <c r="G4495" s="44">
        <v>6.3</v>
      </c>
      <c r="H4495" s="43" t="s">
        <v>237</v>
      </c>
      <c r="I4495" s="40" t="s">
        <v>1281</v>
      </c>
    </row>
    <row r="4496" spans="1:9" x14ac:dyDescent="0.25">
      <c r="A4496" s="40" t="s">
        <v>169</v>
      </c>
      <c r="B4496" s="28">
        <v>9214</v>
      </c>
      <c r="C4496" s="28">
        <v>5639596</v>
      </c>
      <c r="D4496" s="28"/>
      <c r="E4496" s="41">
        <v>46140</v>
      </c>
      <c r="F4496" s="47">
        <v>0.40745370370370371</v>
      </c>
      <c r="G4496" s="44">
        <v>6.3</v>
      </c>
      <c r="H4496" s="43" t="s">
        <v>234</v>
      </c>
      <c r="I4496" s="40" t="s">
        <v>1281</v>
      </c>
    </row>
    <row r="4497" spans="1:9" x14ac:dyDescent="0.25">
      <c r="A4497" s="40" t="s">
        <v>169</v>
      </c>
      <c r="B4497" s="28">
        <v>9214</v>
      </c>
      <c r="C4497" s="28">
        <v>5642336</v>
      </c>
      <c r="D4497" s="28"/>
      <c r="E4497" s="41">
        <v>46141</v>
      </c>
      <c r="F4497" s="47">
        <v>0.66543981481481485</v>
      </c>
      <c r="G4497" s="44">
        <v>6.3</v>
      </c>
      <c r="H4497" s="43" t="s">
        <v>237</v>
      </c>
      <c r="I4497" s="40" t="s">
        <v>1281</v>
      </c>
    </row>
    <row r="4498" spans="1:9" x14ac:dyDescent="0.25">
      <c r="A4498" s="40" t="s">
        <v>169</v>
      </c>
      <c r="B4498" s="28">
        <v>9214</v>
      </c>
      <c r="C4498" s="28">
        <v>5642336</v>
      </c>
      <c r="D4498" s="28"/>
      <c r="E4498" s="41">
        <v>46141</v>
      </c>
      <c r="F4498" s="47">
        <v>0.6716550925925926</v>
      </c>
      <c r="G4498" s="44">
        <v>6.3</v>
      </c>
      <c r="H4498" s="43" t="s">
        <v>234</v>
      </c>
      <c r="I4498" s="40" t="s">
        <v>1281</v>
      </c>
    </row>
    <row r="4499" spans="1:9" x14ac:dyDescent="0.25">
      <c r="A4499" s="40" t="s">
        <v>169</v>
      </c>
      <c r="B4499" s="28">
        <v>9214</v>
      </c>
      <c r="C4499" s="28">
        <v>5643398</v>
      </c>
      <c r="D4499" s="28"/>
      <c r="E4499" s="41">
        <v>46142</v>
      </c>
      <c r="F4499" s="47">
        <v>0.26957175925925925</v>
      </c>
      <c r="G4499" s="44">
        <v>6.3</v>
      </c>
      <c r="H4499" s="43" t="s">
        <v>237</v>
      </c>
      <c r="I4499" s="40" t="s">
        <v>1281</v>
      </c>
    </row>
    <row r="4500" spans="1:9" x14ac:dyDescent="0.25">
      <c r="A4500" s="40" t="s">
        <v>169</v>
      </c>
      <c r="B4500" s="28">
        <v>9214</v>
      </c>
      <c r="C4500" s="28">
        <v>5641430</v>
      </c>
      <c r="D4500" s="28"/>
      <c r="E4500" s="41">
        <v>46142</v>
      </c>
      <c r="F4500" s="47">
        <v>0.53770833333333334</v>
      </c>
      <c r="G4500" s="44">
        <v>6.3</v>
      </c>
      <c r="H4500" s="43" t="s">
        <v>233</v>
      </c>
      <c r="I4500" s="40" t="s">
        <v>1281</v>
      </c>
    </row>
    <row r="4501" spans="1:9" x14ac:dyDescent="0.25">
      <c r="A4501" s="40" t="s">
        <v>169</v>
      </c>
      <c r="B4501" s="28">
        <v>9214</v>
      </c>
      <c r="C4501" s="28">
        <v>5641430</v>
      </c>
      <c r="D4501" s="28"/>
      <c r="E4501" s="41">
        <v>46142</v>
      </c>
      <c r="F4501" s="47">
        <v>0.54371527777777773</v>
      </c>
      <c r="G4501" s="44">
        <v>6.3</v>
      </c>
      <c r="H4501" s="43" t="s">
        <v>234</v>
      </c>
      <c r="I4501" s="40" t="s">
        <v>1281</v>
      </c>
    </row>
    <row r="4502" spans="1:9" x14ac:dyDescent="0.25">
      <c r="A4502" s="40" t="s">
        <v>160</v>
      </c>
      <c r="B4502" s="28">
        <v>9226</v>
      </c>
      <c r="C4502" s="28">
        <v>5640651</v>
      </c>
      <c r="D4502" s="28" t="s">
        <v>36</v>
      </c>
      <c r="E4502" s="41">
        <v>46140</v>
      </c>
      <c r="F4502" s="47">
        <v>0.71605324074074073</v>
      </c>
      <c r="G4502" s="42">
        <v>6.3</v>
      </c>
      <c r="H4502" s="40" t="s">
        <v>235</v>
      </c>
      <c r="I4502" s="40" t="s">
        <v>1281</v>
      </c>
    </row>
    <row r="4503" spans="1:9" x14ac:dyDescent="0.25">
      <c r="A4503" s="40" t="s">
        <v>160</v>
      </c>
      <c r="B4503" s="28">
        <v>9226</v>
      </c>
      <c r="C4503" s="28">
        <v>5640651</v>
      </c>
      <c r="D4503" s="28" t="s">
        <v>36</v>
      </c>
      <c r="E4503" s="41">
        <v>46140</v>
      </c>
      <c r="F4503" s="47">
        <v>0.72641203703703705</v>
      </c>
      <c r="G4503" s="44">
        <v>6.3</v>
      </c>
      <c r="H4503" s="43" t="s">
        <v>236</v>
      </c>
      <c r="I4503" s="40" t="s">
        <v>1281</v>
      </c>
    </row>
    <row r="4504" spans="1:9" x14ac:dyDescent="0.25">
      <c r="A4504" s="40" t="s">
        <v>160</v>
      </c>
      <c r="B4504" s="28">
        <v>9226</v>
      </c>
      <c r="C4504" s="28">
        <v>5644624</v>
      </c>
      <c r="D4504" s="28"/>
      <c r="E4504" s="41">
        <v>46142</v>
      </c>
      <c r="F4504" s="47">
        <v>0.82311342592592596</v>
      </c>
      <c r="G4504" s="44">
        <v>6.3</v>
      </c>
      <c r="H4504" s="43" t="s">
        <v>235</v>
      </c>
      <c r="I4504" s="40" t="s">
        <v>1281</v>
      </c>
    </row>
    <row r="4505" spans="1:9" x14ac:dyDescent="0.25">
      <c r="A4505" s="40" t="s">
        <v>160</v>
      </c>
      <c r="B4505" s="28">
        <v>9226</v>
      </c>
      <c r="C4505" s="28">
        <v>5644624</v>
      </c>
      <c r="D4505" s="28"/>
      <c r="E4505" s="41">
        <v>46142</v>
      </c>
      <c r="F4505" s="47">
        <v>0.8334259259259259</v>
      </c>
      <c r="G4505" s="44">
        <v>6.3</v>
      </c>
      <c r="H4505" s="43" t="s">
        <v>236</v>
      </c>
      <c r="I4505" s="40" t="s">
        <v>1281</v>
      </c>
    </row>
    <row r="4506" spans="1:9" x14ac:dyDescent="0.25">
      <c r="A4506" s="40" t="s">
        <v>160</v>
      </c>
      <c r="B4506" s="28">
        <v>9226</v>
      </c>
      <c r="C4506" s="28">
        <v>5645681</v>
      </c>
      <c r="D4506" s="28"/>
      <c r="E4506" s="41">
        <v>46143</v>
      </c>
      <c r="F4506" s="47">
        <v>0.26671296296296299</v>
      </c>
      <c r="G4506" s="44">
        <v>6.3</v>
      </c>
      <c r="H4506" s="43" t="s">
        <v>239</v>
      </c>
      <c r="I4506" s="40" t="s">
        <v>1282</v>
      </c>
    </row>
    <row r="4507" spans="1:9" x14ac:dyDescent="0.25">
      <c r="A4507" s="40" t="s">
        <v>160</v>
      </c>
      <c r="B4507" s="28">
        <v>9226</v>
      </c>
      <c r="C4507" s="28">
        <v>5646072</v>
      </c>
      <c r="D4507" s="28"/>
      <c r="E4507" s="41">
        <v>46143</v>
      </c>
      <c r="F4507" s="47">
        <v>0.39656249999999998</v>
      </c>
      <c r="G4507" s="42">
        <v>6.3</v>
      </c>
      <c r="H4507" s="40" t="s">
        <v>238</v>
      </c>
      <c r="I4507" s="40" t="s">
        <v>1282</v>
      </c>
    </row>
    <row r="4508" spans="1:9" x14ac:dyDescent="0.25">
      <c r="A4508" s="40" t="s">
        <v>160</v>
      </c>
      <c r="B4508" s="28">
        <v>9226</v>
      </c>
      <c r="C4508" s="28">
        <v>5646072</v>
      </c>
      <c r="D4508" s="28"/>
      <c r="E4508" s="41">
        <v>46143</v>
      </c>
      <c r="F4508" s="47">
        <v>0.40111111111111108</v>
      </c>
      <c r="G4508" s="42">
        <v>6.3</v>
      </c>
      <c r="H4508" s="40" t="s">
        <v>234</v>
      </c>
      <c r="I4508" s="40" t="s">
        <v>1282</v>
      </c>
    </row>
    <row r="4509" spans="1:9" x14ac:dyDescent="0.25">
      <c r="A4509" s="40" t="s">
        <v>160</v>
      </c>
      <c r="B4509" s="28">
        <v>9226</v>
      </c>
      <c r="C4509" s="28">
        <v>5646310</v>
      </c>
      <c r="D4509" s="28"/>
      <c r="E4509" s="41">
        <v>46143</v>
      </c>
      <c r="F4509" s="47">
        <v>0.80244212962962957</v>
      </c>
      <c r="G4509" s="42">
        <v>6.3</v>
      </c>
      <c r="H4509" s="40" t="s">
        <v>237</v>
      </c>
      <c r="I4509" s="40" t="s">
        <v>1282</v>
      </c>
    </row>
    <row r="4510" spans="1:9" x14ac:dyDescent="0.25">
      <c r="A4510" s="40" t="s">
        <v>160</v>
      </c>
      <c r="B4510" s="28">
        <v>9226</v>
      </c>
      <c r="C4510" s="28">
        <v>5646310</v>
      </c>
      <c r="D4510" s="28"/>
      <c r="E4510" s="41">
        <v>46143</v>
      </c>
      <c r="F4510" s="47">
        <v>0.80777777777777782</v>
      </c>
      <c r="G4510" s="42">
        <v>6.3</v>
      </c>
      <c r="H4510" s="40" t="s">
        <v>234</v>
      </c>
      <c r="I4510" s="40" t="s">
        <v>1282</v>
      </c>
    </row>
    <row r="4511" spans="1:9" x14ac:dyDescent="0.25">
      <c r="A4511" s="40" t="s">
        <v>317</v>
      </c>
      <c r="B4511" s="28">
        <v>9234</v>
      </c>
      <c r="C4511" s="28" t="s">
        <v>35</v>
      </c>
      <c r="D4511" s="28" t="s">
        <v>38</v>
      </c>
      <c r="E4511" s="41">
        <v>46139</v>
      </c>
      <c r="F4511" s="47">
        <v>0.63184027777777774</v>
      </c>
      <c r="G4511" s="44">
        <v>6.3</v>
      </c>
      <c r="H4511" s="43" t="s">
        <v>237</v>
      </c>
      <c r="I4511" s="40" t="s">
        <v>1281</v>
      </c>
    </row>
    <row r="4512" spans="1:9" x14ac:dyDescent="0.25">
      <c r="A4512" s="40" t="s">
        <v>317</v>
      </c>
      <c r="B4512" s="28">
        <v>9234</v>
      </c>
      <c r="C4512" s="28" t="s">
        <v>35</v>
      </c>
      <c r="D4512" s="28" t="s">
        <v>38</v>
      </c>
      <c r="E4512" s="41">
        <v>46139</v>
      </c>
      <c r="F4512" s="47">
        <v>0.63929398148148153</v>
      </c>
      <c r="G4512" s="44">
        <v>6.3</v>
      </c>
      <c r="H4512" s="43" t="s">
        <v>234</v>
      </c>
      <c r="I4512" s="40" t="s">
        <v>1281</v>
      </c>
    </row>
    <row r="4513" spans="1:9" x14ac:dyDescent="0.25">
      <c r="A4513" s="40" t="s">
        <v>317</v>
      </c>
      <c r="B4513" s="28">
        <v>9234</v>
      </c>
      <c r="C4513" s="28">
        <v>5640888</v>
      </c>
      <c r="D4513" s="28"/>
      <c r="E4513" s="41">
        <v>46140</v>
      </c>
      <c r="F4513" s="47">
        <v>0.6834837962962963</v>
      </c>
      <c r="G4513" s="44">
        <v>6.3</v>
      </c>
      <c r="H4513" s="43" t="s">
        <v>234</v>
      </c>
      <c r="I4513" s="40" t="s">
        <v>1281</v>
      </c>
    </row>
    <row r="4514" spans="1:9" x14ac:dyDescent="0.25">
      <c r="A4514" s="40" t="s">
        <v>317</v>
      </c>
      <c r="B4514" s="28">
        <v>9234</v>
      </c>
      <c r="C4514" s="28">
        <v>5641547</v>
      </c>
      <c r="D4514" s="28" t="s">
        <v>36</v>
      </c>
      <c r="E4514" s="41">
        <v>46141</v>
      </c>
      <c r="F4514" s="47">
        <v>0.33370370370370372</v>
      </c>
      <c r="G4514" s="44">
        <v>6.3</v>
      </c>
      <c r="H4514" s="43" t="s">
        <v>235</v>
      </c>
      <c r="I4514" s="40" t="s">
        <v>1281</v>
      </c>
    </row>
    <row r="4515" spans="1:9" x14ac:dyDescent="0.25">
      <c r="A4515" s="40" t="s">
        <v>166</v>
      </c>
      <c r="B4515" s="28">
        <v>9245</v>
      </c>
      <c r="C4515" s="28">
        <v>5641807</v>
      </c>
      <c r="D4515" s="28"/>
      <c r="E4515" s="41">
        <v>46141</v>
      </c>
      <c r="F4515" s="47">
        <v>0.14430555555555555</v>
      </c>
      <c r="G4515" s="44">
        <v>6.3</v>
      </c>
      <c r="H4515" s="43" t="s">
        <v>237</v>
      </c>
      <c r="I4515" s="40" t="s">
        <v>1281</v>
      </c>
    </row>
    <row r="4516" spans="1:9" x14ac:dyDescent="0.25">
      <c r="A4516" s="40" t="s">
        <v>166</v>
      </c>
      <c r="B4516" s="28">
        <v>9245</v>
      </c>
      <c r="C4516" s="28">
        <v>5641807</v>
      </c>
      <c r="D4516" s="28"/>
      <c r="E4516" s="41">
        <v>46141</v>
      </c>
      <c r="F4516" s="47">
        <v>0.1491550925925926</v>
      </c>
      <c r="G4516" s="44">
        <v>6.3</v>
      </c>
      <c r="H4516" s="43" t="s">
        <v>234</v>
      </c>
      <c r="I4516" s="40" t="s">
        <v>1281</v>
      </c>
    </row>
    <row r="4517" spans="1:9" x14ac:dyDescent="0.25">
      <c r="A4517" s="40" t="s">
        <v>166</v>
      </c>
      <c r="B4517" s="28">
        <v>9245</v>
      </c>
      <c r="C4517" s="28" t="s">
        <v>35</v>
      </c>
      <c r="D4517" s="28" t="s">
        <v>38</v>
      </c>
      <c r="E4517" s="41">
        <v>46143</v>
      </c>
      <c r="F4517" s="47">
        <v>0.93049768518518516</v>
      </c>
      <c r="G4517" s="44">
        <v>6.3</v>
      </c>
      <c r="H4517" s="43" t="s">
        <v>237</v>
      </c>
      <c r="I4517" s="40" t="s">
        <v>1282</v>
      </c>
    </row>
    <row r="4518" spans="1:9" x14ac:dyDescent="0.25">
      <c r="A4518" s="40" t="s">
        <v>166</v>
      </c>
      <c r="B4518" s="28">
        <v>9245</v>
      </c>
      <c r="C4518" s="28" t="s">
        <v>35</v>
      </c>
      <c r="D4518" s="28" t="s">
        <v>38</v>
      </c>
      <c r="E4518" s="41">
        <v>46144</v>
      </c>
      <c r="F4518" s="47">
        <v>0.28432870370370372</v>
      </c>
      <c r="G4518" s="44">
        <v>6.3</v>
      </c>
      <c r="H4518" s="43" t="s">
        <v>236</v>
      </c>
      <c r="I4518" s="40" t="s">
        <v>1282</v>
      </c>
    </row>
    <row r="4519" spans="1:9" x14ac:dyDescent="0.25">
      <c r="A4519" s="40" t="s">
        <v>166</v>
      </c>
      <c r="B4519" s="28">
        <v>9245</v>
      </c>
      <c r="C4519" s="28">
        <v>5648309</v>
      </c>
      <c r="D4519" s="28"/>
      <c r="E4519" s="41">
        <v>46145</v>
      </c>
      <c r="F4519" s="47">
        <v>0.11783564814814815</v>
      </c>
      <c r="G4519" s="44">
        <v>6.3</v>
      </c>
      <c r="H4519" s="43" t="s">
        <v>238</v>
      </c>
      <c r="I4519" s="40" t="s">
        <v>1282</v>
      </c>
    </row>
    <row r="4520" spans="1:9" x14ac:dyDescent="0.25">
      <c r="A4520" s="40" t="s">
        <v>166</v>
      </c>
      <c r="B4520" s="28">
        <v>9245</v>
      </c>
      <c r="C4520" s="28">
        <v>5648309</v>
      </c>
      <c r="D4520" s="28"/>
      <c r="E4520" s="41">
        <v>46145</v>
      </c>
      <c r="F4520" s="47">
        <v>0.12234953703703703</v>
      </c>
      <c r="G4520" s="44">
        <v>6.3</v>
      </c>
      <c r="H4520" s="43" t="s">
        <v>234</v>
      </c>
      <c r="I4520" s="40" t="s">
        <v>1282</v>
      </c>
    </row>
    <row r="4521" spans="1:9" x14ac:dyDescent="0.25">
      <c r="A4521" s="40" t="s">
        <v>166</v>
      </c>
      <c r="B4521" s="28">
        <v>9245</v>
      </c>
      <c r="C4521" s="28" t="s">
        <v>1217</v>
      </c>
      <c r="D4521" s="28"/>
      <c r="E4521" s="41">
        <v>46145</v>
      </c>
      <c r="F4521" s="47">
        <v>0.20986111111111111</v>
      </c>
      <c r="G4521" s="44">
        <v>6.3</v>
      </c>
      <c r="H4521" s="43" t="s">
        <v>235</v>
      </c>
      <c r="I4521" s="40" t="s">
        <v>1282</v>
      </c>
    </row>
    <row r="4522" spans="1:9" x14ac:dyDescent="0.25">
      <c r="A4522" s="40" t="s">
        <v>166</v>
      </c>
      <c r="B4522" s="28">
        <v>9245</v>
      </c>
      <c r="C4522" s="28" t="s">
        <v>1218</v>
      </c>
      <c r="D4522" s="28"/>
      <c r="E4522" s="41">
        <v>46145</v>
      </c>
      <c r="F4522" s="47">
        <v>0.28265046296296298</v>
      </c>
      <c r="G4522" s="44">
        <v>6.3</v>
      </c>
      <c r="H4522" s="43" t="s">
        <v>237</v>
      </c>
      <c r="I4522" s="40" t="s">
        <v>1282</v>
      </c>
    </row>
    <row r="4523" spans="1:9" x14ac:dyDescent="0.25">
      <c r="A4523" s="40" t="s">
        <v>166</v>
      </c>
      <c r="B4523" s="28">
        <v>9245</v>
      </c>
      <c r="C4523" s="28" t="s">
        <v>1218</v>
      </c>
      <c r="D4523" s="28"/>
      <c r="E4523" s="41">
        <v>46145</v>
      </c>
      <c r="F4523" s="47">
        <v>0.28752314814814817</v>
      </c>
      <c r="G4523" s="44">
        <v>6.3</v>
      </c>
      <c r="H4523" s="43" t="s">
        <v>234</v>
      </c>
      <c r="I4523" s="40" t="s">
        <v>1282</v>
      </c>
    </row>
    <row r="4524" spans="1:9" x14ac:dyDescent="0.25">
      <c r="A4524" s="40" t="s">
        <v>166</v>
      </c>
      <c r="B4524" s="28">
        <v>9245</v>
      </c>
      <c r="C4524" s="28" t="s">
        <v>1218</v>
      </c>
      <c r="D4524" s="28" t="s">
        <v>36</v>
      </c>
      <c r="E4524" s="41">
        <v>46145</v>
      </c>
      <c r="F4524" s="47">
        <v>0.32445601851851852</v>
      </c>
      <c r="G4524" s="44">
        <v>6.3</v>
      </c>
      <c r="H4524" s="43" t="s">
        <v>235</v>
      </c>
      <c r="I4524" s="40" t="s">
        <v>1282</v>
      </c>
    </row>
    <row r="4525" spans="1:9" x14ac:dyDescent="0.25">
      <c r="A4525" s="40" t="s">
        <v>166</v>
      </c>
      <c r="B4525" s="28">
        <v>9245</v>
      </c>
      <c r="C4525" s="28" t="s">
        <v>1218</v>
      </c>
      <c r="D4525" s="28" t="s">
        <v>36</v>
      </c>
      <c r="E4525" s="41">
        <v>46145</v>
      </c>
      <c r="F4525" s="47">
        <v>0.33048611111111109</v>
      </c>
      <c r="G4525" s="44">
        <v>6.3</v>
      </c>
      <c r="H4525" s="43" t="s">
        <v>236</v>
      </c>
      <c r="I4525" s="40" t="s">
        <v>1282</v>
      </c>
    </row>
    <row r="4526" spans="1:9" x14ac:dyDescent="0.25">
      <c r="A4526" s="40" t="s">
        <v>107</v>
      </c>
      <c r="B4526" s="28">
        <v>9259</v>
      </c>
      <c r="C4526" s="28">
        <v>5642652</v>
      </c>
      <c r="D4526" s="28"/>
      <c r="E4526" s="41">
        <v>46143</v>
      </c>
      <c r="F4526" s="47">
        <v>0.54114583333333333</v>
      </c>
      <c r="G4526" s="44">
        <v>6.3</v>
      </c>
      <c r="H4526" s="43" t="s">
        <v>235</v>
      </c>
      <c r="I4526" s="40" t="s">
        <v>1282</v>
      </c>
    </row>
    <row r="4527" spans="1:9" x14ac:dyDescent="0.25">
      <c r="A4527" s="40" t="s">
        <v>164</v>
      </c>
      <c r="B4527" s="28">
        <v>9333</v>
      </c>
      <c r="C4527" s="28">
        <v>5637484</v>
      </c>
      <c r="D4527" s="28"/>
      <c r="E4527" s="41">
        <v>46139</v>
      </c>
      <c r="F4527" s="47">
        <v>3.3067129629629627E-2</v>
      </c>
      <c r="G4527" s="44">
        <v>6.3</v>
      </c>
      <c r="H4527" s="43" t="s">
        <v>235</v>
      </c>
      <c r="I4527" s="40" t="s">
        <v>1281</v>
      </c>
    </row>
    <row r="4528" spans="1:9" x14ac:dyDescent="0.25">
      <c r="A4528" s="40" t="s">
        <v>164</v>
      </c>
      <c r="B4528" s="28">
        <v>9333</v>
      </c>
      <c r="C4528" s="28">
        <v>5637484</v>
      </c>
      <c r="D4528" s="28"/>
      <c r="E4528" s="41">
        <v>46139</v>
      </c>
      <c r="F4528" s="47">
        <v>3.9317129629629632E-2</v>
      </c>
      <c r="G4528" s="44">
        <v>6.3</v>
      </c>
      <c r="H4528" s="43" t="s">
        <v>236</v>
      </c>
      <c r="I4528" s="40" t="s">
        <v>1281</v>
      </c>
    </row>
    <row r="4529" spans="1:9" x14ac:dyDescent="0.25">
      <c r="A4529" s="40" t="s">
        <v>164</v>
      </c>
      <c r="B4529" s="28">
        <v>9333</v>
      </c>
      <c r="C4529" s="28">
        <v>5641888</v>
      </c>
      <c r="D4529" s="28"/>
      <c r="E4529" s="41">
        <v>46141</v>
      </c>
      <c r="F4529" s="47">
        <v>0.14109953703703704</v>
      </c>
      <c r="G4529" s="44">
        <v>6.3</v>
      </c>
      <c r="H4529" s="43" t="s">
        <v>237</v>
      </c>
      <c r="I4529" s="40" t="s">
        <v>1281</v>
      </c>
    </row>
    <row r="4530" spans="1:9" x14ac:dyDescent="0.25">
      <c r="A4530" s="40" t="s">
        <v>164</v>
      </c>
      <c r="B4530" s="28">
        <v>9333</v>
      </c>
      <c r="C4530" s="28">
        <v>5641888</v>
      </c>
      <c r="D4530" s="28"/>
      <c r="E4530" s="41">
        <v>46141</v>
      </c>
      <c r="F4530" s="47">
        <v>0.14612268518518517</v>
      </c>
      <c r="G4530" s="44">
        <v>6.3</v>
      </c>
      <c r="H4530" s="43" t="s">
        <v>234</v>
      </c>
      <c r="I4530" s="40" t="s">
        <v>1281</v>
      </c>
    </row>
    <row r="4531" spans="1:9" x14ac:dyDescent="0.25">
      <c r="A4531" s="40" t="s">
        <v>164</v>
      </c>
      <c r="B4531" s="28">
        <v>9333</v>
      </c>
      <c r="C4531" s="28">
        <v>5643492</v>
      </c>
      <c r="D4531" s="28"/>
      <c r="E4531" s="41">
        <v>46142</v>
      </c>
      <c r="F4531" s="47">
        <v>6.4583333333333333E-3</v>
      </c>
      <c r="G4531" s="44">
        <v>6.3</v>
      </c>
      <c r="H4531" s="43" t="s">
        <v>235</v>
      </c>
      <c r="I4531" s="40" t="s">
        <v>1281</v>
      </c>
    </row>
    <row r="4532" spans="1:9" x14ac:dyDescent="0.25">
      <c r="A4532" s="40" t="s">
        <v>164</v>
      </c>
      <c r="B4532" s="28">
        <v>9333</v>
      </c>
      <c r="C4532" s="28">
        <v>5643492</v>
      </c>
      <c r="D4532" s="28"/>
      <c r="E4532" s="41">
        <v>46142</v>
      </c>
      <c r="F4532" s="47">
        <v>1.6412037037037037E-2</v>
      </c>
      <c r="G4532" s="44">
        <v>6.3</v>
      </c>
      <c r="H4532" s="43" t="s">
        <v>236</v>
      </c>
      <c r="I4532" s="40" t="s">
        <v>1281</v>
      </c>
    </row>
    <row r="4533" spans="1:9" x14ac:dyDescent="0.25">
      <c r="A4533" s="38" t="s">
        <v>164</v>
      </c>
      <c r="B4533" s="28">
        <v>9333</v>
      </c>
      <c r="C4533" s="28">
        <v>5643645</v>
      </c>
      <c r="D4533" s="46" t="s">
        <v>37</v>
      </c>
      <c r="E4533" s="35">
        <v>46142</v>
      </c>
      <c r="F4533" s="49">
        <v>0.14694444444444443</v>
      </c>
      <c r="G4533" s="37">
        <v>6.3</v>
      </c>
      <c r="H4533" s="36" t="s">
        <v>237</v>
      </c>
      <c r="I4533" s="36" t="s">
        <v>1281</v>
      </c>
    </row>
    <row r="4534" spans="1:9" x14ac:dyDescent="0.25">
      <c r="A4534" s="38" t="s">
        <v>164</v>
      </c>
      <c r="B4534" s="28">
        <v>9333</v>
      </c>
      <c r="C4534" s="28">
        <v>5643645</v>
      </c>
      <c r="D4534" s="46" t="s">
        <v>37</v>
      </c>
      <c r="E4534" s="35">
        <v>46142</v>
      </c>
      <c r="F4534" s="49">
        <v>0.15208333333333332</v>
      </c>
      <c r="G4534" s="37">
        <v>6.3</v>
      </c>
      <c r="H4534" s="36" t="s">
        <v>234</v>
      </c>
      <c r="I4534" s="36" t="s">
        <v>1281</v>
      </c>
    </row>
    <row r="4535" spans="1:9" x14ac:dyDescent="0.25">
      <c r="A4535" s="38" t="s">
        <v>164</v>
      </c>
      <c r="B4535" s="28">
        <v>9333</v>
      </c>
      <c r="C4535" s="28">
        <v>5642533</v>
      </c>
      <c r="D4535" s="46"/>
      <c r="E4535" s="35">
        <v>46142</v>
      </c>
      <c r="F4535" s="49">
        <v>0.21962962962962962</v>
      </c>
      <c r="G4535" s="37">
        <v>6.3</v>
      </c>
      <c r="H4535" s="36" t="s">
        <v>237</v>
      </c>
      <c r="I4535" s="36" t="s">
        <v>1281</v>
      </c>
    </row>
    <row r="4536" spans="1:9" x14ac:dyDescent="0.25">
      <c r="A4536" s="38" t="s">
        <v>164</v>
      </c>
      <c r="B4536" s="28">
        <v>9333</v>
      </c>
      <c r="C4536" s="28">
        <v>5642533</v>
      </c>
      <c r="D4536" s="46"/>
      <c r="E4536" s="35">
        <v>46142</v>
      </c>
      <c r="F4536" s="49">
        <v>0.22515046296296296</v>
      </c>
      <c r="G4536" s="37">
        <v>6.3</v>
      </c>
      <c r="H4536" s="36" t="s">
        <v>234</v>
      </c>
      <c r="I4536" s="36" t="s">
        <v>1281</v>
      </c>
    </row>
    <row r="4537" spans="1:9" x14ac:dyDescent="0.25">
      <c r="A4537" s="38" t="s">
        <v>164</v>
      </c>
      <c r="B4537" s="28">
        <v>9333</v>
      </c>
      <c r="C4537" s="28" t="s">
        <v>1219</v>
      </c>
      <c r="D4537" s="46"/>
      <c r="E4537" s="35">
        <v>46142</v>
      </c>
      <c r="F4537" s="49">
        <v>0.89943287037037034</v>
      </c>
      <c r="G4537" s="37">
        <v>6.3</v>
      </c>
      <c r="H4537" s="36" t="s">
        <v>235</v>
      </c>
      <c r="I4537" s="36" t="s">
        <v>1281</v>
      </c>
    </row>
    <row r="4538" spans="1:9" x14ac:dyDescent="0.25">
      <c r="A4538" s="38" t="s">
        <v>164</v>
      </c>
      <c r="B4538" s="28">
        <v>9333</v>
      </c>
      <c r="C4538" s="28" t="s">
        <v>1219</v>
      </c>
      <c r="D4538" s="46"/>
      <c r="E4538" s="35">
        <v>46142</v>
      </c>
      <c r="F4538" s="49">
        <v>0.9082986111111111</v>
      </c>
      <c r="G4538" s="37">
        <v>6.3</v>
      </c>
      <c r="H4538" s="36" t="s">
        <v>236</v>
      </c>
      <c r="I4538" s="36" t="s">
        <v>1281</v>
      </c>
    </row>
    <row r="4539" spans="1:9" x14ac:dyDescent="0.25">
      <c r="A4539" s="38" t="s">
        <v>164</v>
      </c>
      <c r="B4539" s="28">
        <v>9333</v>
      </c>
      <c r="C4539" s="28">
        <v>5646045</v>
      </c>
      <c r="D4539" s="46"/>
      <c r="E4539" s="35">
        <v>46143</v>
      </c>
      <c r="F4539" s="49">
        <v>0.29795138888888889</v>
      </c>
      <c r="G4539" s="37">
        <v>6.3</v>
      </c>
      <c r="H4539" s="36" t="s">
        <v>235</v>
      </c>
      <c r="I4539" s="36" t="s">
        <v>1282</v>
      </c>
    </row>
    <row r="4540" spans="1:9" x14ac:dyDescent="0.25">
      <c r="A4540" s="38" t="s">
        <v>164</v>
      </c>
      <c r="B4540" s="28">
        <v>9333</v>
      </c>
      <c r="C4540" s="28">
        <v>5646045</v>
      </c>
      <c r="D4540" s="46"/>
      <c r="E4540" s="35">
        <v>46143</v>
      </c>
      <c r="F4540" s="49">
        <v>0.30453703703703705</v>
      </c>
      <c r="G4540" s="37">
        <v>6.3</v>
      </c>
      <c r="H4540" s="36" t="s">
        <v>239</v>
      </c>
      <c r="I4540" s="36" t="s">
        <v>1282</v>
      </c>
    </row>
    <row r="4541" spans="1:9" x14ac:dyDescent="0.25">
      <c r="A4541" s="38" t="s">
        <v>164</v>
      </c>
      <c r="B4541" s="28">
        <v>9333</v>
      </c>
      <c r="C4541" s="28">
        <v>5647915</v>
      </c>
      <c r="D4541" s="46"/>
      <c r="E4541" s="35">
        <v>46144</v>
      </c>
      <c r="F4541" s="49">
        <v>0.94473379629629628</v>
      </c>
      <c r="G4541" s="37">
        <v>6.3</v>
      </c>
      <c r="H4541" s="36" t="s">
        <v>236</v>
      </c>
      <c r="I4541" s="36" t="s">
        <v>1282</v>
      </c>
    </row>
    <row r="4542" spans="1:9" x14ac:dyDescent="0.25">
      <c r="A4542" s="38" t="s">
        <v>164</v>
      </c>
      <c r="B4542" s="28">
        <v>9333</v>
      </c>
      <c r="C4542" s="28">
        <v>5647857</v>
      </c>
      <c r="D4542" s="46"/>
      <c r="E4542" s="35">
        <v>46145</v>
      </c>
      <c r="F4542" s="49">
        <v>0.22261574074074075</v>
      </c>
      <c r="G4542" s="37">
        <v>6.3</v>
      </c>
      <c r="H4542" s="36" t="s">
        <v>235</v>
      </c>
      <c r="I4542" s="36" t="s">
        <v>1282</v>
      </c>
    </row>
    <row r="4543" spans="1:9" x14ac:dyDescent="0.25">
      <c r="A4543" s="38" t="s">
        <v>164</v>
      </c>
      <c r="B4543" s="28">
        <v>9333</v>
      </c>
      <c r="C4543" s="28">
        <v>5647857</v>
      </c>
      <c r="D4543" s="46"/>
      <c r="E4543" s="35">
        <v>46145</v>
      </c>
      <c r="F4543" s="49">
        <v>0.22976851851851851</v>
      </c>
      <c r="G4543" s="37">
        <v>6.3</v>
      </c>
      <c r="H4543" s="36" t="s">
        <v>236</v>
      </c>
      <c r="I4543" s="36" t="s">
        <v>1282</v>
      </c>
    </row>
    <row r="4544" spans="1:9" x14ac:dyDescent="0.25">
      <c r="A4544" s="38" t="s">
        <v>164</v>
      </c>
      <c r="B4544" s="28">
        <v>9333</v>
      </c>
      <c r="C4544" s="28" t="s">
        <v>1220</v>
      </c>
      <c r="D4544" s="46"/>
      <c r="E4544" s="35">
        <v>46145</v>
      </c>
      <c r="F4544" s="49">
        <v>0.34393518518518518</v>
      </c>
      <c r="G4544" s="37">
        <v>6.3</v>
      </c>
      <c r="H4544" s="36" t="s">
        <v>235</v>
      </c>
      <c r="I4544" s="36" t="s">
        <v>1282</v>
      </c>
    </row>
    <row r="4545" spans="1:9" x14ac:dyDescent="0.25">
      <c r="A4545" s="38" t="s">
        <v>164</v>
      </c>
      <c r="B4545" s="28">
        <v>9333</v>
      </c>
      <c r="C4545" s="28" t="s">
        <v>1220</v>
      </c>
      <c r="D4545" s="46"/>
      <c r="E4545" s="35">
        <v>46145</v>
      </c>
      <c r="F4545" s="49">
        <v>0.35303240740740743</v>
      </c>
      <c r="G4545" s="37">
        <v>6.3</v>
      </c>
      <c r="H4545" s="36" t="s">
        <v>236</v>
      </c>
      <c r="I4545" s="36" t="s">
        <v>1282</v>
      </c>
    </row>
    <row r="4546" spans="1:9" x14ac:dyDescent="0.25">
      <c r="A4546" s="38" t="s">
        <v>164</v>
      </c>
      <c r="B4546" s="28">
        <v>9333</v>
      </c>
      <c r="C4546" s="28">
        <v>5646639</v>
      </c>
      <c r="D4546" s="46"/>
      <c r="E4546" s="35">
        <v>46145</v>
      </c>
      <c r="F4546" s="49">
        <v>0.39572916666666669</v>
      </c>
      <c r="G4546" s="37">
        <v>6.3</v>
      </c>
      <c r="H4546" s="36" t="s">
        <v>237</v>
      </c>
      <c r="I4546" s="36" t="s">
        <v>1282</v>
      </c>
    </row>
    <row r="4547" spans="1:9" x14ac:dyDescent="0.25">
      <c r="A4547" s="38" t="s">
        <v>164</v>
      </c>
      <c r="B4547" s="28">
        <v>9333</v>
      </c>
      <c r="C4547" s="28">
        <v>5646639</v>
      </c>
      <c r="D4547" s="46"/>
      <c r="E4547" s="35">
        <v>46145</v>
      </c>
      <c r="F4547" s="49">
        <v>0.4019212962962963</v>
      </c>
      <c r="G4547" s="37">
        <v>6.3</v>
      </c>
      <c r="H4547" s="36" t="s">
        <v>234</v>
      </c>
      <c r="I4547" s="36" t="s">
        <v>1282</v>
      </c>
    </row>
    <row r="4548" spans="1:9" x14ac:dyDescent="0.25">
      <c r="A4548" s="38" t="s">
        <v>214</v>
      </c>
      <c r="B4548" s="28">
        <v>9334</v>
      </c>
      <c r="C4548" s="28">
        <v>10544356</v>
      </c>
      <c r="D4548" s="46"/>
      <c r="E4548" s="35">
        <v>46139</v>
      </c>
      <c r="F4548" s="49">
        <v>0.40717592592592594</v>
      </c>
      <c r="G4548" s="37">
        <v>6.3</v>
      </c>
      <c r="H4548" s="36" t="s">
        <v>237</v>
      </c>
      <c r="I4548" s="36" t="s">
        <v>1281</v>
      </c>
    </row>
    <row r="4549" spans="1:9" x14ac:dyDescent="0.25">
      <c r="A4549" s="38" t="s">
        <v>214</v>
      </c>
      <c r="B4549" s="28">
        <v>9334</v>
      </c>
      <c r="C4549" s="28">
        <v>10544356</v>
      </c>
      <c r="D4549" s="46"/>
      <c r="E4549" s="35">
        <v>46139</v>
      </c>
      <c r="F4549" s="49">
        <v>0.41396990740740741</v>
      </c>
      <c r="G4549" s="37">
        <v>6.3</v>
      </c>
      <c r="H4549" s="36" t="s">
        <v>234</v>
      </c>
      <c r="I4549" s="36" t="s">
        <v>1281</v>
      </c>
    </row>
    <row r="4550" spans="1:9" x14ac:dyDescent="0.25">
      <c r="A4550" s="38" t="s">
        <v>214</v>
      </c>
      <c r="B4550" s="28">
        <v>9334</v>
      </c>
      <c r="C4550" s="28" t="s">
        <v>35</v>
      </c>
      <c r="D4550" s="46" t="s">
        <v>38</v>
      </c>
      <c r="E4550" s="35">
        <v>46144</v>
      </c>
      <c r="F4550" s="49">
        <v>0.32591435185185186</v>
      </c>
      <c r="G4550" s="37">
        <v>6.3</v>
      </c>
      <c r="H4550" s="36" t="s">
        <v>238</v>
      </c>
      <c r="I4550" s="36" t="s">
        <v>1282</v>
      </c>
    </row>
    <row r="4551" spans="1:9" x14ac:dyDescent="0.25">
      <c r="A4551" s="38" t="s">
        <v>1221</v>
      </c>
      <c r="B4551" s="28">
        <v>9354</v>
      </c>
      <c r="C4551" s="28" t="s">
        <v>35</v>
      </c>
      <c r="D4551" s="46" t="s">
        <v>38</v>
      </c>
      <c r="E4551" s="35">
        <v>46143</v>
      </c>
      <c r="F4551" s="49">
        <v>2.7546296296296294E-3</v>
      </c>
      <c r="G4551" s="37">
        <v>6.3</v>
      </c>
      <c r="H4551" s="36" t="s">
        <v>233</v>
      </c>
      <c r="I4551" s="36" t="s">
        <v>1282</v>
      </c>
    </row>
    <row r="4552" spans="1:9" x14ac:dyDescent="0.25">
      <c r="A4552" s="38" t="s">
        <v>1221</v>
      </c>
      <c r="B4552" s="28">
        <v>9354</v>
      </c>
      <c r="C4552" s="28" t="s">
        <v>35</v>
      </c>
      <c r="D4552" s="46" t="s">
        <v>38</v>
      </c>
      <c r="E4552" s="35">
        <v>46145</v>
      </c>
      <c r="F4552" s="49">
        <v>0.5121296296296296</v>
      </c>
      <c r="G4552" s="37">
        <v>6.3</v>
      </c>
      <c r="H4552" s="36" t="s">
        <v>239</v>
      </c>
      <c r="I4552" s="36" t="s">
        <v>1282</v>
      </c>
    </row>
    <row r="4553" spans="1:9" x14ac:dyDescent="0.25">
      <c r="A4553" s="38" t="s">
        <v>1221</v>
      </c>
      <c r="B4553" s="28">
        <v>9354</v>
      </c>
      <c r="C4553" s="28" t="s">
        <v>35</v>
      </c>
      <c r="D4553" s="46" t="s">
        <v>38</v>
      </c>
      <c r="E4553" s="35">
        <v>46145</v>
      </c>
      <c r="F4553" s="49">
        <v>0.92268518518518516</v>
      </c>
      <c r="G4553" s="37">
        <v>6.3</v>
      </c>
      <c r="H4553" s="36" t="s">
        <v>233</v>
      </c>
      <c r="I4553" s="36" t="s">
        <v>1282</v>
      </c>
    </row>
    <row r="4554" spans="1:9" x14ac:dyDescent="0.25">
      <c r="A4554" s="38" t="s">
        <v>296</v>
      </c>
      <c r="B4554" s="28">
        <v>9376</v>
      </c>
      <c r="C4554" s="28" t="s">
        <v>35</v>
      </c>
      <c r="D4554" s="46" t="s">
        <v>38</v>
      </c>
      <c r="E4554" s="35">
        <v>46139</v>
      </c>
      <c r="F4554" s="49">
        <v>0.40056712962962965</v>
      </c>
      <c r="G4554" s="37">
        <v>6.3</v>
      </c>
      <c r="H4554" s="36" t="s">
        <v>234</v>
      </c>
      <c r="I4554" s="36" t="s">
        <v>1281</v>
      </c>
    </row>
    <row r="4555" spans="1:9" x14ac:dyDescent="0.25">
      <c r="A4555" s="38" t="s">
        <v>296</v>
      </c>
      <c r="B4555" s="28">
        <v>9376</v>
      </c>
      <c r="C4555" s="28" t="s">
        <v>1222</v>
      </c>
      <c r="D4555" s="46"/>
      <c r="E4555" s="35">
        <v>46139</v>
      </c>
      <c r="F4555" s="49">
        <v>0.55680555555555555</v>
      </c>
      <c r="G4555" s="37">
        <v>6.3</v>
      </c>
      <c r="H4555" s="36" t="s">
        <v>235</v>
      </c>
      <c r="I4555" s="36" t="s">
        <v>1281</v>
      </c>
    </row>
    <row r="4556" spans="1:9" x14ac:dyDescent="0.25">
      <c r="A4556" s="38" t="s">
        <v>296</v>
      </c>
      <c r="B4556" s="28">
        <v>9376</v>
      </c>
      <c r="C4556" s="28" t="s">
        <v>1222</v>
      </c>
      <c r="D4556" s="46"/>
      <c r="E4556" s="35">
        <v>46139</v>
      </c>
      <c r="F4556" s="49">
        <v>0.5659143518518519</v>
      </c>
      <c r="G4556" s="37">
        <v>6.3</v>
      </c>
      <c r="H4556" s="36" t="s">
        <v>236</v>
      </c>
      <c r="I4556" s="36" t="s">
        <v>1281</v>
      </c>
    </row>
    <row r="4557" spans="1:9" x14ac:dyDescent="0.25">
      <c r="A4557" s="38" t="s">
        <v>296</v>
      </c>
      <c r="B4557" s="28">
        <v>9376</v>
      </c>
      <c r="C4557" s="28" t="s">
        <v>1223</v>
      </c>
      <c r="D4557" s="46"/>
      <c r="E4557" s="35">
        <v>46139</v>
      </c>
      <c r="F4557" s="49">
        <v>0.68596064814814817</v>
      </c>
      <c r="G4557" s="37">
        <v>6.3</v>
      </c>
      <c r="H4557" s="36" t="s">
        <v>237</v>
      </c>
      <c r="I4557" s="36" t="s">
        <v>1281</v>
      </c>
    </row>
    <row r="4558" spans="1:9" x14ac:dyDescent="0.25">
      <c r="A4558" s="38" t="s">
        <v>296</v>
      </c>
      <c r="B4558" s="28">
        <v>9376</v>
      </c>
      <c r="C4558" s="28" t="s">
        <v>1223</v>
      </c>
      <c r="D4558" s="46"/>
      <c r="E4558" s="35">
        <v>46139</v>
      </c>
      <c r="F4558" s="49">
        <v>0.69763888888888892</v>
      </c>
      <c r="G4558" s="37">
        <v>6.3</v>
      </c>
      <c r="H4558" s="36" t="s">
        <v>234</v>
      </c>
      <c r="I4558" s="36" t="s">
        <v>1281</v>
      </c>
    </row>
    <row r="4559" spans="1:9" x14ac:dyDescent="0.25">
      <c r="A4559" s="38" t="s">
        <v>296</v>
      </c>
      <c r="B4559" s="28">
        <v>9376</v>
      </c>
      <c r="C4559" s="28" t="s">
        <v>35</v>
      </c>
      <c r="D4559" s="46" t="s">
        <v>38</v>
      </c>
      <c r="E4559" s="35">
        <v>46140</v>
      </c>
      <c r="F4559" s="49">
        <v>0.40760416666666666</v>
      </c>
      <c r="G4559" s="37">
        <v>6.3</v>
      </c>
      <c r="H4559" s="36" t="s">
        <v>234</v>
      </c>
      <c r="I4559" s="36" t="s">
        <v>1281</v>
      </c>
    </row>
    <row r="4560" spans="1:9" x14ac:dyDescent="0.25">
      <c r="A4560" s="38" t="s">
        <v>296</v>
      </c>
      <c r="B4560" s="28">
        <v>9376</v>
      </c>
      <c r="C4560" s="28">
        <v>5638986</v>
      </c>
      <c r="D4560" s="46"/>
      <c r="E4560" s="35">
        <v>46140</v>
      </c>
      <c r="F4560" s="49">
        <v>0.76984953703703707</v>
      </c>
      <c r="G4560" s="37">
        <v>6.3</v>
      </c>
      <c r="H4560" s="36" t="s">
        <v>235</v>
      </c>
      <c r="I4560" s="36" t="s">
        <v>1281</v>
      </c>
    </row>
    <row r="4561" spans="1:9" x14ac:dyDescent="0.25">
      <c r="A4561" s="38" t="s">
        <v>296</v>
      </c>
      <c r="B4561" s="28">
        <v>9376</v>
      </c>
      <c r="C4561" s="28">
        <v>5638986</v>
      </c>
      <c r="D4561" s="46"/>
      <c r="E4561" s="35">
        <v>46140</v>
      </c>
      <c r="F4561" s="49">
        <v>0.78186342592592595</v>
      </c>
      <c r="G4561" s="37">
        <v>6.3</v>
      </c>
      <c r="H4561" s="36" t="s">
        <v>236</v>
      </c>
      <c r="I4561" s="36" t="s">
        <v>1281</v>
      </c>
    </row>
    <row r="4562" spans="1:9" x14ac:dyDescent="0.25">
      <c r="A4562" s="38" t="s">
        <v>296</v>
      </c>
      <c r="B4562" s="28">
        <v>9376</v>
      </c>
      <c r="C4562" s="28" t="s">
        <v>35</v>
      </c>
      <c r="D4562" s="46" t="s">
        <v>38</v>
      </c>
      <c r="E4562" s="35">
        <v>46141</v>
      </c>
      <c r="F4562" s="49">
        <v>0.42072916666666665</v>
      </c>
      <c r="G4562" s="37">
        <v>6.3</v>
      </c>
      <c r="H4562" s="36" t="s">
        <v>234</v>
      </c>
      <c r="I4562" s="36" t="s">
        <v>1281</v>
      </c>
    </row>
    <row r="4563" spans="1:9" x14ac:dyDescent="0.25">
      <c r="A4563" s="38" t="s">
        <v>296</v>
      </c>
      <c r="B4563" s="28">
        <v>9376</v>
      </c>
      <c r="C4563" s="28">
        <v>10559195</v>
      </c>
      <c r="D4563" s="46"/>
      <c r="E4563" s="35">
        <v>46141</v>
      </c>
      <c r="F4563" s="49">
        <v>0.80015046296296299</v>
      </c>
      <c r="G4563" s="37">
        <v>6.3</v>
      </c>
      <c r="H4563" s="36" t="s">
        <v>235</v>
      </c>
      <c r="I4563" s="36" t="s">
        <v>1281</v>
      </c>
    </row>
    <row r="4564" spans="1:9" x14ac:dyDescent="0.25">
      <c r="A4564" s="38" t="s">
        <v>296</v>
      </c>
      <c r="B4564" s="28">
        <v>9376</v>
      </c>
      <c r="C4564" s="28" t="s">
        <v>35</v>
      </c>
      <c r="D4564" s="46" t="s">
        <v>38</v>
      </c>
      <c r="E4564" s="35">
        <v>46141</v>
      </c>
      <c r="F4564" s="49">
        <v>0.81677083333333333</v>
      </c>
      <c r="G4564" s="37">
        <v>6.3</v>
      </c>
      <c r="H4564" s="36" t="s">
        <v>236</v>
      </c>
      <c r="I4564" s="36" t="s">
        <v>1281</v>
      </c>
    </row>
    <row r="4565" spans="1:9" x14ac:dyDescent="0.25">
      <c r="A4565" s="38" t="s">
        <v>296</v>
      </c>
      <c r="B4565" s="28">
        <v>9376</v>
      </c>
      <c r="C4565" s="28" t="s">
        <v>35</v>
      </c>
      <c r="D4565" s="46" t="s">
        <v>38</v>
      </c>
      <c r="E4565" s="35">
        <v>46144</v>
      </c>
      <c r="F4565" s="49">
        <v>0.40784722222222225</v>
      </c>
      <c r="G4565" s="37">
        <v>6.3</v>
      </c>
      <c r="H4565" s="36" t="s">
        <v>234</v>
      </c>
      <c r="I4565" s="36" t="s">
        <v>1282</v>
      </c>
    </row>
    <row r="4566" spans="1:9" x14ac:dyDescent="0.25">
      <c r="A4566" s="38" t="s">
        <v>313</v>
      </c>
      <c r="B4566" s="28">
        <v>9377</v>
      </c>
      <c r="C4566" s="28" t="s">
        <v>1224</v>
      </c>
      <c r="D4566" s="46"/>
      <c r="E4566" s="35">
        <v>46140</v>
      </c>
      <c r="F4566" s="49">
        <v>0.24484953703703705</v>
      </c>
      <c r="G4566" s="37">
        <v>6.3</v>
      </c>
      <c r="H4566" s="36" t="s">
        <v>235</v>
      </c>
      <c r="I4566" s="36" t="s">
        <v>1281</v>
      </c>
    </row>
    <row r="4567" spans="1:9" x14ac:dyDescent="0.25">
      <c r="A4567" s="38" t="s">
        <v>313</v>
      </c>
      <c r="B4567" s="28">
        <v>9377</v>
      </c>
      <c r="C4567" s="28" t="s">
        <v>1224</v>
      </c>
      <c r="D4567" s="46"/>
      <c r="E4567" s="35">
        <v>46140</v>
      </c>
      <c r="F4567" s="49">
        <v>0.25557870370370372</v>
      </c>
      <c r="G4567" s="37">
        <v>6.3</v>
      </c>
      <c r="H4567" s="36" t="s">
        <v>239</v>
      </c>
      <c r="I4567" s="36" t="s">
        <v>1281</v>
      </c>
    </row>
    <row r="4568" spans="1:9" x14ac:dyDescent="0.25">
      <c r="A4568" s="38" t="s">
        <v>313</v>
      </c>
      <c r="B4568" s="28">
        <v>9377</v>
      </c>
      <c r="C4568" s="28">
        <v>5638395</v>
      </c>
      <c r="D4568" s="46"/>
      <c r="E4568" s="35">
        <v>46140</v>
      </c>
      <c r="F4568" s="49">
        <v>0.28456018518518517</v>
      </c>
      <c r="G4568" s="37">
        <v>6.3</v>
      </c>
      <c r="H4568" s="36" t="s">
        <v>237</v>
      </c>
      <c r="I4568" s="36" t="s">
        <v>1281</v>
      </c>
    </row>
    <row r="4569" spans="1:9" x14ac:dyDescent="0.25">
      <c r="A4569" s="38" t="s">
        <v>313</v>
      </c>
      <c r="B4569" s="28">
        <v>9377</v>
      </c>
      <c r="C4569" s="28">
        <v>5638395</v>
      </c>
      <c r="D4569" s="46"/>
      <c r="E4569" s="35">
        <v>46140</v>
      </c>
      <c r="F4569" s="49">
        <v>0.29112268518518519</v>
      </c>
      <c r="G4569" s="37">
        <v>6.3</v>
      </c>
      <c r="H4569" s="36" t="s">
        <v>234</v>
      </c>
      <c r="I4569" s="36" t="s">
        <v>1281</v>
      </c>
    </row>
    <row r="4570" spans="1:9" x14ac:dyDescent="0.25">
      <c r="A4570" s="38" t="s">
        <v>313</v>
      </c>
      <c r="B4570" s="28">
        <v>9377</v>
      </c>
      <c r="C4570" s="28">
        <v>5638410</v>
      </c>
      <c r="D4570" s="46"/>
      <c r="E4570" s="35">
        <v>46140</v>
      </c>
      <c r="F4570" s="49">
        <v>0.49015046296296294</v>
      </c>
      <c r="G4570" s="37">
        <v>6.3</v>
      </c>
      <c r="H4570" s="36" t="s">
        <v>237</v>
      </c>
      <c r="I4570" s="36" t="s">
        <v>1281</v>
      </c>
    </row>
    <row r="4571" spans="1:9" x14ac:dyDescent="0.25">
      <c r="A4571" s="38" t="s">
        <v>313</v>
      </c>
      <c r="B4571" s="28">
        <v>9377</v>
      </c>
      <c r="C4571" s="28">
        <v>5638410</v>
      </c>
      <c r="D4571" s="46"/>
      <c r="E4571" s="35">
        <v>46140</v>
      </c>
      <c r="F4571" s="49">
        <v>0.49781249999999999</v>
      </c>
      <c r="G4571" s="37">
        <v>6.3</v>
      </c>
      <c r="H4571" s="36" t="s">
        <v>234</v>
      </c>
      <c r="I4571" s="36" t="s">
        <v>1281</v>
      </c>
    </row>
    <row r="4572" spans="1:9" x14ac:dyDescent="0.25">
      <c r="A4572" s="38" t="s">
        <v>313</v>
      </c>
      <c r="B4572" s="28">
        <v>9377</v>
      </c>
      <c r="C4572" s="28">
        <v>5643203</v>
      </c>
      <c r="D4572" s="46"/>
      <c r="E4572" s="35">
        <v>46142</v>
      </c>
      <c r="F4572" s="49">
        <v>0.38624999999999998</v>
      </c>
      <c r="G4572" s="37">
        <v>6.3</v>
      </c>
      <c r="H4572" s="36" t="s">
        <v>235</v>
      </c>
      <c r="I4572" s="36" t="s">
        <v>1281</v>
      </c>
    </row>
    <row r="4573" spans="1:9" x14ac:dyDescent="0.25">
      <c r="A4573" s="38" t="s">
        <v>313</v>
      </c>
      <c r="B4573" s="28">
        <v>9377</v>
      </c>
      <c r="C4573" s="28">
        <v>5643203</v>
      </c>
      <c r="D4573" s="46"/>
      <c r="E4573" s="35">
        <v>46142</v>
      </c>
      <c r="F4573" s="49">
        <v>0.4079861111111111</v>
      </c>
      <c r="G4573" s="37">
        <v>6.3</v>
      </c>
      <c r="H4573" s="36" t="s">
        <v>236</v>
      </c>
      <c r="I4573" s="36" t="s">
        <v>1281</v>
      </c>
    </row>
    <row r="4574" spans="1:9" x14ac:dyDescent="0.25">
      <c r="A4574" s="38" t="s">
        <v>313</v>
      </c>
      <c r="B4574" s="28">
        <v>9377</v>
      </c>
      <c r="C4574" s="28">
        <v>5643384</v>
      </c>
      <c r="D4574" s="46"/>
      <c r="E4574" s="35">
        <v>46142</v>
      </c>
      <c r="F4574" s="49">
        <v>0.55385416666666665</v>
      </c>
      <c r="G4574" s="37">
        <v>6.3</v>
      </c>
      <c r="H4574" s="36" t="s">
        <v>235</v>
      </c>
      <c r="I4574" s="36" t="s">
        <v>1281</v>
      </c>
    </row>
    <row r="4575" spans="1:9" x14ac:dyDescent="0.25">
      <c r="A4575" s="38" t="s">
        <v>313</v>
      </c>
      <c r="B4575" s="28">
        <v>9377</v>
      </c>
      <c r="C4575" s="28">
        <v>5643384</v>
      </c>
      <c r="D4575" s="46"/>
      <c r="E4575" s="35">
        <v>46142</v>
      </c>
      <c r="F4575" s="49">
        <v>0.57094907407407403</v>
      </c>
      <c r="G4575" s="37">
        <v>6.3</v>
      </c>
      <c r="H4575" s="36" t="s">
        <v>239</v>
      </c>
      <c r="I4575" s="36" t="s">
        <v>1281</v>
      </c>
    </row>
    <row r="4576" spans="1:9" x14ac:dyDescent="0.25">
      <c r="A4576" s="38" t="s">
        <v>344</v>
      </c>
      <c r="B4576" s="28">
        <v>9424</v>
      </c>
      <c r="C4576" s="28" t="s">
        <v>35</v>
      </c>
      <c r="D4576" s="46" t="s">
        <v>38</v>
      </c>
      <c r="E4576" s="35">
        <v>46139</v>
      </c>
      <c r="F4576" s="49">
        <v>0.50462962962962965</v>
      </c>
      <c r="G4576" s="37">
        <v>6.3</v>
      </c>
      <c r="H4576" s="36" t="s">
        <v>233</v>
      </c>
      <c r="I4576" s="36" t="s">
        <v>1281</v>
      </c>
    </row>
    <row r="4577" spans="1:9" x14ac:dyDescent="0.25">
      <c r="A4577" s="38" t="s">
        <v>344</v>
      </c>
      <c r="B4577" s="28">
        <v>9424</v>
      </c>
      <c r="C4577" s="28" t="s">
        <v>35</v>
      </c>
      <c r="D4577" s="46" t="s">
        <v>38</v>
      </c>
      <c r="E4577" s="35">
        <v>46139</v>
      </c>
      <c r="F4577" s="49">
        <v>0.81678240740740737</v>
      </c>
      <c r="G4577" s="37">
        <v>6.3</v>
      </c>
      <c r="H4577" s="36" t="s">
        <v>236</v>
      </c>
      <c r="I4577" s="36" t="s">
        <v>1281</v>
      </c>
    </row>
    <row r="4578" spans="1:9" x14ac:dyDescent="0.25">
      <c r="A4578" s="38" t="s">
        <v>344</v>
      </c>
      <c r="B4578" s="28">
        <v>9424</v>
      </c>
      <c r="C4578" s="28" t="s">
        <v>35</v>
      </c>
      <c r="D4578" s="46" t="s">
        <v>38</v>
      </c>
      <c r="E4578" s="35">
        <v>46140</v>
      </c>
      <c r="F4578" s="49">
        <v>0.57172453703703707</v>
      </c>
      <c r="G4578" s="37">
        <v>6.3</v>
      </c>
      <c r="H4578" s="36" t="s">
        <v>233</v>
      </c>
      <c r="I4578" s="36" t="s">
        <v>1281</v>
      </c>
    </row>
    <row r="4579" spans="1:9" x14ac:dyDescent="0.25">
      <c r="A4579" s="38" t="s">
        <v>344</v>
      </c>
      <c r="B4579" s="28">
        <v>9424</v>
      </c>
      <c r="C4579" s="28" t="s">
        <v>35</v>
      </c>
      <c r="D4579" s="46" t="s">
        <v>38</v>
      </c>
      <c r="E4579" s="35">
        <v>46140</v>
      </c>
      <c r="F4579" s="49">
        <v>0.80337962962962961</v>
      </c>
      <c r="G4579" s="37">
        <v>6.3</v>
      </c>
      <c r="H4579" s="36" t="s">
        <v>236</v>
      </c>
      <c r="I4579" s="36" t="s">
        <v>1281</v>
      </c>
    </row>
    <row r="4580" spans="1:9" x14ac:dyDescent="0.25">
      <c r="A4580" s="38" t="s">
        <v>344</v>
      </c>
      <c r="B4580" s="28">
        <v>9424</v>
      </c>
      <c r="C4580" s="28">
        <v>5646806</v>
      </c>
      <c r="D4580" s="28"/>
      <c r="E4580" s="35">
        <v>46144</v>
      </c>
      <c r="F4580" s="49">
        <v>0.88775462962962959</v>
      </c>
      <c r="G4580" s="37">
        <v>6.3</v>
      </c>
      <c r="H4580" s="36" t="s">
        <v>237</v>
      </c>
      <c r="I4580" s="36" t="s">
        <v>1282</v>
      </c>
    </row>
    <row r="4581" spans="1:9" x14ac:dyDescent="0.25">
      <c r="A4581" s="38" t="s">
        <v>344</v>
      </c>
      <c r="B4581" s="28">
        <v>9424</v>
      </c>
      <c r="C4581" s="28">
        <v>5646806</v>
      </c>
      <c r="D4581" s="28"/>
      <c r="E4581" s="35">
        <v>46144</v>
      </c>
      <c r="F4581" s="49">
        <v>0.89280092592592597</v>
      </c>
      <c r="G4581" s="37">
        <v>6.3</v>
      </c>
      <c r="H4581" s="36" t="s">
        <v>234</v>
      </c>
      <c r="I4581" s="36" t="s">
        <v>1282</v>
      </c>
    </row>
    <row r="4582" spans="1:9" x14ac:dyDescent="0.25">
      <c r="A4582" s="38" t="s">
        <v>344</v>
      </c>
      <c r="B4582" s="28">
        <v>9424</v>
      </c>
      <c r="C4582" s="28">
        <v>10579970</v>
      </c>
      <c r="D4582" s="46"/>
      <c r="E4582" s="35">
        <v>46144</v>
      </c>
      <c r="F4582" s="49">
        <v>0.93945601851851857</v>
      </c>
      <c r="G4582" s="37">
        <v>6.3</v>
      </c>
      <c r="H4582" s="36" t="s">
        <v>235</v>
      </c>
      <c r="I4582" s="36" t="s">
        <v>1282</v>
      </c>
    </row>
    <row r="4583" spans="1:9" x14ac:dyDescent="0.25">
      <c r="A4583" s="38" t="s">
        <v>344</v>
      </c>
      <c r="B4583" s="28">
        <v>9424</v>
      </c>
      <c r="C4583" s="28">
        <v>10579970</v>
      </c>
      <c r="D4583" s="46"/>
      <c r="E4583" s="35">
        <v>46144</v>
      </c>
      <c r="F4583" s="49">
        <v>0.9470601851851852</v>
      </c>
      <c r="G4583" s="37">
        <v>6.3</v>
      </c>
      <c r="H4583" s="36" t="s">
        <v>236</v>
      </c>
      <c r="I4583" s="36" t="s">
        <v>1282</v>
      </c>
    </row>
    <row r="4584" spans="1:9" x14ac:dyDescent="0.25">
      <c r="A4584" s="38" t="s">
        <v>173</v>
      </c>
      <c r="B4584" s="28">
        <v>9434</v>
      </c>
      <c r="C4584" s="28">
        <v>5639458</v>
      </c>
      <c r="D4584" s="46"/>
      <c r="E4584" s="35">
        <v>46139</v>
      </c>
      <c r="F4584" s="49">
        <v>0.8964699074074074</v>
      </c>
      <c r="G4584" s="37">
        <v>6.3</v>
      </c>
      <c r="H4584" s="36" t="s">
        <v>235</v>
      </c>
      <c r="I4584" s="36" t="s">
        <v>1281</v>
      </c>
    </row>
    <row r="4585" spans="1:9" x14ac:dyDescent="0.25">
      <c r="A4585" s="38" t="s">
        <v>173</v>
      </c>
      <c r="B4585" s="28">
        <v>9434</v>
      </c>
      <c r="C4585" s="28">
        <v>5639458</v>
      </c>
      <c r="D4585" s="46"/>
      <c r="E4585" s="35">
        <v>46139</v>
      </c>
      <c r="F4585" s="49">
        <v>0.90416666666666667</v>
      </c>
      <c r="G4585" s="37">
        <v>6.3</v>
      </c>
      <c r="H4585" s="36" t="s">
        <v>236</v>
      </c>
      <c r="I4585" s="36" t="s">
        <v>1281</v>
      </c>
    </row>
    <row r="4586" spans="1:9" x14ac:dyDescent="0.25">
      <c r="A4586" s="38" t="s">
        <v>173</v>
      </c>
      <c r="B4586" s="28">
        <v>9434</v>
      </c>
      <c r="C4586" s="28" t="s">
        <v>35</v>
      </c>
      <c r="D4586" s="46" t="s">
        <v>38</v>
      </c>
      <c r="E4586" s="35">
        <v>46139</v>
      </c>
      <c r="F4586" s="49">
        <v>0.92166666666666663</v>
      </c>
      <c r="G4586" s="37">
        <v>6.3</v>
      </c>
      <c r="H4586" s="36" t="s">
        <v>237</v>
      </c>
      <c r="I4586" s="36" t="s">
        <v>1281</v>
      </c>
    </row>
    <row r="4587" spans="1:9" x14ac:dyDescent="0.25">
      <c r="A4587" s="38" t="s">
        <v>173</v>
      </c>
      <c r="B4587" s="28">
        <v>9434</v>
      </c>
      <c r="C4587" s="28" t="s">
        <v>35</v>
      </c>
      <c r="D4587" s="46" t="s">
        <v>38</v>
      </c>
      <c r="E4587" s="35">
        <v>46139</v>
      </c>
      <c r="F4587" s="49">
        <v>0.92723379629629632</v>
      </c>
      <c r="G4587" s="37">
        <v>6.3</v>
      </c>
      <c r="H4587" s="36" t="s">
        <v>234</v>
      </c>
      <c r="I4587" s="36" t="s">
        <v>1281</v>
      </c>
    </row>
    <row r="4588" spans="1:9" x14ac:dyDescent="0.25">
      <c r="A4588" s="38" t="s">
        <v>173</v>
      </c>
      <c r="B4588" s="28">
        <v>9434</v>
      </c>
      <c r="C4588" s="28">
        <v>5642456</v>
      </c>
      <c r="D4588" s="46"/>
      <c r="E4588" s="35">
        <v>46141</v>
      </c>
      <c r="F4588" s="49">
        <v>0.92964120370370373</v>
      </c>
      <c r="G4588" s="37">
        <v>6.3</v>
      </c>
      <c r="H4588" s="36" t="s">
        <v>235</v>
      </c>
      <c r="I4588" s="36" t="s">
        <v>1281</v>
      </c>
    </row>
    <row r="4589" spans="1:9" x14ac:dyDescent="0.25">
      <c r="A4589" s="38" t="s">
        <v>173</v>
      </c>
      <c r="B4589" s="28">
        <v>9434</v>
      </c>
      <c r="C4589" s="28">
        <v>5642456</v>
      </c>
      <c r="D4589" s="46"/>
      <c r="E4589" s="35">
        <v>46141</v>
      </c>
      <c r="F4589" s="49">
        <v>0.93825231481481486</v>
      </c>
      <c r="G4589" s="37">
        <v>6.3</v>
      </c>
      <c r="H4589" s="36" t="s">
        <v>236</v>
      </c>
      <c r="I4589" s="36" t="s">
        <v>1281</v>
      </c>
    </row>
    <row r="4590" spans="1:9" x14ac:dyDescent="0.25">
      <c r="A4590" s="38" t="s">
        <v>173</v>
      </c>
      <c r="B4590" s="28">
        <v>9434</v>
      </c>
      <c r="C4590" s="28" t="s">
        <v>35</v>
      </c>
      <c r="D4590" s="46" t="s">
        <v>38</v>
      </c>
      <c r="E4590" s="35">
        <v>46141</v>
      </c>
      <c r="F4590" s="49">
        <v>0.95583333333333331</v>
      </c>
      <c r="G4590" s="37">
        <v>6.3</v>
      </c>
      <c r="H4590" s="36" t="s">
        <v>237</v>
      </c>
      <c r="I4590" s="36" t="s">
        <v>1281</v>
      </c>
    </row>
    <row r="4591" spans="1:9" x14ac:dyDescent="0.25">
      <c r="A4591" s="38" t="s">
        <v>173</v>
      </c>
      <c r="B4591" s="28">
        <v>9434</v>
      </c>
      <c r="C4591" s="28" t="s">
        <v>35</v>
      </c>
      <c r="D4591" s="46" t="s">
        <v>38</v>
      </c>
      <c r="E4591" s="35">
        <v>46141</v>
      </c>
      <c r="F4591" s="49">
        <v>0.96103009259259264</v>
      </c>
      <c r="G4591" s="37">
        <v>6.3</v>
      </c>
      <c r="H4591" s="36" t="s">
        <v>234</v>
      </c>
      <c r="I4591" s="36" t="s">
        <v>1281</v>
      </c>
    </row>
    <row r="4592" spans="1:9" x14ac:dyDescent="0.25">
      <c r="A4592" s="38" t="s">
        <v>173</v>
      </c>
      <c r="B4592" s="28">
        <v>9434</v>
      </c>
      <c r="C4592" s="28" t="s">
        <v>1225</v>
      </c>
      <c r="D4592" s="46"/>
      <c r="E4592" s="35">
        <v>46143</v>
      </c>
      <c r="F4592" s="49">
        <v>0.1933449074074074</v>
      </c>
      <c r="G4592" s="37">
        <v>6.3</v>
      </c>
      <c r="H4592" s="36" t="s">
        <v>235</v>
      </c>
      <c r="I4592" s="36" t="s">
        <v>1282</v>
      </c>
    </row>
    <row r="4593" spans="1:9" x14ac:dyDescent="0.25">
      <c r="A4593" s="38" t="s">
        <v>173</v>
      </c>
      <c r="B4593" s="28">
        <v>9434</v>
      </c>
      <c r="C4593" s="28" t="s">
        <v>1225</v>
      </c>
      <c r="D4593" s="46"/>
      <c r="E4593" s="35">
        <v>46143</v>
      </c>
      <c r="F4593" s="49">
        <v>0.20157407407407407</v>
      </c>
      <c r="G4593" s="37">
        <v>6.3</v>
      </c>
      <c r="H4593" s="36" t="s">
        <v>236</v>
      </c>
      <c r="I4593" s="36" t="s">
        <v>1282</v>
      </c>
    </row>
    <row r="4594" spans="1:9" x14ac:dyDescent="0.25">
      <c r="A4594" s="38" t="s">
        <v>173</v>
      </c>
      <c r="B4594" s="28">
        <v>9434</v>
      </c>
      <c r="C4594" s="28" t="s">
        <v>35</v>
      </c>
      <c r="D4594" s="46" t="s">
        <v>38</v>
      </c>
      <c r="E4594" s="35">
        <v>46143</v>
      </c>
      <c r="F4594" s="49">
        <v>0.54076388888888893</v>
      </c>
      <c r="G4594" s="37">
        <v>6.3</v>
      </c>
      <c r="H4594" s="36" t="s">
        <v>234</v>
      </c>
      <c r="I4594" s="36" t="s">
        <v>1282</v>
      </c>
    </row>
    <row r="4595" spans="1:9" x14ac:dyDescent="0.25">
      <c r="A4595" s="38" t="s">
        <v>173</v>
      </c>
      <c r="B4595" s="28">
        <v>9434</v>
      </c>
      <c r="C4595" s="28">
        <v>5648414</v>
      </c>
      <c r="D4595" s="46"/>
      <c r="E4595" s="35">
        <v>46145</v>
      </c>
      <c r="F4595" s="49">
        <v>0.39339120370370373</v>
      </c>
      <c r="G4595" s="37">
        <v>6.3</v>
      </c>
      <c r="H4595" s="36" t="s">
        <v>235</v>
      </c>
      <c r="I4595" s="36" t="s">
        <v>1282</v>
      </c>
    </row>
    <row r="4596" spans="1:9" x14ac:dyDescent="0.25">
      <c r="A4596" s="38" t="s">
        <v>173</v>
      </c>
      <c r="B4596" s="28">
        <v>9434</v>
      </c>
      <c r="C4596" s="28">
        <v>5648414</v>
      </c>
      <c r="D4596" s="46"/>
      <c r="E4596" s="35">
        <v>46145</v>
      </c>
      <c r="F4596" s="49">
        <v>0.40241898148148147</v>
      </c>
      <c r="G4596" s="37">
        <v>6.3</v>
      </c>
      <c r="H4596" s="36" t="s">
        <v>236</v>
      </c>
      <c r="I4596" s="36" t="s">
        <v>1282</v>
      </c>
    </row>
    <row r="4597" spans="1:9" x14ac:dyDescent="0.25">
      <c r="A4597" s="38" t="s">
        <v>173</v>
      </c>
      <c r="B4597" s="28">
        <v>9434</v>
      </c>
      <c r="C4597" s="28" t="s">
        <v>35</v>
      </c>
      <c r="D4597" s="46" t="s">
        <v>38</v>
      </c>
      <c r="E4597" s="35">
        <v>46145</v>
      </c>
      <c r="F4597" s="49">
        <v>0.41623842592592591</v>
      </c>
      <c r="G4597" s="37">
        <v>6.3</v>
      </c>
      <c r="H4597" s="36" t="s">
        <v>237</v>
      </c>
      <c r="I4597" s="36" t="s">
        <v>1282</v>
      </c>
    </row>
    <row r="4598" spans="1:9" x14ac:dyDescent="0.25">
      <c r="A4598" s="38" t="s">
        <v>173</v>
      </c>
      <c r="B4598" s="28">
        <v>9434</v>
      </c>
      <c r="C4598" s="28" t="s">
        <v>35</v>
      </c>
      <c r="D4598" s="46" t="s">
        <v>38</v>
      </c>
      <c r="E4598" s="35">
        <v>46145</v>
      </c>
      <c r="F4598" s="49">
        <v>0.42230324074074072</v>
      </c>
      <c r="G4598" s="37">
        <v>6.3</v>
      </c>
      <c r="H4598" s="36" t="s">
        <v>234</v>
      </c>
      <c r="I4598" s="36" t="s">
        <v>1282</v>
      </c>
    </row>
    <row r="4599" spans="1:9" x14ac:dyDescent="0.25">
      <c r="A4599" s="38" t="s">
        <v>173</v>
      </c>
      <c r="B4599" s="28">
        <v>9434</v>
      </c>
      <c r="C4599" s="28">
        <v>5647892</v>
      </c>
      <c r="D4599" s="46"/>
      <c r="E4599" s="35">
        <v>46145</v>
      </c>
      <c r="F4599" s="49">
        <v>0.51359953703703709</v>
      </c>
      <c r="G4599" s="37">
        <v>6.3</v>
      </c>
      <c r="H4599" s="36" t="s">
        <v>235</v>
      </c>
      <c r="I4599" s="36" t="s">
        <v>1282</v>
      </c>
    </row>
    <row r="4600" spans="1:9" x14ac:dyDescent="0.25">
      <c r="A4600" s="38" t="s">
        <v>173</v>
      </c>
      <c r="B4600" s="28">
        <v>9434</v>
      </c>
      <c r="C4600" s="28">
        <v>5647892</v>
      </c>
      <c r="D4600" s="46"/>
      <c r="E4600" s="35">
        <v>46145</v>
      </c>
      <c r="F4600" s="49">
        <v>0.52119212962962957</v>
      </c>
      <c r="G4600" s="37">
        <v>6.3</v>
      </c>
      <c r="H4600" s="36" t="s">
        <v>236</v>
      </c>
      <c r="I4600" s="36" t="s">
        <v>1282</v>
      </c>
    </row>
    <row r="4601" spans="1:9" x14ac:dyDescent="0.25">
      <c r="A4601" s="38" t="s">
        <v>173</v>
      </c>
      <c r="B4601" s="28">
        <v>9434</v>
      </c>
      <c r="C4601" s="28" t="s">
        <v>35</v>
      </c>
      <c r="D4601" s="46" t="s">
        <v>38</v>
      </c>
      <c r="E4601" s="35">
        <v>46145</v>
      </c>
      <c r="F4601" s="49">
        <v>0.59496527777777775</v>
      </c>
      <c r="G4601" s="37">
        <v>6.3</v>
      </c>
      <c r="H4601" s="36" t="s">
        <v>237</v>
      </c>
      <c r="I4601" s="36" t="s">
        <v>1282</v>
      </c>
    </row>
    <row r="4602" spans="1:9" x14ac:dyDescent="0.25">
      <c r="A4602" s="38" t="s">
        <v>173</v>
      </c>
      <c r="B4602" s="28">
        <v>9434</v>
      </c>
      <c r="C4602" s="28" t="s">
        <v>35</v>
      </c>
      <c r="D4602" s="46" t="s">
        <v>38</v>
      </c>
      <c r="E4602" s="35">
        <v>46145</v>
      </c>
      <c r="F4602" s="49">
        <v>0.60047453703703701</v>
      </c>
      <c r="G4602" s="37">
        <v>6.3</v>
      </c>
      <c r="H4602" s="36" t="s">
        <v>234</v>
      </c>
      <c r="I4602" s="36" t="s">
        <v>1282</v>
      </c>
    </row>
    <row r="4603" spans="1:9" x14ac:dyDescent="0.25">
      <c r="A4603" s="38" t="s">
        <v>267</v>
      </c>
      <c r="B4603" s="28">
        <v>9470</v>
      </c>
      <c r="C4603" s="28">
        <v>5638219</v>
      </c>
      <c r="D4603" s="46"/>
      <c r="E4603" s="35">
        <v>46139</v>
      </c>
      <c r="F4603" s="49">
        <v>0.88677083333333329</v>
      </c>
      <c r="G4603" s="37">
        <v>6.3</v>
      </c>
      <c r="H4603" s="36" t="s">
        <v>239</v>
      </c>
      <c r="I4603" s="36" t="s">
        <v>1281</v>
      </c>
    </row>
    <row r="4604" spans="1:9" x14ac:dyDescent="0.25">
      <c r="A4604" s="38" t="s">
        <v>267</v>
      </c>
      <c r="B4604" s="28">
        <v>9470</v>
      </c>
      <c r="C4604" s="28">
        <v>5639545</v>
      </c>
      <c r="D4604" s="46"/>
      <c r="E4604" s="35">
        <v>46139</v>
      </c>
      <c r="F4604" s="49">
        <v>0.96899305555555559</v>
      </c>
      <c r="G4604" s="37">
        <v>6.3</v>
      </c>
      <c r="H4604" s="36" t="s">
        <v>237</v>
      </c>
      <c r="I4604" s="36" t="s">
        <v>1281</v>
      </c>
    </row>
    <row r="4605" spans="1:9" x14ac:dyDescent="0.25">
      <c r="A4605" s="38" t="s">
        <v>267</v>
      </c>
      <c r="B4605" s="28">
        <v>9470</v>
      </c>
      <c r="C4605" s="28" t="s">
        <v>35</v>
      </c>
      <c r="D4605" s="46" t="s">
        <v>38</v>
      </c>
      <c r="E4605" s="35">
        <v>46140</v>
      </c>
      <c r="F4605" s="49">
        <v>0.27519675925925924</v>
      </c>
      <c r="G4605" s="37">
        <v>6.3</v>
      </c>
      <c r="H4605" s="36" t="s">
        <v>235</v>
      </c>
      <c r="I4605" s="36" t="s">
        <v>1281</v>
      </c>
    </row>
    <row r="4606" spans="1:9" x14ac:dyDescent="0.25">
      <c r="A4606" s="38" t="s">
        <v>267</v>
      </c>
      <c r="B4606" s="28">
        <v>9470</v>
      </c>
      <c r="C4606" s="28">
        <v>5642907</v>
      </c>
      <c r="D4606" s="46"/>
      <c r="E4606" s="35">
        <v>46141</v>
      </c>
      <c r="F4606" s="49">
        <v>0.7082060185185185</v>
      </c>
      <c r="G4606" s="37">
        <v>6.3</v>
      </c>
      <c r="H4606" s="36" t="s">
        <v>236</v>
      </c>
      <c r="I4606" s="36" t="s">
        <v>1281</v>
      </c>
    </row>
    <row r="4607" spans="1:9" x14ac:dyDescent="0.25">
      <c r="A4607" s="38" t="s">
        <v>267</v>
      </c>
      <c r="B4607" s="28">
        <v>9470</v>
      </c>
      <c r="C4607" s="28">
        <v>5642253</v>
      </c>
      <c r="D4607" s="46"/>
      <c r="E4607" s="35">
        <v>46141</v>
      </c>
      <c r="F4607" s="49">
        <v>0.84768518518518521</v>
      </c>
      <c r="G4607" s="37">
        <v>6.3</v>
      </c>
      <c r="H4607" s="36" t="s">
        <v>238</v>
      </c>
      <c r="I4607" s="36" t="s">
        <v>1281</v>
      </c>
    </row>
    <row r="4608" spans="1:9" x14ac:dyDescent="0.25">
      <c r="A4608" s="38" t="s">
        <v>267</v>
      </c>
      <c r="B4608" s="28">
        <v>9470</v>
      </c>
      <c r="C4608" s="28" t="s">
        <v>35</v>
      </c>
      <c r="D4608" s="46" t="s">
        <v>38</v>
      </c>
      <c r="E4608" s="35">
        <v>46142</v>
      </c>
      <c r="F4608" s="49">
        <v>0.25361111111111112</v>
      </c>
      <c r="G4608" s="37">
        <v>6.3</v>
      </c>
      <c r="H4608" s="36" t="s">
        <v>235</v>
      </c>
      <c r="I4608" s="36" t="s">
        <v>1281</v>
      </c>
    </row>
    <row r="4609" spans="1:9" x14ac:dyDescent="0.25">
      <c r="A4609" s="38" t="s">
        <v>267</v>
      </c>
      <c r="B4609" s="28">
        <v>9470</v>
      </c>
      <c r="C4609" s="28">
        <v>5648174</v>
      </c>
      <c r="D4609" s="46"/>
      <c r="E4609" s="35">
        <v>46144</v>
      </c>
      <c r="F4609" s="49">
        <v>0.91892361111111109</v>
      </c>
      <c r="G4609" s="37">
        <v>6.3</v>
      </c>
      <c r="H4609" s="36" t="s">
        <v>233</v>
      </c>
      <c r="I4609" s="36" t="s">
        <v>1282</v>
      </c>
    </row>
    <row r="4610" spans="1:9" x14ac:dyDescent="0.25">
      <c r="A4610" s="38" t="s">
        <v>208</v>
      </c>
      <c r="B4610" s="28">
        <v>9480</v>
      </c>
      <c r="C4610" s="28">
        <v>10544353</v>
      </c>
      <c r="D4610" s="46"/>
      <c r="E4610" s="35">
        <v>46139</v>
      </c>
      <c r="F4610" s="49">
        <v>0.57831018518518518</v>
      </c>
      <c r="G4610" s="37">
        <v>6.3</v>
      </c>
      <c r="H4610" s="36" t="s">
        <v>234</v>
      </c>
      <c r="I4610" s="36" t="s">
        <v>1281</v>
      </c>
    </row>
    <row r="4611" spans="1:9" x14ac:dyDescent="0.25">
      <c r="A4611" s="38" t="s">
        <v>208</v>
      </c>
      <c r="B4611" s="28">
        <v>9480</v>
      </c>
      <c r="C4611" s="28" t="s">
        <v>1226</v>
      </c>
      <c r="D4611" s="46"/>
      <c r="E4611" s="35">
        <v>46140</v>
      </c>
      <c r="F4611" s="49">
        <v>2.4085648148148148E-2</v>
      </c>
      <c r="G4611" s="37">
        <v>6.3</v>
      </c>
      <c r="H4611" s="36" t="s">
        <v>235</v>
      </c>
      <c r="I4611" s="36" t="s">
        <v>1281</v>
      </c>
    </row>
    <row r="4612" spans="1:9" x14ac:dyDescent="0.25">
      <c r="A4612" s="38" t="s">
        <v>208</v>
      </c>
      <c r="B4612" s="28">
        <v>9480</v>
      </c>
      <c r="C4612" s="28" t="s">
        <v>1226</v>
      </c>
      <c r="D4612" s="46"/>
      <c r="E4612" s="35">
        <v>46140</v>
      </c>
      <c r="F4612" s="49">
        <v>3.0416666666666668E-2</v>
      </c>
      <c r="G4612" s="37">
        <v>6.3</v>
      </c>
      <c r="H4612" s="36" t="s">
        <v>236</v>
      </c>
      <c r="I4612" s="36" t="s">
        <v>1281</v>
      </c>
    </row>
    <row r="4613" spans="1:9" x14ac:dyDescent="0.25">
      <c r="A4613" s="38" t="s">
        <v>208</v>
      </c>
      <c r="B4613" s="28">
        <v>9480</v>
      </c>
      <c r="C4613" s="28" t="s">
        <v>35</v>
      </c>
      <c r="D4613" s="46" t="s">
        <v>38</v>
      </c>
      <c r="E4613" s="35">
        <v>46140</v>
      </c>
      <c r="F4613" s="49">
        <v>4.8344907407407406E-2</v>
      </c>
      <c r="G4613" s="37">
        <v>6.3</v>
      </c>
      <c r="H4613" s="36" t="s">
        <v>237</v>
      </c>
      <c r="I4613" s="36" t="s">
        <v>1281</v>
      </c>
    </row>
    <row r="4614" spans="1:9" x14ac:dyDescent="0.25">
      <c r="A4614" s="38" t="s">
        <v>208</v>
      </c>
      <c r="B4614" s="28">
        <v>9480</v>
      </c>
      <c r="C4614" s="28" t="s">
        <v>1227</v>
      </c>
      <c r="D4614" s="46"/>
      <c r="E4614" s="35">
        <v>46140</v>
      </c>
      <c r="F4614" s="49">
        <v>0.57247685185185182</v>
      </c>
      <c r="G4614" s="37">
        <v>6.3</v>
      </c>
      <c r="H4614" s="36" t="s">
        <v>234</v>
      </c>
      <c r="I4614" s="36" t="s">
        <v>1281</v>
      </c>
    </row>
    <row r="4615" spans="1:9" x14ac:dyDescent="0.25">
      <c r="A4615" s="38" t="s">
        <v>208</v>
      </c>
      <c r="B4615" s="28">
        <v>9480</v>
      </c>
      <c r="C4615" s="28" t="s">
        <v>1227</v>
      </c>
      <c r="D4615" s="46" t="s">
        <v>36</v>
      </c>
      <c r="E4615" s="35">
        <v>46140</v>
      </c>
      <c r="F4615" s="49">
        <v>0.60424768518518523</v>
      </c>
      <c r="G4615" s="37">
        <v>6.3</v>
      </c>
      <c r="H4615" s="36" t="s">
        <v>235</v>
      </c>
      <c r="I4615" s="36" t="s">
        <v>1281</v>
      </c>
    </row>
    <row r="4616" spans="1:9" x14ac:dyDescent="0.25">
      <c r="A4616" s="38" t="s">
        <v>208</v>
      </c>
      <c r="B4616" s="28">
        <v>9480</v>
      </c>
      <c r="C4616" s="28" t="s">
        <v>1228</v>
      </c>
      <c r="D4616" s="46"/>
      <c r="E4616" s="35">
        <v>46140</v>
      </c>
      <c r="F4616" s="49">
        <v>0.70383101851851848</v>
      </c>
      <c r="G4616" s="37">
        <v>6.3</v>
      </c>
      <c r="H4616" s="36" t="s">
        <v>234</v>
      </c>
      <c r="I4616" s="36" t="s">
        <v>1281</v>
      </c>
    </row>
    <row r="4617" spans="1:9" x14ac:dyDescent="0.25">
      <c r="A4617" s="38" t="s">
        <v>208</v>
      </c>
      <c r="B4617" s="28">
        <v>9480</v>
      </c>
      <c r="C4617" s="28" t="s">
        <v>1229</v>
      </c>
      <c r="D4617" s="46"/>
      <c r="E4617" s="35">
        <v>46140</v>
      </c>
      <c r="F4617" s="49">
        <v>0.75574074074074071</v>
      </c>
      <c r="G4617" s="37">
        <v>6.3</v>
      </c>
      <c r="H4617" s="36" t="s">
        <v>235</v>
      </c>
      <c r="I4617" s="36" t="s">
        <v>1281</v>
      </c>
    </row>
    <row r="4618" spans="1:9" x14ac:dyDescent="0.25">
      <c r="A4618" s="38" t="s">
        <v>208</v>
      </c>
      <c r="B4618" s="28">
        <v>9480</v>
      </c>
      <c r="C4618" s="28" t="s">
        <v>1230</v>
      </c>
      <c r="D4618" s="46"/>
      <c r="E4618" s="35">
        <v>46140</v>
      </c>
      <c r="F4618" s="49">
        <v>0.90790509259259256</v>
      </c>
      <c r="G4618" s="37">
        <v>6.3</v>
      </c>
      <c r="H4618" s="36" t="s">
        <v>235</v>
      </c>
      <c r="I4618" s="36" t="s">
        <v>1281</v>
      </c>
    </row>
    <row r="4619" spans="1:9" x14ac:dyDescent="0.25">
      <c r="A4619" s="38" t="s">
        <v>208</v>
      </c>
      <c r="B4619" s="28">
        <v>9480</v>
      </c>
      <c r="C4619" s="28" t="s">
        <v>1230</v>
      </c>
      <c r="D4619" s="28"/>
      <c r="E4619" s="35">
        <v>46140</v>
      </c>
      <c r="F4619" s="49">
        <v>0.91619212962962959</v>
      </c>
      <c r="G4619" s="37">
        <v>6.3</v>
      </c>
      <c r="H4619" s="36" t="s">
        <v>236</v>
      </c>
      <c r="I4619" s="36" t="s">
        <v>1281</v>
      </c>
    </row>
    <row r="4620" spans="1:9" x14ac:dyDescent="0.25">
      <c r="A4620" s="38" t="s">
        <v>208</v>
      </c>
      <c r="B4620" s="28">
        <v>9480</v>
      </c>
      <c r="C4620" s="28" t="s">
        <v>35</v>
      </c>
      <c r="D4620" s="46" t="s">
        <v>38</v>
      </c>
      <c r="E4620" s="35">
        <v>46140</v>
      </c>
      <c r="F4620" s="49">
        <v>0.94265046296296295</v>
      </c>
      <c r="G4620" s="37">
        <v>6.3</v>
      </c>
      <c r="H4620" s="36" t="s">
        <v>237</v>
      </c>
      <c r="I4620" s="36" t="s">
        <v>1281</v>
      </c>
    </row>
    <row r="4621" spans="1:9" x14ac:dyDescent="0.25">
      <c r="A4621" s="38" t="s">
        <v>208</v>
      </c>
      <c r="B4621" s="28">
        <v>9480</v>
      </c>
      <c r="C4621" s="28" t="s">
        <v>35</v>
      </c>
      <c r="D4621" s="46" t="s">
        <v>38</v>
      </c>
      <c r="E4621" s="35">
        <v>46140</v>
      </c>
      <c r="F4621" s="49">
        <v>0.94825231481481487</v>
      </c>
      <c r="G4621" s="37">
        <v>6.3</v>
      </c>
      <c r="H4621" s="36" t="s">
        <v>234</v>
      </c>
      <c r="I4621" s="36" t="s">
        <v>1281</v>
      </c>
    </row>
    <row r="4622" spans="1:9" x14ac:dyDescent="0.25">
      <c r="A4622" s="38" t="s">
        <v>208</v>
      </c>
      <c r="B4622" s="28">
        <v>9480</v>
      </c>
      <c r="C4622" s="28" t="s">
        <v>35</v>
      </c>
      <c r="D4622" s="46" t="s">
        <v>38</v>
      </c>
      <c r="E4622" s="35">
        <v>46141</v>
      </c>
      <c r="F4622" s="49">
        <v>0.69302083333333331</v>
      </c>
      <c r="G4622" s="37">
        <v>6.3</v>
      </c>
      <c r="H4622" s="36" t="s">
        <v>238</v>
      </c>
      <c r="I4622" s="36" t="s">
        <v>1281</v>
      </c>
    </row>
    <row r="4623" spans="1:9" x14ac:dyDescent="0.25">
      <c r="A4623" s="38" t="s">
        <v>208</v>
      </c>
      <c r="B4623" s="28">
        <v>9480</v>
      </c>
      <c r="C4623" s="28" t="s">
        <v>35</v>
      </c>
      <c r="D4623" s="46" t="s">
        <v>38</v>
      </c>
      <c r="E4623" s="35">
        <v>46141</v>
      </c>
      <c r="F4623" s="49">
        <v>0.70195601851851852</v>
      </c>
      <c r="G4623" s="37">
        <v>6.3</v>
      </c>
      <c r="H4623" s="36" t="s">
        <v>234</v>
      </c>
      <c r="I4623" s="36" t="s">
        <v>1281</v>
      </c>
    </row>
    <row r="4624" spans="1:9" x14ac:dyDescent="0.25">
      <c r="A4624" s="38" t="s">
        <v>208</v>
      </c>
      <c r="B4624" s="28">
        <v>9480</v>
      </c>
      <c r="C4624" s="28" t="s">
        <v>1231</v>
      </c>
      <c r="D4624" s="46"/>
      <c r="E4624" s="35">
        <v>46141</v>
      </c>
      <c r="F4624" s="49">
        <v>0.75048611111111108</v>
      </c>
      <c r="G4624" s="37">
        <v>6.3</v>
      </c>
      <c r="H4624" s="36" t="s">
        <v>235</v>
      </c>
      <c r="I4624" s="36" t="s">
        <v>1281</v>
      </c>
    </row>
    <row r="4625" spans="1:9" x14ac:dyDescent="0.25">
      <c r="A4625" s="38" t="s">
        <v>208</v>
      </c>
      <c r="B4625" s="28">
        <v>9480</v>
      </c>
      <c r="C4625" s="28" t="s">
        <v>1231</v>
      </c>
      <c r="D4625" s="46"/>
      <c r="E4625" s="35">
        <v>46141</v>
      </c>
      <c r="F4625" s="49">
        <v>0.76892361111111107</v>
      </c>
      <c r="G4625" s="37">
        <v>6.3</v>
      </c>
      <c r="H4625" s="36" t="s">
        <v>239</v>
      </c>
      <c r="I4625" s="36" t="s">
        <v>1281</v>
      </c>
    </row>
    <row r="4626" spans="1:9" x14ac:dyDescent="0.25">
      <c r="A4626" s="38" t="s">
        <v>208</v>
      </c>
      <c r="B4626" s="28">
        <v>9480</v>
      </c>
      <c r="C4626" s="28" t="s">
        <v>1232</v>
      </c>
      <c r="D4626" s="46"/>
      <c r="E4626" s="35">
        <v>46141</v>
      </c>
      <c r="F4626" s="49">
        <v>0.81822916666666667</v>
      </c>
      <c r="G4626" s="37">
        <v>6.3</v>
      </c>
      <c r="H4626" s="36" t="s">
        <v>237</v>
      </c>
      <c r="I4626" s="36" t="s">
        <v>1281</v>
      </c>
    </row>
    <row r="4627" spans="1:9" x14ac:dyDescent="0.25">
      <c r="A4627" s="38" t="s">
        <v>208</v>
      </c>
      <c r="B4627" s="28">
        <v>9480</v>
      </c>
      <c r="C4627" s="28" t="s">
        <v>1232</v>
      </c>
      <c r="D4627" s="46"/>
      <c r="E4627" s="35">
        <v>46141</v>
      </c>
      <c r="F4627" s="49">
        <v>0.83432870370370371</v>
      </c>
      <c r="G4627" s="37">
        <v>6.3</v>
      </c>
      <c r="H4627" s="36" t="s">
        <v>234</v>
      </c>
      <c r="I4627" s="36" t="s">
        <v>1281</v>
      </c>
    </row>
    <row r="4628" spans="1:9" x14ac:dyDescent="0.25">
      <c r="A4628" s="38" t="s">
        <v>208</v>
      </c>
      <c r="B4628" s="28">
        <v>9480</v>
      </c>
      <c r="C4628" s="28" t="s">
        <v>1233</v>
      </c>
      <c r="D4628" s="46"/>
      <c r="E4628" s="35">
        <v>46141</v>
      </c>
      <c r="F4628" s="49">
        <v>0.89310185185185187</v>
      </c>
      <c r="G4628" s="37">
        <v>6.3</v>
      </c>
      <c r="H4628" s="36" t="s">
        <v>235</v>
      </c>
      <c r="I4628" s="36" t="s">
        <v>1281</v>
      </c>
    </row>
    <row r="4629" spans="1:9" x14ac:dyDescent="0.25">
      <c r="A4629" s="38" t="s">
        <v>208</v>
      </c>
      <c r="B4629" s="28">
        <v>9480</v>
      </c>
      <c r="C4629" s="28" t="s">
        <v>1234</v>
      </c>
      <c r="D4629" s="46"/>
      <c r="E4629" s="35">
        <v>46141</v>
      </c>
      <c r="F4629" s="49">
        <v>0.96561342592592592</v>
      </c>
      <c r="G4629" s="37">
        <v>6.3</v>
      </c>
      <c r="H4629" s="36" t="s">
        <v>234</v>
      </c>
      <c r="I4629" s="36" t="s">
        <v>1281</v>
      </c>
    </row>
    <row r="4630" spans="1:9" x14ac:dyDescent="0.25">
      <c r="A4630" s="38" t="s">
        <v>208</v>
      </c>
      <c r="B4630" s="28">
        <v>9480</v>
      </c>
      <c r="C4630" s="28">
        <v>5640840</v>
      </c>
      <c r="D4630" s="46"/>
      <c r="E4630" s="35">
        <v>46142</v>
      </c>
      <c r="F4630" s="49">
        <v>2.0057870370370372E-2</v>
      </c>
      <c r="G4630" s="37">
        <v>6.3</v>
      </c>
      <c r="H4630" s="36" t="s">
        <v>235</v>
      </c>
      <c r="I4630" s="36" t="s">
        <v>1281</v>
      </c>
    </row>
    <row r="4631" spans="1:9" x14ac:dyDescent="0.25">
      <c r="A4631" s="38" t="s">
        <v>208</v>
      </c>
      <c r="B4631" s="28">
        <v>9480</v>
      </c>
      <c r="C4631" s="28">
        <v>10571202</v>
      </c>
      <c r="D4631" s="46"/>
      <c r="E4631" s="35">
        <v>46142</v>
      </c>
      <c r="F4631" s="49">
        <v>0.5905555555555555</v>
      </c>
      <c r="G4631" s="37">
        <v>6.3</v>
      </c>
      <c r="H4631" s="36" t="s">
        <v>234</v>
      </c>
      <c r="I4631" s="36" t="s">
        <v>1281</v>
      </c>
    </row>
    <row r="4632" spans="1:9" x14ac:dyDescent="0.25">
      <c r="A4632" s="38" t="s">
        <v>208</v>
      </c>
      <c r="B4632" s="28">
        <v>9480</v>
      </c>
      <c r="C4632" s="28">
        <v>5642775</v>
      </c>
      <c r="D4632" s="46"/>
      <c r="E4632" s="35">
        <v>46142</v>
      </c>
      <c r="F4632" s="49">
        <v>0.70186342592592588</v>
      </c>
      <c r="G4632" s="37">
        <v>6.3</v>
      </c>
      <c r="H4632" s="36" t="s">
        <v>234</v>
      </c>
      <c r="I4632" s="36" t="s">
        <v>1281</v>
      </c>
    </row>
    <row r="4633" spans="1:9" x14ac:dyDescent="0.25">
      <c r="A4633" s="38" t="s">
        <v>208</v>
      </c>
      <c r="B4633" s="28">
        <v>9480</v>
      </c>
      <c r="C4633" s="28" t="s">
        <v>1235</v>
      </c>
      <c r="D4633" s="46"/>
      <c r="E4633" s="35">
        <v>46142</v>
      </c>
      <c r="F4633" s="49">
        <v>0.75973379629629634</v>
      </c>
      <c r="G4633" s="37">
        <v>6.3</v>
      </c>
      <c r="H4633" s="36" t="s">
        <v>235</v>
      </c>
      <c r="I4633" s="36" t="s">
        <v>1281</v>
      </c>
    </row>
    <row r="4634" spans="1:9" x14ac:dyDescent="0.25">
      <c r="A4634" s="38" t="s">
        <v>208</v>
      </c>
      <c r="B4634" s="28">
        <v>9480</v>
      </c>
      <c r="C4634" s="28" t="s">
        <v>1235</v>
      </c>
      <c r="D4634" s="46"/>
      <c r="E4634" s="35">
        <v>46142</v>
      </c>
      <c r="F4634" s="49">
        <v>0.77293981481481477</v>
      </c>
      <c r="G4634" s="37">
        <v>6.3</v>
      </c>
      <c r="H4634" s="36" t="s">
        <v>236</v>
      </c>
      <c r="I4634" s="36" t="s">
        <v>1282</v>
      </c>
    </row>
    <row r="4635" spans="1:9" x14ac:dyDescent="0.25">
      <c r="A4635" s="38" t="s">
        <v>208</v>
      </c>
      <c r="B4635" s="28">
        <v>9480</v>
      </c>
      <c r="C4635" s="28" t="s">
        <v>1236</v>
      </c>
      <c r="D4635" s="46"/>
      <c r="E4635" s="35">
        <v>46144</v>
      </c>
      <c r="F4635" s="49">
        <v>0.2287962962962963</v>
      </c>
      <c r="G4635" s="37">
        <v>6.3</v>
      </c>
      <c r="H4635" s="36" t="s">
        <v>234</v>
      </c>
      <c r="I4635" s="36" t="s">
        <v>1282</v>
      </c>
    </row>
    <row r="4636" spans="1:9" x14ac:dyDescent="0.25">
      <c r="A4636" s="38" t="s">
        <v>174</v>
      </c>
      <c r="B4636" s="28">
        <v>9490</v>
      </c>
      <c r="C4636" s="28">
        <v>5641516</v>
      </c>
      <c r="D4636" s="46"/>
      <c r="E4636" s="35">
        <v>46141</v>
      </c>
      <c r="F4636" s="49">
        <v>0.40878472222222223</v>
      </c>
      <c r="G4636" s="37">
        <v>6.3</v>
      </c>
      <c r="H4636" s="36" t="s">
        <v>235</v>
      </c>
      <c r="I4636" s="36" t="s">
        <v>1281</v>
      </c>
    </row>
    <row r="4637" spans="1:9" x14ac:dyDescent="0.25">
      <c r="A4637" s="38" t="s">
        <v>174</v>
      </c>
      <c r="B4637" s="28">
        <v>9490</v>
      </c>
      <c r="C4637" s="28">
        <v>5641516</v>
      </c>
      <c r="D4637" s="46"/>
      <c r="E4637" s="35">
        <v>46141</v>
      </c>
      <c r="F4637" s="49">
        <v>0.42348379629629629</v>
      </c>
      <c r="G4637" s="37">
        <v>6.3</v>
      </c>
      <c r="H4637" s="36" t="s">
        <v>236</v>
      </c>
      <c r="I4637" s="36" t="s">
        <v>1281</v>
      </c>
    </row>
    <row r="4638" spans="1:9" x14ac:dyDescent="0.25">
      <c r="A4638" s="38" t="s">
        <v>174</v>
      </c>
      <c r="B4638" s="28">
        <v>9490</v>
      </c>
      <c r="C4638" s="28">
        <v>5643054</v>
      </c>
      <c r="D4638" s="46"/>
      <c r="E4638" s="35">
        <v>46141</v>
      </c>
      <c r="F4638" s="49">
        <v>0.99737268518518518</v>
      </c>
      <c r="G4638" s="37">
        <v>6.3</v>
      </c>
      <c r="H4638" s="36" t="s">
        <v>235</v>
      </c>
      <c r="I4638" s="36" t="s">
        <v>1281</v>
      </c>
    </row>
    <row r="4639" spans="1:9" x14ac:dyDescent="0.25">
      <c r="A4639" s="38" t="s">
        <v>174</v>
      </c>
      <c r="B4639" s="28">
        <v>9490</v>
      </c>
      <c r="C4639" s="28">
        <v>5643054</v>
      </c>
      <c r="D4639" s="46"/>
      <c r="E4639" s="35">
        <v>46142</v>
      </c>
      <c r="F4639" s="49">
        <v>5.5787037037037038E-3</v>
      </c>
      <c r="G4639" s="37">
        <v>6.3</v>
      </c>
      <c r="H4639" s="36" t="s">
        <v>236</v>
      </c>
      <c r="I4639" s="36" t="s">
        <v>1281</v>
      </c>
    </row>
    <row r="4640" spans="1:9" x14ac:dyDescent="0.25">
      <c r="A4640" s="38" t="s">
        <v>174</v>
      </c>
      <c r="B4640" s="28">
        <v>9490</v>
      </c>
      <c r="C4640" s="28" t="s">
        <v>1237</v>
      </c>
      <c r="D4640" s="46"/>
      <c r="E4640" s="35">
        <v>46143</v>
      </c>
      <c r="F4640" s="49">
        <v>0.64958333333333329</v>
      </c>
      <c r="G4640" s="37">
        <v>6.3</v>
      </c>
      <c r="H4640" s="36" t="s">
        <v>235</v>
      </c>
      <c r="I4640" s="36" t="s">
        <v>1282</v>
      </c>
    </row>
    <row r="4641" spans="1:9" x14ac:dyDescent="0.25">
      <c r="A4641" s="38" t="s">
        <v>174</v>
      </c>
      <c r="B4641" s="28">
        <v>9490</v>
      </c>
      <c r="C4641" s="28" t="s">
        <v>1237</v>
      </c>
      <c r="D4641" s="46"/>
      <c r="E4641" s="35">
        <v>46143</v>
      </c>
      <c r="F4641" s="49">
        <v>0.65791666666666671</v>
      </c>
      <c r="G4641" s="37">
        <v>6.3</v>
      </c>
      <c r="H4641" s="36" t="s">
        <v>236</v>
      </c>
      <c r="I4641" s="36" t="s">
        <v>1282</v>
      </c>
    </row>
    <row r="4642" spans="1:9" x14ac:dyDescent="0.25">
      <c r="A4642" s="38" t="s">
        <v>363</v>
      </c>
      <c r="B4642" s="28">
        <v>9510</v>
      </c>
      <c r="C4642" s="28" t="s">
        <v>1238</v>
      </c>
      <c r="D4642" s="46"/>
      <c r="E4642" s="35">
        <v>46139</v>
      </c>
      <c r="F4642" s="49">
        <v>7.7986111111111117E-2</v>
      </c>
      <c r="G4642" s="37">
        <v>6.3</v>
      </c>
      <c r="H4642" s="36" t="s">
        <v>235</v>
      </c>
      <c r="I4642" s="36" t="s">
        <v>1281</v>
      </c>
    </row>
    <row r="4643" spans="1:9" x14ac:dyDescent="0.25">
      <c r="A4643" s="38" t="s">
        <v>363</v>
      </c>
      <c r="B4643" s="28">
        <v>9510</v>
      </c>
      <c r="C4643" s="28" t="s">
        <v>1238</v>
      </c>
      <c r="D4643" s="46"/>
      <c r="E4643" s="35">
        <v>46139</v>
      </c>
      <c r="F4643" s="49">
        <v>8.3761574074074072E-2</v>
      </c>
      <c r="G4643" s="37">
        <v>6.3</v>
      </c>
      <c r="H4643" s="36" t="s">
        <v>236</v>
      </c>
      <c r="I4643" s="36" t="s">
        <v>1281</v>
      </c>
    </row>
    <row r="4644" spans="1:9" x14ac:dyDescent="0.25">
      <c r="A4644" s="38" t="s">
        <v>363</v>
      </c>
      <c r="B4644" s="28">
        <v>9510</v>
      </c>
      <c r="C4644" s="28" t="s">
        <v>35</v>
      </c>
      <c r="D4644" s="46" t="s">
        <v>38</v>
      </c>
      <c r="E4644" s="35">
        <v>46139</v>
      </c>
      <c r="F4644" s="49">
        <v>9.3773148148148147E-2</v>
      </c>
      <c r="G4644" s="37">
        <v>6.3</v>
      </c>
      <c r="H4644" s="36" t="s">
        <v>237</v>
      </c>
      <c r="I4644" s="36" t="s">
        <v>1281</v>
      </c>
    </row>
    <row r="4645" spans="1:9" x14ac:dyDescent="0.25">
      <c r="A4645" s="38" t="s">
        <v>363</v>
      </c>
      <c r="B4645" s="28">
        <v>9510</v>
      </c>
      <c r="C4645" s="28" t="s">
        <v>35</v>
      </c>
      <c r="D4645" s="46" t="s">
        <v>38</v>
      </c>
      <c r="E4645" s="35">
        <v>46139</v>
      </c>
      <c r="F4645" s="49">
        <v>9.7812499999999997E-2</v>
      </c>
      <c r="G4645" s="37">
        <v>6.3</v>
      </c>
      <c r="H4645" s="36" t="s">
        <v>234</v>
      </c>
      <c r="I4645" s="36" t="s">
        <v>1281</v>
      </c>
    </row>
    <row r="4646" spans="1:9" x14ac:dyDescent="0.25">
      <c r="A4646" s="38" t="s">
        <v>363</v>
      </c>
      <c r="B4646" s="28">
        <v>9510</v>
      </c>
      <c r="C4646" s="28">
        <v>5639450</v>
      </c>
      <c r="D4646" s="46"/>
      <c r="E4646" s="35">
        <v>46139</v>
      </c>
      <c r="F4646" s="49">
        <v>0.89006944444444447</v>
      </c>
      <c r="G4646" s="37">
        <v>6.3</v>
      </c>
      <c r="H4646" s="36" t="s">
        <v>235</v>
      </c>
      <c r="I4646" s="36" t="s">
        <v>1281</v>
      </c>
    </row>
    <row r="4647" spans="1:9" x14ac:dyDescent="0.25">
      <c r="A4647" s="38" t="s">
        <v>363</v>
      </c>
      <c r="B4647" s="28">
        <v>9510</v>
      </c>
      <c r="C4647" s="28">
        <v>5639450</v>
      </c>
      <c r="D4647" s="46"/>
      <c r="E4647" s="35">
        <v>46139</v>
      </c>
      <c r="F4647" s="49">
        <v>0.8972106481481481</v>
      </c>
      <c r="G4647" s="37">
        <v>6.3</v>
      </c>
      <c r="H4647" s="36" t="s">
        <v>236</v>
      </c>
      <c r="I4647" s="36" t="s">
        <v>1281</v>
      </c>
    </row>
    <row r="4648" spans="1:9" x14ac:dyDescent="0.25">
      <c r="A4648" s="38" t="s">
        <v>363</v>
      </c>
      <c r="B4648" s="28">
        <v>9510</v>
      </c>
      <c r="C4648" s="28" t="s">
        <v>35</v>
      </c>
      <c r="D4648" s="46" t="s">
        <v>38</v>
      </c>
      <c r="E4648" s="35">
        <v>46139</v>
      </c>
      <c r="F4648" s="49">
        <v>0.90800925925925924</v>
      </c>
      <c r="G4648" s="37">
        <v>6.3</v>
      </c>
      <c r="H4648" s="36" t="s">
        <v>237</v>
      </c>
      <c r="I4648" s="36" t="s">
        <v>1281</v>
      </c>
    </row>
    <row r="4649" spans="1:9" x14ac:dyDescent="0.25">
      <c r="A4649" s="38" t="s">
        <v>363</v>
      </c>
      <c r="B4649" s="28">
        <v>9510</v>
      </c>
      <c r="C4649" s="28" t="s">
        <v>35</v>
      </c>
      <c r="D4649" s="46" t="s">
        <v>38</v>
      </c>
      <c r="E4649" s="35">
        <v>46139</v>
      </c>
      <c r="F4649" s="49">
        <v>0.9133796296296296</v>
      </c>
      <c r="G4649" s="37">
        <v>6.3</v>
      </c>
      <c r="H4649" s="36" t="s">
        <v>234</v>
      </c>
      <c r="I4649" s="36" t="s">
        <v>1281</v>
      </c>
    </row>
    <row r="4650" spans="1:9" x14ac:dyDescent="0.25">
      <c r="A4650" s="38" t="s">
        <v>363</v>
      </c>
      <c r="B4650" s="28">
        <v>9510</v>
      </c>
      <c r="C4650" s="28">
        <v>5644016</v>
      </c>
      <c r="D4650" s="46"/>
      <c r="E4650" s="35">
        <v>46142</v>
      </c>
      <c r="F4650" s="49">
        <v>4.3298611111111114E-2</v>
      </c>
      <c r="G4650" s="37">
        <v>6.3</v>
      </c>
      <c r="H4650" s="36" t="s">
        <v>235</v>
      </c>
      <c r="I4650" s="36" t="s">
        <v>1281</v>
      </c>
    </row>
    <row r="4651" spans="1:9" x14ac:dyDescent="0.25">
      <c r="A4651" s="38" t="s">
        <v>363</v>
      </c>
      <c r="B4651" s="28">
        <v>9510</v>
      </c>
      <c r="C4651" s="28">
        <v>5645754</v>
      </c>
      <c r="D4651" s="46"/>
      <c r="E4651" s="35">
        <v>46142</v>
      </c>
      <c r="F4651" s="49">
        <v>0.93674768518518514</v>
      </c>
      <c r="G4651" s="37">
        <v>6.3</v>
      </c>
      <c r="H4651" s="36" t="s">
        <v>235</v>
      </c>
      <c r="I4651" s="36" t="s">
        <v>1281</v>
      </c>
    </row>
    <row r="4652" spans="1:9" x14ac:dyDescent="0.25">
      <c r="A4652" s="38" t="s">
        <v>363</v>
      </c>
      <c r="B4652" s="28">
        <v>9510</v>
      </c>
      <c r="C4652" s="28" t="s">
        <v>1239</v>
      </c>
      <c r="D4652" s="46"/>
      <c r="E4652" s="35">
        <v>46145</v>
      </c>
      <c r="F4652" s="49">
        <v>0.21994212962962964</v>
      </c>
      <c r="G4652" s="37">
        <v>6.3</v>
      </c>
      <c r="H4652" s="36" t="s">
        <v>235</v>
      </c>
      <c r="I4652" s="36" t="s">
        <v>1282</v>
      </c>
    </row>
    <row r="4653" spans="1:9" x14ac:dyDescent="0.25">
      <c r="A4653" s="38" t="s">
        <v>363</v>
      </c>
      <c r="B4653" s="28">
        <v>9510</v>
      </c>
      <c r="C4653" s="28" t="s">
        <v>1239</v>
      </c>
      <c r="D4653" s="46"/>
      <c r="E4653" s="35">
        <v>46145</v>
      </c>
      <c r="F4653" s="49">
        <v>0.22689814814814815</v>
      </c>
      <c r="G4653" s="37">
        <v>6.3</v>
      </c>
      <c r="H4653" s="36" t="s">
        <v>236</v>
      </c>
      <c r="I4653" s="36" t="s">
        <v>1282</v>
      </c>
    </row>
    <row r="4654" spans="1:9" x14ac:dyDescent="0.25">
      <c r="A4654" s="38" t="s">
        <v>248</v>
      </c>
      <c r="B4654" s="28">
        <v>9527</v>
      </c>
      <c r="C4654" s="28">
        <v>5639506</v>
      </c>
      <c r="D4654" s="46"/>
      <c r="E4654" s="35">
        <v>46139</v>
      </c>
      <c r="F4654" s="49">
        <v>0.90943287037037035</v>
      </c>
      <c r="G4654" s="37">
        <v>6.3</v>
      </c>
      <c r="H4654" s="36" t="s">
        <v>235</v>
      </c>
      <c r="I4654" s="36" t="s">
        <v>1281</v>
      </c>
    </row>
    <row r="4655" spans="1:9" x14ac:dyDescent="0.25">
      <c r="A4655" s="38" t="s">
        <v>248</v>
      </c>
      <c r="B4655" s="28">
        <v>9527</v>
      </c>
      <c r="C4655" s="28">
        <v>5639506</v>
      </c>
      <c r="D4655" s="46"/>
      <c r="E4655" s="35">
        <v>46139</v>
      </c>
      <c r="F4655" s="49">
        <v>0.91659722222222217</v>
      </c>
      <c r="G4655" s="37">
        <v>6.3</v>
      </c>
      <c r="H4655" s="36" t="s">
        <v>236</v>
      </c>
      <c r="I4655" s="36" t="s">
        <v>1281</v>
      </c>
    </row>
    <row r="4656" spans="1:9" x14ac:dyDescent="0.25">
      <c r="A4656" s="38" t="s">
        <v>248</v>
      </c>
      <c r="B4656" s="28">
        <v>9527</v>
      </c>
      <c r="C4656" s="28">
        <v>5639991</v>
      </c>
      <c r="D4656" s="46"/>
      <c r="E4656" s="35">
        <v>46140</v>
      </c>
      <c r="F4656" s="49">
        <v>0.24060185185185184</v>
      </c>
      <c r="G4656" s="37">
        <v>6.3</v>
      </c>
      <c r="H4656" s="36" t="s">
        <v>235</v>
      </c>
      <c r="I4656" s="36" t="s">
        <v>1281</v>
      </c>
    </row>
    <row r="4657" spans="1:9" x14ac:dyDescent="0.25">
      <c r="A4657" s="38" t="s">
        <v>248</v>
      </c>
      <c r="B4657" s="28">
        <v>9527</v>
      </c>
      <c r="C4657" s="28">
        <v>5637872</v>
      </c>
      <c r="D4657" s="46"/>
      <c r="E4657" s="35">
        <v>46140</v>
      </c>
      <c r="F4657" s="49">
        <v>0.35712962962962963</v>
      </c>
      <c r="G4657" s="37">
        <v>6.3</v>
      </c>
      <c r="H4657" s="36" t="s">
        <v>234</v>
      </c>
      <c r="I4657" s="36" t="s">
        <v>1281</v>
      </c>
    </row>
    <row r="4658" spans="1:9" x14ac:dyDescent="0.25">
      <c r="A4658" s="38" t="s">
        <v>248</v>
      </c>
      <c r="B4658" s="28">
        <v>9527</v>
      </c>
      <c r="C4658" s="28" t="s">
        <v>35</v>
      </c>
      <c r="D4658" s="46" t="s">
        <v>38</v>
      </c>
      <c r="E4658" s="35">
        <v>46144</v>
      </c>
      <c r="F4658" s="49">
        <v>0.45881944444444445</v>
      </c>
      <c r="G4658" s="37">
        <v>6.3</v>
      </c>
      <c r="H4658" s="36" t="s">
        <v>236</v>
      </c>
      <c r="I4658" s="36" t="s">
        <v>1282</v>
      </c>
    </row>
    <row r="4659" spans="1:9" x14ac:dyDescent="0.25">
      <c r="A4659" s="38" t="s">
        <v>248</v>
      </c>
      <c r="B4659" s="28">
        <v>9527</v>
      </c>
      <c r="C4659" s="28" t="s">
        <v>35</v>
      </c>
      <c r="D4659" s="46" t="s">
        <v>38</v>
      </c>
      <c r="E4659" s="35">
        <v>46144</v>
      </c>
      <c r="F4659" s="49">
        <v>0.78681712962962957</v>
      </c>
      <c r="G4659" s="37">
        <v>6.3</v>
      </c>
      <c r="H4659" s="36" t="s">
        <v>237</v>
      </c>
      <c r="I4659" s="36" t="s">
        <v>1282</v>
      </c>
    </row>
    <row r="4660" spans="1:9" x14ac:dyDescent="0.25">
      <c r="A4660" s="38" t="s">
        <v>248</v>
      </c>
      <c r="B4660" s="28">
        <v>9527</v>
      </c>
      <c r="C4660" s="28">
        <v>5649272</v>
      </c>
      <c r="D4660" s="46" t="s">
        <v>37</v>
      </c>
      <c r="E4660" s="35">
        <v>46145</v>
      </c>
      <c r="F4660" s="49">
        <v>0.8665856481481482</v>
      </c>
      <c r="G4660" s="37">
        <v>6.3</v>
      </c>
      <c r="H4660" s="36" t="s">
        <v>235</v>
      </c>
      <c r="I4660" s="36" t="s">
        <v>1282</v>
      </c>
    </row>
    <row r="4661" spans="1:9" x14ac:dyDescent="0.25">
      <c r="A4661" s="38" t="s">
        <v>248</v>
      </c>
      <c r="B4661" s="28">
        <v>9527</v>
      </c>
      <c r="C4661" s="28">
        <v>5649272</v>
      </c>
      <c r="D4661" s="46" t="s">
        <v>37</v>
      </c>
      <c r="E4661" s="35">
        <v>46145</v>
      </c>
      <c r="F4661" s="49">
        <v>0.87312500000000004</v>
      </c>
      <c r="G4661" s="37">
        <v>6.3</v>
      </c>
      <c r="H4661" s="36" t="s">
        <v>239</v>
      </c>
      <c r="I4661" s="36" t="s">
        <v>1282</v>
      </c>
    </row>
    <row r="4662" spans="1:9" x14ac:dyDescent="0.25">
      <c r="A4662" s="38" t="s">
        <v>202</v>
      </c>
      <c r="B4662" s="28">
        <v>9575</v>
      </c>
      <c r="C4662" s="28" t="s">
        <v>35</v>
      </c>
      <c r="D4662" s="46" t="s">
        <v>38</v>
      </c>
      <c r="E4662" s="35">
        <v>46139</v>
      </c>
      <c r="F4662" s="49">
        <v>0.97484953703703703</v>
      </c>
      <c r="G4662" s="37">
        <v>6.3</v>
      </c>
      <c r="H4662" s="36" t="s">
        <v>235</v>
      </c>
      <c r="I4662" s="36" t="s">
        <v>1281</v>
      </c>
    </row>
    <row r="4663" spans="1:9" x14ac:dyDescent="0.25">
      <c r="A4663" s="38" t="s">
        <v>202</v>
      </c>
      <c r="B4663" s="28">
        <v>9575</v>
      </c>
      <c r="C4663" s="28" t="s">
        <v>35</v>
      </c>
      <c r="D4663" s="46" t="s">
        <v>38</v>
      </c>
      <c r="E4663" s="35">
        <v>46139</v>
      </c>
      <c r="F4663" s="49">
        <v>0.98159722222222223</v>
      </c>
      <c r="G4663" s="37">
        <v>6.3</v>
      </c>
      <c r="H4663" s="36" t="s">
        <v>236</v>
      </c>
      <c r="I4663" s="36" t="s">
        <v>1281</v>
      </c>
    </row>
    <row r="4664" spans="1:9" x14ac:dyDescent="0.25">
      <c r="A4664" s="38" t="s">
        <v>202</v>
      </c>
      <c r="B4664" s="28">
        <v>9575</v>
      </c>
      <c r="C4664" s="28">
        <v>5640891</v>
      </c>
      <c r="D4664" s="46"/>
      <c r="E4664" s="35">
        <v>46140</v>
      </c>
      <c r="F4664" s="49">
        <v>0.95109953703703709</v>
      </c>
      <c r="G4664" s="37">
        <v>6.3</v>
      </c>
      <c r="H4664" s="36" t="s">
        <v>235</v>
      </c>
      <c r="I4664" s="36" t="s">
        <v>1281</v>
      </c>
    </row>
    <row r="4665" spans="1:9" x14ac:dyDescent="0.25">
      <c r="A4665" s="38" t="s">
        <v>202</v>
      </c>
      <c r="B4665" s="28">
        <v>9575</v>
      </c>
      <c r="C4665" s="28">
        <v>5640891</v>
      </c>
      <c r="D4665" s="46"/>
      <c r="E4665" s="35">
        <v>46140</v>
      </c>
      <c r="F4665" s="49">
        <v>0.95783564814814814</v>
      </c>
      <c r="G4665" s="37">
        <v>6.3</v>
      </c>
      <c r="H4665" s="36" t="s">
        <v>236</v>
      </c>
      <c r="I4665" s="36" t="s">
        <v>1281</v>
      </c>
    </row>
    <row r="4666" spans="1:9" x14ac:dyDescent="0.25">
      <c r="A4666" s="38" t="s">
        <v>202</v>
      </c>
      <c r="B4666" s="28">
        <v>9575</v>
      </c>
      <c r="C4666" s="28" t="s">
        <v>35</v>
      </c>
      <c r="D4666" s="46" t="s">
        <v>38</v>
      </c>
      <c r="E4666" s="35">
        <v>46140</v>
      </c>
      <c r="F4666" s="49">
        <v>0.97062499999999996</v>
      </c>
      <c r="G4666" s="37">
        <v>6.3</v>
      </c>
      <c r="H4666" s="36" t="s">
        <v>237</v>
      </c>
      <c r="I4666" s="36" t="s">
        <v>1281</v>
      </c>
    </row>
    <row r="4667" spans="1:9" x14ac:dyDescent="0.25">
      <c r="A4667" s="38" t="s">
        <v>202</v>
      </c>
      <c r="B4667" s="28">
        <v>9575</v>
      </c>
      <c r="C4667" s="28" t="s">
        <v>35</v>
      </c>
      <c r="D4667" s="46" t="s">
        <v>38</v>
      </c>
      <c r="E4667" s="35">
        <v>46140</v>
      </c>
      <c r="F4667" s="49">
        <v>0.97592592592592597</v>
      </c>
      <c r="G4667" s="37">
        <v>6.3</v>
      </c>
      <c r="H4667" s="36" t="s">
        <v>234</v>
      </c>
      <c r="I4667" s="36" t="s">
        <v>1281</v>
      </c>
    </row>
    <row r="4668" spans="1:9" x14ac:dyDescent="0.25">
      <c r="A4668" s="38" t="s">
        <v>202</v>
      </c>
      <c r="B4668" s="28">
        <v>9575</v>
      </c>
      <c r="C4668" s="28">
        <v>5643761</v>
      </c>
      <c r="D4668" s="46"/>
      <c r="E4668" s="35">
        <v>46141</v>
      </c>
      <c r="F4668" s="49">
        <v>0.91945601851851855</v>
      </c>
      <c r="G4668" s="37">
        <v>6.3</v>
      </c>
      <c r="H4668" s="36" t="s">
        <v>235</v>
      </c>
      <c r="I4668" s="36" t="s">
        <v>1281</v>
      </c>
    </row>
    <row r="4669" spans="1:9" x14ac:dyDescent="0.25">
      <c r="A4669" s="38" t="s">
        <v>202</v>
      </c>
      <c r="B4669" s="28">
        <v>9575</v>
      </c>
      <c r="C4669" s="28" t="s">
        <v>35</v>
      </c>
      <c r="D4669" s="46" t="s">
        <v>38</v>
      </c>
      <c r="E4669" s="35">
        <v>46141</v>
      </c>
      <c r="F4669" s="49">
        <v>0.94828703703703698</v>
      </c>
      <c r="G4669" s="37">
        <v>6.3</v>
      </c>
      <c r="H4669" s="36" t="s">
        <v>237</v>
      </c>
      <c r="I4669" s="36" t="s">
        <v>1281</v>
      </c>
    </row>
    <row r="4670" spans="1:9" x14ac:dyDescent="0.25">
      <c r="A4670" s="38" t="s">
        <v>202</v>
      </c>
      <c r="B4670" s="28">
        <v>9575</v>
      </c>
      <c r="C4670" s="28" t="s">
        <v>35</v>
      </c>
      <c r="D4670" s="46" t="s">
        <v>38</v>
      </c>
      <c r="E4670" s="35">
        <v>46141</v>
      </c>
      <c r="F4670" s="49">
        <v>0.95346064814814813</v>
      </c>
      <c r="G4670" s="37">
        <v>6.3</v>
      </c>
      <c r="H4670" s="36" t="s">
        <v>234</v>
      </c>
      <c r="I4670" s="36" t="s">
        <v>1281</v>
      </c>
    </row>
    <row r="4671" spans="1:9" x14ac:dyDescent="0.25">
      <c r="A4671" s="38" t="s">
        <v>202</v>
      </c>
      <c r="B4671" s="28">
        <v>9575</v>
      </c>
      <c r="C4671" s="28">
        <v>5643731</v>
      </c>
      <c r="D4671" s="46" t="s">
        <v>37</v>
      </c>
      <c r="E4671" s="35">
        <v>46141</v>
      </c>
      <c r="F4671" s="49">
        <v>0.98766203703703703</v>
      </c>
      <c r="G4671" s="37">
        <v>6.3</v>
      </c>
      <c r="H4671" s="36" t="s">
        <v>235</v>
      </c>
      <c r="I4671" s="36" t="s">
        <v>1281</v>
      </c>
    </row>
    <row r="4672" spans="1:9" x14ac:dyDescent="0.25">
      <c r="A4672" s="38" t="s">
        <v>202</v>
      </c>
      <c r="B4672" s="28">
        <v>9575</v>
      </c>
      <c r="C4672" s="28">
        <v>5643731</v>
      </c>
      <c r="D4672" s="46" t="s">
        <v>37</v>
      </c>
      <c r="E4672" s="35">
        <v>46141</v>
      </c>
      <c r="F4672" s="49">
        <v>0.99449074074074073</v>
      </c>
      <c r="G4672" s="37">
        <v>6.3</v>
      </c>
      <c r="H4672" s="36" t="s">
        <v>236</v>
      </c>
      <c r="I4672" s="36" t="s">
        <v>1281</v>
      </c>
    </row>
    <row r="4673" spans="1:9" x14ac:dyDescent="0.25">
      <c r="A4673" s="38" t="s">
        <v>202</v>
      </c>
      <c r="B4673" s="28">
        <v>9575</v>
      </c>
      <c r="C4673" s="28" t="s">
        <v>35</v>
      </c>
      <c r="D4673" s="46" t="s">
        <v>38</v>
      </c>
      <c r="E4673" s="35">
        <v>46142</v>
      </c>
      <c r="F4673" s="49">
        <v>0.43578703703703703</v>
      </c>
      <c r="G4673" s="37">
        <v>6.3</v>
      </c>
      <c r="H4673" s="36" t="s">
        <v>233</v>
      </c>
      <c r="I4673" s="36" t="s">
        <v>1281</v>
      </c>
    </row>
    <row r="4674" spans="1:9" x14ac:dyDescent="0.25">
      <c r="A4674" s="38" t="s">
        <v>1240</v>
      </c>
      <c r="B4674" s="28">
        <v>9599</v>
      </c>
      <c r="C4674" s="28" t="s">
        <v>35</v>
      </c>
      <c r="D4674" s="46" t="s">
        <v>38</v>
      </c>
      <c r="E4674" s="35">
        <v>46139</v>
      </c>
      <c r="F4674" s="49">
        <v>0.48745370370370372</v>
      </c>
      <c r="G4674" s="37">
        <v>6.3</v>
      </c>
      <c r="H4674" s="36" t="s">
        <v>236</v>
      </c>
      <c r="I4674" s="36" t="s">
        <v>1281</v>
      </c>
    </row>
    <row r="4675" spans="1:9" x14ac:dyDescent="0.25">
      <c r="A4675" s="38" t="s">
        <v>228</v>
      </c>
      <c r="B4675" s="28">
        <v>9604</v>
      </c>
      <c r="C4675" s="28" t="s">
        <v>35</v>
      </c>
      <c r="D4675" s="46" t="s">
        <v>38</v>
      </c>
      <c r="E4675" s="35">
        <v>46140</v>
      </c>
      <c r="F4675" s="49">
        <v>0.9388657407407407</v>
      </c>
      <c r="G4675" s="37">
        <v>6.3</v>
      </c>
      <c r="H4675" s="36" t="s">
        <v>237</v>
      </c>
      <c r="I4675" s="36" t="s">
        <v>1281</v>
      </c>
    </row>
    <row r="4676" spans="1:9" x14ac:dyDescent="0.25">
      <c r="A4676" s="38" t="s">
        <v>228</v>
      </c>
      <c r="B4676" s="28">
        <v>9604</v>
      </c>
      <c r="C4676" s="28" t="s">
        <v>35</v>
      </c>
      <c r="D4676" s="46" t="s">
        <v>38</v>
      </c>
      <c r="E4676" s="35">
        <v>46141</v>
      </c>
      <c r="F4676" s="49">
        <v>4.1087962962962962E-3</v>
      </c>
      <c r="G4676" s="37">
        <v>6.3</v>
      </c>
      <c r="H4676" s="36" t="s">
        <v>234</v>
      </c>
      <c r="I4676" s="36" t="s">
        <v>1281</v>
      </c>
    </row>
    <row r="4677" spans="1:9" x14ac:dyDescent="0.25">
      <c r="A4677" s="38" t="s">
        <v>228</v>
      </c>
      <c r="B4677" s="28">
        <v>9604</v>
      </c>
      <c r="C4677" s="28" t="s">
        <v>35</v>
      </c>
      <c r="D4677" s="46" t="s">
        <v>38</v>
      </c>
      <c r="E4677" s="35">
        <v>46143</v>
      </c>
      <c r="F4677" s="49">
        <v>2.0833333333333335E-4</v>
      </c>
      <c r="G4677" s="37">
        <v>6.3</v>
      </c>
      <c r="H4677" s="36" t="s">
        <v>237</v>
      </c>
      <c r="I4677" s="36" t="s">
        <v>1282</v>
      </c>
    </row>
    <row r="4678" spans="1:9" x14ac:dyDescent="0.25">
      <c r="A4678" s="38" t="s">
        <v>228</v>
      </c>
      <c r="B4678" s="28">
        <v>9604</v>
      </c>
      <c r="C4678" s="28" t="s">
        <v>35</v>
      </c>
      <c r="D4678" s="46" t="s">
        <v>38</v>
      </c>
      <c r="E4678" s="35">
        <v>46143</v>
      </c>
      <c r="F4678" s="49">
        <v>6.7129629629629631E-3</v>
      </c>
      <c r="G4678" s="37">
        <v>6.3</v>
      </c>
      <c r="H4678" s="36" t="s">
        <v>234</v>
      </c>
      <c r="I4678" s="36" t="s">
        <v>1282</v>
      </c>
    </row>
    <row r="4679" spans="1:9" x14ac:dyDescent="0.25">
      <c r="A4679" s="38" t="s">
        <v>228</v>
      </c>
      <c r="B4679" s="28">
        <v>9604</v>
      </c>
      <c r="C4679" s="28" t="s">
        <v>1241</v>
      </c>
      <c r="D4679" s="46"/>
      <c r="E4679" s="35">
        <v>46145</v>
      </c>
      <c r="F4679" s="49">
        <v>0.65035879629629634</v>
      </c>
      <c r="G4679" s="37">
        <v>6.3</v>
      </c>
      <c r="H4679" s="36" t="s">
        <v>235</v>
      </c>
      <c r="I4679" s="36" t="s">
        <v>1282</v>
      </c>
    </row>
    <row r="4680" spans="1:9" x14ac:dyDescent="0.25">
      <c r="A4680" s="38" t="s">
        <v>228</v>
      </c>
      <c r="B4680" s="28">
        <v>9604</v>
      </c>
      <c r="C4680" s="28" t="s">
        <v>1241</v>
      </c>
      <c r="D4680" s="46"/>
      <c r="E4680" s="35">
        <v>46145</v>
      </c>
      <c r="F4680" s="49">
        <v>0.65707175925925931</v>
      </c>
      <c r="G4680" s="37">
        <v>6.3</v>
      </c>
      <c r="H4680" s="36" t="s">
        <v>236</v>
      </c>
      <c r="I4680" s="36" t="s">
        <v>1282</v>
      </c>
    </row>
    <row r="4681" spans="1:9" x14ac:dyDescent="0.25">
      <c r="A4681" s="38" t="s">
        <v>228</v>
      </c>
      <c r="B4681" s="28">
        <v>9604</v>
      </c>
      <c r="C4681" s="28" t="s">
        <v>35</v>
      </c>
      <c r="D4681" s="46" t="s">
        <v>38</v>
      </c>
      <c r="E4681" s="35">
        <v>46145</v>
      </c>
      <c r="F4681" s="49">
        <v>0.950775462962963</v>
      </c>
      <c r="G4681" s="37">
        <v>6.3</v>
      </c>
      <c r="H4681" s="36" t="s">
        <v>234</v>
      </c>
      <c r="I4681" s="36" t="s">
        <v>1282</v>
      </c>
    </row>
    <row r="4682" spans="1:9" x14ac:dyDescent="0.25">
      <c r="A4682" s="38" t="s">
        <v>177</v>
      </c>
      <c r="B4682" s="28">
        <v>9617</v>
      </c>
      <c r="C4682" s="28" t="s">
        <v>35</v>
      </c>
      <c r="D4682" s="46" t="s">
        <v>38</v>
      </c>
      <c r="E4682" s="35">
        <v>46139</v>
      </c>
      <c r="F4682" s="49">
        <v>1.3796296296296296E-2</v>
      </c>
      <c r="G4682" s="37">
        <v>6.3</v>
      </c>
      <c r="H4682" s="36" t="s">
        <v>235</v>
      </c>
      <c r="I4682" s="36" t="s">
        <v>1281</v>
      </c>
    </row>
    <row r="4683" spans="1:9" x14ac:dyDescent="0.25">
      <c r="A4683" s="38" t="s">
        <v>177</v>
      </c>
      <c r="B4683" s="28">
        <v>9617</v>
      </c>
      <c r="C4683" s="28" t="s">
        <v>35</v>
      </c>
      <c r="D4683" s="46" t="s">
        <v>38</v>
      </c>
      <c r="E4683" s="35">
        <v>46139</v>
      </c>
      <c r="F4683" s="49">
        <v>2.0960648148148148E-2</v>
      </c>
      <c r="G4683" s="37">
        <v>6.3</v>
      </c>
      <c r="H4683" s="36" t="s">
        <v>236</v>
      </c>
      <c r="I4683" s="36" t="s">
        <v>1281</v>
      </c>
    </row>
    <row r="4684" spans="1:9" x14ac:dyDescent="0.25">
      <c r="A4684" s="38" t="s">
        <v>177</v>
      </c>
      <c r="B4684" s="28">
        <v>9617</v>
      </c>
      <c r="C4684" s="28">
        <v>5637658</v>
      </c>
      <c r="D4684" s="46"/>
      <c r="E4684" s="35">
        <v>46139</v>
      </c>
      <c r="F4684" s="49">
        <v>0.38092592592592595</v>
      </c>
      <c r="G4684" s="37">
        <v>6.3</v>
      </c>
      <c r="H4684" s="36" t="s">
        <v>235</v>
      </c>
      <c r="I4684" s="36" t="s">
        <v>1281</v>
      </c>
    </row>
    <row r="4685" spans="1:9" x14ac:dyDescent="0.25">
      <c r="A4685" s="38" t="s">
        <v>177</v>
      </c>
      <c r="B4685" s="28">
        <v>9617</v>
      </c>
      <c r="C4685" s="28">
        <v>5637658</v>
      </c>
      <c r="D4685" s="46"/>
      <c r="E4685" s="35">
        <v>46139</v>
      </c>
      <c r="F4685" s="49">
        <v>0.40443287037037035</v>
      </c>
      <c r="G4685" s="37">
        <v>6.3</v>
      </c>
      <c r="H4685" s="36" t="s">
        <v>236</v>
      </c>
      <c r="I4685" s="36" t="s">
        <v>1281</v>
      </c>
    </row>
    <row r="4686" spans="1:9" x14ac:dyDescent="0.25">
      <c r="A4686" s="38" t="s">
        <v>177</v>
      </c>
      <c r="B4686" s="28">
        <v>9617</v>
      </c>
      <c r="C4686" s="28">
        <v>5638330</v>
      </c>
      <c r="D4686" s="46"/>
      <c r="E4686" s="35">
        <v>46139</v>
      </c>
      <c r="F4686" s="49">
        <v>0.66584490740740743</v>
      </c>
      <c r="G4686" s="37">
        <v>6.3</v>
      </c>
      <c r="H4686" s="36" t="s">
        <v>235</v>
      </c>
      <c r="I4686" s="36" t="s">
        <v>1281</v>
      </c>
    </row>
    <row r="4687" spans="1:9" x14ac:dyDescent="0.25">
      <c r="A4687" s="38" t="s">
        <v>177</v>
      </c>
      <c r="B4687" s="28">
        <v>9617</v>
      </c>
      <c r="C4687" s="28">
        <v>5638330</v>
      </c>
      <c r="D4687" s="46"/>
      <c r="E4687" s="35">
        <v>46139</v>
      </c>
      <c r="F4687" s="49">
        <v>0.67745370370370372</v>
      </c>
      <c r="G4687" s="37">
        <v>6.3</v>
      </c>
      <c r="H4687" s="36" t="s">
        <v>239</v>
      </c>
      <c r="I4687" s="36" t="s">
        <v>1281</v>
      </c>
    </row>
    <row r="4688" spans="1:9" x14ac:dyDescent="0.25">
      <c r="A4688" s="38" t="s">
        <v>177</v>
      </c>
      <c r="B4688" s="28">
        <v>9617</v>
      </c>
      <c r="C4688" s="28">
        <v>5638947</v>
      </c>
      <c r="D4688" s="46"/>
      <c r="E4688" s="35">
        <v>46139</v>
      </c>
      <c r="F4688" s="49">
        <v>0.82143518518518521</v>
      </c>
      <c r="G4688" s="37">
        <v>6.3</v>
      </c>
      <c r="H4688" s="36" t="s">
        <v>233</v>
      </c>
      <c r="I4688" s="36" t="s">
        <v>1281</v>
      </c>
    </row>
    <row r="4689" spans="1:9" x14ac:dyDescent="0.25">
      <c r="A4689" s="38" t="s">
        <v>177</v>
      </c>
      <c r="B4689" s="28">
        <v>9617</v>
      </c>
      <c r="C4689" s="28">
        <v>5638947</v>
      </c>
      <c r="D4689" s="46"/>
      <c r="E4689" s="35">
        <v>46139</v>
      </c>
      <c r="F4689" s="49">
        <v>0.84922453703703704</v>
      </c>
      <c r="G4689" s="37">
        <v>6.3</v>
      </c>
      <c r="H4689" s="36" t="s">
        <v>234</v>
      </c>
      <c r="I4689" s="36" t="s">
        <v>1281</v>
      </c>
    </row>
    <row r="4690" spans="1:9" x14ac:dyDescent="0.25">
      <c r="A4690" s="38" t="s">
        <v>177</v>
      </c>
      <c r="B4690" s="28">
        <v>9617</v>
      </c>
      <c r="C4690" s="28">
        <v>5644071</v>
      </c>
      <c r="D4690" s="46"/>
      <c r="E4690" s="35">
        <v>46142</v>
      </c>
      <c r="F4690" s="49">
        <v>0.33893518518518517</v>
      </c>
      <c r="G4690" s="37">
        <v>6.3</v>
      </c>
      <c r="H4690" s="36" t="s">
        <v>237</v>
      </c>
      <c r="I4690" s="36" t="s">
        <v>1281</v>
      </c>
    </row>
    <row r="4691" spans="1:9" x14ac:dyDescent="0.25">
      <c r="A4691" s="38" t="s">
        <v>177</v>
      </c>
      <c r="B4691" s="28">
        <v>9617</v>
      </c>
      <c r="C4691" s="28">
        <v>5644071</v>
      </c>
      <c r="D4691" s="46"/>
      <c r="E4691" s="35">
        <v>46142</v>
      </c>
      <c r="F4691" s="49">
        <v>0.34869212962962964</v>
      </c>
      <c r="G4691" s="37">
        <v>6.3</v>
      </c>
      <c r="H4691" s="36" t="s">
        <v>234</v>
      </c>
      <c r="I4691" s="36" t="s">
        <v>1281</v>
      </c>
    </row>
    <row r="4692" spans="1:9" x14ac:dyDescent="0.25">
      <c r="A4692" s="38" t="s">
        <v>177</v>
      </c>
      <c r="B4692" s="28">
        <v>9617</v>
      </c>
      <c r="C4692" s="28" t="s">
        <v>35</v>
      </c>
      <c r="D4692" s="46" t="s">
        <v>38</v>
      </c>
      <c r="E4692" s="35">
        <v>46143</v>
      </c>
      <c r="F4692" s="49">
        <v>0.77736111111111106</v>
      </c>
      <c r="G4692" s="37">
        <v>6.3</v>
      </c>
      <c r="H4692" s="36" t="s">
        <v>235</v>
      </c>
      <c r="I4692" s="36" t="s">
        <v>1282</v>
      </c>
    </row>
    <row r="4693" spans="1:9" x14ac:dyDescent="0.25">
      <c r="A4693" s="38" t="s">
        <v>177</v>
      </c>
      <c r="B4693" s="28">
        <v>9617</v>
      </c>
      <c r="C4693" s="28" t="s">
        <v>35</v>
      </c>
      <c r="D4693" s="46" t="s">
        <v>38</v>
      </c>
      <c r="E4693" s="35">
        <v>46143</v>
      </c>
      <c r="F4693" s="49">
        <v>0.78549768518518515</v>
      </c>
      <c r="G4693" s="37">
        <v>6.3</v>
      </c>
      <c r="H4693" s="36" t="s">
        <v>236</v>
      </c>
      <c r="I4693" s="36" t="s">
        <v>1282</v>
      </c>
    </row>
    <row r="4694" spans="1:9" x14ac:dyDescent="0.25">
      <c r="A4694" s="38" t="s">
        <v>177</v>
      </c>
      <c r="B4694" s="28">
        <v>9617</v>
      </c>
      <c r="C4694" s="28">
        <v>5647925</v>
      </c>
      <c r="D4694" s="46"/>
      <c r="E4694" s="35">
        <v>46144</v>
      </c>
      <c r="F4694" s="49">
        <v>0.96741898148148153</v>
      </c>
      <c r="G4694" s="37">
        <v>6.3</v>
      </c>
      <c r="H4694" s="36" t="s">
        <v>235</v>
      </c>
      <c r="I4694" s="36" t="s">
        <v>1282</v>
      </c>
    </row>
    <row r="4695" spans="1:9" x14ac:dyDescent="0.25">
      <c r="A4695" s="38" t="s">
        <v>177</v>
      </c>
      <c r="B4695" s="28">
        <v>9617</v>
      </c>
      <c r="C4695" s="28">
        <v>5647925</v>
      </c>
      <c r="D4695" s="46"/>
      <c r="E4695" s="35">
        <v>46144</v>
      </c>
      <c r="F4695" s="49">
        <v>0.97584490740740737</v>
      </c>
      <c r="G4695" s="37">
        <v>6.3</v>
      </c>
      <c r="H4695" s="36" t="s">
        <v>236</v>
      </c>
      <c r="I4695" s="36" t="s">
        <v>1282</v>
      </c>
    </row>
    <row r="4696" spans="1:9" x14ac:dyDescent="0.25">
      <c r="A4696" s="38" t="s">
        <v>177</v>
      </c>
      <c r="B4696" s="28">
        <v>9617</v>
      </c>
      <c r="C4696" s="28" t="s">
        <v>35</v>
      </c>
      <c r="D4696" s="46" t="s">
        <v>38</v>
      </c>
      <c r="E4696" s="35">
        <v>46145</v>
      </c>
      <c r="F4696" s="49">
        <v>0.34112268518518518</v>
      </c>
      <c r="G4696" s="37">
        <v>6.3</v>
      </c>
      <c r="H4696" s="36" t="s">
        <v>236</v>
      </c>
      <c r="I4696" s="36" t="s">
        <v>1282</v>
      </c>
    </row>
    <row r="4697" spans="1:9" x14ac:dyDescent="0.25">
      <c r="A4697" s="38" t="s">
        <v>177</v>
      </c>
      <c r="B4697" s="28">
        <v>9617</v>
      </c>
      <c r="C4697" s="28" t="s">
        <v>35</v>
      </c>
      <c r="D4697" s="46" t="s">
        <v>38</v>
      </c>
      <c r="E4697" s="35">
        <v>46145</v>
      </c>
      <c r="F4697" s="49">
        <v>0.58296296296296302</v>
      </c>
      <c r="G4697" s="37">
        <v>6.3</v>
      </c>
      <c r="H4697" s="36" t="s">
        <v>237</v>
      </c>
      <c r="I4697" s="36" t="s">
        <v>1282</v>
      </c>
    </row>
    <row r="4698" spans="1:9" x14ac:dyDescent="0.25">
      <c r="A4698" s="38" t="s">
        <v>177</v>
      </c>
      <c r="B4698" s="28">
        <v>9617</v>
      </c>
      <c r="C4698" s="28" t="s">
        <v>35</v>
      </c>
      <c r="D4698" s="46" t="s">
        <v>38</v>
      </c>
      <c r="E4698" s="35">
        <v>46145</v>
      </c>
      <c r="F4698" s="49">
        <v>0.58832175925925922</v>
      </c>
      <c r="G4698" s="37">
        <v>6.3</v>
      </c>
      <c r="H4698" s="36" t="s">
        <v>234</v>
      </c>
      <c r="I4698" s="36" t="s">
        <v>1282</v>
      </c>
    </row>
    <row r="4699" spans="1:9" x14ac:dyDescent="0.25">
      <c r="A4699" s="38" t="s">
        <v>177</v>
      </c>
      <c r="B4699" s="28">
        <v>9617</v>
      </c>
      <c r="C4699" s="28">
        <v>5648779</v>
      </c>
      <c r="D4699" s="46"/>
      <c r="E4699" s="35">
        <v>46145</v>
      </c>
      <c r="F4699" s="49">
        <v>0.62016203703703698</v>
      </c>
      <c r="G4699" s="37">
        <v>6.3</v>
      </c>
      <c r="H4699" s="36" t="s">
        <v>235</v>
      </c>
      <c r="I4699" s="36" t="s">
        <v>1282</v>
      </c>
    </row>
    <row r="4700" spans="1:9" x14ac:dyDescent="0.25">
      <c r="A4700" s="38" t="s">
        <v>177</v>
      </c>
      <c r="B4700" s="28">
        <v>9617</v>
      </c>
      <c r="C4700" s="28">
        <v>5648779</v>
      </c>
      <c r="D4700" s="46"/>
      <c r="E4700" s="35">
        <v>46145</v>
      </c>
      <c r="F4700" s="49">
        <v>0.6269675925925926</v>
      </c>
      <c r="G4700" s="37">
        <v>6.3</v>
      </c>
      <c r="H4700" s="36" t="s">
        <v>239</v>
      </c>
      <c r="I4700" s="36" t="s">
        <v>1282</v>
      </c>
    </row>
    <row r="4701" spans="1:9" x14ac:dyDescent="0.25">
      <c r="A4701" s="38" t="s">
        <v>177</v>
      </c>
      <c r="B4701" s="28">
        <v>9617</v>
      </c>
      <c r="C4701" s="28">
        <v>5648947</v>
      </c>
      <c r="D4701" s="46"/>
      <c r="E4701" s="35">
        <v>46145</v>
      </c>
      <c r="F4701" s="49">
        <v>0.80305555555555552</v>
      </c>
      <c r="G4701" s="37">
        <v>6.3</v>
      </c>
      <c r="H4701" s="36" t="s">
        <v>238</v>
      </c>
      <c r="I4701" s="36" t="s">
        <v>1282</v>
      </c>
    </row>
    <row r="4702" spans="1:9" x14ac:dyDescent="0.25">
      <c r="A4702" s="38" t="s">
        <v>185</v>
      </c>
      <c r="B4702" s="28">
        <v>9624</v>
      </c>
      <c r="C4702" s="28">
        <v>5642169</v>
      </c>
      <c r="D4702" s="46"/>
      <c r="E4702" s="35">
        <v>46141</v>
      </c>
      <c r="F4702" s="49">
        <v>0.43942129629629628</v>
      </c>
      <c r="G4702" s="37">
        <v>6.3</v>
      </c>
      <c r="H4702" s="36" t="s">
        <v>235</v>
      </c>
      <c r="I4702" s="36" t="s">
        <v>1281</v>
      </c>
    </row>
    <row r="4703" spans="1:9" x14ac:dyDescent="0.25">
      <c r="A4703" s="38" t="s">
        <v>185</v>
      </c>
      <c r="B4703" s="28">
        <v>9624</v>
      </c>
      <c r="C4703" s="28">
        <v>5642169</v>
      </c>
      <c r="D4703" s="46"/>
      <c r="E4703" s="35">
        <v>46141</v>
      </c>
      <c r="F4703" s="49">
        <v>0.450625</v>
      </c>
      <c r="G4703" s="37">
        <v>6.3</v>
      </c>
      <c r="H4703" s="36" t="s">
        <v>236</v>
      </c>
      <c r="I4703" s="36" t="s">
        <v>1281</v>
      </c>
    </row>
    <row r="4704" spans="1:9" x14ac:dyDescent="0.25">
      <c r="A4704" s="38" t="s">
        <v>185</v>
      </c>
      <c r="B4704" s="28">
        <v>9624</v>
      </c>
      <c r="C4704" s="28">
        <v>5644473</v>
      </c>
      <c r="D4704" s="46" t="s">
        <v>37</v>
      </c>
      <c r="E4704" s="35">
        <v>46142</v>
      </c>
      <c r="F4704" s="49">
        <v>0.49700231481481483</v>
      </c>
      <c r="G4704" s="37">
        <v>6.3</v>
      </c>
      <c r="H4704" s="36" t="s">
        <v>235</v>
      </c>
      <c r="I4704" s="36" t="s">
        <v>1281</v>
      </c>
    </row>
    <row r="4705" spans="1:9" x14ac:dyDescent="0.25">
      <c r="A4705" s="38" t="s">
        <v>185</v>
      </c>
      <c r="B4705" s="28">
        <v>9624</v>
      </c>
      <c r="C4705" s="28">
        <v>5644473</v>
      </c>
      <c r="D4705" s="46" t="s">
        <v>37</v>
      </c>
      <c r="E4705" s="35">
        <v>46142</v>
      </c>
      <c r="F4705" s="49">
        <v>0.50736111111111115</v>
      </c>
      <c r="G4705" s="37">
        <v>6.3</v>
      </c>
      <c r="H4705" s="36" t="s">
        <v>236</v>
      </c>
      <c r="I4705" s="36" t="s">
        <v>1281</v>
      </c>
    </row>
    <row r="4706" spans="1:9" x14ac:dyDescent="0.25">
      <c r="A4706" s="38" t="s">
        <v>185</v>
      </c>
      <c r="B4706" s="28">
        <v>9624</v>
      </c>
      <c r="C4706" s="28">
        <v>5642013</v>
      </c>
      <c r="D4706" s="46"/>
      <c r="E4706" s="35">
        <v>46143</v>
      </c>
      <c r="F4706" s="49">
        <v>0.44092592592592594</v>
      </c>
      <c r="G4706" s="37">
        <v>6.3</v>
      </c>
      <c r="H4706" s="36" t="s">
        <v>235</v>
      </c>
      <c r="I4706" s="36" t="s">
        <v>1282</v>
      </c>
    </row>
    <row r="4707" spans="1:9" x14ac:dyDescent="0.25">
      <c r="A4707" s="38" t="s">
        <v>185</v>
      </c>
      <c r="B4707" s="28">
        <v>9624</v>
      </c>
      <c r="C4707" s="28">
        <v>5642013</v>
      </c>
      <c r="D4707" s="46"/>
      <c r="E4707" s="35">
        <v>46143</v>
      </c>
      <c r="F4707" s="49">
        <v>0.44697916666666665</v>
      </c>
      <c r="G4707" s="37">
        <v>6.3</v>
      </c>
      <c r="H4707" s="36" t="s">
        <v>239</v>
      </c>
      <c r="I4707" s="36" t="s">
        <v>1282</v>
      </c>
    </row>
    <row r="4708" spans="1:9" x14ac:dyDescent="0.25">
      <c r="A4708" s="38" t="s">
        <v>185</v>
      </c>
      <c r="B4708" s="28">
        <v>9624</v>
      </c>
      <c r="C4708" s="28">
        <v>5642013</v>
      </c>
      <c r="D4708" s="46"/>
      <c r="E4708" s="35">
        <v>46143</v>
      </c>
      <c r="F4708" s="49">
        <v>0.4487962962962963</v>
      </c>
      <c r="G4708" s="37">
        <v>6.3</v>
      </c>
      <c r="H4708" s="36" t="s">
        <v>238</v>
      </c>
      <c r="I4708" s="36" t="s">
        <v>1282</v>
      </c>
    </row>
    <row r="4709" spans="1:9" x14ac:dyDescent="0.25">
      <c r="A4709" s="38" t="s">
        <v>185</v>
      </c>
      <c r="B4709" s="28">
        <v>9624</v>
      </c>
      <c r="C4709" s="28" t="s">
        <v>35</v>
      </c>
      <c r="D4709" s="46" t="s">
        <v>38</v>
      </c>
      <c r="E4709" s="35">
        <v>46143</v>
      </c>
      <c r="F4709" s="49">
        <v>0.50891203703703702</v>
      </c>
      <c r="G4709" s="37">
        <v>6.3</v>
      </c>
      <c r="H4709" s="36" t="s">
        <v>241</v>
      </c>
      <c r="I4709" s="36" t="s">
        <v>1282</v>
      </c>
    </row>
    <row r="4710" spans="1:9" x14ac:dyDescent="0.25">
      <c r="A4710" s="38" t="s">
        <v>185</v>
      </c>
      <c r="B4710" s="28">
        <v>9624</v>
      </c>
      <c r="C4710" s="28" t="s">
        <v>35</v>
      </c>
      <c r="D4710" s="46" t="s">
        <v>38</v>
      </c>
      <c r="E4710" s="35">
        <v>46143</v>
      </c>
      <c r="F4710" s="49">
        <v>0.51166666666666671</v>
      </c>
      <c r="G4710" s="37">
        <v>6.3</v>
      </c>
      <c r="H4710" s="36" t="s">
        <v>234</v>
      </c>
      <c r="I4710" s="36" t="s">
        <v>1282</v>
      </c>
    </row>
    <row r="4711" spans="1:9" x14ac:dyDescent="0.25">
      <c r="A4711" s="38" t="s">
        <v>185</v>
      </c>
      <c r="B4711" s="28">
        <v>9624</v>
      </c>
      <c r="C4711" s="28">
        <v>5646255</v>
      </c>
      <c r="D4711" s="46"/>
      <c r="E4711" s="35">
        <v>46143</v>
      </c>
      <c r="F4711" s="49">
        <v>0.6340972222222222</v>
      </c>
      <c r="G4711" s="37">
        <v>6.3</v>
      </c>
      <c r="H4711" s="36" t="s">
        <v>235</v>
      </c>
      <c r="I4711" s="36" t="s">
        <v>1282</v>
      </c>
    </row>
    <row r="4712" spans="1:9" x14ac:dyDescent="0.25">
      <c r="A4712" s="38" t="s">
        <v>185</v>
      </c>
      <c r="B4712" s="28">
        <v>9624</v>
      </c>
      <c r="C4712" s="28">
        <v>5646255</v>
      </c>
      <c r="D4712" s="46"/>
      <c r="E4712" s="35">
        <v>46143</v>
      </c>
      <c r="F4712" s="49">
        <v>0.64053240740740736</v>
      </c>
      <c r="G4712" s="37">
        <v>6.3</v>
      </c>
      <c r="H4712" s="36" t="s">
        <v>236</v>
      </c>
      <c r="I4712" s="36" t="s">
        <v>1282</v>
      </c>
    </row>
    <row r="4713" spans="1:9" x14ac:dyDescent="0.25">
      <c r="A4713" s="38" t="s">
        <v>185</v>
      </c>
      <c r="B4713" s="28">
        <v>9624</v>
      </c>
      <c r="C4713" s="28">
        <v>5642002</v>
      </c>
      <c r="D4713" s="46"/>
      <c r="E4713" s="35">
        <v>46144</v>
      </c>
      <c r="F4713" s="49">
        <v>1.3703703703703704E-2</v>
      </c>
      <c r="G4713" s="37">
        <v>6.3</v>
      </c>
      <c r="H4713" s="36" t="s">
        <v>235</v>
      </c>
      <c r="I4713" s="36" t="s">
        <v>1282</v>
      </c>
    </row>
    <row r="4714" spans="1:9" x14ac:dyDescent="0.25">
      <c r="A4714" s="38" t="s">
        <v>185</v>
      </c>
      <c r="B4714" s="28">
        <v>9624</v>
      </c>
      <c r="C4714" s="28">
        <v>5642002</v>
      </c>
      <c r="D4714" s="46"/>
      <c r="E4714" s="35">
        <v>46144</v>
      </c>
      <c r="F4714" s="49">
        <v>1.8368055555555554E-2</v>
      </c>
      <c r="G4714" s="37">
        <v>6.3</v>
      </c>
      <c r="H4714" s="36" t="s">
        <v>240</v>
      </c>
      <c r="I4714" s="36" t="s">
        <v>1282</v>
      </c>
    </row>
    <row r="4715" spans="1:9" x14ac:dyDescent="0.25">
      <c r="A4715" s="38" t="s">
        <v>185</v>
      </c>
      <c r="B4715" s="28">
        <v>9624</v>
      </c>
      <c r="C4715" s="28" t="s">
        <v>35</v>
      </c>
      <c r="D4715" s="46" t="s">
        <v>38</v>
      </c>
      <c r="E4715" s="35">
        <v>46144</v>
      </c>
      <c r="F4715" s="49">
        <v>4.5439814814814815E-2</v>
      </c>
      <c r="G4715" s="37">
        <v>6.3</v>
      </c>
      <c r="H4715" s="36" t="s">
        <v>241</v>
      </c>
      <c r="I4715" s="36" t="s">
        <v>1282</v>
      </c>
    </row>
    <row r="4716" spans="1:9" x14ac:dyDescent="0.25">
      <c r="A4716" s="38" t="s">
        <v>185</v>
      </c>
      <c r="B4716" s="28">
        <v>9624</v>
      </c>
      <c r="C4716" s="28">
        <v>5649619</v>
      </c>
      <c r="D4716" s="46"/>
      <c r="E4716" s="35">
        <v>46145</v>
      </c>
      <c r="F4716" s="49">
        <v>0.97991898148148149</v>
      </c>
      <c r="G4716" s="37">
        <v>6.3</v>
      </c>
      <c r="H4716" s="36" t="s">
        <v>235</v>
      </c>
      <c r="I4716" s="36" t="s">
        <v>1282</v>
      </c>
    </row>
    <row r="4717" spans="1:9" x14ac:dyDescent="0.25">
      <c r="A4717" s="38" t="s">
        <v>185</v>
      </c>
      <c r="B4717" s="28">
        <v>9624</v>
      </c>
      <c r="C4717" s="28">
        <v>5649619</v>
      </c>
      <c r="D4717" s="46"/>
      <c r="E4717" s="35">
        <v>46145</v>
      </c>
      <c r="F4717" s="49">
        <v>0.98599537037037033</v>
      </c>
      <c r="G4717" s="37">
        <v>6.3</v>
      </c>
      <c r="H4717" s="36" t="s">
        <v>236</v>
      </c>
      <c r="I4717" s="36" t="s">
        <v>1282</v>
      </c>
    </row>
    <row r="4718" spans="1:9" x14ac:dyDescent="0.25">
      <c r="A4718" s="38" t="s">
        <v>271</v>
      </c>
      <c r="B4718" s="28">
        <v>9626</v>
      </c>
      <c r="C4718" s="28" t="s">
        <v>35</v>
      </c>
      <c r="D4718" s="46" t="s">
        <v>38</v>
      </c>
      <c r="E4718" s="35">
        <v>46139</v>
      </c>
      <c r="F4718" s="49">
        <v>0.58064814814814814</v>
      </c>
      <c r="G4718" s="37">
        <v>6.3</v>
      </c>
      <c r="H4718" s="36" t="s">
        <v>242</v>
      </c>
      <c r="I4718" s="36" t="s">
        <v>1281</v>
      </c>
    </row>
    <row r="4719" spans="1:9" x14ac:dyDescent="0.25">
      <c r="A4719" s="38" t="s">
        <v>271</v>
      </c>
      <c r="B4719" s="28">
        <v>9626</v>
      </c>
      <c r="C4719" s="28" t="s">
        <v>1242</v>
      </c>
      <c r="D4719" s="46"/>
      <c r="E4719" s="35">
        <v>46141</v>
      </c>
      <c r="F4719" s="49">
        <v>0.98603009259259256</v>
      </c>
      <c r="G4719" s="37">
        <v>6.3</v>
      </c>
      <c r="H4719" s="36" t="s">
        <v>235</v>
      </c>
      <c r="I4719" s="36" t="s">
        <v>1281</v>
      </c>
    </row>
    <row r="4720" spans="1:9" x14ac:dyDescent="0.25">
      <c r="A4720" s="38" t="s">
        <v>271</v>
      </c>
      <c r="B4720" s="28">
        <v>9626</v>
      </c>
      <c r="C4720" s="28" t="s">
        <v>1242</v>
      </c>
      <c r="D4720" s="46"/>
      <c r="E4720" s="35">
        <v>46141</v>
      </c>
      <c r="F4720" s="49">
        <v>0.99383101851851852</v>
      </c>
      <c r="G4720" s="37">
        <v>6.3</v>
      </c>
      <c r="H4720" s="36" t="s">
        <v>236</v>
      </c>
      <c r="I4720" s="36" t="s">
        <v>1281</v>
      </c>
    </row>
    <row r="4721" spans="1:9" x14ac:dyDescent="0.25">
      <c r="A4721" s="38" t="s">
        <v>271</v>
      </c>
      <c r="B4721" s="28">
        <v>9626</v>
      </c>
      <c r="C4721" s="28" t="s">
        <v>1243</v>
      </c>
      <c r="D4721" s="46"/>
      <c r="E4721" s="35">
        <v>46145</v>
      </c>
      <c r="F4721" s="49">
        <v>0.77560185185185182</v>
      </c>
      <c r="G4721" s="37">
        <v>6.3</v>
      </c>
      <c r="H4721" s="36" t="s">
        <v>235</v>
      </c>
      <c r="I4721" s="36" t="s">
        <v>1282</v>
      </c>
    </row>
    <row r="4722" spans="1:9" x14ac:dyDescent="0.25">
      <c r="A4722" s="38" t="s">
        <v>271</v>
      </c>
      <c r="B4722" s="28">
        <v>9626</v>
      </c>
      <c r="C4722" s="28" t="s">
        <v>1243</v>
      </c>
      <c r="D4722" s="46"/>
      <c r="E4722" s="35">
        <v>46145</v>
      </c>
      <c r="F4722" s="49">
        <v>0.7835185185185185</v>
      </c>
      <c r="G4722" s="37">
        <v>6.3</v>
      </c>
      <c r="H4722" s="36" t="s">
        <v>236</v>
      </c>
      <c r="I4722" s="36" t="s">
        <v>1282</v>
      </c>
    </row>
    <row r="4723" spans="1:9" x14ac:dyDescent="0.25">
      <c r="A4723" s="38" t="s">
        <v>257</v>
      </c>
      <c r="B4723" s="28">
        <v>9630</v>
      </c>
      <c r="C4723" s="28">
        <v>10558906</v>
      </c>
      <c r="D4723" s="46"/>
      <c r="E4723" s="35">
        <v>46141</v>
      </c>
      <c r="F4723" s="49">
        <v>0.32245370370370369</v>
      </c>
      <c r="G4723" s="37">
        <v>6.3</v>
      </c>
      <c r="H4723" s="36" t="s">
        <v>237</v>
      </c>
      <c r="I4723" s="36" t="s">
        <v>1281</v>
      </c>
    </row>
    <row r="4724" spans="1:9" x14ac:dyDescent="0.25">
      <c r="A4724" s="38" t="s">
        <v>257</v>
      </c>
      <c r="B4724" s="28">
        <v>9630</v>
      </c>
      <c r="C4724" s="28">
        <v>10558906</v>
      </c>
      <c r="D4724" s="46"/>
      <c r="E4724" s="35">
        <v>46141</v>
      </c>
      <c r="F4724" s="49">
        <v>0.32916666666666666</v>
      </c>
      <c r="G4724" s="37">
        <v>6.3</v>
      </c>
      <c r="H4724" s="36" t="s">
        <v>234</v>
      </c>
      <c r="I4724" s="36" t="s">
        <v>1281</v>
      </c>
    </row>
    <row r="4725" spans="1:9" x14ac:dyDescent="0.25">
      <c r="A4725" s="38" t="s">
        <v>257</v>
      </c>
      <c r="B4725" s="28">
        <v>9630</v>
      </c>
      <c r="C4725" s="28">
        <v>10566475</v>
      </c>
      <c r="D4725" s="46"/>
      <c r="E4725" s="35">
        <v>46142</v>
      </c>
      <c r="F4725" s="49">
        <v>0.39185185185185184</v>
      </c>
      <c r="G4725" s="37">
        <v>6.3</v>
      </c>
      <c r="H4725" s="36" t="s">
        <v>235</v>
      </c>
      <c r="I4725" s="36" t="s">
        <v>1281</v>
      </c>
    </row>
    <row r="4726" spans="1:9" x14ac:dyDescent="0.25">
      <c r="A4726" s="38" t="s">
        <v>257</v>
      </c>
      <c r="B4726" s="28">
        <v>9630</v>
      </c>
      <c r="C4726" s="28">
        <v>10566475</v>
      </c>
      <c r="D4726" s="46"/>
      <c r="E4726" s="35">
        <v>46142</v>
      </c>
      <c r="F4726" s="49">
        <v>0.40500000000000003</v>
      </c>
      <c r="G4726" s="37">
        <v>6.3</v>
      </c>
      <c r="H4726" s="36" t="s">
        <v>240</v>
      </c>
      <c r="I4726" s="36" t="s">
        <v>1281</v>
      </c>
    </row>
    <row r="4727" spans="1:9" x14ac:dyDescent="0.25">
      <c r="A4727" s="38" t="s">
        <v>257</v>
      </c>
      <c r="B4727" s="28">
        <v>9630</v>
      </c>
      <c r="C4727" s="28">
        <v>10566565</v>
      </c>
      <c r="D4727" s="46"/>
      <c r="E4727" s="35">
        <v>46142</v>
      </c>
      <c r="F4727" s="49">
        <v>0.52956018518518522</v>
      </c>
      <c r="G4727" s="37">
        <v>6.3</v>
      </c>
      <c r="H4727" s="36" t="s">
        <v>234</v>
      </c>
      <c r="I4727" s="36" t="s">
        <v>1281</v>
      </c>
    </row>
    <row r="4728" spans="1:9" x14ac:dyDescent="0.25">
      <c r="A4728" s="38" t="s">
        <v>257</v>
      </c>
      <c r="B4728" s="28">
        <v>9630</v>
      </c>
      <c r="C4728" s="28">
        <v>10585834</v>
      </c>
      <c r="D4728" s="46"/>
      <c r="E4728" s="35">
        <v>46145</v>
      </c>
      <c r="F4728" s="49">
        <v>0.31619212962962961</v>
      </c>
      <c r="G4728" s="37">
        <v>6.3</v>
      </c>
      <c r="H4728" s="36" t="s">
        <v>237</v>
      </c>
      <c r="I4728" s="36" t="s">
        <v>1282</v>
      </c>
    </row>
    <row r="4729" spans="1:9" x14ac:dyDescent="0.25">
      <c r="A4729" s="38" t="s">
        <v>257</v>
      </c>
      <c r="B4729" s="28">
        <v>9630</v>
      </c>
      <c r="C4729" s="28">
        <v>10585834</v>
      </c>
      <c r="D4729" s="46"/>
      <c r="E4729" s="35">
        <v>46145</v>
      </c>
      <c r="F4729" s="49">
        <v>0.32115740740740739</v>
      </c>
      <c r="G4729" s="37">
        <v>6.3</v>
      </c>
      <c r="H4729" s="36" t="s">
        <v>234</v>
      </c>
      <c r="I4729" s="36" t="s">
        <v>1282</v>
      </c>
    </row>
    <row r="4730" spans="1:9" x14ac:dyDescent="0.25">
      <c r="A4730" s="38" t="s">
        <v>257</v>
      </c>
      <c r="B4730" s="28">
        <v>9630</v>
      </c>
      <c r="C4730" s="28">
        <v>10590738</v>
      </c>
      <c r="D4730" s="46" t="s">
        <v>36</v>
      </c>
      <c r="E4730" s="35">
        <v>46145</v>
      </c>
      <c r="F4730" s="49">
        <v>0.38140046296296298</v>
      </c>
      <c r="G4730" s="37">
        <v>6.3</v>
      </c>
      <c r="H4730" s="36" t="s">
        <v>235</v>
      </c>
      <c r="I4730" s="36" t="s">
        <v>1282</v>
      </c>
    </row>
    <row r="4731" spans="1:9" x14ac:dyDescent="0.25">
      <c r="A4731" s="38" t="s">
        <v>257</v>
      </c>
      <c r="B4731" s="28">
        <v>9630</v>
      </c>
      <c r="C4731" s="28">
        <v>10590738</v>
      </c>
      <c r="D4731" s="46" t="s">
        <v>36</v>
      </c>
      <c r="E4731" s="35">
        <v>46145</v>
      </c>
      <c r="F4731" s="49">
        <v>0.38871527777777776</v>
      </c>
      <c r="G4731" s="37">
        <v>6.3</v>
      </c>
      <c r="H4731" s="36" t="s">
        <v>236</v>
      </c>
      <c r="I4731" s="36" t="s">
        <v>1282</v>
      </c>
    </row>
    <row r="4732" spans="1:9" x14ac:dyDescent="0.25">
      <c r="A4732" s="38" t="s">
        <v>257</v>
      </c>
      <c r="B4732" s="28">
        <v>9630</v>
      </c>
      <c r="C4732" s="28">
        <v>10585852</v>
      </c>
      <c r="D4732" s="46"/>
      <c r="E4732" s="35">
        <v>46145</v>
      </c>
      <c r="F4732" s="49">
        <v>0.51854166666666668</v>
      </c>
      <c r="G4732" s="37">
        <v>6.3</v>
      </c>
      <c r="H4732" s="36" t="s">
        <v>237</v>
      </c>
      <c r="I4732" s="36" t="s">
        <v>1282</v>
      </c>
    </row>
    <row r="4733" spans="1:9" x14ac:dyDescent="0.25">
      <c r="A4733" s="38" t="s">
        <v>257</v>
      </c>
      <c r="B4733" s="28">
        <v>9630</v>
      </c>
      <c r="C4733" s="28">
        <v>10585852</v>
      </c>
      <c r="D4733" s="46"/>
      <c r="E4733" s="35">
        <v>46145</v>
      </c>
      <c r="F4733" s="49">
        <v>0.52357638888888891</v>
      </c>
      <c r="G4733" s="37">
        <v>6.3</v>
      </c>
      <c r="H4733" s="36" t="s">
        <v>234</v>
      </c>
      <c r="I4733" s="36" t="s">
        <v>1282</v>
      </c>
    </row>
    <row r="4734" spans="1:9" x14ac:dyDescent="0.25">
      <c r="A4734" s="38" t="s">
        <v>196</v>
      </c>
      <c r="B4734" s="28">
        <v>9636</v>
      </c>
      <c r="C4734" s="28">
        <v>5641650</v>
      </c>
      <c r="D4734" s="46"/>
      <c r="E4734" s="35">
        <v>46141</v>
      </c>
      <c r="F4734" s="49">
        <v>0.28434027777777776</v>
      </c>
      <c r="G4734" s="37">
        <v>6.3</v>
      </c>
      <c r="H4734" s="36" t="s">
        <v>236</v>
      </c>
      <c r="I4734" s="36" t="s">
        <v>1281</v>
      </c>
    </row>
    <row r="4735" spans="1:9" x14ac:dyDescent="0.25">
      <c r="A4735" s="38" t="s">
        <v>196</v>
      </c>
      <c r="B4735" s="28">
        <v>9636</v>
      </c>
      <c r="C4735" s="28">
        <v>5643533</v>
      </c>
      <c r="D4735" s="46"/>
      <c r="E4735" s="35">
        <v>46142</v>
      </c>
      <c r="F4735" s="49">
        <v>0.15155092592592592</v>
      </c>
      <c r="G4735" s="37">
        <v>6.3</v>
      </c>
      <c r="H4735" s="36" t="s">
        <v>234</v>
      </c>
      <c r="I4735" s="36" t="s">
        <v>1281</v>
      </c>
    </row>
    <row r="4736" spans="1:9" x14ac:dyDescent="0.25">
      <c r="A4736" s="38" t="s">
        <v>196</v>
      </c>
      <c r="B4736" s="28">
        <v>9636</v>
      </c>
      <c r="C4736" s="28">
        <v>5638142</v>
      </c>
      <c r="D4736" s="46"/>
      <c r="E4736" s="35">
        <v>46142</v>
      </c>
      <c r="F4736" s="49">
        <v>0.32990740740740743</v>
      </c>
      <c r="G4736" s="37">
        <v>6.3</v>
      </c>
      <c r="H4736" s="36" t="s">
        <v>235</v>
      </c>
      <c r="I4736" s="36" t="s">
        <v>1281</v>
      </c>
    </row>
    <row r="4737" spans="1:9" x14ac:dyDescent="0.25">
      <c r="A4737" s="38" t="s">
        <v>196</v>
      </c>
      <c r="B4737" s="28">
        <v>9636</v>
      </c>
      <c r="C4737" s="28">
        <v>5638142</v>
      </c>
      <c r="D4737" s="46"/>
      <c r="E4737" s="35">
        <v>46142</v>
      </c>
      <c r="F4737" s="49">
        <v>0.34386574074074072</v>
      </c>
      <c r="G4737" s="37">
        <v>6.3</v>
      </c>
      <c r="H4737" s="36" t="s">
        <v>236</v>
      </c>
      <c r="I4737" s="36" t="s">
        <v>1281</v>
      </c>
    </row>
    <row r="4738" spans="1:9" x14ac:dyDescent="0.25">
      <c r="A4738" s="38" t="s">
        <v>178</v>
      </c>
      <c r="B4738" s="28">
        <v>9637</v>
      </c>
      <c r="C4738" s="28" t="s">
        <v>1244</v>
      </c>
      <c r="D4738" s="46"/>
      <c r="E4738" s="35">
        <v>46140</v>
      </c>
      <c r="F4738" s="49">
        <v>0.46944444444444444</v>
      </c>
      <c r="G4738" s="37">
        <v>6.3</v>
      </c>
      <c r="H4738" s="36" t="s">
        <v>235</v>
      </c>
      <c r="I4738" s="36" t="s">
        <v>1281</v>
      </c>
    </row>
    <row r="4739" spans="1:9" x14ac:dyDescent="0.25">
      <c r="A4739" s="38" t="s">
        <v>178</v>
      </c>
      <c r="B4739" s="28">
        <v>9637</v>
      </c>
      <c r="C4739" s="28" t="s">
        <v>1244</v>
      </c>
      <c r="D4739" s="46"/>
      <c r="E4739" s="35">
        <v>46140</v>
      </c>
      <c r="F4739" s="49">
        <v>0.4802777777777778</v>
      </c>
      <c r="G4739" s="37">
        <v>6.3</v>
      </c>
      <c r="H4739" s="36" t="s">
        <v>239</v>
      </c>
      <c r="I4739" s="36" t="s">
        <v>1281</v>
      </c>
    </row>
    <row r="4740" spans="1:9" x14ac:dyDescent="0.25">
      <c r="A4740" s="38" t="s">
        <v>178</v>
      </c>
      <c r="B4740" s="28">
        <v>9637</v>
      </c>
      <c r="C4740" s="28">
        <v>5641582</v>
      </c>
      <c r="D4740" s="46"/>
      <c r="E4740" s="35">
        <v>46140</v>
      </c>
      <c r="F4740" s="49">
        <v>0.8529282407407407</v>
      </c>
      <c r="G4740" s="37">
        <v>6.3</v>
      </c>
      <c r="H4740" s="36" t="s">
        <v>235</v>
      </c>
      <c r="I4740" s="36" t="s">
        <v>1281</v>
      </c>
    </row>
    <row r="4741" spans="1:9" x14ac:dyDescent="0.25">
      <c r="A4741" s="38" t="s">
        <v>178</v>
      </c>
      <c r="B4741" s="28">
        <v>9637</v>
      </c>
      <c r="C4741" s="28">
        <v>5641582</v>
      </c>
      <c r="D4741" s="46"/>
      <c r="E4741" s="35">
        <v>46140</v>
      </c>
      <c r="F4741" s="49">
        <v>0.8611805555555555</v>
      </c>
      <c r="G4741" s="37">
        <v>6.3</v>
      </c>
      <c r="H4741" s="36" t="s">
        <v>239</v>
      </c>
      <c r="I4741" s="36" t="s">
        <v>1281</v>
      </c>
    </row>
    <row r="4742" spans="1:9" x14ac:dyDescent="0.25">
      <c r="A4742" s="38" t="s">
        <v>178</v>
      </c>
      <c r="B4742" s="28">
        <v>9637</v>
      </c>
      <c r="C4742" s="28">
        <v>5643070</v>
      </c>
      <c r="D4742" s="46"/>
      <c r="E4742" s="35">
        <v>46141</v>
      </c>
      <c r="F4742" s="49">
        <v>0.73508101851851848</v>
      </c>
      <c r="G4742" s="37">
        <v>6.3</v>
      </c>
      <c r="H4742" s="36" t="s">
        <v>235</v>
      </c>
      <c r="I4742" s="36" t="s">
        <v>1281</v>
      </c>
    </row>
    <row r="4743" spans="1:9" x14ac:dyDescent="0.25">
      <c r="A4743" s="38" t="s">
        <v>178</v>
      </c>
      <c r="B4743" s="28">
        <v>9637</v>
      </c>
      <c r="C4743" s="28">
        <v>5643070</v>
      </c>
      <c r="D4743" s="46"/>
      <c r="E4743" s="35">
        <v>46141</v>
      </c>
      <c r="F4743" s="49">
        <v>0.75577546296296294</v>
      </c>
      <c r="G4743" s="37">
        <v>6.3</v>
      </c>
      <c r="H4743" s="36" t="s">
        <v>236</v>
      </c>
      <c r="I4743" s="36" t="s">
        <v>1281</v>
      </c>
    </row>
    <row r="4744" spans="1:9" x14ac:dyDescent="0.25">
      <c r="A4744" s="38" t="s">
        <v>178</v>
      </c>
      <c r="B4744" s="28">
        <v>9637</v>
      </c>
      <c r="C4744" s="28">
        <v>5643441</v>
      </c>
      <c r="D4744" s="46"/>
      <c r="E4744" s="35">
        <v>46141</v>
      </c>
      <c r="F4744" s="49">
        <v>0.84047453703703701</v>
      </c>
      <c r="G4744" s="37">
        <v>6.3</v>
      </c>
      <c r="H4744" s="36" t="s">
        <v>237</v>
      </c>
      <c r="I4744" s="36" t="s">
        <v>1281</v>
      </c>
    </row>
    <row r="4745" spans="1:9" x14ac:dyDescent="0.25">
      <c r="A4745" s="38" t="s">
        <v>178</v>
      </c>
      <c r="B4745" s="28">
        <v>9637</v>
      </c>
      <c r="C4745" s="28" t="s">
        <v>35</v>
      </c>
      <c r="D4745" s="46" t="s">
        <v>38</v>
      </c>
      <c r="E4745" s="35">
        <v>46142</v>
      </c>
      <c r="F4745" s="49">
        <v>0.35804398148148148</v>
      </c>
      <c r="G4745" s="37">
        <v>6.3</v>
      </c>
      <c r="H4745" s="36" t="s">
        <v>235</v>
      </c>
      <c r="I4745" s="36" t="s">
        <v>1281</v>
      </c>
    </row>
    <row r="4746" spans="1:9" x14ac:dyDescent="0.25">
      <c r="A4746" s="38" t="s">
        <v>178</v>
      </c>
      <c r="B4746" s="28">
        <v>9637</v>
      </c>
      <c r="C4746" s="28" t="s">
        <v>35</v>
      </c>
      <c r="D4746" s="46" t="s">
        <v>38</v>
      </c>
      <c r="E4746" s="35">
        <v>46142</v>
      </c>
      <c r="F4746" s="49">
        <v>0.36747685185185186</v>
      </c>
      <c r="G4746" s="37">
        <v>6.3</v>
      </c>
      <c r="H4746" s="36" t="s">
        <v>240</v>
      </c>
      <c r="I4746" s="36" t="s">
        <v>1281</v>
      </c>
    </row>
    <row r="4747" spans="1:9" x14ac:dyDescent="0.25">
      <c r="A4747" s="38" t="s">
        <v>178</v>
      </c>
      <c r="B4747" s="28">
        <v>9637</v>
      </c>
      <c r="C4747" s="28" t="s">
        <v>35</v>
      </c>
      <c r="D4747" s="46" t="s">
        <v>38</v>
      </c>
      <c r="E4747" s="35">
        <v>46142</v>
      </c>
      <c r="F4747" s="49">
        <v>0.39724537037037039</v>
      </c>
      <c r="G4747" s="37">
        <v>6.3</v>
      </c>
      <c r="H4747" s="36" t="s">
        <v>241</v>
      </c>
      <c r="I4747" s="36" t="s">
        <v>1281</v>
      </c>
    </row>
    <row r="4748" spans="1:9" x14ac:dyDescent="0.25">
      <c r="A4748" s="38" t="s">
        <v>178</v>
      </c>
      <c r="B4748" s="28">
        <v>9637</v>
      </c>
      <c r="C4748" s="28" t="s">
        <v>1245</v>
      </c>
      <c r="D4748" s="46"/>
      <c r="E4748" s="35">
        <v>46142</v>
      </c>
      <c r="F4748" s="49">
        <v>0.73812500000000003</v>
      </c>
      <c r="G4748" s="37">
        <v>6.3</v>
      </c>
      <c r="H4748" s="36" t="s">
        <v>235</v>
      </c>
      <c r="I4748" s="36" t="s">
        <v>1281</v>
      </c>
    </row>
    <row r="4749" spans="1:9" x14ac:dyDescent="0.25">
      <c r="A4749" s="38" t="s">
        <v>178</v>
      </c>
      <c r="B4749" s="28">
        <v>9637</v>
      </c>
      <c r="C4749" s="28" t="s">
        <v>1245</v>
      </c>
      <c r="D4749" s="46"/>
      <c r="E4749" s="35">
        <v>46142</v>
      </c>
      <c r="F4749" s="49">
        <v>0.75785879629629627</v>
      </c>
      <c r="G4749" s="37">
        <v>6.3</v>
      </c>
      <c r="H4749" s="36" t="s">
        <v>236</v>
      </c>
      <c r="I4749" s="36" t="s">
        <v>1281</v>
      </c>
    </row>
    <row r="4750" spans="1:9" x14ac:dyDescent="0.25">
      <c r="A4750" s="38" t="s">
        <v>178</v>
      </c>
      <c r="B4750" s="28">
        <v>9637</v>
      </c>
      <c r="C4750" s="28">
        <v>5627025</v>
      </c>
      <c r="D4750" s="46"/>
      <c r="E4750" s="35">
        <v>46142</v>
      </c>
      <c r="F4750" s="49">
        <v>0.81232638888888886</v>
      </c>
      <c r="G4750" s="37">
        <v>6.3</v>
      </c>
      <c r="H4750" s="36" t="s">
        <v>237</v>
      </c>
      <c r="I4750" s="36" t="s">
        <v>1281</v>
      </c>
    </row>
    <row r="4751" spans="1:9" x14ac:dyDescent="0.25">
      <c r="A4751" s="38" t="s">
        <v>178</v>
      </c>
      <c r="B4751" s="28">
        <v>9637</v>
      </c>
      <c r="C4751" s="28" t="s">
        <v>1246</v>
      </c>
      <c r="D4751" s="46"/>
      <c r="E4751" s="35">
        <v>46143</v>
      </c>
      <c r="F4751" s="49">
        <v>0.32082175925925926</v>
      </c>
      <c r="G4751" s="37">
        <v>6.3</v>
      </c>
      <c r="H4751" s="36" t="s">
        <v>235</v>
      </c>
      <c r="I4751" s="36" t="s">
        <v>1282</v>
      </c>
    </row>
    <row r="4752" spans="1:9" x14ac:dyDescent="0.25">
      <c r="A4752" s="38" t="s">
        <v>178</v>
      </c>
      <c r="B4752" s="28">
        <v>9637</v>
      </c>
      <c r="C4752" s="28" t="s">
        <v>1246</v>
      </c>
      <c r="D4752" s="46"/>
      <c r="E4752" s="35">
        <v>46143</v>
      </c>
      <c r="F4752" s="49">
        <v>0.32824074074074072</v>
      </c>
      <c r="G4752" s="37">
        <v>6.3</v>
      </c>
      <c r="H4752" s="36" t="s">
        <v>236</v>
      </c>
      <c r="I4752" s="36" t="s">
        <v>1282</v>
      </c>
    </row>
    <row r="4753" spans="1:9" x14ac:dyDescent="0.25">
      <c r="A4753" s="38" t="s">
        <v>178</v>
      </c>
      <c r="B4753" s="28">
        <v>9637</v>
      </c>
      <c r="C4753" s="28">
        <v>5646471</v>
      </c>
      <c r="D4753" s="46"/>
      <c r="E4753" s="35">
        <v>46143</v>
      </c>
      <c r="F4753" s="49">
        <v>0.65620370370370373</v>
      </c>
      <c r="G4753" s="37">
        <v>6.3</v>
      </c>
      <c r="H4753" s="36" t="s">
        <v>237</v>
      </c>
      <c r="I4753" s="36" t="s">
        <v>1282</v>
      </c>
    </row>
    <row r="4754" spans="1:9" x14ac:dyDescent="0.25">
      <c r="A4754" s="38" t="s">
        <v>178</v>
      </c>
      <c r="B4754" s="28">
        <v>9637</v>
      </c>
      <c r="C4754" s="28">
        <v>5646471</v>
      </c>
      <c r="D4754" s="46"/>
      <c r="E4754" s="35">
        <v>46143</v>
      </c>
      <c r="F4754" s="49">
        <v>0.66152777777777783</v>
      </c>
      <c r="G4754" s="37">
        <v>6.3</v>
      </c>
      <c r="H4754" s="36" t="s">
        <v>234</v>
      </c>
      <c r="I4754" s="36" t="s">
        <v>1282</v>
      </c>
    </row>
    <row r="4755" spans="1:9" x14ac:dyDescent="0.25">
      <c r="A4755" s="38" t="s">
        <v>178</v>
      </c>
      <c r="B4755" s="28">
        <v>9637</v>
      </c>
      <c r="C4755" s="28" t="s">
        <v>35</v>
      </c>
      <c r="D4755" s="46" t="s">
        <v>38</v>
      </c>
      <c r="E4755" s="35">
        <v>46144</v>
      </c>
      <c r="F4755" s="49">
        <v>0.65112268518518523</v>
      </c>
      <c r="G4755" s="37">
        <v>6.3</v>
      </c>
      <c r="H4755" s="36" t="s">
        <v>237</v>
      </c>
      <c r="I4755" s="36" t="s">
        <v>1282</v>
      </c>
    </row>
    <row r="4756" spans="1:9" x14ac:dyDescent="0.25">
      <c r="A4756" s="38" t="s">
        <v>201</v>
      </c>
      <c r="B4756" s="28">
        <v>9645</v>
      </c>
      <c r="C4756" s="28">
        <v>5637858</v>
      </c>
      <c r="D4756" s="46" t="s">
        <v>37</v>
      </c>
      <c r="E4756" s="35">
        <v>46140</v>
      </c>
      <c r="F4756" s="49">
        <v>0.13208333333333333</v>
      </c>
      <c r="G4756" s="37">
        <v>6.3</v>
      </c>
      <c r="H4756" s="36" t="s">
        <v>237</v>
      </c>
      <c r="I4756" s="36" t="s">
        <v>1281</v>
      </c>
    </row>
    <row r="4757" spans="1:9" x14ac:dyDescent="0.25">
      <c r="A4757" s="38" t="s">
        <v>201</v>
      </c>
      <c r="B4757" s="28">
        <v>9645</v>
      </c>
      <c r="C4757" s="28">
        <v>5637858</v>
      </c>
      <c r="D4757" s="46" t="s">
        <v>37</v>
      </c>
      <c r="E4757" s="35">
        <v>46140</v>
      </c>
      <c r="F4757" s="49">
        <v>0.13745370370370372</v>
      </c>
      <c r="G4757" s="37">
        <v>6.3</v>
      </c>
      <c r="H4757" s="36" t="s">
        <v>234</v>
      </c>
      <c r="I4757" s="36" t="s">
        <v>1281</v>
      </c>
    </row>
    <row r="4758" spans="1:9" x14ac:dyDescent="0.25">
      <c r="A4758" s="38" t="s">
        <v>201</v>
      </c>
      <c r="B4758" s="28">
        <v>9645</v>
      </c>
      <c r="C4758" s="28">
        <v>5645150</v>
      </c>
      <c r="D4758" s="46"/>
      <c r="E4758" s="35">
        <v>46143</v>
      </c>
      <c r="F4758" s="49">
        <v>0.70680555555555558</v>
      </c>
      <c r="G4758" s="37">
        <v>6.3</v>
      </c>
      <c r="H4758" s="36" t="s">
        <v>238</v>
      </c>
      <c r="I4758" s="36" t="s">
        <v>1282</v>
      </c>
    </row>
    <row r="4759" spans="1:9" x14ac:dyDescent="0.25">
      <c r="A4759" s="38" t="s">
        <v>201</v>
      </c>
      <c r="B4759" s="28">
        <v>9645</v>
      </c>
      <c r="C4759" s="28">
        <v>5645150</v>
      </c>
      <c r="D4759" s="46"/>
      <c r="E4759" s="35">
        <v>46143</v>
      </c>
      <c r="F4759" s="49">
        <v>0.71165509259259263</v>
      </c>
      <c r="G4759" s="37">
        <v>6.3</v>
      </c>
      <c r="H4759" s="36" t="s">
        <v>234</v>
      </c>
      <c r="I4759" s="36" t="s">
        <v>1282</v>
      </c>
    </row>
    <row r="4760" spans="1:9" x14ac:dyDescent="0.25">
      <c r="A4760" s="38" t="s">
        <v>201</v>
      </c>
      <c r="B4760" s="28">
        <v>9645</v>
      </c>
      <c r="C4760" s="28">
        <v>5647940</v>
      </c>
      <c r="D4760" s="46"/>
      <c r="E4760" s="35">
        <v>46144</v>
      </c>
      <c r="F4760" s="49">
        <v>0.74465277777777783</v>
      </c>
      <c r="G4760" s="37">
        <v>6.3</v>
      </c>
      <c r="H4760" s="36" t="s">
        <v>235</v>
      </c>
      <c r="I4760" s="36" t="s">
        <v>1282</v>
      </c>
    </row>
    <row r="4761" spans="1:9" x14ac:dyDescent="0.25">
      <c r="A4761" s="38" t="s">
        <v>201</v>
      </c>
      <c r="B4761" s="28">
        <v>9645</v>
      </c>
      <c r="C4761" s="28">
        <v>5647940</v>
      </c>
      <c r="D4761" s="46"/>
      <c r="E4761" s="35">
        <v>46144</v>
      </c>
      <c r="F4761" s="49">
        <v>0.75254629629629632</v>
      </c>
      <c r="G4761" s="37">
        <v>6.3</v>
      </c>
      <c r="H4761" s="36" t="s">
        <v>236</v>
      </c>
      <c r="I4761" s="36" t="s">
        <v>1282</v>
      </c>
    </row>
    <row r="4762" spans="1:9" x14ac:dyDescent="0.25">
      <c r="A4762" s="38" t="s">
        <v>262</v>
      </c>
      <c r="B4762" s="28">
        <v>9658</v>
      </c>
      <c r="C4762" s="28">
        <v>5641077</v>
      </c>
      <c r="D4762" s="46"/>
      <c r="E4762" s="35">
        <v>46140</v>
      </c>
      <c r="F4762" s="49">
        <v>0.72317129629629628</v>
      </c>
      <c r="G4762" s="37">
        <v>6.3</v>
      </c>
      <c r="H4762" s="36" t="s">
        <v>235</v>
      </c>
      <c r="I4762" s="36" t="s">
        <v>1281</v>
      </c>
    </row>
    <row r="4763" spans="1:9" x14ac:dyDescent="0.25">
      <c r="A4763" s="38" t="s">
        <v>262</v>
      </c>
      <c r="B4763" s="28">
        <v>9658</v>
      </c>
      <c r="C4763" s="28">
        <v>5641077</v>
      </c>
      <c r="D4763" s="46"/>
      <c r="E4763" s="35">
        <v>46140</v>
      </c>
      <c r="F4763" s="49">
        <v>0.73569444444444443</v>
      </c>
      <c r="G4763" s="37">
        <v>6.3</v>
      </c>
      <c r="H4763" s="36" t="s">
        <v>236</v>
      </c>
      <c r="I4763" s="36" t="s">
        <v>1281</v>
      </c>
    </row>
    <row r="4764" spans="1:9" x14ac:dyDescent="0.25">
      <c r="A4764" s="38" t="s">
        <v>305</v>
      </c>
      <c r="B4764" s="28">
        <v>9665</v>
      </c>
      <c r="C4764" s="28">
        <v>5642578</v>
      </c>
      <c r="D4764" s="46"/>
      <c r="E4764" s="35">
        <v>46141</v>
      </c>
      <c r="F4764" s="49">
        <v>0.99116898148148147</v>
      </c>
      <c r="G4764" s="37">
        <v>6.3</v>
      </c>
      <c r="H4764" s="36" t="s">
        <v>235</v>
      </c>
      <c r="I4764" s="36" t="s">
        <v>1281</v>
      </c>
    </row>
    <row r="4765" spans="1:9" x14ac:dyDescent="0.25">
      <c r="A4765" s="38" t="s">
        <v>305</v>
      </c>
      <c r="B4765" s="28">
        <v>9665</v>
      </c>
      <c r="C4765" s="28">
        <v>5642578</v>
      </c>
      <c r="D4765" s="46"/>
      <c r="E4765" s="35">
        <v>46141</v>
      </c>
      <c r="F4765" s="49">
        <v>0.99907407407407411</v>
      </c>
      <c r="G4765" s="37">
        <v>6.3</v>
      </c>
      <c r="H4765" s="36" t="s">
        <v>236</v>
      </c>
      <c r="I4765" s="36" t="s">
        <v>1281</v>
      </c>
    </row>
    <row r="4766" spans="1:9" x14ac:dyDescent="0.25">
      <c r="A4766" s="38" t="s">
        <v>305</v>
      </c>
      <c r="B4766" s="28">
        <v>9665</v>
      </c>
      <c r="C4766" s="28" t="s">
        <v>35</v>
      </c>
      <c r="D4766" s="46" t="s">
        <v>38</v>
      </c>
      <c r="E4766" s="35">
        <v>46142</v>
      </c>
      <c r="F4766" s="49">
        <v>0.97166666666666668</v>
      </c>
      <c r="G4766" s="37">
        <v>6.3</v>
      </c>
      <c r="H4766" s="36" t="s">
        <v>235</v>
      </c>
      <c r="I4766" s="36" t="s">
        <v>1282</v>
      </c>
    </row>
    <row r="4767" spans="1:9" x14ac:dyDescent="0.25">
      <c r="A4767" s="38" t="s">
        <v>305</v>
      </c>
      <c r="B4767" s="28">
        <v>9665</v>
      </c>
      <c r="C4767" s="28" t="s">
        <v>35</v>
      </c>
      <c r="D4767" s="46" t="s">
        <v>38</v>
      </c>
      <c r="E4767" s="35">
        <v>46142</v>
      </c>
      <c r="F4767" s="49">
        <v>0.9797569444444445</v>
      </c>
      <c r="G4767" s="37">
        <v>6.3</v>
      </c>
      <c r="H4767" s="36" t="s">
        <v>236</v>
      </c>
      <c r="I4767" s="36" t="s">
        <v>1282</v>
      </c>
    </row>
    <row r="4768" spans="1:9" x14ac:dyDescent="0.25">
      <c r="A4768" s="38" t="s">
        <v>305</v>
      </c>
      <c r="B4768" s="28">
        <v>9665</v>
      </c>
      <c r="C4768" s="28" t="s">
        <v>1247</v>
      </c>
      <c r="D4768" s="46"/>
      <c r="E4768" s="35">
        <v>46145</v>
      </c>
      <c r="F4768" s="49">
        <v>0.38413194444444443</v>
      </c>
      <c r="G4768" s="37">
        <v>6.3</v>
      </c>
      <c r="H4768" s="36" t="s">
        <v>235</v>
      </c>
      <c r="I4768" s="36" t="s">
        <v>1282</v>
      </c>
    </row>
    <row r="4769" spans="1:9" x14ac:dyDescent="0.25">
      <c r="A4769" s="38" t="s">
        <v>305</v>
      </c>
      <c r="B4769" s="28">
        <v>9665</v>
      </c>
      <c r="C4769" s="28" t="s">
        <v>1247</v>
      </c>
      <c r="D4769" s="46"/>
      <c r="E4769" s="35">
        <v>46145</v>
      </c>
      <c r="F4769" s="49">
        <v>0.3923611111111111</v>
      </c>
      <c r="G4769" s="37">
        <v>6.3</v>
      </c>
      <c r="H4769" s="36" t="s">
        <v>236</v>
      </c>
      <c r="I4769" s="36" t="s">
        <v>1282</v>
      </c>
    </row>
    <row r="4770" spans="1:9" x14ac:dyDescent="0.25">
      <c r="A4770" s="38" t="s">
        <v>186</v>
      </c>
      <c r="B4770" s="28">
        <v>9672</v>
      </c>
      <c r="C4770" s="28">
        <v>5639689</v>
      </c>
      <c r="D4770" s="46"/>
      <c r="E4770" s="35">
        <v>46139</v>
      </c>
      <c r="F4770" s="49">
        <v>0.97402777777777783</v>
      </c>
      <c r="G4770" s="37">
        <v>6.3</v>
      </c>
      <c r="H4770" s="36" t="s">
        <v>235</v>
      </c>
      <c r="I4770" s="36" t="s">
        <v>1281</v>
      </c>
    </row>
    <row r="4771" spans="1:9" x14ac:dyDescent="0.25">
      <c r="A4771" s="38" t="s">
        <v>186</v>
      </c>
      <c r="B4771" s="28">
        <v>9672</v>
      </c>
      <c r="C4771" s="28">
        <v>5639282</v>
      </c>
      <c r="D4771" s="46"/>
      <c r="E4771" s="35">
        <v>46140</v>
      </c>
      <c r="F4771" s="49">
        <v>0.24570601851851853</v>
      </c>
      <c r="G4771" s="37">
        <v>6.3</v>
      </c>
      <c r="H4771" s="36" t="s">
        <v>234</v>
      </c>
      <c r="I4771" s="36" t="s">
        <v>1281</v>
      </c>
    </row>
    <row r="4772" spans="1:9" x14ac:dyDescent="0.25">
      <c r="A4772" s="38" t="s">
        <v>186</v>
      </c>
      <c r="B4772" s="28">
        <v>9672</v>
      </c>
      <c r="C4772" s="28">
        <v>5641652</v>
      </c>
      <c r="D4772" s="46"/>
      <c r="E4772" s="35">
        <v>46140</v>
      </c>
      <c r="F4772" s="49">
        <v>0.88836805555555554</v>
      </c>
      <c r="G4772" s="37">
        <v>6.3</v>
      </c>
      <c r="H4772" s="36" t="s">
        <v>235</v>
      </c>
      <c r="I4772" s="36" t="s">
        <v>1281</v>
      </c>
    </row>
    <row r="4773" spans="1:9" x14ac:dyDescent="0.25">
      <c r="A4773" s="38" t="s">
        <v>186</v>
      </c>
      <c r="B4773" s="28">
        <v>9672</v>
      </c>
      <c r="C4773" s="28">
        <v>5641652</v>
      </c>
      <c r="D4773" s="46"/>
      <c r="E4773" s="35">
        <v>46140</v>
      </c>
      <c r="F4773" s="49">
        <v>0.89583333333333337</v>
      </c>
      <c r="G4773" s="37">
        <v>6.3</v>
      </c>
      <c r="H4773" s="36" t="s">
        <v>236</v>
      </c>
      <c r="I4773" s="36" t="s">
        <v>1281</v>
      </c>
    </row>
    <row r="4774" spans="1:9" x14ac:dyDescent="0.25">
      <c r="A4774" s="38" t="s">
        <v>186</v>
      </c>
      <c r="B4774" s="28">
        <v>9672</v>
      </c>
      <c r="C4774" s="28" t="s">
        <v>35</v>
      </c>
      <c r="D4774" s="46" t="s">
        <v>38</v>
      </c>
      <c r="E4774" s="35">
        <v>46140</v>
      </c>
      <c r="F4774" s="49">
        <v>0.93788194444444439</v>
      </c>
      <c r="G4774" s="37">
        <v>6.3</v>
      </c>
      <c r="H4774" s="36" t="s">
        <v>234</v>
      </c>
      <c r="I4774" s="36" t="s">
        <v>1281</v>
      </c>
    </row>
    <row r="4775" spans="1:9" x14ac:dyDescent="0.25">
      <c r="A4775" s="38" t="s">
        <v>186</v>
      </c>
      <c r="B4775" s="28">
        <v>9672</v>
      </c>
      <c r="C4775" s="28">
        <v>5643598</v>
      </c>
      <c r="D4775" s="46"/>
      <c r="E4775" s="35">
        <v>46142</v>
      </c>
      <c r="F4775" s="49">
        <v>0.15815972222222222</v>
      </c>
      <c r="G4775" s="37">
        <v>6.3</v>
      </c>
      <c r="H4775" s="36" t="s">
        <v>234</v>
      </c>
      <c r="I4775" s="36" t="s">
        <v>1281</v>
      </c>
    </row>
    <row r="4776" spans="1:9" x14ac:dyDescent="0.25">
      <c r="A4776" s="38" t="s">
        <v>186</v>
      </c>
      <c r="B4776" s="28">
        <v>9672</v>
      </c>
      <c r="C4776" s="28">
        <v>5643239</v>
      </c>
      <c r="D4776" s="46"/>
      <c r="E4776" s="35">
        <v>46142</v>
      </c>
      <c r="F4776" s="49">
        <v>0.22516203703703705</v>
      </c>
      <c r="G4776" s="37">
        <v>6.3</v>
      </c>
      <c r="H4776" s="36" t="s">
        <v>237</v>
      </c>
      <c r="I4776" s="36" t="s">
        <v>1281</v>
      </c>
    </row>
    <row r="4777" spans="1:9" x14ac:dyDescent="0.25">
      <c r="A4777" s="38" t="s">
        <v>186</v>
      </c>
      <c r="B4777" s="28">
        <v>9672</v>
      </c>
      <c r="C4777" s="28">
        <v>5643239</v>
      </c>
      <c r="D4777" s="46"/>
      <c r="E4777" s="35">
        <v>46142</v>
      </c>
      <c r="F4777" s="49">
        <v>0.23055555555555557</v>
      </c>
      <c r="G4777" s="37">
        <v>6.3</v>
      </c>
      <c r="H4777" s="36" t="s">
        <v>234</v>
      </c>
      <c r="I4777" s="36" t="s">
        <v>1281</v>
      </c>
    </row>
    <row r="4778" spans="1:9" x14ac:dyDescent="0.25">
      <c r="A4778" s="38" t="s">
        <v>186</v>
      </c>
      <c r="B4778" s="28">
        <v>9672</v>
      </c>
      <c r="C4778" s="28">
        <v>5645229</v>
      </c>
      <c r="D4778" s="46"/>
      <c r="E4778" s="35">
        <v>46142</v>
      </c>
      <c r="F4778" s="49">
        <v>0.87804398148148144</v>
      </c>
      <c r="G4778" s="37">
        <v>6.3</v>
      </c>
      <c r="H4778" s="36" t="s">
        <v>238</v>
      </c>
      <c r="I4778" s="36" t="s">
        <v>1281</v>
      </c>
    </row>
    <row r="4779" spans="1:9" x14ac:dyDescent="0.25">
      <c r="A4779" s="38" t="s">
        <v>186</v>
      </c>
      <c r="B4779" s="28">
        <v>9672</v>
      </c>
      <c r="C4779" s="28">
        <v>5645229</v>
      </c>
      <c r="D4779" s="46"/>
      <c r="E4779" s="35">
        <v>46142</v>
      </c>
      <c r="F4779" s="49">
        <v>0.89611111111111108</v>
      </c>
      <c r="G4779" s="37">
        <v>6.3</v>
      </c>
      <c r="H4779" s="36" t="s">
        <v>234</v>
      </c>
      <c r="I4779" s="36" t="s">
        <v>1281</v>
      </c>
    </row>
    <row r="4780" spans="1:9" x14ac:dyDescent="0.25">
      <c r="A4780" s="38" t="s">
        <v>186</v>
      </c>
      <c r="B4780" s="28">
        <v>9672</v>
      </c>
      <c r="C4780" s="28" t="s">
        <v>35</v>
      </c>
      <c r="D4780" s="46" t="s">
        <v>38</v>
      </c>
      <c r="E4780" s="35">
        <v>46143</v>
      </c>
      <c r="F4780" s="49">
        <v>1.3518518518518518E-2</v>
      </c>
      <c r="G4780" s="37">
        <v>6.3</v>
      </c>
      <c r="H4780" s="36" t="s">
        <v>233</v>
      </c>
      <c r="I4780" s="36" t="s">
        <v>1282</v>
      </c>
    </row>
    <row r="4781" spans="1:9" x14ac:dyDescent="0.25">
      <c r="A4781" s="38" t="s">
        <v>186</v>
      </c>
      <c r="B4781" s="28">
        <v>9672</v>
      </c>
      <c r="C4781" s="28" t="s">
        <v>35</v>
      </c>
      <c r="D4781" s="46" t="s">
        <v>38</v>
      </c>
      <c r="E4781" s="35">
        <v>46145</v>
      </c>
      <c r="F4781" s="49">
        <v>0.44917824074074075</v>
      </c>
      <c r="G4781" s="37">
        <v>6.3</v>
      </c>
      <c r="H4781" s="36" t="s">
        <v>236</v>
      </c>
      <c r="I4781" s="36" t="s">
        <v>1282</v>
      </c>
    </row>
    <row r="4782" spans="1:9" x14ac:dyDescent="0.25">
      <c r="A4782" s="38" t="s">
        <v>186</v>
      </c>
      <c r="B4782" s="28">
        <v>9672</v>
      </c>
      <c r="C4782" s="28">
        <v>5649031</v>
      </c>
      <c r="D4782" s="46"/>
      <c r="E4782" s="35">
        <v>46145</v>
      </c>
      <c r="F4782" s="49">
        <v>0.86354166666666665</v>
      </c>
      <c r="G4782" s="37">
        <v>6.3</v>
      </c>
      <c r="H4782" s="36" t="s">
        <v>234</v>
      </c>
      <c r="I4782" s="36" t="s">
        <v>1282</v>
      </c>
    </row>
    <row r="4783" spans="1:9" x14ac:dyDescent="0.25">
      <c r="A4783" s="38" t="s">
        <v>249</v>
      </c>
      <c r="B4783" s="28">
        <v>9684</v>
      </c>
      <c r="C4783" s="28" t="s">
        <v>35</v>
      </c>
      <c r="D4783" s="46" t="s">
        <v>38</v>
      </c>
      <c r="E4783" s="35">
        <v>46141</v>
      </c>
      <c r="F4783" s="49">
        <v>0.34108796296296295</v>
      </c>
      <c r="G4783" s="37">
        <v>6.3</v>
      </c>
      <c r="H4783" s="36" t="s">
        <v>235</v>
      </c>
      <c r="I4783" s="36" t="s">
        <v>1281</v>
      </c>
    </row>
    <row r="4784" spans="1:9" x14ac:dyDescent="0.25">
      <c r="A4784" s="38" t="s">
        <v>249</v>
      </c>
      <c r="B4784" s="28">
        <v>9684</v>
      </c>
      <c r="C4784" s="28" t="s">
        <v>35</v>
      </c>
      <c r="D4784" s="46" t="s">
        <v>38</v>
      </c>
      <c r="E4784" s="35">
        <v>46141</v>
      </c>
      <c r="F4784" s="49">
        <v>0.35405092592592591</v>
      </c>
      <c r="G4784" s="37">
        <v>6.3</v>
      </c>
      <c r="H4784" s="36" t="s">
        <v>236</v>
      </c>
      <c r="I4784" s="36" t="s">
        <v>1281</v>
      </c>
    </row>
    <row r="4785" spans="1:9" x14ac:dyDescent="0.25">
      <c r="A4785" s="38" t="s">
        <v>249</v>
      </c>
      <c r="B4785" s="28">
        <v>9684</v>
      </c>
      <c r="C4785" s="28">
        <v>5643797</v>
      </c>
      <c r="D4785" s="46"/>
      <c r="E4785" s="35">
        <v>46142</v>
      </c>
      <c r="F4785" s="49">
        <v>0.21954861111111112</v>
      </c>
      <c r="G4785" s="37">
        <v>6.3</v>
      </c>
      <c r="H4785" s="36" t="s">
        <v>238</v>
      </c>
      <c r="I4785" s="36" t="s">
        <v>1281</v>
      </c>
    </row>
    <row r="4786" spans="1:9" x14ac:dyDescent="0.25">
      <c r="A4786" s="38" t="s">
        <v>249</v>
      </c>
      <c r="B4786" s="28">
        <v>9684</v>
      </c>
      <c r="C4786" s="28">
        <v>5643797</v>
      </c>
      <c r="D4786" s="46"/>
      <c r="E4786" s="35">
        <v>46142</v>
      </c>
      <c r="F4786" s="49">
        <v>0.22377314814814814</v>
      </c>
      <c r="G4786" s="37">
        <v>6.3</v>
      </c>
      <c r="H4786" s="36" t="s">
        <v>234</v>
      </c>
      <c r="I4786" s="36" t="s">
        <v>1281</v>
      </c>
    </row>
    <row r="4787" spans="1:9" x14ac:dyDescent="0.25">
      <c r="A4787" s="38" t="s">
        <v>249</v>
      </c>
      <c r="B4787" s="28">
        <v>9684</v>
      </c>
      <c r="C4787" s="28" t="s">
        <v>1248</v>
      </c>
      <c r="D4787" s="46"/>
      <c r="E4787" s="35">
        <v>46144</v>
      </c>
      <c r="F4787" s="49">
        <v>0.36767361111111113</v>
      </c>
      <c r="G4787" s="37">
        <v>6.3</v>
      </c>
      <c r="H4787" s="36" t="s">
        <v>235</v>
      </c>
      <c r="I4787" s="36" t="s">
        <v>1282</v>
      </c>
    </row>
    <row r="4788" spans="1:9" x14ac:dyDescent="0.25">
      <c r="A4788" s="38" t="s">
        <v>249</v>
      </c>
      <c r="B4788" s="28">
        <v>9684</v>
      </c>
      <c r="C4788" s="28" t="s">
        <v>1248</v>
      </c>
      <c r="D4788" s="46"/>
      <c r="E4788" s="35">
        <v>46144</v>
      </c>
      <c r="F4788" s="49">
        <v>0.37802083333333331</v>
      </c>
      <c r="G4788" s="37">
        <v>6.3</v>
      </c>
      <c r="H4788" s="36" t="s">
        <v>236</v>
      </c>
      <c r="I4788" s="36" t="s">
        <v>1282</v>
      </c>
    </row>
    <row r="4789" spans="1:9" x14ac:dyDescent="0.25">
      <c r="A4789" s="38" t="s">
        <v>249</v>
      </c>
      <c r="B4789" s="28">
        <v>9684</v>
      </c>
      <c r="C4789" s="28" t="s">
        <v>35</v>
      </c>
      <c r="D4789" s="46" t="s">
        <v>38</v>
      </c>
      <c r="E4789" s="35">
        <v>46145</v>
      </c>
      <c r="F4789" s="49">
        <v>0.59467592592592589</v>
      </c>
      <c r="G4789" s="37">
        <v>6.3</v>
      </c>
      <c r="H4789" s="36" t="s">
        <v>237</v>
      </c>
      <c r="I4789" s="36" t="s">
        <v>1282</v>
      </c>
    </row>
    <row r="4790" spans="1:9" x14ac:dyDescent="0.25">
      <c r="A4790" s="38" t="s">
        <v>224</v>
      </c>
      <c r="B4790" s="28">
        <v>9685</v>
      </c>
      <c r="C4790" s="28" t="s">
        <v>1249</v>
      </c>
      <c r="D4790" s="46"/>
      <c r="E4790" s="35">
        <v>46139</v>
      </c>
      <c r="F4790" s="49">
        <v>0.58884259259259264</v>
      </c>
      <c r="G4790" s="37">
        <v>6.3</v>
      </c>
      <c r="H4790" s="36" t="s">
        <v>235</v>
      </c>
      <c r="I4790" s="36" t="s">
        <v>1281</v>
      </c>
    </row>
    <row r="4791" spans="1:9" x14ac:dyDescent="0.25">
      <c r="A4791" s="38" t="s">
        <v>1250</v>
      </c>
      <c r="B4791" s="28">
        <v>9701</v>
      </c>
      <c r="C4791" s="28" t="s">
        <v>35</v>
      </c>
      <c r="D4791" s="46" t="s">
        <v>38</v>
      </c>
      <c r="E4791" s="35">
        <v>46139</v>
      </c>
      <c r="F4791" s="49">
        <v>0.16890046296296296</v>
      </c>
      <c r="G4791" s="37">
        <v>6.3</v>
      </c>
      <c r="H4791" s="36" t="s">
        <v>236</v>
      </c>
      <c r="I4791" s="36" t="s">
        <v>1281</v>
      </c>
    </row>
    <row r="4792" spans="1:9" x14ac:dyDescent="0.25">
      <c r="A4792" s="38" t="s">
        <v>1250</v>
      </c>
      <c r="B4792" s="28">
        <v>9701</v>
      </c>
      <c r="C4792" s="28">
        <v>5637171</v>
      </c>
      <c r="D4792" s="46" t="s">
        <v>36</v>
      </c>
      <c r="E4792" s="35">
        <v>46139</v>
      </c>
      <c r="F4792" s="49">
        <v>0.18635416666666665</v>
      </c>
      <c r="G4792" s="37">
        <v>6.3</v>
      </c>
      <c r="H4792" s="36" t="s">
        <v>237</v>
      </c>
      <c r="I4792" s="36" t="s">
        <v>1281</v>
      </c>
    </row>
    <row r="4793" spans="1:9" x14ac:dyDescent="0.25">
      <c r="A4793" s="38" t="s">
        <v>1250</v>
      </c>
      <c r="B4793" s="28">
        <v>9701</v>
      </c>
      <c r="C4793" s="28">
        <v>5637171</v>
      </c>
      <c r="D4793" s="46" t="s">
        <v>36</v>
      </c>
      <c r="E4793" s="35">
        <v>46139</v>
      </c>
      <c r="F4793" s="49">
        <v>0.1915162037037037</v>
      </c>
      <c r="G4793" s="37">
        <v>6.3</v>
      </c>
      <c r="H4793" s="36" t="s">
        <v>234</v>
      </c>
      <c r="I4793" s="36" t="s">
        <v>1281</v>
      </c>
    </row>
    <row r="4794" spans="1:9" x14ac:dyDescent="0.25">
      <c r="A4794" s="38" t="s">
        <v>1250</v>
      </c>
      <c r="B4794" s="28">
        <v>9701</v>
      </c>
      <c r="C4794" s="28" t="s">
        <v>35</v>
      </c>
      <c r="D4794" s="46" t="s">
        <v>38</v>
      </c>
      <c r="E4794" s="35">
        <v>46139</v>
      </c>
      <c r="F4794" s="49">
        <v>0.92637731481481478</v>
      </c>
      <c r="G4794" s="37">
        <v>6.3</v>
      </c>
      <c r="H4794" s="36" t="s">
        <v>240</v>
      </c>
      <c r="I4794" s="36" t="s">
        <v>1281</v>
      </c>
    </row>
    <row r="4795" spans="1:9" x14ac:dyDescent="0.25">
      <c r="A4795" s="38" t="s">
        <v>1250</v>
      </c>
      <c r="B4795" s="28">
        <v>9701</v>
      </c>
      <c r="C4795" s="28">
        <v>5639354</v>
      </c>
      <c r="D4795" s="46"/>
      <c r="E4795" s="35">
        <v>46140</v>
      </c>
      <c r="F4795" s="49">
        <v>0.35592592592592592</v>
      </c>
      <c r="G4795" s="37">
        <v>6.3</v>
      </c>
      <c r="H4795" s="36" t="s">
        <v>236</v>
      </c>
      <c r="I4795" s="36" t="s">
        <v>1281</v>
      </c>
    </row>
    <row r="4796" spans="1:9" x14ac:dyDescent="0.25">
      <c r="A4796" s="38" t="s">
        <v>1250</v>
      </c>
      <c r="B4796" s="28">
        <v>9701</v>
      </c>
      <c r="C4796" s="28">
        <v>5643013</v>
      </c>
      <c r="D4796" s="46"/>
      <c r="E4796" s="35">
        <v>46142</v>
      </c>
      <c r="F4796" s="49">
        <v>0.22403935185185186</v>
      </c>
      <c r="G4796" s="37">
        <v>6.3</v>
      </c>
      <c r="H4796" s="36" t="s">
        <v>241</v>
      </c>
      <c r="I4796" s="36" t="s">
        <v>1281</v>
      </c>
    </row>
    <row r="4797" spans="1:9" x14ac:dyDescent="0.25">
      <c r="A4797" s="38" t="s">
        <v>1250</v>
      </c>
      <c r="B4797" s="28">
        <v>9701</v>
      </c>
      <c r="C4797" s="28">
        <v>5643013</v>
      </c>
      <c r="D4797" s="46"/>
      <c r="E4797" s="35">
        <v>46142</v>
      </c>
      <c r="F4797" s="49">
        <v>0.22707175925925926</v>
      </c>
      <c r="G4797" s="37">
        <v>6.3</v>
      </c>
      <c r="H4797" s="36" t="s">
        <v>234</v>
      </c>
      <c r="I4797" s="36" t="s">
        <v>1281</v>
      </c>
    </row>
    <row r="4798" spans="1:9" x14ac:dyDescent="0.25">
      <c r="A4798" s="38" t="s">
        <v>1250</v>
      </c>
      <c r="B4798" s="28">
        <v>9701</v>
      </c>
      <c r="C4798" s="28" t="s">
        <v>35</v>
      </c>
      <c r="D4798" s="46" t="s">
        <v>38</v>
      </c>
      <c r="E4798" s="35">
        <v>46142</v>
      </c>
      <c r="F4798" s="49">
        <v>0.26680555555555557</v>
      </c>
      <c r="G4798" s="37">
        <v>6.3</v>
      </c>
      <c r="H4798" s="36" t="s">
        <v>235</v>
      </c>
      <c r="I4798" s="36" t="s">
        <v>1281</v>
      </c>
    </row>
    <row r="4799" spans="1:9" x14ac:dyDescent="0.25">
      <c r="A4799" s="38" t="s">
        <v>1250</v>
      </c>
      <c r="B4799" s="28">
        <v>9701</v>
      </c>
      <c r="C4799" s="28" t="s">
        <v>35</v>
      </c>
      <c r="D4799" s="46" t="s">
        <v>38</v>
      </c>
      <c r="E4799" s="35">
        <v>46144</v>
      </c>
      <c r="F4799" s="49">
        <v>0.82532407407407404</v>
      </c>
      <c r="G4799" s="37">
        <v>6.3</v>
      </c>
      <c r="H4799" s="36" t="s">
        <v>236</v>
      </c>
      <c r="I4799" s="36" t="s">
        <v>1282</v>
      </c>
    </row>
    <row r="4800" spans="1:9" x14ac:dyDescent="0.25">
      <c r="A4800" s="38" t="s">
        <v>229</v>
      </c>
      <c r="B4800" s="28">
        <v>9720</v>
      </c>
      <c r="C4800" s="28">
        <v>5639726</v>
      </c>
      <c r="D4800" s="46"/>
      <c r="E4800" s="35">
        <v>46139</v>
      </c>
      <c r="F4800" s="49">
        <v>0.96842592592592591</v>
      </c>
      <c r="G4800" s="37">
        <v>6.3</v>
      </c>
      <c r="H4800" s="36" t="s">
        <v>236</v>
      </c>
      <c r="I4800" s="36" t="s">
        <v>1281</v>
      </c>
    </row>
    <row r="4801" spans="1:9" x14ac:dyDescent="0.25">
      <c r="A4801" s="38" t="s">
        <v>229</v>
      </c>
      <c r="B4801" s="28">
        <v>9720</v>
      </c>
      <c r="C4801" s="28">
        <v>5640061</v>
      </c>
      <c r="D4801" s="46"/>
      <c r="E4801" s="35">
        <v>46140</v>
      </c>
      <c r="F4801" s="49">
        <v>0.36569444444444443</v>
      </c>
      <c r="G4801" s="37">
        <v>6.3</v>
      </c>
      <c r="H4801" s="36" t="s">
        <v>235</v>
      </c>
      <c r="I4801" s="36" t="s">
        <v>1281</v>
      </c>
    </row>
    <row r="4802" spans="1:9" x14ac:dyDescent="0.25">
      <c r="A4802" s="38" t="s">
        <v>229</v>
      </c>
      <c r="B4802" s="28">
        <v>9720</v>
      </c>
      <c r="C4802" s="28">
        <v>5640061</v>
      </c>
      <c r="D4802" s="46"/>
      <c r="E4802" s="35">
        <v>46140</v>
      </c>
      <c r="F4802" s="49">
        <v>0.37215277777777778</v>
      </c>
      <c r="G4802" s="37">
        <v>6.3</v>
      </c>
      <c r="H4802" s="36" t="s">
        <v>240</v>
      </c>
      <c r="I4802" s="36" t="s">
        <v>1281</v>
      </c>
    </row>
    <row r="4803" spans="1:9" x14ac:dyDescent="0.25">
      <c r="A4803" s="38" t="s">
        <v>229</v>
      </c>
      <c r="B4803" s="28">
        <v>9720</v>
      </c>
      <c r="C4803" s="28" t="s">
        <v>1251</v>
      </c>
      <c r="D4803" s="46"/>
      <c r="E4803" s="35">
        <v>46143</v>
      </c>
      <c r="F4803" s="49">
        <v>0.38559027777777777</v>
      </c>
      <c r="G4803" s="37">
        <v>6.3</v>
      </c>
      <c r="H4803" s="36" t="s">
        <v>237</v>
      </c>
      <c r="I4803" s="36" t="s">
        <v>1282</v>
      </c>
    </row>
    <row r="4804" spans="1:9" x14ac:dyDescent="0.25">
      <c r="A4804" s="38" t="s">
        <v>229</v>
      </c>
      <c r="B4804" s="28">
        <v>9720</v>
      </c>
      <c r="C4804" s="28" t="s">
        <v>1251</v>
      </c>
      <c r="D4804" s="46"/>
      <c r="E4804" s="35">
        <v>46143</v>
      </c>
      <c r="F4804" s="49">
        <v>0.3909259259259259</v>
      </c>
      <c r="G4804" s="37">
        <v>6.3</v>
      </c>
      <c r="H4804" s="36" t="s">
        <v>234</v>
      </c>
      <c r="I4804" s="36" t="s">
        <v>1282</v>
      </c>
    </row>
    <row r="4805" spans="1:9" x14ac:dyDescent="0.25">
      <c r="A4805" s="38" t="s">
        <v>229</v>
      </c>
      <c r="B4805" s="28">
        <v>9720</v>
      </c>
      <c r="C4805" s="28" t="s">
        <v>1252</v>
      </c>
      <c r="D4805" s="46"/>
      <c r="E4805" s="35">
        <v>46143</v>
      </c>
      <c r="F4805" s="49">
        <v>0.46519675925925924</v>
      </c>
      <c r="G4805" s="37">
        <v>6.3</v>
      </c>
      <c r="H4805" s="36" t="s">
        <v>235</v>
      </c>
      <c r="I4805" s="36" t="s">
        <v>1282</v>
      </c>
    </row>
    <row r="4806" spans="1:9" x14ac:dyDescent="0.25">
      <c r="A4806" s="38" t="s">
        <v>229</v>
      </c>
      <c r="B4806" s="28">
        <v>9720</v>
      </c>
      <c r="C4806" s="28" t="s">
        <v>1252</v>
      </c>
      <c r="D4806" s="46"/>
      <c r="E4806" s="35">
        <v>46143</v>
      </c>
      <c r="F4806" s="49">
        <v>0.47215277777777775</v>
      </c>
      <c r="G4806" s="37">
        <v>6.3</v>
      </c>
      <c r="H4806" s="36" t="s">
        <v>236</v>
      </c>
      <c r="I4806" s="36" t="s">
        <v>1282</v>
      </c>
    </row>
    <row r="4807" spans="1:9" x14ac:dyDescent="0.25">
      <c r="A4807" s="38" t="s">
        <v>380</v>
      </c>
      <c r="B4807" s="28">
        <v>9740</v>
      </c>
      <c r="C4807" s="28" t="s">
        <v>1253</v>
      </c>
      <c r="D4807" s="46"/>
      <c r="E4807" s="35">
        <v>46139</v>
      </c>
      <c r="F4807" s="49">
        <v>2.3009259259259261E-2</v>
      </c>
      <c r="G4807" s="37">
        <v>6.3</v>
      </c>
      <c r="H4807" s="36" t="s">
        <v>234</v>
      </c>
      <c r="I4807" s="36" t="s">
        <v>1281</v>
      </c>
    </row>
    <row r="4808" spans="1:9" x14ac:dyDescent="0.25">
      <c r="A4808" s="38" t="s">
        <v>380</v>
      </c>
      <c r="B4808" s="28">
        <v>9740</v>
      </c>
      <c r="C4808" s="28" t="s">
        <v>35</v>
      </c>
      <c r="D4808" s="46" t="s">
        <v>38</v>
      </c>
      <c r="E4808" s="35">
        <v>46140</v>
      </c>
      <c r="F4808" s="49">
        <v>0.79723379629629632</v>
      </c>
      <c r="G4808" s="37">
        <v>6.3</v>
      </c>
      <c r="H4808" s="36" t="s">
        <v>234</v>
      </c>
      <c r="I4808" s="36" t="s">
        <v>1281</v>
      </c>
    </row>
    <row r="4809" spans="1:9" x14ac:dyDescent="0.25">
      <c r="A4809" s="38" t="s">
        <v>380</v>
      </c>
      <c r="B4809" s="28">
        <v>9740</v>
      </c>
      <c r="C4809" s="28" t="s">
        <v>35</v>
      </c>
      <c r="D4809" s="46" t="s">
        <v>38</v>
      </c>
      <c r="E4809" s="35">
        <v>46142</v>
      </c>
      <c r="F4809" s="49">
        <v>0.82626157407407408</v>
      </c>
      <c r="G4809" s="37">
        <v>6.3</v>
      </c>
      <c r="H4809" s="36" t="s">
        <v>234</v>
      </c>
      <c r="I4809" s="36" t="s">
        <v>1281</v>
      </c>
    </row>
    <row r="4810" spans="1:9" x14ac:dyDescent="0.25">
      <c r="A4810" s="38" t="s">
        <v>380</v>
      </c>
      <c r="B4810" s="28">
        <v>9740</v>
      </c>
      <c r="C4810" s="28" t="s">
        <v>1254</v>
      </c>
      <c r="D4810" s="46"/>
      <c r="E4810" s="35">
        <v>46144</v>
      </c>
      <c r="F4810" s="49">
        <v>0.85858796296296291</v>
      </c>
      <c r="G4810" s="37">
        <v>6.3</v>
      </c>
      <c r="H4810" s="36" t="s">
        <v>234</v>
      </c>
      <c r="I4810" s="36" t="s">
        <v>1282</v>
      </c>
    </row>
    <row r="4811" spans="1:9" x14ac:dyDescent="0.25">
      <c r="A4811" s="38" t="s">
        <v>288</v>
      </c>
      <c r="B4811" s="28">
        <v>9742</v>
      </c>
      <c r="C4811" s="28" t="s">
        <v>1255</v>
      </c>
      <c r="D4811" s="46"/>
      <c r="E4811" s="35">
        <v>46139</v>
      </c>
      <c r="F4811" s="49">
        <v>0.76255787037037037</v>
      </c>
      <c r="G4811" s="37">
        <v>6.3</v>
      </c>
      <c r="H4811" s="36" t="s">
        <v>235</v>
      </c>
      <c r="I4811" s="36" t="s">
        <v>1281</v>
      </c>
    </row>
    <row r="4812" spans="1:9" x14ac:dyDescent="0.25">
      <c r="A4812" s="38" t="s">
        <v>288</v>
      </c>
      <c r="B4812" s="28">
        <v>9742</v>
      </c>
      <c r="C4812" s="28" t="s">
        <v>1255</v>
      </c>
      <c r="D4812" s="46"/>
      <c r="E4812" s="35">
        <v>46139</v>
      </c>
      <c r="F4812" s="49">
        <v>0.77633101851851849</v>
      </c>
      <c r="G4812" s="37">
        <v>6.3</v>
      </c>
      <c r="H4812" s="36" t="s">
        <v>236</v>
      </c>
      <c r="I4812" s="36" t="s">
        <v>1281</v>
      </c>
    </row>
    <row r="4813" spans="1:9" x14ac:dyDescent="0.25">
      <c r="A4813" s="38" t="s">
        <v>288</v>
      </c>
      <c r="B4813" s="28">
        <v>9742</v>
      </c>
      <c r="C4813" s="28" t="s">
        <v>35</v>
      </c>
      <c r="D4813" s="46" t="s">
        <v>38</v>
      </c>
      <c r="E4813" s="35">
        <v>46139</v>
      </c>
      <c r="F4813" s="49">
        <v>0.85935185185185181</v>
      </c>
      <c r="G4813" s="37">
        <v>6.3</v>
      </c>
      <c r="H4813" s="36" t="s">
        <v>234</v>
      </c>
      <c r="I4813" s="36" t="s">
        <v>1281</v>
      </c>
    </row>
    <row r="4814" spans="1:9" x14ac:dyDescent="0.25">
      <c r="A4814" s="38" t="s">
        <v>288</v>
      </c>
      <c r="B4814" s="28">
        <v>9742</v>
      </c>
      <c r="C4814" s="28" t="s">
        <v>1256</v>
      </c>
      <c r="D4814" s="46"/>
      <c r="E4814" s="35">
        <v>46139</v>
      </c>
      <c r="F4814" s="49">
        <v>0.94143518518518521</v>
      </c>
      <c r="G4814" s="37">
        <v>6.3</v>
      </c>
      <c r="H4814" s="36" t="s">
        <v>235</v>
      </c>
      <c r="I4814" s="36" t="s">
        <v>1281</v>
      </c>
    </row>
    <row r="4815" spans="1:9" x14ac:dyDescent="0.25">
      <c r="A4815" s="38" t="s">
        <v>288</v>
      </c>
      <c r="B4815" s="28">
        <v>9742</v>
      </c>
      <c r="C4815" s="28" t="s">
        <v>1256</v>
      </c>
      <c r="D4815" s="46"/>
      <c r="E4815" s="35">
        <v>46139</v>
      </c>
      <c r="F4815" s="49">
        <v>0.94729166666666664</v>
      </c>
      <c r="G4815" s="37">
        <v>6.3</v>
      </c>
      <c r="H4815" s="36" t="s">
        <v>236</v>
      </c>
      <c r="I4815" s="36" t="s">
        <v>1281</v>
      </c>
    </row>
    <row r="4816" spans="1:9" x14ac:dyDescent="0.25">
      <c r="A4816" s="38" t="s">
        <v>288</v>
      </c>
      <c r="B4816" s="28">
        <v>9742</v>
      </c>
      <c r="C4816" s="28" t="s">
        <v>35</v>
      </c>
      <c r="D4816" s="46" t="s">
        <v>38</v>
      </c>
      <c r="E4816" s="35">
        <v>46139</v>
      </c>
      <c r="F4816" s="49">
        <v>0.96103009259259264</v>
      </c>
      <c r="G4816" s="37">
        <v>6.3</v>
      </c>
      <c r="H4816" s="36" t="s">
        <v>237</v>
      </c>
      <c r="I4816" s="36" t="s">
        <v>1281</v>
      </c>
    </row>
    <row r="4817" spans="1:9" x14ac:dyDescent="0.25">
      <c r="A4817" s="38" t="s">
        <v>288</v>
      </c>
      <c r="B4817" s="28">
        <v>9742</v>
      </c>
      <c r="C4817" s="28" t="s">
        <v>1257</v>
      </c>
      <c r="D4817" s="46"/>
      <c r="E4817" s="35">
        <v>46141</v>
      </c>
      <c r="F4817" s="49">
        <v>0.97760416666666672</v>
      </c>
      <c r="G4817" s="37">
        <v>6.3</v>
      </c>
      <c r="H4817" s="36" t="s">
        <v>235</v>
      </c>
      <c r="I4817" s="36" t="s">
        <v>1281</v>
      </c>
    </row>
    <row r="4818" spans="1:9" x14ac:dyDescent="0.25">
      <c r="A4818" s="38" t="s">
        <v>288</v>
      </c>
      <c r="B4818" s="28">
        <v>9742</v>
      </c>
      <c r="C4818" s="28" t="s">
        <v>1257</v>
      </c>
      <c r="D4818" s="46"/>
      <c r="E4818" s="35">
        <v>46141</v>
      </c>
      <c r="F4818" s="49">
        <v>0.98458333333333337</v>
      </c>
      <c r="G4818" s="37">
        <v>6.3</v>
      </c>
      <c r="H4818" s="36" t="s">
        <v>236</v>
      </c>
      <c r="I4818" s="36" t="s">
        <v>1281</v>
      </c>
    </row>
    <row r="4819" spans="1:9" x14ac:dyDescent="0.25">
      <c r="A4819" s="38" t="s">
        <v>288</v>
      </c>
      <c r="B4819" s="28">
        <v>9742</v>
      </c>
      <c r="C4819" s="28">
        <v>5640365</v>
      </c>
      <c r="D4819" s="46" t="s">
        <v>36</v>
      </c>
      <c r="E4819" s="35">
        <v>46142</v>
      </c>
      <c r="F4819" s="49">
        <v>0.34498842592592593</v>
      </c>
      <c r="G4819" s="37">
        <v>6.3</v>
      </c>
      <c r="H4819" s="36" t="s">
        <v>234</v>
      </c>
      <c r="I4819" s="36" t="s">
        <v>1281</v>
      </c>
    </row>
    <row r="4820" spans="1:9" x14ac:dyDescent="0.25">
      <c r="A4820" s="38" t="s">
        <v>288</v>
      </c>
      <c r="B4820" s="28">
        <v>9742</v>
      </c>
      <c r="C4820" s="28" t="s">
        <v>35</v>
      </c>
      <c r="D4820" s="46" t="s">
        <v>38</v>
      </c>
      <c r="E4820" s="35">
        <v>46142</v>
      </c>
      <c r="F4820" s="49">
        <v>0.50694444444444442</v>
      </c>
      <c r="G4820" s="37">
        <v>6.3</v>
      </c>
      <c r="H4820" s="36" t="s">
        <v>235</v>
      </c>
      <c r="I4820" s="36" t="s">
        <v>1281</v>
      </c>
    </row>
    <row r="4821" spans="1:9" x14ac:dyDescent="0.25">
      <c r="A4821" s="38" t="s">
        <v>288</v>
      </c>
      <c r="B4821" s="28">
        <v>9742</v>
      </c>
      <c r="C4821" s="28" t="s">
        <v>35</v>
      </c>
      <c r="D4821" s="46" t="s">
        <v>38</v>
      </c>
      <c r="E4821" s="35">
        <v>46142</v>
      </c>
      <c r="F4821" s="49">
        <v>0.53212962962962962</v>
      </c>
      <c r="G4821" s="37">
        <v>6.3</v>
      </c>
      <c r="H4821" s="36" t="s">
        <v>238</v>
      </c>
      <c r="I4821" s="36" t="s">
        <v>1281</v>
      </c>
    </row>
    <row r="4822" spans="1:9" x14ac:dyDescent="0.25">
      <c r="A4822" s="38" t="s">
        <v>288</v>
      </c>
      <c r="B4822" s="28">
        <v>9742</v>
      </c>
      <c r="C4822" s="28">
        <v>5646049</v>
      </c>
      <c r="D4822" s="46"/>
      <c r="E4822" s="35">
        <v>46143</v>
      </c>
      <c r="F4822" s="49">
        <v>0.29711805555555554</v>
      </c>
      <c r="G4822" s="37">
        <v>6.3</v>
      </c>
      <c r="H4822" s="36" t="s">
        <v>235</v>
      </c>
      <c r="I4822" s="36" t="s">
        <v>1282</v>
      </c>
    </row>
    <row r="4823" spans="1:9" x14ac:dyDescent="0.25">
      <c r="A4823" s="38" t="s">
        <v>288</v>
      </c>
      <c r="B4823" s="28">
        <v>9742</v>
      </c>
      <c r="C4823" s="28">
        <v>5646049</v>
      </c>
      <c r="D4823" s="46"/>
      <c r="E4823" s="35">
        <v>46143</v>
      </c>
      <c r="F4823" s="49">
        <v>0.30534722222222221</v>
      </c>
      <c r="G4823" s="37">
        <v>6.3</v>
      </c>
      <c r="H4823" s="36" t="s">
        <v>240</v>
      </c>
      <c r="I4823" s="36" t="s">
        <v>1282</v>
      </c>
    </row>
    <row r="4824" spans="1:9" x14ac:dyDescent="0.25">
      <c r="A4824" s="38" t="s">
        <v>288</v>
      </c>
      <c r="B4824" s="28">
        <v>9742</v>
      </c>
      <c r="C4824" s="28" t="s">
        <v>35</v>
      </c>
      <c r="D4824" s="46" t="s">
        <v>38</v>
      </c>
      <c r="E4824" s="35">
        <v>46143</v>
      </c>
      <c r="F4824" s="49">
        <v>0.34291666666666665</v>
      </c>
      <c r="G4824" s="37">
        <v>6.3</v>
      </c>
      <c r="H4824" s="36" t="s">
        <v>241</v>
      </c>
      <c r="I4824" s="36" t="s">
        <v>1282</v>
      </c>
    </row>
    <row r="4825" spans="1:9" x14ac:dyDescent="0.25">
      <c r="A4825" s="38" t="s">
        <v>288</v>
      </c>
      <c r="B4825" s="28">
        <v>9742</v>
      </c>
      <c r="C4825" s="28" t="s">
        <v>35</v>
      </c>
      <c r="D4825" s="46" t="s">
        <v>38</v>
      </c>
      <c r="E4825" s="35">
        <v>46143</v>
      </c>
      <c r="F4825" s="49">
        <v>0.60673611111111114</v>
      </c>
      <c r="G4825" s="37">
        <v>6.3</v>
      </c>
      <c r="H4825" s="36" t="s">
        <v>236</v>
      </c>
      <c r="I4825" s="36" t="s">
        <v>1282</v>
      </c>
    </row>
    <row r="4826" spans="1:9" x14ac:dyDescent="0.25">
      <c r="A4826" s="38" t="s">
        <v>252</v>
      </c>
      <c r="B4826" s="28">
        <v>9744</v>
      </c>
      <c r="C4826" s="28">
        <v>5637564</v>
      </c>
      <c r="D4826" s="46" t="s">
        <v>37</v>
      </c>
      <c r="E4826" s="35">
        <v>46139</v>
      </c>
      <c r="F4826" s="49">
        <v>0.15518518518518518</v>
      </c>
      <c r="G4826" s="37">
        <v>6.3</v>
      </c>
      <c r="H4826" s="36" t="s">
        <v>237</v>
      </c>
      <c r="I4826" s="36" t="s">
        <v>1281</v>
      </c>
    </row>
    <row r="4827" spans="1:9" x14ac:dyDescent="0.25">
      <c r="A4827" s="38" t="s">
        <v>252</v>
      </c>
      <c r="B4827" s="28">
        <v>9744</v>
      </c>
      <c r="C4827" s="28">
        <v>5637564</v>
      </c>
      <c r="D4827" s="46" t="s">
        <v>37</v>
      </c>
      <c r="E4827" s="35">
        <v>46139</v>
      </c>
      <c r="F4827" s="49">
        <v>0.16092592592592592</v>
      </c>
      <c r="G4827" s="37">
        <v>6.3</v>
      </c>
      <c r="H4827" s="36" t="s">
        <v>234</v>
      </c>
      <c r="I4827" s="36" t="s">
        <v>1281</v>
      </c>
    </row>
    <row r="4828" spans="1:9" x14ac:dyDescent="0.25">
      <c r="A4828" s="38" t="s">
        <v>252</v>
      </c>
      <c r="B4828" s="28">
        <v>9744</v>
      </c>
      <c r="C4828" s="28">
        <v>5637886</v>
      </c>
      <c r="D4828" s="46" t="s">
        <v>37</v>
      </c>
      <c r="E4828" s="35">
        <v>46139</v>
      </c>
      <c r="F4828" s="49">
        <v>0.34630787037037036</v>
      </c>
      <c r="G4828" s="37">
        <v>6.3</v>
      </c>
      <c r="H4828" s="36" t="s">
        <v>235</v>
      </c>
      <c r="I4828" s="36" t="s">
        <v>1281</v>
      </c>
    </row>
    <row r="4829" spans="1:9" x14ac:dyDescent="0.25">
      <c r="A4829" s="38" t="s">
        <v>252</v>
      </c>
      <c r="B4829" s="28">
        <v>9744</v>
      </c>
      <c r="C4829" s="28" t="s">
        <v>35</v>
      </c>
      <c r="D4829" s="46" t="s">
        <v>38</v>
      </c>
      <c r="E4829" s="35">
        <v>46143</v>
      </c>
      <c r="F4829" s="49">
        <v>0.63667824074074075</v>
      </c>
      <c r="G4829" s="37">
        <v>6.3</v>
      </c>
      <c r="H4829" s="36" t="s">
        <v>233</v>
      </c>
      <c r="I4829" s="36" t="s">
        <v>1282</v>
      </c>
    </row>
    <row r="4830" spans="1:9" x14ac:dyDescent="0.25">
      <c r="A4830" s="38" t="s">
        <v>252</v>
      </c>
      <c r="B4830" s="28">
        <v>9744</v>
      </c>
      <c r="C4830" s="28" t="s">
        <v>35</v>
      </c>
      <c r="D4830" s="46" t="s">
        <v>38</v>
      </c>
      <c r="E4830" s="35">
        <v>46143</v>
      </c>
      <c r="F4830" s="49">
        <v>0.64230324074074074</v>
      </c>
      <c r="G4830" s="37">
        <v>6.3</v>
      </c>
      <c r="H4830" s="36" t="s">
        <v>234</v>
      </c>
      <c r="I4830" s="36" t="s">
        <v>1282</v>
      </c>
    </row>
    <row r="4831" spans="1:9" x14ac:dyDescent="0.25">
      <c r="A4831" s="38" t="s">
        <v>252</v>
      </c>
      <c r="B4831" s="28">
        <v>9744</v>
      </c>
      <c r="C4831" s="28" t="s">
        <v>35</v>
      </c>
      <c r="D4831" s="46" t="s">
        <v>38</v>
      </c>
      <c r="E4831" s="35">
        <v>46144</v>
      </c>
      <c r="F4831" s="49">
        <v>0.93590277777777775</v>
      </c>
      <c r="G4831" s="37">
        <v>6.3</v>
      </c>
      <c r="H4831" s="36" t="s">
        <v>233</v>
      </c>
      <c r="I4831" s="36" t="s">
        <v>1282</v>
      </c>
    </row>
    <row r="4832" spans="1:9" x14ac:dyDescent="0.25">
      <c r="A4832" s="38" t="s">
        <v>252</v>
      </c>
      <c r="B4832" s="28">
        <v>9744</v>
      </c>
      <c r="C4832" s="28" t="s">
        <v>35</v>
      </c>
      <c r="D4832" s="46" t="s">
        <v>38</v>
      </c>
      <c r="E4832" s="35">
        <v>46144</v>
      </c>
      <c r="F4832" s="49">
        <v>0.94128472222222226</v>
      </c>
      <c r="G4832" s="37">
        <v>6.3</v>
      </c>
      <c r="H4832" s="36" t="s">
        <v>234</v>
      </c>
      <c r="I4832" s="36" t="s">
        <v>1282</v>
      </c>
    </row>
    <row r="4833" spans="1:9" x14ac:dyDescent="0.25">
      <c r="A4833" s="38" t="s">
        <v>252</v>
      </c>
      <c r="B4833" s="28">
        <v>9744</v>
      </c>
      <c r="C4833" s="28" t="s">
        <v>35</v>
      </c>
      <c r="D4833" s="46" t="s">
        <v>38</v>
      </c>
      <c r="E4833" s="35">
        <v>46145</v>
      </c>
      <c r="F4833" s="49">
        <v>1.1840277777777778E-2</v>
      </c>
      <c r="G4833" s="37">
        <v>6.3</v>
      </c>
      <c r="H4833" s="36" t="s">
        <v>235</v>
      </c>
      <c r="I4833" s="36" t="s">
        <v>1282</v>
      </c>
    </row>
    <row r="4834" spans="1:9" x14ac:dyDescent="0.25">
      <c r="A4834" s="38" t="s">
        <v>252</v>
      </c>
      <c r="B4834" s="28">
        <v>9744</v>
      </c>
      <c r="C4834" s="28" t="s">
        <v>35</v>
      </c>
      <c r="D4834" s="46" t="s">
        <v>38</v>
      </c>
      <c r="E4834" s="35">
        <v>46145</v>
      </c>
      <c r="F4834" s="49">
        <v>1.9212962962962963E-2</v>
      </c>
      <c r="G4834" s="37">
        <v>6.3</v>
      </c>
      <c r="H4834" s="36" t="s">
        <v>236</v>
      </c>
      <c r="I4834" s="36" t="s">
        <v>1282</v>
      </c>
    </row>
    <row r="4835" spans="1:9" x14ac:dyDescent="0.25">
      <c r="A4835" s="38" t="s">
        <v>252</v>
      </c>
      <c r="B4835" s="28">
        <v>9744</v>
      </c>
      <c r="C4835" s="28">
        <v>5647608</v>
      </c>
      <c r="D4835" s="46"/>
      <c r="E4835" s="35">
        <v>46145</v>
      </c>
      <c r="F4835" s="49">
        <v>0.12969907407407408</v>
      </c>
      <c r="G4835" s="37">
        <v>6.3</v>
      </c>
      <c r="H4835" s="36" t="s">
        <v>234</v>
      </c>
      <c r="I4835" s="36" t="s">
        <v>1282</v>
      </c>
    </row>
    <row r="4836" spans="1:9" x14ac:dyDescent="0.25">
      <c r="A4836" s="38" t="s">
        <v>252</v>
      </c>
      <c r="B4836" s="28">
        <v>9744</v>
      </c>
      <c r="C4836" s="28" t="s">
        <v>1258</v>
      </c>
      <c r="D4836" s="46"/>
      <c r="E4836" s="35">
        <v>46145</v>
      </c>
      <c r="F4836" s="49">
        <v>0.21454861111111112</v>
      </c>
      <c r="G4836" s="37">
        <v>6.3</v>
      </c>
      <c r="H4836" s="36" t="s">
        <v>235</v>
      </c>
      <c r="I4836" s="36" t="s">
        <v>1282</v>
      </c>
    </row>
    <row r="4837" spans="1:9" x14ac:dyDescent="0.25">
      <c r="A4837" s="38" t="s">
        <v>252</v>
      </c>
      <c r="B4837" s="28">
        <v>9744</v>
      </c>
      <c r="C4837" s="28" t="s">
        <v>1259</v>
      </c>
      <c r="D4837" s="46"/>
      <c r="E4837" s="35">
        <v>46145</v>
      </c>
      <c r="F4837" s="49">
        <v>0.51150462962962961</v>
      </c>
      <c r="G4837" s="37">
        <v>6.3</v>
      </c>
      <c r="H4837" s="36" t="s">
        <v>235</v>
      </c>
      <c r="I4837" s="36" t="s">
        <v>1282</v>
      </c>
    </row>
    <row r="4838" spans="1:9" x14ac:dyDescent="0.25">
      <c r="A4838" s="38" t="s">
        <v>252</v>
      </c>
      <c r="B4838" s="28">
        <v>9744</v>
      </c>
      <c r="C4838" s="28" t="s">
        <v>1259</v>
      </c>
      <c r="D4838" s="46"/>
      <c r="E4838" s="35">
        <v>46145</v>
      </c>
      <c r="F4838" s="49">
        <v>0.51910879629629625</v>
      </c>
      <c r="G4838" s="37">
        <v>6.3</v>
      </c>
      <c r="H4838" s="36" t="s">
        <v>236</v>
      </c>
      <c r="I4838" s="36" t="s">
        <v>1282</v>
      </c>
    </row>
    <row r="4839" spans="1:9" x14ac:dyDescent="0.25">
      <c r="A4839" s="38" t="s">
        <v>192</v>
      </c>
      <c r="B4839" s="28">
        <v>9761</v>
      </c>
      <c r="C4839" s="28" t="s">
        <v>1260</v>
      </c>
      <c r="D4839" s="46"/>
      <c r="E4839" s="35">
        <v>46139</v>
      </c>
      <c r="F4839" s="49">
        <v>0.51726851851851852</v>
      </c>
      <c r="G4839" s="37">
        <v>6.3</v>
      </c>
      <c r="H4839" s="36" t="s">
        <v>235</v>
      </c>
      <c r="I4839" s="36" t="s">
        <v>1281</v>
      </c>
    </row>
    <row r="4840" spans="1:9" x14ac:dyDescent="0.25">
      <c r="A4840" s="38" t="s">
        <v>192</v>
      </c>
      <c r="B4840" s="28">
        <v>9761</v>
      </c>
      <c r="C4840" s="28" t="s">
        <v>1260</v>
      </c>
      <c r="D4840" s="46"/>
      <c r="E4840" s="35">
        <v>46139</v>
      </c>
      <c r="F4840" s="49">
        <v>0.52630787037037041</v>
      </c>
      <c r="G4840" s="37">
        <v>6.3</v>
      </c>
      <c r="H4840" s="36" t="s">
        <v>236</v>
      </c>
      <c r="I4840" s="36" t="s">
        <v>1281</v>
      </c>
    </row>
    <row r="4841" spans="1:9" x14ac:dyDescent="0.25">
      <c r="A4841" s="38" t="s">
        <v>192</v>
      </c>
      <c r="B4841" s="28">
        <v>9761</v>
      </c>
      <c r="C4841" s="28">
        <v>5643012</v>
      </c>
      <c r="D4841" s="46"/>
      <c r="E4841" s="35">
        <v>46141</v>
      </c>
      <c r="F4841" s="49">
        <v>0.64069444444444446</v>
      </c>
      <c r="G4841" s="37">
        <v>6.3</v>
      </c>
      <c r="H4841" s="36" t="s">
        <v>235</v>
      </c>
      <c r="I4841" s="36" t="s">
        <v>1281</v>
      </c>
    </row>
    <row r="4842" spans="1:9" x14ac:dyDescent="0.25">
      <c r="A4842" s="38" t="s">
        <v>192</v>
      </c>
      <c r="B4842" s="28">
        <v>9761</v>
      </c>
      <c r="C4842" s="28">
        <v>5643012</v>
      </c>
      <c r="D4842" s="46"/>
      <c r="E4842" s="35">
        <v>46141</v>
      </c>
      <c r="F4842" s="49">
        <v>0.65105324074074078</v>
      </c>
      <c r="G4842" s="37">
        <v>6.3</v>
      </c>
      <c r="H4842" s="36" t="s">
        <v>236</v>
      </c>
      <c r="I4842" s="36" t="s">
        <v>1281</v>
      </c>
    </row>
    <row r="4843" spans="1:9" x14ac:dyDescent="0.25">
      <c r="A4843" s="38" t="s">
        <v>192</v>
      </c>
      <c r="B4843" s="28">
        <v>9761</v>
      </c>
      <c r="C4843" s="28" t="s">
        <v>1261</v>
      </c>
      <c r="D4843" s="46"/>
      <c r="E4843" s="35">
        <v>46142</v>
      </c>
      <c r="F4843" s="49">
        <v>0.40111111111111108</v>
      </c>
      <c r="G4843" s="37">
        <v>6.3</v>
      </c>
      <c r="H4843" s="36" t="s">
        <v>235</v>
      </c>
      <c r="I4843" s="36" t="s">
        <v>1281</v>
      </c>
    </row>
    <row r="4844" spans="1:9" x14ac:dyDescent="0.25">
      <c r="A4844" s="38" t="s">
        <v>192</v>
      </c>
      <c r="B4844" s="28">
        <v>9761</v>
      </c>
      <c r="C4844" s="28" t="s">
        <v>35</v>
      </c>
      <c r="D4844" s="46" t="s">
        <v>38</v>
      </c>
      <c r="E4844" s="35">
        <v>46144</v>
      </c>
      <c r="F4844" s="49">
        <v>0.61813657407407407</v>
      </c>
      <c r="G4844" s="37">
        <v>6.3</v>
      </c>
      <c r="H4844" s="36" t="s">
        <v>235</v>
      </c>
      <c r="I4844" s="36" t="s">
        <v>1282</v>
      </c>
    </row>
    <row r="4845" spans="1:9" x14ac:dyDescent="0.25">
      <c r="A4845" s="38" t="s">
        <v>192</v>
      </c>
      <c r="B4845" s="28">
        <v>9761</v>
      </c>
      <c r="C4845" s="28" t="s">
        <v>35</v>
      </c>
      <c r="D4845" s="46" t="s">
        <v>38</v>
      </c>
      <c r="E4845" s="35">
        <v>46144</v>
      </c>
      <c r="F4845" s="49">
        <v>0.6277314814814815</v>
      </c>
      <c r="G4845" s="37">
        <v>6.3</v>
      </c>
      <c r="H4845" s="36" t="s">
        <v>236</v>
      </c>
      <c r="I4845" s="36" t="s">
        <v>1282</v>
      </c>
    </row>
    <row r="4846" spans="1:9" x14ac:dyDescent="0.25">
      <c r="A4846" s="38" t="s">
        <v>192</v>
      </c>
      <c r="B4846" s="28">
        <v>9761</v>
      </c>
      <c r="C4846" s="28" t="s">
        <v>35</v>
      </c>
      <c r="D4846" s="46" t="s">
        <v>38</v>
      </c>
      <c r="E4846" s="35">
        <v>46144</v>
      </c>
      <c r="F4846" s="49">
        <v>0.89358796296296295</v>
      </c>
      <c r="G4846" s="37">
        <v>6.3</v>
      </c>
      <c r="H4846" s="36" t="s">
        <v>237</v>
      </c>
      <c r="I4846" s="36" t="s">
        <v>1282</v>
      </c>
    </row>
    <row r="4847" spans="1:9" x14ac:dyDescent="0.25">
      <c r="A4847" s="38" t="s">
        <v>192</v>
      </c>
      <c r="B4847" s="28">
        <v>9761</v>
      </c>
      <c r="C4847" s="28" t="s">
        <v>35</v>
      </c>
      <c r="D4847" s="46" t="s">
        <v>38</v>
      </c>
      <c r="E4847" s="35">
        <v>46144</v>
      </c>
      <c r="F4847" s="49">
        <v>0.89905092592592595</v>
      </c>
      <c r="G4847" s="37">
        <v>6.3</v>
      </c>
      <c r="H4847" s="36" t="s">
        <v>234</v>
      </c>
      <c r="I4847" s="36" t="s">
        <v>1282</v>
      </c>
    </row>
    <row r="4848" spans="1:9" x14ac:dyDescent="0.25">
      <c r="A4848" s="38" t="s">
        <v>192</v>
      </c>
      <c r="B4848" s="28">
        <v>9761</v>
      </c>
      <c r="C4848" s="28" t="s">
        <v>35</v>
      </c>
      <c r="D4848" s="46" t="s">
        <v>38</v>
      </c>
      <c r="E4848" s="35">
        <v>46144</v>
      </c>
      <c r="F4848" s="49">
        <v>0.92715277777777783</v>
      </c>
      <c r="G4848" s="37">
        <v>6.3</v>
      </c>
      <c r="H4848" s="36" t="s">
        <v>235</v>
      </c>
      <c r="I4848" s="36" t="s">
        <v>1282</v>
      </c>
    </row>
    <row r="4849" spans="1:9" x14ac:dyDescent="0.25">
      <c r="A4849" s="38" t="s">
        <v>192</v>
      </c>
      <c r="B4849" s="28">
        <v>9761</v>
      </c>
      <c r="C4849" s="28">
        <v>5648539</v>
      </c>
      <c r="D4849" s="46"/>
      <c r="E4849" s="35">
        <v>46145</v>
      </c>
      <c r="F4849" s="49">
        <v>0.51693287037037039</v>
      </c>
      <c r="G4849" s="37">
        <v>6.3</v>
      </c>
      <c r="H4849" s="36" t="s">
        <v>235</v>
      </c>
      <c r="I4849" s="36" t="s">
        <v>1282</v>
      </c>
    </row>
    <row r="4850" spans="1:9" x14ac:dyDescent="0.25">
      <c r="A4850" s="38" t="s">
        <v>192</v>
      </c>
      <c r="B4850" s="28">
        <v>9761</v>
      </c>
      <c r="C4850" s="28">
        <v>5648539</v>
      </c>
      <c r="D4850" s="46"/>
      <c r="E4850" s="35">
        <v>46145</v>
      </c>
      <c r="F4850" s="49">
        <v>0.52337962962962958</v>
      </c>
      <c r="G4850" s="37">
        <v>6.3</v>
      </c>
      <c r="H4850" s="36" t="s">
        <v>239</v>
      </c>
      <c r="I4850" s="36" t="s">
        <v>1282</v>
      </c>
    </row>
    <row r="4851" spans="1:9" x14ac:dyDescent="0.25">
      <c r="A4851" s="38" t="s">
        <v>192</v>
      </c>
      <c r="B4851" s="28">
        <v>9761</v>
      </c>
      <c r="C4851" s="28" t="s">
        <v>35</v>
      </c>
      <c r="D4851" s="46" t="s">
        <v>38</v>
      </c>
      <c r="E4851" s="35">
        <v>46145</v>
      </c>
      <c r="F4851" s="49">
        <v>0.833587962962963</v>
      </c>
      <c r="G4851" s="37">
        <v>6.3</v>
      </c>
      <c r="H4851" s="36" t="s">
        <v>237</v>
      </c>
      <c r="I4851" s="36" t="s">
        <v>1282</v>
      </c>
    </row>
    <row r="4852" spans="1:9" x14ac:dyDescent="0.25">
      <c r="A4852" s="38" t="s">
        <v>191</v>
      </c>
      <c r="B4852" s="28">
        <v>9769</v>
      </c>
      <c r="C4852" s="28">
        <v>10544360</v>
      </c>
      <c r="D4852" s="46"/>
      <c r="E4852" s="35">
        <v>46139</v>
      </c>
      <c r="F4852" s="49">
        <v>0.51142361111111112</v>
      </c>
      <c r="G4852" s="37">
        <v>6.3</v>
      </c>
      <c r="H4852" s="36" t="s">
        <v>237</v>
      </c>
      <c r="I4852" s="36" t="s">
        <v>1281</v>
      </c>
    </row>
    <row r="4853" spans="1:9" x14ac:dyDescent="0.25">
      <c r="A4853" s="38" t="s">
        <v>191</v>
      </c>
      <c r="B4853" s="28">
        <v>9769</v>
      </c>
      <c r="C4853" s="28">
        <v>10544360</v>
      </c>
      <c r="D4853" s="46"/>
      <c r="E4853" s="35">
        <v>46139</v>
      </c>
      <c r="F4853" s="49">
        <v>0.51723379629629629</v>
      </c>
      <c r="G4853" s="37">
        <v>6.3</v>
      </c>
      <c r="H4853" s="36" t="s">
        <v>234</v>
      </c>
      <c r="I4853" s="36" t="s">
        <v>1281</v>
      </c>
    </row>
    <row r="4854" spans="1:9" x14ac:dyDescent="0.25">
      <c r="A4854" s="38" t="s">
        <v>191</v>
      </c>
      <c r="B4854" s="28">
        <v>9769</v>
      </c>
      <c r="C4854" s="28">
        <v>10551988</v>
      </c>
      <c r="D4854" s="46"/>
      <c r="E4854" s="35">
        <v>46140</v>
      </c>
      <c r="F4854" s="49">
        <v>0.50314814814814812</v>
      </c>
      <c r="G4854" s="37">
        <v>6.3</v>
      </c>
      <c r="H4854" s="36" t="s">
        <v>237</v>
      </c>
      <c r="I4854" s="36" t="s">
        <v>1281</v>
      </c>
    </row>
    <row r="4855" spans="1:9" x14ac:dyDescent="0.25">
      <c r="A4855" s="38" t="s">
        <v>191</v>
      </c>
      <c r="B4855" s="28">
        <v>9769</v>
      </c>
      <c r="C4855" s="28">
        <v>10551988</v>
      </c>
      <c r="D4855" s="46"/>
      <c r="E4855" s="35">
        <v>46140</v>
      </c>
      <c r="F4855" s="49">
        <v>0.50958333333333339</v>
      </c>
      <c r="G4855" s="37">
        <v>6.3</v>
      </c>
      <c r="H4855" s="36" t="s">
        <v>234</v>
      </c>
      <c r="I4855" s="36" t="s">
        <v>1281</v>
      </c>
    </row>
    <row r="4856" spans="1:9" x14ac:dyDescent="0.25">
      <c r="A4856" s="38" t="s">
        <v>191</v>
      </c>
      <c r="B4856" s="28">
        <v>9769</v>
      </c>
      <c r="C4856" s="28" t="s">
        <v>35</v>
      </c>
      <c r="D4856" s="46" t="s">
        <v>38</v>
      </c>
      <c r="E4856" s="35">
        <v>46141</v>
      </c>
      <c r="F4856" s="49">
        <v>0.57532407407407404</v>
      </c>
      <c r="G4856" s="37">
        <v>6.3</v>
      </c>
      <c r="H4856" s="36" t="s">
        <v>235</v>
      </c>
      <c r="I4856" s="36" t="s">
        <v>1281</v>
      </c>
    </row>
    <row r="4857" spans="1:9" x14ac:dyDescent="0.25">
      <c r="A4857" s="38" t="s">
        <v>191</v>
      </c>
      <c r="B4857" s="28">
        <v>9769</v>
      </c>
      <c r="C4857" s="28" t="s">
        <v>35</v>
      </c>
      <c r="D4857" s="46" t="s">
        <v>38</v>
      </c>
      <c r="E4857" s="35">
        <v>46141</v>
      </c>
      <c r="F4857" s="49">
        <v>0.58597222222222223</v>
      </c>
      <c r="G4857" s="37">
        <v>6.3</v>
      </c>
      <c r="H4857" s="36" t="s">
        <v>236</v>
      </c>
      <c r="I4857" s="36" t="s">
        <v>1281</v>
      </c>
    </row>
    <row r="4858" spans="1:9" x14ac:dyDescent="0.25">
      <c r="A4858" s="38" t="s">
        <v>191</v>
      </c>
      <c r="B4858" s="28">
        <v>9769</v>
      </c>
      <c r="C4858" s="28" t="s">
        <v>35</v>
      </c>
      <c r="D4858" s="46" t="s">
        <v>38</v>
      </c>
      <c r="E4858" s="35">
        <v>46141</v>
      </c>
      <c r="F4858" s="49">
        <v>0.72706018518518523</v>
      </c>
      <c r="G4858" s="37">
        <v>6.3</v>
      </c>
      <c r="H4858" s="36" t="s">
        <v>237</v>
      </c>
      <c r="I4858" s="36" t="s">
        <v>1281</v>
      </c>
    </row>
    <row r="4859" spans="1:9" x14ac:dyDescent="0.25">
      <c r="A4859" s="38" t="s">
        <v>191</v>
      </c>
      <c r="B4859" s="28">
        <v>9769</v>
      </c>
      <c r="C4859" s="28" t="s">
        <v>35</v>
      </c>
      <c r="D4859" s="46" t="s">
        <v>38</v>
      </c>
      <c r="E4859" s="35">
        <v>46141</v>
      </c>
      <c r="F4859" s="49">
        <v>0.74346064814814816</v>
      </c>
      <c r="G4859" s="37">
        <v>6.3</v>
      </c>
      <c r="H4859" s="36" t="s">
        <v>234</v>
      </c>
      <c r="I4859" s="36" t="s">
        <v>1281</v>
      </c>
    </row>
    <row r="4860" spans="1:9" x14ac:dyDescent="0.25">
      <c r="A4860" s="38" t="s">
        <v>191</v>
      </c>
      <c r="B4860" s="28">
        <v>9769</v>
      </c>
      <c r="C4860" s="28" t="s">
        <v>35</v>
      </c>
      <c r="D4860" s="46" t="s">
        <v>38</v>
      </c>
      <c r="E4860" s="35">
        <v>46143</v>
      </c>
      <c r="F4860" s="49">
        <v>0.44188657407407406</v>
      </c>
      <c r="G4860" s="37">
        <v>6.3</v>
      </c>
      <c r="H4860" s="36" t="s">
        <v>237</v>
      </c>
      <c r="I4860" s="36" t="s">
        <v>1282</v>
      </c>
    </row>
    <row r="4861" spans="1:9" x14ac:dyDescent="0.25">
      <c r="A4861" s="38" t="s">
        <v>191</v>
      </c>
      <c r="B4861" s="28">
        <v>9769</v>
      </c>
      <c r="C4861" s="28" t="s">
        <v>35</v>
      </c>
      <c r="D4861" s="46" t="s">
        <v>38</v>
      </c>
      <c r="E4861" s="35">
        <v>46143</v>
      </c>
      <c r="F4861" s="49">
        <v>0.663599537037037</v>
      </c>
      <c r="G4861" s="37">
        <v>6.3</v>
      </c>
      <c r="H4861" s="36" t="s">
        <v>236</v>
      </c>
      <c r="I4861" s="36" t="s">
        <v>1282</v>
      </c>
    </row>
    <row r="4862" spans="1:9" x14ac:dyDescent="0.25">
      <c r="A4862" s="38" t="s">
        <v>191</v>
      </c>
      <c r="B4862" s="28">
        <v>9769</v>
      </c>
      <c r="C4862" s="28" t="s">
        <v>35</v>
      </c>
      <c r="D4862" s="46" t="s">
        <v>38</v>
      </c>
      <c r="E4862" s="35">
        <v>46144</v>
      </c>
      <c r="F4862" s="49">
        <v>0.68004629629629632</v>
      </c>
      <c r="G4862" s="37">
        <v>6.3</v>
      </c>
      <c r="H4862" s="36" t="s">
        <v>236</v>
      </c>
      <c r="I4862" s="36" t="s">
        <v>1282</v>
      </c>
    </row>
    <row r="4863" spans="1:9" x14ac:dyDescent="0.25">
      <c r="A4863" s="38" t="s">
        <v>193</v>
      </c>
      <c r="B4863" s="28">
        <v>9795</v>
      </c>
      <c r="C4863" s="28">
        <v>5638474</v>
      </c>
      <c r="D4863" s="46"/>
      <c r="E4863" s="35">
        <v>46140</v>
      </c>
      <c r="F4863" s="49">
        <v>0.35653935185185187</v>
      </c>
      <c r="G4863" s="37">
        <v>6.3</v>
      </c>
      <c r="H4863" s="36" t="s">
        <v>237</v>
      </c>
      <c r="I4863" s="36" t="s">
        <v>1281</v>
      </c>
    </row>
    <row r="4864" spans="1:9" x14ac:dyDescent="0.25">
      <c r="A4864" s="38" t="s">
        <v>193</v>
      </c>
      <c r="B4864" s="28">
        <v>9795</v>
      </c>
      <c r="C4864" s="28">
        <v>5638474</v>
      </c>
      <c r="D4864" s="46"/>
      <c r="E4864" s="35">
        <v>46140</v>
      </c>
      <c r="F4864" s="49">
        <v>0.3679513888888889</v>
      </c>
      <c r="G4864" s="37">
        <v>6.3</v>
      </c>
      <c r="H4864" s="36" t="s">
        <v>234</v>
      </c>
      <c r="I4864" s="36" t="s">
        <v>1281</v>
      </c>
    </row>
    <row r="4865" spans="1:9" x14ac:dyDescent="0.25">
      <c r="A4865" s="38" t="s">
        <v>193</v>
      </c>
      <c r="B4865" s="28">
        <v>9795</v>
      </c>
      <c r="C4865" s="28" t="s">
        <v>35</v>
      </c>
      <c r="D4865" s="46" t="s">
        <v>38</v>
      </c>
      <c r="E4865" s="35">
        <v>46141</v>
      </c>
      <c r="F4865" s="49">
        <v>0.52057870370370374</v>
      </c>
      <c r="G4865" s="37">
        <v>6.3</v>
      </c>
      <c r="H4865" s="36" t="s">
        <v>237</v>
      </c>
      <c r="I4865" s="36" t="s">
        <v>1281</v>
      </c>
    </row>
    <row r="4866" spans="1:9" x14ac:dyDescent="0.25">
      <c r="A4866" s="38" t="s">
        <v>193</v>
      </c>
      <c r="B4866" s="28">
        <v>9795</v>
      </c>
      <c r="C4866" s="28" t="s">
        <v>35</v>
      </c>
      <c r="D4866" s="46" t="s">
        <v>38</v>
      </c>
      <c r="E4866" s="35">
        <v>46141</v>
      </c>
      <c r="F4866" s="49">
        <v>0.52659722222222227</v>
      </c>
      <c r="G4866" s="37">
        <v>6.3</v>
      </c>
      <c r="H4866" s="36" t="s">
        <v>234</v>
      </c>
      <c r="I4866" s="36" t="s">
        <v>1281</v>
      </c>
    </row>
    <row r="4867" spans="1:9" x14ac:dyDescent="0.25">
      <c r="A4867" s="38" t="s">
        <v>193</v>
      </c>
      <c r="B4867" s="28">
        <v>9795</v>
      </c>
      <c r="C4867" s="28">
        <v>5617042</v>
      </c>
      <c r="D4867" s="46"/>
      <c r="E4867" s="35">
        <v>46141</v>
      </c>
      <c r="F4867" s="49">
        <v>0.81486111111111115</v>
      </c>
      <c r="G4867" s="37">
        <v>6.3</v>
      </c>
      <c r="H4867" s="36" t="s">
        <v>235</v>
      </c>
      <c r="I4867" s="36" t="s">
        <v>1281</v>
      </c>
    </row>
    <row r="4868" spans="1:9" x14ac:dyDescent="0.25">
      <c r="A4868" s="38" t="s">
        <v>193</v>
      </c>
      <c r="B4868" s="28">
        <v>9795</v>
      </c>
      <c r="C4868" s="28" t="s">
        <v>35</v>
      </c>
      <c r="D4868" s="46" t="s">
        <v>38</v>
      </c>
      <c r="E4868" s="35">
        <v>46144</v>
      </c>
      <c r="F4868" s="49">
        <v>0.48153935185185187</v>
      </c>
      <c r="G4868" s="37">
        <v>6.3</v>
      </c>
      <c r="H4868" s="36" t="s">
        <v>237</v>
      </c>
      <c r="I4868" s="36" t="s">
        <v>1282</v>
      </c>
    </row>
    <row r="4869" spans="1:9" x14ac:dyDescent="0.25">
      <c r="A4869" s="38" t="s">
        <v>193</v>
      </c>
      <c r="B4869" s="28">
        <v>9795</v>
      </c>
      <c r="C4869" s="28" t="s">
        <v>35</v>
      </c>
      <c r="D4869" s="46" t="s">
        <v>38</v>
      </c>
      <c r="E4869" s="35">
        <v>46144</v>
      </c>
      <c r="F4869" s="49">
        <v>0.4871759259259259</v>
      </c>
      <c r="G4869" s="37">
        <v>6.3</v>
      </c>
      <c r="H4869" s="36" t="s">
        <v>234</v>
      </c>
      <c r="I4869" s="36" t="s">
        <v>1282</v>
      </c>
    </row>
    <row r="4870" spans="1:9" x14ac:dyDescent="0.25">
      <c r="A4870" s="38" t="s">
        <v>193</v>
      </c>
      <c r="B4870" s="28">
        <v>9795</v>
      </c>
      <c r="C4870" s="28">
        <v>5647355</v>
      </c>
      <c r="D4870" s="46"/>
      <c r="E4870" s="35">
        <v>46144</v>
      </c>
      <c r="F4870" s="49">
        <v>0.61960648148148145</v>
      </c>
      <c r="G4870" s="37">
        <v>6.3</v>
      </c>
      <c r="H4870" s="36" t="s">
        <v>235</v>
      </c>
      <c r="I4870" s="36" t="s">
        <v>1282</v>
      </c>
    </row>
    <row r="4871" spans="1:9" x14ac:dyDescent="0.25">
      <c r="A4871" s="38" t="s">
        <v>193</v>
      </c>
      <c r="B4871" s="28">
        <v>9795</v>
      </c>
      <c r="C4871" s="28">
        <v>5647355</v>
      </c>
      <c r="D4871" s="46"/>
      <c r="E4871" s="35">
        <v>46144</v>
      </c>
      <c r="F4871" s="49">
        <v>0.62936342592592598</v>
      </c>
      <c r="G4871" s="37">
        <v>6.3</v>
      </c>
      <c r="H4871" s="36" t="s">
        <v>236</v>
      </c>
      <c r="I4871" s="36" t="s">
        <v>1282</v>
      </c>
    </row>
    <row r="4872" spans="1:9" x14ac:dyDescent="0.25">
      <c r="A4872" s="38" t="s">
        <v>193</v>
      </c>
      <c r="B4872" s="28">
        <v>9795</v>
      </c>
      <c r="C4872" s="28">
        <v>5647670</v>
      </c>
      <c r="D4872" s="46"/>
      <c r="E4872" s="35">
        <v>46145</v>
      </c>
      <c r="F4872" s="49">
        <v>0.51393518518518522</v>
      </c>
      <c r="G4872" s="37">
        <v>6.3</v>
      </c>
      <c r="H4872" s="36" t="s">
        <v>237</v>
      </c>
      <c r="I4872" s="36" t="s">
        <v>1282</v>
      </c>
    </row>
    <row r="4873" spans="1:9" x14ac:dyDescent="0.25">
      <c r="A4873" s="38" t="s">
        <v>193</v>
      </c>
      <c r="B4873" s="28">
        <v>9795</v>
      </c>
      <c r="C4873" s="28">
        <v>5647670</v>
      </c>
      <c r="D4873" s="46"/>
      <c r="E4873" s="35">
        <v>46145</v>
      </c>
      <c r="F4873" s="49">
        <v>0.51883101851851854</v>
      </c>
      <c r="G4873" s="37">
        <v>6.3</v>
      </c>
      <c r="H4873" s="36" t="s">
        <v>234</v>
      </c>
      <c r="I4873" s="36" t="s">
        <v>1282</v>
      </c>
    </row>
    <row r="4874" spans="1:9" x14ac:dyDescent="0.25">
      <c r="A4874" s="38" t="s">
        <v>1262</v>
      </c>
      <c r="B4874" s="28">
        <v>9820</v>
      </c>
      <c r="C4874" s="28" t="s">
        <v>35</v>
      </c>
      <c r="D4874" s="46" t="s">
        <v>38</v>
      </c>
      <c r="E4874" s="35">
        <v>46139</v>
      </c>
      <c r="F4874" s="49">
        <v>0.66312499999999996</v>
      </c>
      <c r="G4874" s="37">
        <v>6.3</v>
      </c>
      <c r="H4874" s="36" t="s">
        <v>240</v>
      </c>
      <c r="I4874" s="36" t="s">
        <v>1281</v>
      </c>
    </row>
    <row r="4875" spans="1:9" x14ac:dyDescent="0.25">
      <c r="A4875" s="38" t="s">
        <v>1262</v>
      </c>
      <c r="B4875" s="28">
        <v>9820</v>
      </c>
      <c r="C4875" s="28" t="s">
        <v>35</v>
      </c>
      <c r="D4875" s="46" t="s">
        <v>38</v>
      </c>
      <c r="E4875" s="35">
        <v>46140</v>
      </c>
      <c r="F4875" s="49">
        <v>0.99700231481481483</v>
      </c>
      <c r="G4875" s="37">
        <v>6.3</v>
      </c>
      <c r="H4875" s="36" t="s">
        <v>241</v>
      </c>
      <c r="I4875" s="36" t="s">
        <v>1281</v>
      </c>
    </row>
    <row r="4876" spans="1:9" x14ac:dyDescent="0.25">
      <c r="A4876" s="38" t="s">
        <v>1262</v>
      </c>
      <c r="B4876" s="28">
        <v>9820</v>
      </c>
      <c r="C4876" s="28" t="s">
        <v>35</v>
      </c>
      <c r="D4876" s="46" t="s">
        <v>38</v>
      </c>
      <c r="E4876" s="35">
        <v>46140</v>
      </c>
      <c r="F4876" s="49">
        <v>0.99972222222222218</v>
      </c>
      <c r="G4876" s="37">
        <v>6.3</v>
      </c>
      <c r="H4876" s="36" t="s">
        <v>234</v>
      </c>
      <c r="I4876" s="36" t="s">
        <v>1281</v>
      </c>
    </row>
    <row r="4877" spans="1:9" x14ac:dyDescent="0.25">
      <c r="A4877" s="38" t="s">
        <v>1262</v>
      </c>
      <c r="B4877" s="28">
        <v>9820</v>
      </c>
      <c r="C4877" s="28">
        <v>5643473</v>
      </c>
      <c r="D4877" s="46"/>
      <c r="E4877" s="35">
        <v>46141</v>
      </c>
      <c r="F4877" s="49">
        <v>0.90973379629629625</v>
      </c>
      <c r="G4877" s="37">
        <v>6.3</v>
      </c>
      <c r="H4877" s="36" t="s">
        <v>235</v>
      </c>
      <c r="I4877" s="36" t="s">
        <v>1281</v>
      </c>
    </row>
    <row r="4878" spans="1:9" x14ac:dyDescent="0.25">
      <c r="A4878" s="38" t="s">
        <v>1262</v>
      </c>
      <c r="B4878" s="28">
        <v>9820</v>
      </c>
      <c r="C4878" s="28">
        <v>5643473</v>
      </c>
      <c r="D4878" s="46"/>
      <c r="E4878" s="35">
        <v>46141</v>
      </c>
      <c r="F4878" s="49">
        <v>0.91695601851851849</v>
      </c>
      <c r="G4878" s="37">
        <v>6.3</v>
      </c>
      <c r="H4878" s="36" t="s">
        <v>239</v>
      </c>
      <c r="I4878" s="36" t="s">
        <v>1281</v>
      </c>
    </row>
    <row r="4879" spans="1:9" x14ac:dyDescent="0.25">
      <c r="A4879" s="38" t="s">
        <v>1262</v>
      </c>
      <c r="B4879" s="28">
        <v>9820</v>
      </c>
      <c r="C4879" s="28" t="s">
        <v>35</v>
      </c>
      <c r="D4879" s="46" t="s">
        <v>38</v>
      </c>
      <c r="E4879" s="35">
        <v>46142</v>
      </c>
      <c r="F4879" s="49">
        <v>0.37537037037037035</v>
      </c>
      <c r="G4879" s="37">
        <v>6.3</v>
      </c>
      <c r="H4879" s="36" t="s">
        <v>241</v>
      </c>
      <c r="I4879" s="36" t="s">
        <v>1281</v>
      </c>
    </row>
    <row r="4880" spans="1:9" x14ac:dyDescent="0.25">
      <c r="A4880" s="38" t="s">
        <v>1262</v>
      </c>
      <c r="B4880" s="28">
        <v>9820</v>
      </c>
      <c r="C4880" s="28" t="s">
        <v>35</v>
      </c>
      <c r="D4880" s="46" t="s">
        <v>38</v>
      </c>
      <c r="E4880" s="35">
        <v>46142</v>
      </c>
      <c r="F4880" s="49">
        <v>0.38131944444444443</v>
      </c>
      <c r="G4880" s="37">
        <v>6.3</v>
      </c>
      <c r="H4880" s="36" t="s">
        <v>234</v>
      </c>
      <c r="I4880" s="36" t="s">
        <v>1281</v>
      </c>
    </row>
    <row r="4881" spans="1:9" x14ac:dyDescent="0.25">
      <c r="A4881" s="38" t="s">
        <v>1262</v>
      </c>
      <c r="B4881" s="28">
        <v>9820</v>
      </c>
      <c r="C4881" s="28" t="s">
        <v>35</v>
      </c>
      <c r="D4881" s="46" t="s">
        <v>38</v>
      </c>
      <c r="E4881" s="35">
        <v>46143</v>
      </c>
      <c r="F4881" s="49">
        <v>0.17178240740740741</v>
      </c>
      <c r="G4881" s="37">
        <v>6.3</v>
      </c>
      <c r="H4881" s="36" t="s">
        <v>235</v>
      </c>
      <c r="I4881" s="36" t="s">
        <v>1282</v>
      </c>
    </row>
    <row r="4882" spans="1:9" x14ac:dyDescent="0.25">
      <c r="A4882" s="38" t="s">
        <v>1262</v>
      </c>
      <c r="B4882" s="28">
        <v>9820</v>
      </c>
      <c r="C4882" s="28" t="s">
        <v>35</v>
      </c>
      <c r="D4882" s="46" t="s">
        <v>38</v>
      </c>
      <c r="E4882" s="35">
        <v>46143</v>
      </c>
      <c r="F4882" s="49">
        <v>0.17685185185185184</v>
      </c>
      <c r="G4882" s="37">
        <v>6.3</v>
      </c>
      <c r="H4882" s="36" t="s">
        <v>240</v>
      </c>
      <c r="I4882" s="36" t="s">
        <v>1282</v>
      </c>
    </row>
    <row r="4883" spans="1:9" x14ac:dyDescent="0.25">
      <c r="A4883" s="38" t="s">
        <v>1262</v>
      </c>
      <c r="B4883" s="28">
        <v>9820</v>
      </c>
      <c r="C4883" s="28">
        <v>5648007</v>
      </c>
      <c r="D4883" s="46"/>
      <c r="E4883" s="35">
        <v>46144</v>
      </c>
      <c r="F4883" s="49">
        <v>0.81986111111111115</v>
      </c>
      <c r="G4883" s="37">
        <v>6.3</v>
      </c>
      <c r="H4883" s="36" t="s">
        <v>241</v>
      </c>
      <c r="I4883" s="36" t="s">
        <v>1282</v>
      </c>
    </row>
    <row r="4884" spans="1:9" x14ac:dyDescent="0.25">
      <c r="A4884" s="38" t="s">
        <v>1262</v>
      </c>
      <c r="B4884" s="28">
        <v>9820</v>
      </c>
      <c r="C4884" s="28">
        <v>5648007</v>
      </c>
      <c r="D4884" s="46"/>
      <c r="E4884" s="35">
        <v>46144</v>
      </c>
      <c r="F4884" s="49">
        <v>0.82261574074074073</v>
      </c>
      <c r="G4884" s="37">
        <v>6.3</v>
      </c>
      <c r="H4884" s="36" t="s">
        <v>234</v>
      </c>
      <c r="I4884" s="36" t="s">
        <v>1282</v>
      </c>
    </row>
    <row r="4885" spans="1:9" x14ac:dyDescent="0.25">
      <c r="A4885" s="38" t="s">
        <v>1262</v>
      </c>
      <c r="B4885" s="28">
        <v>9820</v>
      </c>
      <c r="C4885" s="28">
        <v>5648300</v>
      </c>
      <c r="D4885" s="46"/>
      <c r="E4885" s="35">
        <v>46145</v>
      </c>
      <c r="F4885" s="49">
        <v>0.13800925925925925</v>
      </c>
      <c r="G4885" s="37">
        <v>6.3</v>
      </c>
      <c r="H4885" s="36" t="s">
        <v>238</v>
      </c>
      <c r="I4885" s="36" t="s">
        <v>1282</v>
      </c>
    </row>
    <row r="4886" spans="1:9" x14ac:dyDescent="0.25">
      <c r="A4886" s="38" t="s">
        <v>1262</v>
      </c>
      <c r="B4886" s="28">
        <v>9820</v>
      </c>
      <c r="C4886" s="28" t="s">
        <v>35</v>
      </c>
      <c r="D4886" s="46" t="s">
        <v>38</v>
      </c>
      <c r="E4886" s="35">
        <v>46145</v>
      </c>
      <c r="F4886" s="49">
        <v>0.22625000000000001</v>
      </c>
      <c r="G4886" s="37">
        <v>6.3</v>
      </c>
      <c r="H4886" s="36" t="s">
        <v>237</v>
      </c>
      <c r="I4886" s="36" t="s">
        <v>1282</v>
      </c>
    </row>
    <row r="4887" spans="1:9" x14ac:dyDescent="0.25">
      <c r="A4887" s="38" t="s">
        <v>1262</v>
      </c>
      <c r="B4887" s="28">
        <v>9820</v>
      </c>
      <c r="C4887" s="28" t="s">
        <v>35</v>
      </c>
      <c r="D4887" s="46" t="s">
        <v>38</v>
      </c>
      <c r="E4887" s="35">
        <v>46145</v>
      </c>
      <c r="F4887" s="49">
        <v>0.23141203703703703</v>
      </c>
      <c r="G4887" s="37">
        <v>6.3</v>
      </c>
      <c r="H4887" s="36" t="s">
        <v>234</v>
      </c>
      <c r="I4887" s="36" t="s">
        <v>1282</v>
      </c>
    </row>
    <row r="4888" spans="1:9" x14ac:dyDescent="0.25">
      <c r="A4888" s="38" t="s">
        <v>1262</v>
      </c>
      <c r="B4888" s="28">
        <v>9820</v>
      </c>
      <c r="C4888" s="28" t="s">
        <v>35</v>
      </c>
      <c r="D4888" s="46" t="s">
        <v>38</v>
      </c>
      <c r="E4888" s="35">
        <v>46145</v>
      </c>
      <c r="F4888" s="49">
        <v>0.26124999999999998</v>
      </c>
      <c r="G4888" s="37">
        <v>6.3</v>
      </c>
      <c r="H4888" s="36" t="s">
        <v>235</v>
      </c>
      <c r="I4888" s="36" t="s">
        <v>1282</v>
      </c>
    </row>
    <row r="4889" spans="1:9" x14ac:dyDescent="0.25">
      <c r="A4889" s="38" t="s">
        <v>1262</v>
      </c>
      <c r="B4889" s="28">
        <v>9820</v>
      </c>
      <c r="C4889" s="28" t="s">
        <v>35</v>
      </c>
      <c r="D4889" s="46" t="s">
        <v>38</v>
      </c>
      <c r="E4889" s="35">
        <v>46145</v>
      </c>
      <c r="F4889" s="49">
        <v>0.26753472222222224</v>
      </c>
      <c r="G4889" s="37">
        <v>6.3</v>
      </c>
      <c r="H4889" s="36" t="s">
        <v>236</v>
      </c>
      <c r="I4889" s="36" t="s">
        <v>1282</v>
      </c>
    </row>
    <row r="4890" spans="1:9" x14ac:dyDescent="0.25">
      <c r="A4890" s="38" t="s">
        <v>1262</v>
      </c>
      <c r="B4890" s="28">
        <v>9820</v>
      </c>
      <c r="C4890" s="28" t="s">
        <v>35</v>
      </c>
      <c r="D4890" s="46" t="s">
        <v>38</v>
      </c>
      <c r="E4890" s="35">
        <v>46145</v>
      </c>
      <c r="F4890" s="49">
        <v>0.28403935185185186</v>
      </c>
      <c r="G4890" s="37">
        <v>6.3</v>
      </c>
      <c r="H4890" s="36" t="s">
        <v>237</v>
      </c>
      <c r="I4890" s="36" t="s">
        <v>1282</v>
      </c>
    </row>
    <row r="4891" spans="1:9" x14ac:dyDescent="0.25">
      <c r="A4891" s="38" t="s">
        <v>1262</v>
      </c>
      <c r="B4891" s="28">
        <v>9820</v>
      </c>
      <c r="C4891" s="28" t="s">
        <v>35</v>
      </c>
      <c r="D4891" s="46" t="s">
        <v>38</v>
      </c>
      <c r="E4891" s="35">
        <v>46145</v>
      </c>
      <c r="F4891" s="49">
        <v>0.28864583333333332</v>
      </c>
      <c r="G4891" s="37">
        <v>6.3</v>
      </c>
      <c r="H4891" s="36" t="s">
        <v>234</v>
      </c>
      <c r="I4891" s="36" t="s">
        <v>1282</v>
      </c>
    </row>
    <row r="4892" spans="1:9" x14ac:dyDescent="0.25">
      <c r="A4892" s="38" t="s">
        <v>1262</v>
      </c>
      <c r="B4892" s="28">
        <v>9820</v>
      </c>
      <c r="C4892" s="28">
        <v>5649344</v>
      </c>
      <c r="D4892" s="46"/>
      <c r="E4892" s="35">
        <v>46145</v>
      </c>
      <c r="F4892" s="49">
        <v>0.89278935185185182</v>
      </c>
      <c r="G4892" s="37">
        <v>6.3</v>
      </c>
      <c r="H4892" s="36" t="s">
        <v>235</v>
      </c>
      <c r="I4892" s="36" t="s">
        <v>1282</v>
      </c>
    </row>
    <row r="4893" spans="1:9" x14ac:dyDescent="0.25">
      <c r="A4893" s="38" t="s">
        <v>1262</v>
      </c>
      <c r="B4893" s="28">
        <v>9820</v>
      </c>
      <c r="C4893" s="28">
        <v>5649344</v>
      </c>
      <c r="D4893" s="46"/>
      <c r="E4893" s="35">
        <v>46145</v>
      </c>
      <c r="F4893" s="49">
        <v>0.89989583333333334</v>
      </c>
      <c r="G4893" s="37">
        <v>6.3</v>
      </c>
      <c r="H4893" s="36" t="s">
        <v>236</v>
      </c>
      <c r="I4893" s="36" t="s">
        <v>1282</v>
      </c>
    </row>
    <row r="4894" spans="1:9" x14ac:dyDescent="0.25">
      <c r="A4894" s="38" t="s">
        <v>416</v>
      </c>
      <c r="B4894" s="28">
        <v>9821</v>
      </c>
      <c r="C4894" s="28">
        <v>5637568</v>
      </c>
      <c r="D4894" s="46"/>
      <c r="E4894" s="35">
        <v>46139</v>
      </c>
      <c r="F4894" s="49">
        <v>0.32780092592592591</v>
      </c>
      <c r="G4894" s="37">
        <v>6.3</v>
      </c>
      <c r="H4894" s="36" t="s">
        <v>233</v>
      </c>
      <c r="I4894" s="36" t="s">
        <v>1281</v>
      </c>
    </row>
    <row r="4895" spans="1:9" x14ac:dyDescent="0.25">
      <c r="A4895" s="38" t="s">
        <v>416</v>
      </c>
      <c r="B4895" s="28">
        <v>9821</v>
      </c>
      <c r="C4895" s="28">
        <v>5637568</v>
      </c>
      <c r="D4895" s="46"/>
      <c r="E4895" s="35">
        <v>46139</v>
      </c>
      <c r="F4895" s="49">
        <v>0.34314814814814815</v>
      </c>
      <c r="G4895" s="37">
        <v>6.3</v>
      </c>
      <c r="H4895" s="36" t="s">
        <v>234</v>
      </c>
      <c r="I4895" s="36" t="s">
        <v>1281</v>
      </c>
    </row>
    <row r="4896" spans="1:9" x14ac:dyDescent="0.25">
      <c r="A4896" s="38" t="s">
        <v>416</v>
      </c>
      <c r="B4896" s="28">
        <v>9821</v>
      </c>
      <c r="C4896" s="28" t="s">
        <v>1263</v>
      </c>
      <c r="D4896" s="46"/>
      <c r="E4896" s="35">
        <v>46139</v>
      </c>
      <c r="F4896" s="49">
        <v>0.64277777777777778</v>
      </c>
      <c r="G4896" s="37">
        <v>6.3</v>
      </c>
      <c r="H4896" s="36" t="s">
        <v>235</v>
      </c>
      <c r="I4896" s="36" t="s">
        <v>1281</v>
      </c>
    </row>
    <row r="4897" spans="1:9" x14ac:dyDescent="0.25">
      <c r="A4897" s="38" t="s">
        <v>416</v>
      </c>
      <c r="B4897" s="28">
        <v>9821</v>
      </c>
      <c r="C4897" s="28" t="s">
        <v>1263</v>
      </c>
      <c r="D4897" s="46"/>
      <c r="E4897" s="35">
        <v>46139</v>
      </c>
      <c r="F4897" s="49">
        <v>0.65460648148148148</v>
      </c>
      <c r="G4897" s="37">
        <v>6.3</v>
      </c>
      <c r="H4897" s="36" t="s">
        <v>236</v>
      </c>
      <c r="I4897" s="36" t="s">
        <v>1281</v>
      </c>
    </row>
    <row r="4898" spans="1:9" x14ac:dyDescent="0.25">
      <c r="A4898" s="38" t="s">
        <v>416</v>
      </c>
      <c r="B4898" s="28">
        <v>9821</v>
      </c>
      <c r="C4898" s="28" t="s">
        <v>35</v>
      </c>
      <c r="D4898" s="46" t="s">
        <v>38</v>
      </c>
      <c r="E4898" s="35">
        <v>46139</v>
      </c>
      <c r="F4898" s="49">
        <v>0.89731481481481479</v>
      </c>
      <c r="G4898" s="37">
        <v>6.3</v>
      </c>
      <c r="H4898" s="36" t="s">
        <v>233</v>
      </c>
      <c r="I4898" s="36" t="s">
        <v>1281</v>
      </c>
    </row>
    <row r="4899" spans="1:9" x14ac:dyDescent="0.25">
      <c r="A4899" s="38" t="s">
        <v>416</v>
      </c>
      <c r="B4899" s="28">
        <v>9821</v>
      </c>
      <c r="C4899" s="28" t="s">
        <v>35</v>
      </c>
      <c r="D4899" s="46" t="s">
        <v>38</v>
      </c>
      <c r="E4899" s="35">
        <v>46139</v>
      </c>
      <c r="F4899" s="49">
        <v>0.90417824074074071</v>
      </c>
      <c r="G4899" s="37">
        <v>6.3</v>
      </c>
      <c r="H4899" s="36" t="s">
        <v>234</v>
      </c>
      <c r="I4899" s="36" t="s">
        <v>1281</v>
      </c>
    </row>
    <row r="4900" spans="1:9" x14ac:dyDescent="0.25">
      <c r="A4900" s="38" t="s">
        <v>416</v>
      </c>
      <c r="B4900" s="28">
        <v>9821</v>
      </c>
      <c r="C4900" s="28" t="s">
        <v>35</v>
      </c>
      <c r="D4900" s="46" t="s">
        <v>38</v>
      </c>
      <c r="E4900" s="35">
        <v>46141</v>
      </c>
      <c r="F4900" s="49">
        <v>0.20864583333333334</v>
      </c>
      <c r="G4900" s="37">
        <v>6.3</v>
      </c>
      <c r="H4900" s="36" t="s">
        <v>237</v>
      </c>
      <c r="I4900" s="36" t="s">
        <v>1281</v>
      </c>
    </row>
    <row r="4901" spans="1:9" x14ac:dyDescent="0.25">
      <c r="A4901" s="38" t="s">
        <v>416</v>
      </c>
      <c r="B4901" s="28">
        <v>9821</v>
      </c>
      <c r="C4901" s="28" t="s">
        <v>35</v>
      </c>
      <c r="D4901" s="46" t="s">
        <v>38</v>
      </c>
      <c r="E4901" s="35">
        <v>46141</v>
      </c>
      <c r="F4901" s="49">
        <v>0.21340277777777777</v>
      </c>
      <c r="G4901" s="37">
        <v>6.3</v>
      </c>
      <c r="H4901" s="36" t="s">
        <v>234</v>
      </c>
      <c r="I4901" s="36" t="s">
        <v>1281</v>
      </c>
    </row>
    <row r="4902" spans="1:9" x14ac:dyDescent="0.25">
      <c r="A4902" s="38" t="s">
        <v>416</v>
      </c>
      <c r="B4902" s="28">
        <v>9821</v>
      </c>
      <c r="C4902" s="28">
        <v>5643630</v>
      </c>
      <c r="D4902" s="46"/>
      <c r="E4902" s="35">
        <v>46142</v>
      </c>
      <c r="F4902" s="49">
        <v>0.17938657407407407</v>
      </c>
      <c r="G4902" s="37">
        <v>6.3</v>
      </c>
      <c r="H4902" s="36" t="s">
        <v>234</v>
      </c>
      <c r="I4902" s="36" t="s">
        <v>1281</v>
      </c>
    </row>
    <row r="4903" spans="1:9" x14ac:dyDescent="0.25">
      <c r="A4903" s="38" t="s">
        <v>416</v>
      </c>
      <c r="B4903" s="28">
        <v>9821</v>
      </c>
      <c r="C4903" s="28">
        <v>5643523</v>
      </c>
      <c r="D4903" s="46"/>
      <c r="E4903" s="35">
        <v>46142</v>
      </c>
      <c r="F4903" s="49">
        <v>0.23469907407407409</v>
      </c>
      <c r="G4903" s="37">
        <v>6.3</v>
      </c>
      <c r="H4903" s="36" t="s">
        <v>233</v>
      </c>
      <c r="I4903" s="36" t="s">
        <v>1281</v>
      </c>
    </row>
    <row r="4904" spans="1:9" x14ac:dyDescent="0.25">
      <c r="A4904" s="38" t="s">
        <v>416</v>
      </c>
      <c r="B4904" s="28">
        <v>9821</v>
      </c>
      <c r="C4904" s="28">
        <v>5643523</v>
      </c>
      <c r="D4904" s="46"/>
      <c r="E4904" s="35">
        <v>46142</v>
      </c>
      <c r="F4904" s="49">
        <v>0.23958333333333334</v>
      </c>
      <c r="G4904" s="37">
        <v>6.3</v>
      </c>
      <c r="H4904" s="36" t="s">
        <v>234</v>
      </c>
      <c r="I4904" s="36" t="s">
        <v>1281</v>
      </c>
    </row>
    <row r="4905" spans="1:9" x14ac:dyDescent="0.25">
      <c r="A4905" s="38" t="s">
        <v>416</v>
      </c>
      <c r="B4905" s="28">
        <v>9821</v>
      </c>
      <c r="C4905" s="28" t="s">
        <v>35</v>
      </c>
      <c r="D4905" s="46" t="s">
        <v>38</v>
      </c>
      <c r="E4905" s="35">
        <v>46143</v>
      </c>
      <c r="F4905" s="49">
        <v>0.33649305555555553</v>
      </c>
      <c r="G4905" s="37">
        <v>6.3</v>
      </c>
      <c r="H4905" s="36" t="s">
        <v>233</v>
      </c>
      <c r="I4905" s="36" t="s">
        <v>1282</v>
      </c>
    </row>
    <row r="4906" spans="1:9" x14ac:dyDescent="0.25">
      <c r="A4906" s="38" t="s">
        <v>416</v>
      </c>
      <c r="B4906" s="28">
        <v>9821</v>
      </c>
      <c r="C4906" s="28" t="s">
        <v>35</v>
      </c>
      <c r="D4906" s="46" t="s">
        <v>38</v>
      </c>
      <c r="E4906" s="35">
        <v>46143</v>
      </c>
      <c r="F4906" s="49">
        <v>0.34163194444444445</v>
      </c>
      <c r="G4906" s="37">
        <v>6.3</v>
      </c>
      <c r="H4906" s="36" t="s">
        <v>234</v>
      </c>
      <c r="I4906" s="36" t="s">
        <v>1282</v>
      </c>
    </row>
    <row r="4907" spans="1:9" x14ac:dyDescent="0.25">
      <c r="A4907" s="38" t="s">
        <v>416</v>
      </c>
      <c r="B4907" s="28">
        <v>9821</v>
      </c>
      <c r="C4907" s="28">
        <v>5586875</v>
      </c>
      <c r="D4907" s="46"/>
      <c r="E4907" s="35">
        <v>46143</v>
      </c>
      <c r="F4907" s="49">
        <v>0.56111111111111112</v>
      </c>
      <c r="G4907" s="37">
        <v>6.3</v>
      </c>
      <c r="H4907" s="36" t="s">
        <v>235</v>
      </c>
      <c r="I4907" s="36" t="s">
        <v>1282</v>
      </c>
    </row>
    <row r="4908" spans="1:9" x14ac:dyDescent="0.25">
      <c r="A4908" s="38" t="s">
        <v>416</v>
      </c>
      <c r="B4908" s="28">
        <v>9821</v>
      </c>
      <c r="C4908" s="28">
        <v>5586875</v>
      </c>
      <c r="D4908" s="46"/>
      <c r="E4908" s="35">
        <v>46143</v>
      </c>
      <c r="F4908" s="49">
        <v>0.56831018518518517</v>
      </c>
      <c r="G4908" s="37">
        <v>6.3</v>
      </c>
      <c r="H4908" s="36" t="s">
        <v>236</v>
      </c>
      <c r="I4908" s="36" t="s">
        <v>1282</v>
      </c>
    </row>
    <row r="4909" spans="1:9" x14ac:dyDescent="0.25">
      <c r="A4909" s="38" t="s">
        <v>416</v>
      </c>
      <c r="B4909" s="28">
        <v>9821</v>
      </c>
      <c r="C4909" s="28">
        <v>5648399</v>
      </c>
      <c r="D4909" s="46"/>
      <c r="E4909" s="35">
        <v>46145</v>
      </c>
      <c r="F4909" s="49">
        <v>0.3984375</v>
      </c>
      <c r="G4909" s="37">
        <v>6.3</v>
      </c>
      <c r="H4909" s="36" t="s">
        <v>237</v>
      </c>
      <c r="I4909" s="36" t="s">
        <v>1282</v>
      </c>
    </row>
    <row r="4910" spans="1:9" x14ac:dyDescent="0.25">
      <c r="A4910" s="38" t="s">
        <v>416</v>
      </c>
      <c r="B4910" s="28">
        <v>9821</v>
      </c>
      <c r="C4910" s="28">
        <v>5648399</v>
      </c>
      <c r="D4910" s="46"/>
      <c r="E4910" s="35">
        <v>46145</v>
      </c>
      <c r="F4910" s="49">
        <v>0.40333333333333332</v>
      </c>
      <c r="G4910" s="37">
        <v>6.3</v>
      </c>
      <c r="H4910" s="36" t="s">
        <v>234</v>
      </c>
      <c r="I4910" s="36" t="s">
        <v>1282</v>
      </c>
    </row>
    <row r="4911" spans="1:9" x14ac:dyDescent="0.25">
      <c r="A4911" s="38" t="s">
        <v>1264</v>
      </c>
      <c r="B4911" s="28">
        <v>9834</v>
      </c>
      <c r="C4911" s="28">
        <v>5638242</v>
      </c>
      <c r="D4911" s="46"/>
      <c r="E4911" s="35">
        <v>46139</v>
      </c>
      <c r="F4911" s="49">
        <v>0.57589120370370372</v>
      </c>
      <c r="G4911" s="37">
        <v>6.3</v>
      </c>
      <c r="H4911" s="36" t="s">
        <v>235</v>
      </c>
      <c r="I4911" s="36" t="s">
        <v>1281</v>
      </c>
    </row>
    <row r="4912" spans="1:9" x14ac:dyDescent="0.25">
      <c r="A4912" s="38" t="s">
        <v>1264</v>
      </c>
      <c r="B4912" s="28">
        <v>9834</v>
      </c>
      <c r="C4912" s="28">
        <v>5638242</v>
      </c>
      <c r="D4912" s="46"/>
      <c r="E4912" s="35">
        <v>46139</v>
      </c>
      <c r="F4912" s="49">
        <v>0.58401620370370366</v>
      </c>
      <c r="G4912" s="37">
        <v>6.3</v>
      </c>
      <c r="H4912" s="36" t="s">
        <v>236</v>
      </c>
      <c r="I4912" s="36" t="s">
        <v>1281</v>
      </c>
    </row>
    <row r="4913" spans="1:9" x14ac:dyDescent="0.25">
      <c r="A4913" s="38" t="s">
        <v>1264</v>
      </c>
      <c r="B4913" s="28">
        <v>9834</v>
      </c>
      <c r="C4913" s="28">
        <v>5638655</v>
      </c>
      <c r="D4913" s="46" t="s">
        <v>36</v>
      </c>
      <c r="E4913" s="35">
        <v>46139</v>
      </c>
      <c r="F4913" s="49">
        <v>0.6656481481481481</v>
      </c>
      <c r="G4913" s="37">
        <v>6.3</v>
      </c>
      <c r="H4913" s="36" t="s">
        <v>237</v>
      </c>
      <c r="I4913" s="36" t="s">
        <v>1281</v>
      </c>
    </row>
    <row r="4914" spans="1:9" x14ac:dyDescent="0.25">
      <c r="A4914" s="38" t="s">
        <v>1264</v>
      </c>
      <c r="B4914" s="28">
        <v>9834</v>
      </c>
      <c r="C4914" s="28">
        <v>5638655</v>
      </c>
      <c r="D4914" s="46" t="s">
        <v>36</v>
      </c>
      <c r="E4914" s="35">
        <v>46139</v>
      </c>
      <c r="F4914" s="49">
        <v>0.67202546296296295</v>
      </c>
      <c r="G4914" s="37">
        <v>6.3</v>
      </c>
      <c r="H4914" s="36" t="s">
        <v>234</v>
      </c>
      <c r="I4914" s="36" t="s">
        <v>1281</v>
      </c>
    </row>
    <row r="4915" spans="1:9" x14ac:dyDescent="0.25">
      <c r="A4915" s="38" t="s">
        <v>1264</v>
      </c>
      <c r="B4915" s="28">
        <v>9834</v>
      </c>
      <c r="C4915" s="28" t="s">
        <v>35</v>
      </c>
      <c r="D4915" s="46" t="s">
        <v>38</v>
      </c>
      <c r="E4915" s="35">
        <v>46145</v>
      </c>
      <c r="F4915" s="49">
        <v>0.86568287037037039</v>
      </c>
      <c r="G4915" s="37">
        <v>6.3</v>
      </c>
      <c r="H4915" s="36" t="s">
        <v>236</v>
      </c>
      <c r="I4915" s="36" t="s">
        <v>1282</v>
      </c>
    </row>
    <row r="4916" spans="1:9" x14ac:dyDescent="0.25">
      <c r="A4916" s="38" t="s">
        <v>272</v>
      </c>
      <c r="B4916" s="28">
        <v>9837</v>
      </c>
      <c r="C4916" s="28">
        <v>5637890</v>
      </c>
      <c r="D4916" s="46"/>
      <c r="E4916" s="35">
        <v>46139</v>
      </c>
      <c r="F4916" s="49">
        <v>0.35297453703703702</v>
      </c>
      <c r="G4916" s="37">
        <v>6.3</v>
      </c>
      <c r="H4916" s="36" t="s">
        <v>235</v>
      </c>
      <c r="I4916" s="36" t="s">
        <v>1281</v>
      </c>
    </row>
    <row r="4917" spans="1:9" x14ac:dyDescent="0.25">
      <c r="A4917" s="38" t="s">
        <v>272</v>
      </c>
      <c r="B4917" s="28">
        <v>9837</v>
      </c>
      <c r="C4917" s="28">
        <v>5637890</v>
      </c>
      <c r="D4917" s="46"/>
      <c r="E4917" s="35">
        <v>46139</v>
      </c>
      <c r="F4917" s="49">
        <v>0.38564814814814813</v>
      </c>
      <c r="G4917" s="37">
        <v>6.3</v>
      </c>
      <c r="H4917" s="36" t="s">
        <v>236</v>
      </c>
      <c r="I4917" s="36" t="s">
        <v>1281</v>
      </c>
    </row>
    <row r="4918" spans="1:9" x14ac:dyDescent="0.25">
      <c r="A4918" s="38" t="s">
        <v>272</v>
      </c>
      <c r="B4918" s="28">
        <v>9837</v>
      </c>
      <c r="C4918" s="28" t="s">
        <v>1265</v>
      </c>
      <c r="D4918" s="46"/>
      <c r="E4918" s="35">
        <v>46139</v>
      </c>
      <c r="F4918" s="49">
        <v>0.77225694444444448</v>
      </c>
      <c r="G4918" s="37">
        <v>6.3</v>
      </c>
      <c r="H4918" s="36" t="s">
        <v>235</v>
      </c>
      <c r="I4918" s="36" t="s">
        <v>1281</v>
      </c>
    </row>
    <row r="4919" spans="1:9" x14ac:dyDescent="0.25">
      <c r="A4919" s="38" t="s">
        <v>272</v>
      </c>
      <c r="B4919" s="28">
        <v>9837</v>
      </c>
      <c r="C4919" s="28" t="s">
        <v>1265</v>
      </c>
      <c r="D4919" s="46"/>
      <c r="E4919" s="35">
        <v>46139</v>
      </c>
      <c r="F4919" s="49">
        <v>0.78563657407407406</v>
      </c>
      <c r="G4919" s="37">
        <v>6.3</v>
      </c>
      <c r="H4919" s="36" t="s">
        <v>236</v>
      </c>
      <c r="I4919" s="36" t="s">
        <v>1281</v>
      </c>
    </row>
    <row r="4920" spans="1:9" x14ac:dyDescent="0.25">
      <c r="A4920" s="38" t="s">
        <v>272</v>
      </c>
      <c r="B4920" s="28">
        <v>9837</v>
      </c>
      <c r="C4920" s="28" t="s">
        <v>1266</v>
      </c>
      <c r="D4920" s="46"/>
      <c r="E4920" s="35">
        <v>46140</v>
      </c>
      <c r="F4920" s="49">
        <v>0.41230324074074076</v>
      </c>
      <c r="G4920" s="37">
        <v>6.3</v>
      </c>
      <c r="H4920" s="36" t="s">
        <v>235</v>
      </c>
      <c r="I4920" s="36" t="s">
        <v>1281</v>
      </c>
    </row>
    <row r="4921" spans="1:9" x14ac:dyDescent="0.25">
      <c r="A4921" s="38" t="s">
        <v>272</v>
      </c>
      <c r="B4921" s="28">
        <v>9837</v>
      </c>
      <c r="C4921" s="28" t="s">
        <v>1266</v>
      </c>
      <c r="D4921" s="46"/>
      <c r="E4921" s="35">
        <v>46140</v>
      </c>
      <c r="F4921" s="49">
        <v>0.42689814814814814</v>
      </c>
      <c r="G4921" s="37">
        <v>6.3</v>
      </c>
      <c r="H4921" s="36" t="s">
        <v>236</v>
      </c>
      <c r="I4921" s="36" t="s">
        <v>1281</v>
      </c>
    </row>
    <row r="4922" spans="1:9" x14ac:dyDescent="0.25">
      <c r="A4922" s="38" t="s">
        <v>272</v>
      </c>
      <c r="B4922" s="28">
        <v>9837</v>
      </c>
      <c r="C4922" s="28">
        <v>5641471</v>
      </c>
      <c r="D4922" s="46" t="s">
        <v>36</v>
      </c>
      <c r="E4922" s="35">
        <v>46141</v>
      </c>
      <c r="F4922" s="49">
        <v>0.31619212962962961</v>
      </c>
      <c r="G4922" s="37">
        <v>6.3</v>
      </c>
      <c r="H4922" s="36" t="s">
        <v>237</v>
      </c>
      <c r="I4922" s="36" t="s">
        <v>1281</v>
      </c>
    </row>
    <row r="4923" spans="1:9" x14ac:dyDescent="0.25">
      <c r="A4923" s="38" t="s">
        <v>272</v>
      </c>
      <c r="B4923" s="28">
        <v>9837</v>
      </c>
      <c r="C4923" s="28">
        <v>5641471</v>
      </c>
      <c r="D4923" s="46" t="s">
        <v>36</v>
      </c>
      <c r="E4923" s="35">
        <v>46141</v>
      </c>
      <c r="F4923" s="49">
        <v>0.32348379629629631</v>
      </c>
      <c r="G4923" s="37">
        <v>6.3</v>
      </c>
      <c r="H4923" s="36" t="s">
        <v>234</v>
      </c>
      <c r="I4923" s="36" t="s">
        <v>1281</v>
      </c>
    </row>
    <row r="4924" spans="1:9" x14ac:dyDescent="0.25">
      <c r="A4924" s="38" t="s">
        <v>272</v>
      </c>
      <c r="B4924" s="28">
        <v>9837</v>
      </c>
      <c r="C4924" s="28">
        <v>5644013</v>
      </c>
      <c r="D4924" s="46"/>
      <c r="E4924" s="35">
        <v>46142</v>
      </c>
      <c r="F4924" s="49">
        <v>0.31884259259259257</v>
      </c>
      <c r="G4924" s="37">
        <v>6.3</v>
      </c>
      <c r="H4924" s="36" t="s">
        <v>237</v>
      </c>
      <c r="I4924" s="36" t="s">
        <v>1281</v>
      </c>
    </row>
    <row r="4925" spans="1:9" x14ac:dyDescent="0.25">
      <c r="A4925" s="38" t="s">
        <v>272</v>
      </c>
      <c r="B4925" s="28">
        <v>9837</v>
      </c>
      <c r="C4925" s="28">
        <v>5644013</v>
      </c>
      <c r="D4925" s="46"/>
      <c r="E4925" s="35">
        <v>46142</v>
      </c>
      <c r="F4925" s="49">
        <v>0.32780092592592591</v>
      </c>
      <c r="G4925" s="37">
        <v>6.3</v>
      </c>
      <c r="H4925" s="36" t="s">
        <v>234</v>
      </c>
      <c r="I4925" s="36" t="s">
        <v>1281</v>
      </c>
    </row>
    <row r="4926" spans="1:9" x14ac:dyDescent="0.25">
      <c r="A4926" s="38" t="s">
        <v>272</v>
      </c>
      <c r="B4926" s="28">
        <v>9837</v>
      </c>
      <c r="C4926" s="28" t="s">
        <v>35</v>
      </c>
      <c r="D4926" s="46" t="s">
        <v>38</v>
      </c>
      <c r="E4926" s="35">
        <v>46145</v>
      </c>
      <c r="F4926" s="49">
        <v>0.57512731481481483</v>
      </c>
      <c r="G4926" s="37">
        <v>6.3</v>
      </c>
      <c r="H4926" s="36" t="s">
        <v>235</v>
      </c>
      <c r="I4926" s="36" t="s">
        <v>1282</v>
      </c>
    </row>
    <row r="4927" spans="1:9" x14ac:dyDescent="0.25">
      <c r="A4927" s="38" t="s">
        <v>272</v>
      </c>
      <c r="B4927" s="28">
        <v>9837</v>
      </c>
      <c r="C4927" s="28" t="s">
        <v>35</v>
      </c>
      <c r="D4927" s="46" t="s">
        <v>38</v>
      </c>
      <c r="E4927" s="35">
        <v>46145</v>
      </c>
      <c r="F4927" s="49">
        <v>0.58347222222222217</v>
      </c>
      <c r="G4927" s="37">
        <v>6.3</v>
      </c>
      <c r="H4927" s="36" t="s">
        <v>236</v>
      </c>
      <c r="I4927" s="36" t="s">
        <v>1282</v>
      </c>
    </row>
    <row r="4928" spans="1:9" x14ac:dyDescent="0.25">
      <c r="A4928" s="38" t="s">
        <v>1267</v>
      </c>
      <c r="B4928" s="28">
        <v>9844</v>
      </c>
      <c r="C4928" s="28" t="s">
        <v>35</v>
      </c>
      <c r="D4928" s="46" t="s">
        <v>38</v>
      </c>
      <c r="E4928" s="35">
        <v>46139</v>
      </c>
      <c r="F4928" s="49">
        <v>0.81593749999999998</v>
      </c>
      <c r="G4928" s="37">
        <v>6.3</v>
      </c>
      <c r="H4928" s="36" t="s">
        <v>234</v>
      </c>
      <c r="I4928" s="36" t="s">
        <v>1281</v>
      </c>
    </row>
    <row r="4929" spans="1:9" x14ac:dyDescent="0.25">
      <c r="A4929" s="38" t="s">
        <v>232</v>
      </c>
      <c r="B4929" s="28">
        <v>9883</v>
      </c>
      <c r="C4929" s="28">
        <v>5637124</v>
      </c>
      <c r="D4929" s="46"/>
      <c r="E4929" s="35">
        <v>46139</v>
      </c>
      <c r="F4929" s="49">
        <v>0.26822916666666669</v>
      </c>
      <c r="G4929" s="37">
        <v>6.3</v>
      </c>
      <c r="H4929" s="36" t="s">
        <v>237</v>
      </c>
      <c r="I4929" s="36" t="s">
        <v>1281</v>
      </c>
    </row>
    <row r="4930" spans="1:9" x14ac:dyDescent="0.25">
      <c r="A4930" s="38" t="s">
        <v>232</v>
      </c>
      <c r="B4930" s="28">
        <v>9883</v>
      </c>
      <c r="C4930" s="28">
        <v>5637124</v>
      </c>
      <c r="D4930" s="46"/>
      <c r="E4930" s="35">
        <v>46139</v>
      </c>
      <c r="F4930" s="49">
        <v>0.27424768518518516</v>
      </c>
      <c r="G4930" s="37">
        <v>6.3</v>
      </c>
      <c r="H4930" s="36" t="s">
        <v>234</v>
      </c>
      <c r="I4930" s="36" t="s">
        <v>1281</v>
      </c>
    </row>
    <row r="4931" spans="1:9" x14ac:dyDescent="0.25">
      <c r="A4931" s="38" t="s">
        <v>232</v>
      </c>
      <c r="B4931" s="28">
        <v>9883</v>
      </c>
      <c r="C4931" s="28">
        <v>5638498</v>
      </c>
      <c r="D4931" s="46"/>
      <c r="E4931" s="35">
        <v>46139</v>
      </c>
      <c r="F4931" s="49">
        <v>0.75347222222222221</v>
      </c>
      <c r="G4931" s="37">
        <v>6.3</v>
      </c>
      <c r="H4931" s="36" t="s">
        <v>237</v>
      </c>
      <c r="I4931" s="36" t="s">
        <v>1281</v>
      </c>
    </row>
    <row r="4932" spans="1:9" x14ac:dyDescent="0.25">
      <c r="A4932" s="38" t="s">
        <v>232</v>
      </c>
      <c r="B4932" s="28">
        <v>9883</v>
      </c>
      <c r="C4932" s="28">
        <v>5638498</v>
      </c>
      <c r="D4932" s="46"/>
      <c r="E4932" s="35">
        <v>46139</v>
      </c>
      <c r="F4932" s="49">
        <v>0.79192129629629626</v>
      </c>
      <c r="G4932" s="37">
        <v>6.3</v>
      </c>
      <c r="H4932" s="36" t="s">
        <v>234</v>
      </c>
      <c r="I4932" s="36" t="s">
        <v>1281</v>
      </c>
    </row>
    <row r="4933" spans="1:9" x14ac:dyDescent="0.25">
      <c r="A4933" s="38" t="s">
        <v>232</v>
      </c>
      <c r="B4933" s="28">
        <v>9883</v>
      </c>
      <c r="C4933" s="28" t="s">
        <v>35</v>
      </c>
      <c r="D4933" s="46" t="s">
        <v>38</v>
      </c>
      <c r="E4933" s="35">
        <v>46139</v>
      </c>
      <c r="F4933" s="49">
        <v>0.86927083333333333</v>
      </c>
      <c r="G4933" s="37">
        <v>6.3</v>
      </c>
      <c r="H4933" s="36" t="s">
        <v>235</v>
      </c>
      <c r="I4933" s="36" t="s">
        <v>1281</v>
      </c>
    </row>
    <row r="4934" spans="1:9" x14ac:dyDescent="0.25">
      <c r="A4934" s="38" t="s">
        <v>232</v>
      </c>
      <c r="B4934" s="28">
        <v>9883</v>
      </c>
      <c r="C4934" s="28">
        <v>5638791</v>
      </c>
      <c r="D4934" s="46"/>
      <c r="E4934" s="35">
        <v>46140</v>
      </c>
      <c r="F4934" s="49">
        <v>0.36091435185185183</v>
      </c>
      <c r="G4934" s="37">
        <v>6.3</v>
      </c>
      <c r="H4934" s="36" t="s">
        <v>237</v>
      </c>
      <c r="I4934" s="36" t="s">
        <v>1281</v>
      </c>
    </row>
    <row r="4935" spans="1:9" x14ac:dyDescent="0.25">
      <c r="A4935" s="38" t="s">
        <v>232</v>
      </c>
      <c r="B4935" s="28">
        <v>9883</v>
      </c>
      <c r="C4935" s="28" t="s">
        <v>35</v>
      </c>
      <c r="D4935" s="46" t="s">
        <v>38</v>
      </c>
      <c r="E4935" s="35">
        <v>46140</v>
      </c>
      <c r="F4935" s="49">
        <v>0.4775578703703704</v>
      </c>
      <c r="G4935" s="37">
        <v>6.3</v>
      </c>
      <c r="H4935" s="36" t="s">
        <v>235</v>
      </c>
      <c r="I4935" s="36" t="s">
        <v>1281</v>
      </c>
    </row>
    <row r="4936" spans="1:9" x14ac:dyDescent="0.25">
      <c r="A4936" s="38" t="s">
        <v>232</v>
      </c>
      <c r="B4936" s="28">
        <v>9883</v>
      </c>
      <c r="C4936" s="28">
        <v>5640690</v>
      </c>
      <c r="D4936" s="46"/>
      <c r="E4936" s="35">
        <v>46140</v>
      </c>
      <c r="F4936" s="49">
        <v>0.75097222222222226</v>
      </c>
      <c r="G4936" s="37">
        <v>6.3</v>
      </c>
      <c r="H4936" s="36" t="s">
        <v>233</v>
      </c>
      <c r="I4936" s="36" t="s">
        <v>1281</v>
      </c>
    </row>
    <row r="4937" spans="1:9" x14ac:dyDescent="0.25">
      <c r="A4937" s="38" t="s">
        <v>232</v>
      </c>
      <c r="B4937" s="28">
        <v>9883</v>
      </c>
      <c r="C4937" s="28" t="s">
        <v>35</v>
      </c>
      <c r="D4937" s="46" t="s">
        <v>38</v>
      </c>
      <c r="E4937" s="35">
        <v>46140</v>
      </c>
      <c r="F4937" s="49">
        <v>0.8325231481481481</v>
      </c>
      <c r="G4937" s="37">
        <v>6.3</v>
      </c>
      <c r="H4937" s="36" t="s">
        <v>235</v>
      </c>
      <c r="I4937" s="36" t="s">
        <v>1281</v>
      </c>
    </row>
    <row r="4938" spans="1:9" x14ac:dyDescent="0.25">
      <c r="A4938" s="38" t="s">
        <v>232</v>
      </c>
      <c r="B4938" s="28">
        <v>9883</v>
      </c>
      <c r="C4938" s="28">
        <v>5643189</v>
      </c>
      <c r="D4938" s="46"/>
      <c r="E4938" s="35">
        <v>46141</v>
      </c>
      <c r="F4938" s="49">
        <v>0.88947916666666671</v>
      </c>
      <c r="G4938" s="37">
        <v>6.3</v>
      </c>
      <c r="H4938" s="36" t="s">
        <v>238</v>
      </c>
      <c r="I4938" s="36" t="s">
        <v>1281</v>
      </c>
    </row>
    <row r="4939" spans="1:9" x14ac:dyDescent="0.25">
      <c r="A4939" s="38" t="s">
        <v>232</v>
      </c>
      <c r="B4939" s="28">
        <v>9883</v>
      </c>
      <c r="C4939" s="28">
        <v>5644060</v>
      </c>
      <c r="D4939" s="46"/>
      <c r="E4939" s="35">
        <v>46142</v>
      </c>
      <c r="F4939" s="49">
        <v>0.36254629629629631</v>
      </c>
      <c r="G4939" s="37">
        <v>6.3</v>
      </c>
      <c r="H4939" s="36" t="s">
        <v>234</v>
      </c>
      <c r="I4939" s="36" t="s">
        <v>1281</v>
      </c>
    </row>
    <row r="4940" spans="1:9" x14ac:dyDescent="0.25">
      <c r="A4940" s="38" t="s">
        <v>232</v>
      </c>
      <c r="B4940" s="28">
        <v>9883</v>
      </c>
      <c r="C4940" s="28" t="s">
        <v>35</v>
      </c>
      <c r="D4940" s="46" t="s">
        <v>38</v>
      </c>
      <c r="E4940" s="35">
        <v>46142</v>
      </c>
      <c r="F4940" s="49">
        <v>0.44</v>
      </c>
      <c r="G4940" s="37">
        <v>6.3</v>
      </c>
      <c r="H4940" s="36" t="s">
        <v>235</v>
      </c>
      <c r="I4940" s="36" t="s">
        <v>1281</v>
      </c>
    </row>
    <row r="4941" spans="1:9" x14ac:dyDescent="0.25">
      <c r="A4941" s="38" t="s">
        <v>232</v>
      </c>
      <c r="B4941" s="28">
        <v>9883</v>
      </c>
      <c r="C4941" s="28">
        <v>5646282</v>
      </c>
      <c r="D4941" s="46" t="s">
        <v>37</v>
      </c>
      <c r="E4941" s="35">
        <v>46143</v>
      </c>
      <c r="F4941" s="49">
        <v>0.56182870370370375</v>
      </c>
      <c r="G4941" s="37">
        <v>6.3</v>
      </c>
      <c r="H4941" s="36" t="s">
        <v>233</v>
      </c>
      <c r="I4941" s="36" t="s">
        <v>1282</v>
      </c>
    </row>
    <row r="4942" spans="1:9" x14ac:dyDescent="0.25">
      <c r="A4942" s="38" t="s">
        <v>232</v>
      </c>
      <c r="B4942" s="28">
        <v>9883</v>
      </c>
      <c r="C4942" s="28">
        <v>5646282</v>
      </c>
      <c r="D4942" s="46" t="s">
        <v>37</v>
      </c>
      <c r="E4942" s="35">
        <v>46143</v>
      </c>
      <c r="F4942" s="49">
        <v>0.56674768518518515</v>
      </c>
      <c r="G4942" s="37">
        <v>6.3</v>
      </c>
      <c r="H4942" s="36" t="s">
        <v>234</v>
      </c>
      <c r="I4942" s="36" t="s">
        <v>1282</v>
      </c>
    </row>
    <row r="4943" spans="1:9" x14ac:dyDescent="0.25">
      <c r="A4943" s="38" t="s">
        <v>232</v>
      </c>
      <c r="B4943" s="28">
        <v>9883</v>
      </c>
      <c r="C4943" s="28">
        <v>5646262</v>
      </c>
      <c r="D4943" s="46"/>
      <c r="E4943" s="35">
        <v>46143</v>
      </c>
      <c r="F4943" s="49">
        <v>0.68782407407407409</v>
      </c>
      <c r="G4943" s="37">
        <v>6.3</v>
      </c>
      <c r="H4943" s="36" t="s">
        <v>235</v>
      </c>
      <c r="I4943" s="36" t="s">
        <v>1282</v>
      </c>
    </row>
    <row r="4944" spans="1:9" x14ac:dyDescent="0.25">
      <c r="A4944" s="38" t="s">
        <v>232</v>
      </c>
      <c r="B4944" s="28">
        <v>9883</v>
      </c>
      <c r="C4944" s="28">
        <v>5646262</v>
      </c>
      <c r="D4944" s="46"/>
      <c r="E4944" s="35">
        <v>46143</v>
      </c>
      <c r="F4944" s="49">
        <v>0.69543981481481476</v>
      </c>
      <c r="G4944" s="37">
        <v>6.3</v>
      </c>
      <c r="H4944" s="36" t="s">
        <v>236</v>
      </c>
      <c r="I4944" s="36" t="s">
        <v>1282</v>
      </c>
    </row>
    <row r="4945" spans="1:9" x14ac:dyDescent="0.25">
      <c r="A4945" s="38" t="s">
        <v>232</v>
      </c>
      <c r="B4945" s="28">
        <v>9883</v>
      </c>
      <c r="C4945" s="28">
        <v>5646646</v>
      </c>
      <c r="D4945" s="46"/>
      <c r="E4945" s="35">
        <v>46144</v>
      </c>
      <c r="F4945" s="49">
        <v>0.27663194444444444</v>
      </c>
      <c r="G4945" s="37">
        <v>6.3</v>
      </c>
      <c r="H4945" s="36" t="s">
        <v>236</v>
      </c>
      <c r="I4945" s="36" t="s">
        <v>1282</v>
      </c>
    </row>
    <row r="4946" spans="1:9" x14ac:dyDescent="0.25">
      <c r="A4946" s="38" t="s">
        <v>232</v>
      </c>
      <c r="B4946" s="28">
        <v>9883</v>
      </c>
      <c r="C4946" s="28">
        <v>5648294</v>
      </c>
      <c r="D4946" s="46"/>
      <c r="E4946" s="35">
        <v>46145</v>
      </c>
      <c r="F4946" s="49">
        <v>0.3528472222222222</v>
      </c>
      <c r="G4946" s="37">
        <v>6.3</v>
      </c>
      <c r="H4946" s="36" t="s">
        <v>237</v>
      </c>
      <c r="I4946" s="36" t="s">
        <v>1282</v>
      </c>
    </row>
    <row r="4947" spans="1:9" x14ac:dyDescent="0.25">
      <c r="A4947" s="38" t="s">
        <v>232</v>
      </c>
      <c r="B4947" s="28">
        <v>9883</v>
      </c>
      <c r="C4947" s="28">
        <v>5648294</v>
      </c>
      <c r="D4947" s="46"/>
      <c r="E4947" s="35">
        <v>46145</v>
      </c>
      <c r="F4947" s="49">
        <v>0.35835648148148147</v>
      </c>
      <c r="G4947" s="37">
        <v>6.3</v>
      </c>
      <c r="H4947" s="36" t="s">
        <v>234</v>
      </c>
      <c r="I4947" s="36" t="s">
        <v>1282</v>
      </c>
    </row>
    <row r="4948" spans="1:9" x14ac:dyDescent="0.25">
      <c r="A4948" s="38" t="s">
        <v>232</v>
      </c>
      <c r="B4948" s="28">
        <v>9883</v>
      </c>
      <c r="C4948" s="28" t="s">
        <v>35</v>
      </c>
      <c r="D4948" s="46" t="s">
        <v>38</v>
      </c>
      <c r="E4948" s="35">
        <v>46145</v>
      </c>
      <c r="F4948" s="49">
        <v>0.38842592592592595</v>
      </c>
      <c r="G4948" s="37">
        <v>6.3</v>
      </c>
      <c r="H4948" s="36" t="s">
        <v>235</v>
      </c>
      <c r="I4948" s="36" t="s">
        <v>1282</v>
      </c>
    </row>
    <row r="4949" spans="1:9" x14ac:dyDescent="0.25">
      <c r="A4949" s="38" t="s">
        <v>1268</v>
      </c>
      <c r="B4949" s="28">
        <v>9887</v>
      </c>
      <c r="C4949" s="28" t="s">
        <v>1269</v>
      </c>
      <c r="D4949" s="46"/>
      <c r="E4949" s="35">
        <v>46139</v>
      </c>
      <c r="F4949" s="49">
        <v>0.77194444444444443</v>
      </c>
      <c r="G4949" s="37">
        <v>6.3</v>
      </c>
      <c r="H4949" s="36" t="s">
        <v>235</v>
      </c>
      <c r="I4949" s="36" t="s">
        <v>1281</v>
      </c>
    </row>
    <row r="4950" spans="1:9" x14ac:dyDescent="0.25">
      <c r="A4950" s="38" t="s">
        <v>1268</v>
      </c>
      <c r="B4950" s="28">
        <v>9887</v>
      </c>
      <c r="C4950" s="28" t="s">
        <v>1269</v>
      </c>
      <c r="D4950" s="46"/>
      <c r="E4950" s="35">
        <v>46139</v>
      </c>
      <c r="F4950" s="49">
        <v>0.78500000000000003</v>
      </c>
      <c r="G4950" s="37">
        <v>6.3</v>
      </c>
      <c r="H4950" s="36" t="s">
        <v>236</v>
      </c>
      <c r="I4950" s="36" t="s">
        <v>1281</v>
      </c>
    </row>
    <row r="4951" spans="1:9" x14ac:dyDescent="0.25">
      <c r="A4951" s="38" t="s">
        <v>1268</v>
      </c>
      <c r="B4951" s="28">
        <v>9887</v>
      </c>
      <c r="C4951" s="28" t="s">
        <v>1270</v>
      </c>
      <c r="D4951" s="46"/>
      <c r="E4951" s="35">
        <v>46140</v>
      </c>
      <c r="F4951" s="49">
        <v>0.71799768518518514</v>
      </c>
      <c r="G4951" s="37">
        <v>6.3</v>
      </c>
      <c r="H4951" s="36" t="s">
        <v>235</v>
      </c>
      <c r="I4951" s="36" t="s">
        <v>1281</v>
      </c>
    </row>
    <row r="4952" spans="1:9" x14ac:dyDescent="0.25">
      <c r="A4952" s="38" t="s">
        <v>1268</v>
      </c>
      <c r="B4952" s="28">
        <v>9887</v>
      </c>
      <c r="C4952" s="28">
        <v>5644262</v>
      </c>
      <c r="D4952" s="46"/>
      <c r="E4952" s="35">
        <v>46142</v>
      </c>
      <c r="F4952" s="49">
        <v>0.38668981481481479</v>
      </c>
      <c r="G4952" s="37">
        <v>6.3</v>
      </c>
      <c r="H4952" s="36" t="s">
        <v>235</v>
      </c>
      <c r="I4952" s="36" t="s">
        <v>1281</v>
      </c>
    </row>
    <row r="4953" spans="1:9" x14ac:dyDescent="0.25">
      <c r="A4953" s="38" t="s">
        <v>1271</v>
      </c>
      <c r="B4953" s="28">
        <v>9891</v>
      </c>
      <c r="C4953" s="28">
        <v>5643356</v>
      </c>
      <c r="D4953" s="46"/>
      <c r="E4953" s="35">
        <v>46141</v>
      </c>
      <c r="F4953" s="49">
        <v>0.80026620370370372</v>
      </c>
      <c r="G4953" s="37">
        <v>6.3</v>
      </c>
      <c r="H4953" s="36" t="s">
        <v>235</v>
      </c>
      <c r="I4953" s="36" t="s">
        <v>1281</v>
      </c>
    </row>
    <row r="4954" spans="1:9" x14ac:dyDescent="0.25">
      <c r="A4954" s="38" t="s">
        <v>1271</v>
      </c>
      <c r="B4954" s="28">
        <v>9891</v>
      </c>
      <c r="C4954" s="28">
        <v>5645519</v>
      </c>
      <c r="D4954" s="46"/>
      <c r="E4954" s="35">
        <v>46142</v>
      </c>
      <c r="F4954" s="49">
        <v>0.8394907407407407</v>
      </c>
      <c r="G4954" s="37">
        <v>6.3</v>
      </c>
      <c r="H4954" s="36" t="s">
        <v>235</v>
      </c>
      <c r="I4954" s="36" t="s">
        <v>1281</v>
      </c>
    </row>
    <row r="4955" spans="1:9" x14ac:dyDescent="0.25">
      <c r="A4955" s="38" t="s">
        <v>1271</v>
      </c>
      <c r="B4955" s="28">
        <v>9891</v>
      </c>
      <c r="C4955" s="28">
        <v>5645519</v>
      </c>
      <c r="D4955" s="46"/>
      <c r="E4955" s="35">
        <v>46142</v>
      </c>
      <c r="F4955" s="49">
        <v>0.84804398148148152</v>
      </c>
      <c r="G4955" s="37">
        <v>6.3</v>
      </c>
      <c r="H4955" s="36" t="s">
        <v>236</v>
      </c>
      <c r="I4955" s="36" t="s">
        <v>1281</v>
      </c>
    </row>
    <row r="4956" spans="1:9" x14ac:dyDescent="0.25">
      <c r="A4956" s="38" t="s">
        <v>1271</v>
      </c>
      <c r="B4956" s="28">
        <v>9891</v>
      </c>
      <c r="C4956" s="28" t="s">
        <v>1272</v>
      </c>
      <c r="D4956" s="46"/>
      <c r="E4956" s="35">
        <v>46145</v>
      </c>
      <c r="F4956" s="49">
        <v>0.80953703703703705</v>
      </c>
      <c r="G4956" s="37">
        <v>6.3</v>
      </c>
      <c r="H4956" s="36" t="s">
        <v>235</v>
      </c>
      <c r="I4956" s="36" t="s">
        <v>1282</v>
      </c>
    </row>
    <row r="4957" spans="1:9" x14ac:dyDescent="0.25">
      <c r="A4957" s="38" t="s">
        <v>1271</v>
      </c>
      <c r="B4957" s="28">
        <v>9891</v>
      </c>
      <c r="C4957" s="28" t="s">
        <v>1272</v>
      </c>
      <c r="D4957" s="46"/>
      <c r="E4957" s="35">
        <v>46145</v>
      </c>
      <c r="F4957" s="49">
        <v>0.81693287037037032</v>
      </c>
      <c r="G4957" s="37">
        <v>6.3</v>
      </c>
      <c r="H4957" s="36" t="s">
        <v>236</v>
      </c>
      <c r="I4957" s="36" t="s">
        <v>1282</v>
      </c>
    </row>
    <row r="4958" spans="1:9" x14ac:dyDescent="0.25">
      <c r="A4958" s="38" t="s">
        <v>1273</v>
      </c>
      <c r="B4958" s="28">
        <v>9896</v>
      </c>
      <c r="C4958" s="28">
        <v>5640014</v>
      </c>
      <c r="D4958" s="46"/>
      <c r="E4958" s="35">
        <v>46140</v>
      </c>
      <c r="F4958" s="49">
        <v>0.47017361111111111</v>
      </c>
      <c r="G4958" s="37">
        <v>6.3</v>
      </c>
      <c r="H4958" s="36" t="s">
        <v>238</v>
      </c>
      <c r="I4958" s="36" t="s">
        <v>1281</v>
      </c>
    </row>
    <row r="4959" spans="1:9" x14ac:dyDescent="0.25">
      <c r="A4959" s="38" t="s">
        <v>1273</v>
      </c>
      <c r="B4959" s="28">
        <v>9896</v>
      </c>
      <c r="C4959" s="28">
        <v>5640014</v>
      </c>
      <c r="D4959" s="46"/>
      <c r="E4959" s="35">
        <v>46140</v>
      </c>
      <c r="F4959" s="49">
        <v>0.47788194444444443</v>
      </c>
      <c r="G4959" s="37">
        <v>6.3</v>
      </c>
      <c r="H4959" s="36" t="s">
        <v>234</v>
      </c>
      <c r="I4959" s="36" t="s">
        <v>1281</v>
      </c>
    </row>
    <row r="4960" spans="1:9" x14ac:dyDescent="0.25">
      <c r="A4960" s="38" t="s">
        <v>1273</v>
      </c>
      <c r="B4960" s="28">
        <v>9896</v>
      </c>
      <c r="C4960" s="28">
        <v>5644384</v>
      </c>
      <c r="D4960" s="46"/>
      <c r="E4960" s="35">
        <v>46142</v>
      </c>
      <c r="F4960" s="49">
        <v>0.54015046296296299</v>
      </c>
      <c r="G4960" s="37">
        <v>6.3</v>
      </c>
      <c r="H4960" s="36" t="s">
        <v>238</v>
      </c>
      <c r="I4960" s="36" t="s">
        <v>1281</v>
      </c>
    </row>
    <row r="4961" spans="1:9" x14ac:dyDescent="0.25">
      <c r="A4961" s="38" t="s">
        <v>1273</v>
      </c>
      <c r="B4961" s="28">
        <v>9896</v>
      </c>
      <c r="C4961" s="28">
        <v>5644750</v>
      </c>
      <c r="D4961" s="46"/>
      <c r="E4961" s="35">
        <v>46142</v>
      </c>
      <c r="F4961" s="49">
        <v>0.79152777777777783</v>
      </c>
      <c r="G4961" s="37">
        <v>6.3</v>
      </c>
      <c r="H4961" s="36" t="s">
        <v>235</v>
      </c>
      <c r="I4961" s="36" t="s">
        <v>1281</v>
      </c>
    </row>
    <row r="4962" spans="1:9" x14ac:dyDescent="0.25">
      <c r="A4962" s="38" t="s">
        <v>1273</v>
      </c>
      <c r="B4962" s="28">
        <v>9896</v>
      </c>
      <c r="C4962" s="28">
        <v>5644750</v>
      </c>
      <c r="D4962" s="46"/>
      <c r="E4962" s="35">
        <v>46142</v>
      </c>
      <c r="F4962" s="49">
        <v>0.80194444444444446</v>
      </c>
      <c r="G4962" s="37">
        <v>6.3</v>
      </c>
      <c r="H4962" s="36" t="s">
        <v>239</v>
      </c>
      <c r="I4962" s="36" t="s">
        <v>1281</v>
      </c>
    </row>
    <row r="4963" spans="1:9" x14ac:dyDescent="0.25">
      <c r="A4963" s="38" t="s">
        <v>200</v>
      </c>
      <c r="B4963" s="28">
        <v>9921</v>
      </c>
      <c r="C4963" s="28">
        <v>5637630</v>
      </c>
      <c r="D4963" s="46"/>
      <c r="E4963" s="35">
        <v>46139</v>
      </c>
      <c r="F4963" s="49">
        <v>0.35910879629629627</v>
      </c>
      <c r="G4963" s="37">
        <v>6.3</v>
      </c>
      <c r="H4963" s="36" t="s">
        <v>237</v>
      </c>
      <c r="I4963" s="36" t="s">
        <v>1281</v>
      </c>
    </row>
    <row r="4964" spans="1:9" x14ac:dyDescent="0.25">
      <c r="A4964" s="38" t="s">
        <v>200</v>
      </c>
      <c r="B4964" s="28">
        <v>9921</v>
      </c>
      <c r="C4964" s="28">
        <v>5634457</v>
      </c>
      <c r="D4964" s="46"/>
      <c r="E4964" s="35">
        <v>46139</v>
      </c>
      <c r="F4964" s="49">
        <v>0.43631944444444443</v>
      </c>
      <c r="G4964" s="37">
        <v>6.3</v>
      </c>
      <c r="H4964" s="36" t="s">
        <v>235</v>
      </c>
      <c r="I4964" s="36" t="s">
        <v>1281</v>
      </c>
    </row>
    <row r="4965" spans="1:9" x14ac:dyDescent="0.25">
      <c r="A4965" s="38" t="s">
        <v>200</v>
      </c>
      <c r="B4965" s="28">
        <v>9921</v>
      </c>
      <c r="C4965" s="28">
        <v>5634457</v>
      </c>
      <c r="D4965" s="46"/>
      <c r="E4965" s="35">
        <v>46139</v>
      </c>
      <c r="F4965" s="49">
        <v>0.44464120370370369</v>
      </c>
      <c r="G4965" s="37">
        <v>6.3</v>
      </c>
      <c r="H4965" s="36" t="s">
        <v>239</v>
      </c>
      <c r="I4965" s="36" t="s">
        <v>1281</v>
      </c>
    </row>
    <row r="4966" spans="1:9" x14ac:dyDescent="0.25">
      <c r="A4966" s="38" t="s">
        <v>200</v>
      </c>
      <c r="B4966" s="28">
        <v>9921</v>
      </c>
      <c r="C4966" s="28" t="s">
        <v>1274</v>
      </c>
      <c r="D4966" s="46"/>
      <c r="E4966" s="35">
        <v>46141</v>
      </c>
      <c r="F4966" s="49">
        <v>0.88155092592592588</v>
      </c>
      <c r="G4966" s="37">
        <v>6.3</v>
      </c>
      <c r="H4966" s="36" t="s">
        <v>235</v>
      </c>
      <c r="I4966" s="36" t="s">
        <v>1281</v>
      </c>
    </row>
    <row r="4967" spans="1:9" x14ac:dyDescent="0.25">
      <c r="A4967" s="38" t="s">
        <v>200</v>
      </c>
      <c r="B4967" s="28">
        <v>9921</v>
      </c>
      <c r="C4967" s="28" t="s">
        <v>1274</v>
      </c>
      <c r="D4967" s="46"/>
      <c r="E4967" s="35">
        <v>46141</v>
      </c>
      <c r="F4967" s="49">
        <v>0.8888194444444445</v>
      </c>
      <c r="G4967" s="37">
        <v>6.3</v>
      </c>
      <c r="H4967" s="36" t="s">
        <v>236</v>
      </c>
      <c r="I4967" s="36" t="s">
        <v>1281</v>
      </c>
    </row>
    <row r="4968" spans="1:9" x14ac:dyDescent="0.25">
      <c r="A4968" s="38" t="s">
        <v>200</v>
      </c>
      <c r="B4968" s="28">
        <v>9921</v>
      </c>
      <c r="C4968" s="28">
        <v>5644139</v>
      </c>
      <c r="D4968" s="46"/>
      <c r="E4968" s="35">
        <v>46142</v>
      </c>
      <c r="F4968" s="49">
        <v>0.39850694444444446</v>
      </c>
      <c r="G4968" s="37">
        <v>6.3</v>
      </c>
      <c r="H4968" s="36" t="s">
        <v>237</v>
      </c>
      <c r="I4968" s="36" t="s">
        <v>1281</v>
      </c>
    </row>
    <row r="4969" spans="1:9" x14ac:dyDescent="0.25">
      <c r="A4969" s="38" t="s">
        <v>200</v>
      </c>
      <c r="B4969" s="28">
        <v>9921</v>
      </c>
      <c r="C4969" s="28">
        <v>5644139</v>
      </c>
      <c r="D4969" s="46"/>
      <c r="E4969" s="35">
        <v>46142</v>
      </c>
      <c r="F4969" s="49">
        <v>0.40516203703703701</v>
      </c>
      <c r="G4969" s="37">
        <v>6.3</v>
      </c>
      <c r="H4969" s="36" t="s">
        <v>234</v>
      </c>
      <c r="I4969" s="36" t="s">
        <v>1281</v>
      </c>
    </row>
    <row r="4970" spans="1:9" x14ac:dyDescent="0.25">
      <c r="A4970" s="38" t="s">
        <v>200</v>
      </c>
      <c r="B4970" s="28">
        <v>9921</v>
      </c>
      <c r="C4970" s="28">
        <v>5645923</v>
      </c>
      <c r="D4970" s="46"/>
      <c r="E4970" s="35">
        <v>46143</v>
      </c>
      <c r="F4970" s="49">
        <v>0.3150810185185185</v>
      </c>
      <c r="G4970" s="37">
        <v>6.3</v>
      </c>
      <c r="H4970" s="36" t="s">
        <v>237</v>
      </c>
      <c r="I4970" s="36" t="s">
        <v>1282</v>
      </c>
    </row>
    <row r="4971" spans="1:9" x14ac:dyDescent="0.25">
      <c r="A4971" s="38" t="s">
        <v>200</v>
      </c>
      <c r="B4971" s="28">
        <v>9921</v>
      </c>
      <c r="C4971" s="28">
        <v>5645923</v>
      </c>
      <c r="D4971" s="46"/>
      <c r="E4971" s="35">
        <v>46143</v>
      </c>
      <c r="F4971" s="49">
        <v>0.32020833333333332</v>
      </c>
      <c r="G4971" s="37">
        <v>6.3</v>
      </c>
      <c r="H4971" s="36" t="s">
        <v>234</v>
      </c>
      <c r="I4971" s="36" t="s">
        <v>1282</v>
      </c>
    </row>
    <row r="4972" spans="1:9" x14ac:dyDescent="0.25">
      <c r="A4972" s="38" t="s">
        <v>200</v>
      </c>
      <c r="B4972" s="28">
        <v>9921</v>
      </c>
      <c r="C4972" s="28">
        <v>5646840</v>
      </c>
      <c r="D4972" s="46" t="s">
        <v>36</v>
      </c>
      <c r="E4972" s="35">
        <v>46143</v>
      </c>
      <c r="F4972" s="49">
        <v>0.78975694444444444</v>
      </c>
      <c r="G4972" s="37">
        <v>6.3</v>
      </c>
      <c r="H4972" s="36" t="s">
        <v>237</v>
      </c>
      <c r="I4972" s="36" t="s">
        <v>1282</v>
      </c>
    </row>
    <row r="4973" spans="1:9" x14ac:dyDescent="0.25">
      <c r="A4973" s="38" t="s">
        <v>200</v>
      </c>
      <c r="B4973" s="28">
        <v>9921</v>
      </c>
      <c r="C4973" s="28">
        <v>5646840</v>
      </c>
      <c r="D4973" s="46" t="s">
        <v>36</v>
      </c>
      <c r="E4973" s="35">
        <v>46143</v>
      </c>
      <c r="F4973" s="49">
        <v>0.79475694444444445</v>
      </c>
      <c r="G4973" s="37">
        <v>6.3</v>
      </c>
      <c r="H4973" s="36" t="s">
        <v>234</v>
      </c>
      <c r="I4973" s="36" t="s">
        <v>1282</v>
      </c>
    </row>
    <row r="4974" spans="1:9" x14ac:dyDescent="0.25">
      <c r="A4974" s="38" t="s">
        <v>200</v>
      </c>
      <c r="B4974" s="28">
        <v>9921</v>
      </c>
      <c r="C4974" s="28">
        <v>5646866</v>
      </c>
      <c r="D4974" s="46"/>
      <c r="E4974" s="35">
        <v>46143</v>
      </c>
      <c r="F4974" s="49">
        <v>0.84187500000000004</v>
      </c>
      <c r="G4974" s="37">
        <v>6.3</v>
      </c>
      <c r="H4974" s="36" t="s">
        <v>235</v>
      </c>
      <c r="I4974" s="36" t="s">
        <v>1282</v>
      </c>
    </row>
    <row r="4975" spans="1:9" x14ac:dyDescent="0.25">
      <c r="A4975" s="38" t="s">
        <v>200</v>
      </c>
      <c r="B4975" s="28">
        <v>9921</v>
      </c>
      <c r="C4975" s="28">
        <v>5646866</v>
      </c>
      <c r="D4975" s="46"/>
      <c r="E4975" s="35">
        <v>46143</v>
      </c>
      <c r="F4975" s="49">
        <v>0.84924768518518523</v>
      </c>
      <c r="G4975" s="37">
        <v>6.3</v>
      </c>
      <c r="H4975" s="36" t="s">
        <v>236</v>
      </c>
      <c r="I4975" s="36" t="s">
        <v>1282</v>
      </c>
    </row>
    <row r="4976" spans="1:9" x14ac:dyDescent="0.25">
      <c r="A4976" s="38" t="s">
        <v>200</v>
      </c>
      <c r="B4976" s="28">
        <v>9921</v>
      </c>
      <c r="C4976" s="28" t="s">
        <v>35</v>
      </c>
      <c r="D4976" s="46" t="s">
        <v>38</v>
      </c>
      <c r="E4976" s="35">
        <v>46144</v>
      </c>
      <c r="F4976" s="49">
        <v>0.43032407407407408</v>
      </c>
      <c r="G4976" s="37">
        <v>6.3</v>
      </c>
      <c r="H4976" s="36" t="s">
        <v>235</v>
      </c>
      <c r="I4976" s="36" t="s">
        <v>1282</v>
      </c>
    </row>
    <row r="4977" spans="1:9" x14ac:dyDescent="0.25">
      <c r="A4977" s="38" t="s">
        <v>200</v>
      </c>
      <c r="B4977" s="28">
        <v>9921</v>
      </c>
      <c r="C4977" s="28" t="s">
        <v>35</v>
      </c>
      <c r="D4977" s="46" t="s">
        <v>38</v>
      </c>
      <c r="E4977" s="35">
        <v>46144</v>
      </c>
      <c r="F4977" s="49">
        <v>0.43778935185185186</v>
      </c>
      <c r="G4977" s="37">
        <v>6.3</v>
      </c>
      <c r="H4977" s="36" t="s">
        <v>236</v>
      </c>
      <c r="I4977" s="36" t="s">
        <v>1282</v>
      </c>
    </row>
    <row r="4978" spans="1:9" x14ac:dyDescent="0.25">
      <c r="A4978" s="38" t="s">
        <v>200</v>
      </c>
      <c r="B4978" s="28">
        <v>9921</v>
      </c>
      <c r="C4978" s="28" t="s">
        <v>35</v>
      </c>
      <c r="D4978" s="46" t="s">
        <v>38</v>
      </c>
      <c r="E4978" s="35">
        <v>46145</v>
      </c>
      <c r="F4978" s="49">
        <v>0.33297453703703705</v>
      </c>
      <c r="G4978" s="37">
        <v>6.3</v>
      </c>
      <c r="H4978" s="36" t="s">
        <v>237</v>
      </c>
      <c r="I4978" s="36" t="s">
        <v>1282</v>
      </c>
    </row>
    <row r="4979" spans="1:9" x14ac:dyDescent="0.25">
      <c r="A4979" s="38" t="s">
        <v>215</v>
      </c>
      <c r="B4979" s="28">
        <v>9922</v>
      </c>
      <c r="C4979" s="28">
        <v>5648970</v>
      </c>
      <c r="D4979" s="46"/>
      <c r="E4979" s="35">
        <v>46145</v>
      </c>
      <c r="F4979" s="49">
        <v>0.74141203703703706</v>
      </c>
      <c r="G4979" s="37">
        <v>6.3</v>
      </c>
      <c r="H4979" s="36" t="s">
        <v>237</v>
      </c>
      <c r="I4979" s="36" t="s">
        <v>1282</v>
      </c>
    </row>
    <row r="4980" spans="1:9" x14ac:dyDescent="0.25">
      <c r="A4980" s="38" t="s">
        <v>215</v>
      </c>
      <c r="B4980" s="28">
        <v>9922</v>
      </c>
      <c r="C4980" s="28">
        <v>5648970</v>
      </c>
      <c r="D4980" s="46"/>
      <c r="E4980" s="35">
        <v>46145</v>
      </c>
      <c r="F4980" s="49">
        <v>0.74642361111111111</v>
      </c>
      <c r="G4980" s="37">
        <v>6.3</v>
      </c>
      <c r="H4980" s="36" t="s">
        <v>234</v>
      </c>
      <c r="I4980" s="36" t="s">
        <v>1282</v>
      </c>
    </row>
    <row r="4981" spans="1:9" x14ac:dyDescent="0.25">
      <c r="A4981" s="38" t="s">
        <v>215</v>
      </c>
      <c r="B4981" s="28">
        <v>9922</v>
      </c>
      <c r="C4981" s="28" t="s">
        <v>35</v>
      </c>
      <c r="D4981" s="46" t="s">
        <v>38</v>
      </c>
      <c r="E4981" s="35">
        <v>46145</v>
      </c>
      <c r="F4981" s="49">
        <v>0.91572916666666671</v>
      </c>
      <c r="G4981" s="37">
        <v>6.3</v>
      </c>
      <c r="H4981" s="36" t="s">
        <v>235</v>
      </c>
      <c r="I4981" s="36" t="s">
        <v>1282</v>
      </c>
    </row>
    <row r="4982" spans="1:9" x14ac:dyDescent="0.25">
      <c r="A4982" s="38" t="s">
        <v>215</v>
      </c>
      <c r="B4982" s="28">
        <v>9922</v>
      </c>
      <c r="C4982" s="28" t="s">
        <v>35</v>
      </c>
      <c r="D4982" s="46" t="s">
        <v>38</v>
      </c>
      <c r="E4982" s="35">
        <v>46145</v>
      </c>
      <c r="F4982" s="49">
        <v>0.9226388888888889</v>
      </c>
      <c r="G4982" s="37">
        <v>6.3</v>
      </c>
      <c r="H4982" s="36" t="s">
        <v>236</v>
      </c>
      <c r="I4982" s="36" t="s">
        <v>1282</v>
      </c>
    </row>
    <row r="4983" spans="1:9" x14ac:dyDescent="0.25">
      <c r="A4983" s="38" t="s">
        <v>369</v>
      </c>
      <c r="B4983" s="28">
        <v>9935</v>
      </c>
      <c r="C4983" s="28">
        <v>5639412</v>
      </c>
      <c r="D4983" s="46"/>
      <c r="E4983" s="35">
        <v>46139</v>
      </c>
      <c r="F4983" s="49">
        <v>0.88230324074074074</v>
      </c>
      <c r="G4983" s="37">
        <v>6.3</v>
      </c>
      <c r="H4983" s="36" t="s">
        <v>235</v>
      </c>
      <c r="I4983" s="36" t="s">
        <v>1281</v>
      </c>
    </row>
    <row r="4984" spans="1:9" x14ac:dyDescent="0.25">
      <c r="A4984" s="38" t="s">
        <v>369</v>
      </c>
      <c r="B4984" s="28">
        <v>9935</v>
      </c>
      <c r="C4984" s="28">
        <v>5639412</v>
      </c>
      <c r="D4984" s="46"/>
      <c r="E4984" s="35">
        <v>46139</v>
      </c>
      <c r="F4984" s="49">
        <v>0.88961805555555551</v>
      </c>
      <c r="G4984" s="37">
        <v>6.3</v>
      </c>
      <c r="H4984" s="36" t="s">
        <v>236</v>
      </c>
      <c r="I4984" s="36" t="s">
        <v>1281</v>
      </c>
    </row>
    <row r="4985" spans="1:9" x14ac:dyDescent="0.25">
      <c r="A4985" s="38" t="s">
        <v>369</v>
      </c>
      <c r="B4985" s="28">
        <v>9935</v>
      </c>
      <c r="C4985" s="28">
        <v>5639346</v>
      </c>
      <c r="D4985" s="46"/>
      <c r="E4985" s="35">
        <v>46140</v>
      </c>
      <c r="F4985" s="49">
        <v>0.15149305555555556</v>
      </c>
      <c r="G4985" s="37">
        <v>6.3</v>
      </c>
      <c r="H4985" s="36" t="s">
        <v>237</v>
      </c>
      <c r="I4985" s="36" t="s">
        <v>1281</v>
      </c>
    </row>
    <row r="4986" spans="1:9" x14ac:dyDescent="0.25">
      <c r="A4986" s="38" t="s">
        <v>369</v>
      </c>
      <c r="B4986" s="28">
        <v>9935</v>
      </c>
      <c r="C4986" s="28">
        <v>5639346</v>
      </c>
      <c r="D4986" s="46"/>
      <c r="E4986" s="35">
        <v>46140</v>
      </c>
      <c r="F4986" s="49">
        <v>0.15653935185185186</v>
      </c>
      <c r="G4986" s="37">
        <v>6.3</v>
      </c>
      <c r="H4986" s="36" t="s">
        <v>234</v>
      </c>
      <c r="I4986" s="36" t="s">
        <v>1281</v>
      </c>
    </row>
    <row r="4987" spans="1:9" x14ac:dyDescent="0.25">
      <c r="A4987" s="38" t="s">
        <v>369</v>
      </c>
      <c r="B4987" s="28">
        <v>9935</v>
      </c>
      <c r="C4987" s="28" t="s">
        <v>1275</v>
      </c>
      <c r="D4987" s="46"/>
      <c r="E4987" s="35">
        <v>46142</v>
      </c>
      <c r="F4987" s="49">
        <v>0.9585069444444444</v>
      </c>
      <c r="G4987" s="37">
        <v>6.3</v>
      </c>
      <c r="H4987" s="36" t="s">
        <v>235</v>
      </c>
      <c r="I4987" s="36" t="s">
        <v>1281</v>
      </c>
    </row>
    <row r="4988" spans="1:9" x14ac:dyDescent="0.25">
      <c r="A4988" s="38" t="s">
        <v>369</v>
      </c>
      <c r="B4988" s="28">
        <v>9935</v>
      </c>
      <c r="C4988" s="28" t="s">
        <v>1275</v>
      </c>
      <c r="D4988" s="46"/>
      <c r="E4988" s="35">
        <v>46142</v>
      </c>
      <c r="F4988" s="49">
        <v>0.9659375</v>
      </c>
      <c r="G4988" s="37">
        <v>6.3</v>
      </c>
      <c r="H4988" s="36" t="s">
        <v>236</v>
      </c>
      <c r="I4988" s="36" t="s">
        <v>1282</v>
      </c>
    </row>
    <row r="4989" spans="1:9" x14ac:dyDescent="0.25">
      <c r="A4989" s="38" t="s">
        <v>369</v>
      </c>
      <c r="B4989" s="28">
        <v>9935</v>
      </c>
      <c r="C4989" s="28" t="s">
        <v>1276</v>
      </c>
      <c r="D4989" s="46"/>
      <c r="E4989" s="35">
        <v>46145</v>
      </c>
      <c r="F4989" s="49">
        <v>0.76979166666666665</v>
      </c>
      <c r="G4989" s="37">
        <v>6.3</v>
      </c>
      <c r="H4989" s="36" t="s">
        <v>235</v>
      </c>
      <c r="I4989" s="36" t="s">
        <v>1282</v>
      </c>
    </row>
    <row r="4990" spans="1:9" x14ac:dyDescent="0.25">
      <c r="A4990" s="38" t="s">
        <v>369</v>
      </c>
      <c r="B4990" s="28">
        <v>9935</v>
      </c>
      <c r="C4990" s="28" t="s">
        <v>1276</v>
      </c>
      <c r="D4990" s="46"/>
      <c r="E4990" s="35">
        <v>46145</v>
      </c>
      <c r="F4990" s="49">
        <v>0.80611111111111111</v>
      </c>
      <c r="G4990" s="37">
        <v>6.3</v>
      </c>
      <c r="H4990" s="36" t="s">
        <v>234</v>
      </c>
      <c r="I4990" s="36" t="s">
        <v>1282</v>
      </c>
    </row>
    <row r="4991" spans="1:9" x14ac:dyDescent="0.25">
      <c r="A4991" s="38" t="s">
        <v>203</v>
      </c>
      <c r="B4991" s="28">
        <v>9938</v>
      </c>
      <c r="C4991" s="28">
        <v>5642875</v>
      </c>
      <c r="D4991" s="46"/>
      <c r="E4991" s="35">
        <v>46141</v>
      </c>
      <c r="F4991" s="49">
        <v>0.59232638888888889</v>
      </c>
      <c r="G4991" s="37">
        <v>6.3</v>
      </c>
      <c r="H4991" s="36" t="s">
        <v>235</v>
      </c>
      <c r="I4991" s="36" t="s">
        <v>1281</v>
      </c>
    </row>
    <row r="4992" spans="1:9" x14ac:dyDescent="0.25">
      <c r="A4992" s="38" t="s">
        <v>203</v>
      </c>
      <c r="B4992" s="28">
        <v>9938</v>
      </c>
      <c r="C4992" s="28">
        <v>5642875</v>
      </c>
      <c r="D4992" s="46"/>
      <c r="E4992" s="35">
        <v>46141</v>
      </c>
      <c r="F4992" s="49">
        <v>0.60571759259259261</v>
      </c>
      <c r="G4992" s="37">
        <v>6.3</v>
      </c>
      <c r="H4992" s="36" t="s">
        <v>236</v>
      </c>
      <c r="I4992" s="36" t="s">
        <v>1281</v>
      </c>
    </row>
    <row r="4993" spans="1:9" x14ac:dyDescent="0.25">
      <c r="A4993" s="38" t="s">
        <v>203</v>
      </c>
      <c r="B4993" s="28">
        <v>9938</v>
      </c>
      <c r="C4993" s="28">
        <v>5643125</v>
      </c>
      <c r="D4993" s="46"/>
      <c r="E4993" s="35">
        <v>46141</v>
      </c>
      <c r="F4993" s="49">
        <v>0.72121527777777783</v>
      </c>
      <c r="G4993" s="37">
        <v>6.3</v>
      </c>
      <c r="H4993" s="36" t="s">
        <v>234</v>
      </c>
      <c r="I4993" s="36" t="s">
        <v>1281</v>
      </c>
    </row>
    <row r="4994" spans="1:9" x14ac:dyDescent="0.25">
      <c r="A4994" s="38" t="s">
        <v>203</v>
      </c>
      <c r="B4994" s="28">
        <v>9938</v>
      </c>
      <c r="C4994" s="28">
        <v>5643836</v>
      </c>
      <c r="D4994" s="46"/>
      <c r="E4994" s="35">
        <v>46141</v>
      </c>
      <c r="F4994" s="49">
        <v>0.95666666666666667</v>
      </c>
      <c r="G4994" s="37">
        <v>6.3</v>
      </c>
      <c r="H4994" s="36" t="s">
        <v>235</v>
      </c>
      <c r="I4994" s="36" t="s">
        <v>1281</v>
      </c>
    </row>
    <row r="4995" spans="1:9" x14ac:dyDescent="0.25">
      <c r="A4995" s="38" t="s">
        <v>203</v>
      </c>
      <c r="B4995" s="28">
        <v>9938</v>
      </c>
      <c r="C4995" s="28">
        <v>5643836</v>
      </c>
      <c r="D4995" s="46"/>
      <c r="E4995" s="35">
        <v>46141</v>
      </c>
      <c r="F4995" s="49">
        <v>0.96444444444444444</v>
      </c>
      <c r="G4995" s="37">
        <v>6.3</v>
      </c>
      <c r="H4995" s="36" t="s">
        <v>236</v>
      </c>
      <c r="I4995" s="36" t="s">
        <v>1281</v>
      </c>
    </row>
    <row r="4996" spans="1:9" x14ac:dyDescent="0.25">
      <c r="A4996" s="38" t="s">
        <v>203</v>
      </c>
      <c r="B4996" s="28">
        <v>9938</v>
      </c>
      <c r="C4996" s="28">
        <v>5644314</v>
      </c>
      <c r="D4996" s="46"/>
      <c r="E4996" s="35">
        <v>46142</v>
      </c>
      <c r="F4996" s="49">
        <v>0.62626157407407412</v>
      </c>
      <c r="G4996" s="37">
        <v>6.3</v>
      </c>
      <c r="H4996" s="36" t="s">
        <v>236</v>
      </c>
      <c r="I4996" s="36" t="s">
        <v>1281</v>
      </c>
    </row>
    <row r="4997" spans="1:9" x14ac:dyDescent="0.25">
      <c r="A4997" s="38" t="s">
        <v>209</v>
      </c>
      <c r="B4997" s="28">
        <v>9950</v>
      </c>
      <c r="C4997" s="28">
        <v>5637675</v>
      </c>
      <c r="D4997" s="46"/>
      <c r="E4997" s="35">
        <v>46139</v>
      </c>
      <c r="F4997" s="49">
        <v>0.27362268518518518</v>
      </c>
      <c r="G4997" s="37">
        <v>6.3</v>
      </c>
      <c r="H4997" s="36" t="s">
        <v>237</v>
      </c>
      <c r="I4997" s="36" t="s">
        <v>1281</v>
      </c>
    </row>
    <row r="4998" spans="1:9" x14ac:dyDescent="0.25">
      <c r="A4998" s="38" t="s">
        <v>209</v>
      </c>
      <c r="B4998" s="28">
        <v>9950</v>
      </c>
      <c r="C4998" s="28">
        <v>5637675</v>
      </c>
      <c r="D4998" s="46"/>
      <c r="E4998" s="35">
        <v>46139</v>
      </c>
      <c r="F4998" s="49">
        <v>0.28184027777777776</v>
      </c>
      <c r="G4998" s="37">
        <v>6.3</v>
      </c>
      <c r="H4998" s="36" t="s">
        <v>234</v>
      </c>
      <c r="I4998" s="36" t="s">
        <v>1281</v>
      </c>
    </row>
    <row r="4999" spans="1:9" x14ac:dyDescent="0.25">
      <c r="A4999" s="38" t="s">
        <v>209</v>
      </c>
      <c r="B4999" s="28">
        <v>9950</v>
      </c>
      <c r="C4999" s="28">
        <v>5640183</v>
      </c>
      <c r="D4999" s="46"/>
      <c r="E4999" s="35">
        <v>46140</v>
      </c>
      <c r="F4999" s="49">
        <v>0.50498842592592597</v>
      </c>
      <c r="G4999" s="37">
        <v>6.3</v>
      </c>
      <c r="H4999" s="36" t="s">
        <v>235</v>
      </c>
      <c r="I4999" s="36" t="s">
        <v>1281</v>
      </c>
    </row>
    <row r="5000" spans="1:9" x14ac:dyDescent="0.25">
      <c r="A5000" s="38" t="s">
        <v>209</v>
      </c>
      <c r="B5000" s="28">
        <v>9950</v>
      </c>
      <c r="C5000" s="28">
        <v>5605042</v>
      </c>
      <c r="D5000" s="46"/>
      <c r="E5000" s="35">
        <v>46141</v>
      </c>
      <c r="F5000" s="49">
        <v>0.27178240740740739</v>
      </c>
      <c r="G5000" s="37">
        <v>6.3</v>
      </c>
      <c r="H5000" s="36" t="s">
        <v>237</v>
      </c>
      <c r="I5000" s="36" t="s">
        <v>1281</v>
      </c>
    </row>
    <row r="5001" spans="1:9" x14ac:dyDescent="0.25">
      <c r="A5001" s="38" t="s">
        <v>209</v>
      </c>
      <c r="B5001" s="28">
        <v>9950</v>
      </c>
      <c r="C5001" s="28">
        <v>5605042</v>
      </c>
      <c r="D5001" s="46"/>
      <c r="E5001" s="35">
        <v>46141</v>
      </c>
      <c r="F5001" s="49">
        <v>0.27826388888888887</v>
      </c>
      <c r="G5001" s="37">
        <v>6.3</v>
      </c>
      <c r="H5001" s="36" t="s">
        <v>234</v>
      </c>
      <c r="I5001" s="36" t="s">
        <v>1281</v>
      </c>
    </row>
    <row r="5002" spans="1:9" x14ac:dyDescent="0.25">
      <c r="A5002" s="38" t="s">
        <v>209</v>
      </c>
      <c r="B5002" s="28">
        <v>9950</v>
      </c>
      <c r="C5002" s="28" t="s">
        <v>1277</v>
      </c>
      <c r="D5002" s="46"/>
      <c r="E5002" s="35">
        <v>46142</v>
      </c>
      <c r="F5002" s="49">
        <v>0.33374999999999999</v>
      </c>
      <c r="G5002" s="37">
        <v>6.3</v>
      </c>
      <c r="H5002" s="36" t="s">
        <v>235</v>
      </c>
      <c r="I5002" s="36" t="s">
        <v>1281</v>
      </c>
    </row>
    <row r="5003" spans="1:9" x14ac:dyDescent="0.25">
      <c r="A5003" s="38" t="s">
        <v>209</v>
      </c>
      <c r="B5003" s="28">
        <v>9950</v>
      </c>
      <c r="C5003" s="28" t="s">
        <v>1277</v>
      </c>
      <c r="D5003" s="46"/>
      <c r="E5003" s="35">
        <v>46142</v>
      </c>
      <c r="F5003" s="49">
        <v>0.36094907407407406</v>
      </c>
      <c r="G5003" s="37">
        <v>6.3</v>
      </c>
      <c r="H5003" s="36" t="s">
        <v>236</v>
      </c>
      <c r="I5003" s="36" t="s">
        <v>1281</v>
      </c>
    </row>
    <row r="5004" spans="1:9" x14ac:dyDescent="0.25">
      <c r="A5004" s="38" t="s">
        <v>209</v>
      </c>
      <c r="B5004" s="28">
        <v>9950</v>
      </c>
      <c r="C5004" s="28">
        <v>5644516</v>
      </c>
      <c r="D5004" s="46"/>
      <c r="E5004" s="35">
        <v>46142</v>
      </c>
      <c r="F5004" s="49">
        <v>0.51605324074074077</v>
      </c>
      <c r="G5004" s="37">
        <v>6.3</v>
      </c>
      <c r="H5004" s="36" t="s">
        <v>233</v>
      </c>
      <c r="I5004" s="36" t="s">
        <v>1281</v>
      </c>
    </row>
    <row r="5005" spans="1:9" x14ac:dyDescent="0.25">
      <c r="A5005" s="38" t="s">
        <v>209</v>
      </c>
      <c r="B5005" s="28">
        <v>9950</v>
      </c>
      <c r="C5005" s="28">
        <v>5644516</v>
      </c>
      <c r="D5005" s="46"/>
      <c r="E5005" s="35">
        <v>46142</v>
      </c>
      <c r="F5005" s="49">
        <v>0.52660879629629631</v>
      </c>
      <c r="G5005" s="37">
        <v>6.3</v>
      </c>
      <c r="H5005" s="36" t="s">
        <v>234</v>
      </c>
      <c r="I5005" s="36" t="s">
        <v>1281</v>
      </c>
    </row>
    <row r="5006" spans="1:9" x14ac:dyDescent="0.25">
      <c r="A5006" s="38" t="s">
        <v>209</v>
      </c>
      <c r="B5006" s="28">
        <v>9950</v>
      </c>
      <c r="C5006" s="28" t="s">
        <v>35</v>
      </c>
      <c r="D5006" s="46" t="s">
        <v>38</v>
      </c>
      <c r="E5006" s="35">
        <v>46142</v>
      </c>
      <c r="F5006" s="49">
        <v>0.63541666666666663</v>
      </c>
      <c r="G5006" s="37">
        <v>6.3</v>
      </c>
      <c r="H5006" s="36" t="s">
        <v>235</v>
      </c>
      <c r="I5006" s="36" t="s">
        <v>1281</v>
      </c>
    </row>
    <row r="5007" spans="1:9" x14ac:dyDescent="0.25">
      <c r="A5007" s="38" t="s">
        <v>209</v>
      </c>
      <c r="B5007" s="28">
        <v>9950</v>
      </c>
      <c r="C5007" s="28">
        <v>5645760</v>
      </c>
      <c r="D5007" s="46"/>
      <c r="E5007" s="35">
        <v>46142</v>
      </c>
      <c r="F5007" s="49">
        <v>0.94048611111111113</v>
      </c>
      <c r="G5007" s="37">
        <v>6.3</v>
      </c>
      <c r="H5007" s="36" t="s">
        <v>235</v>
      </c>
      <c r="I5007" s="36" t="s">
        <v>1281</v>
      </c>
    </row>
    <row r="5008" spans="1:9" x14ac:dyDescent="0.25">
      <c r="A5008" s="38" t="s">
        <v>209</v>
      </c>
      <c r="B5008" s="28">
        <v>9950</v>
      </c>
      <c r="C5008" s="28">
        <v>5645760</v>
      </c>
      <c r="D5008" s="46"/>
      <c r="E5008" s="35">
        <v>46142</v>
      </c>
      <c r="F5008" s="49">
        <v>0.94696759259259256</v>
      </c>
      <c r="G5008" s="37">
        <v>6.3</v>
      </c>
      <c r="H5008" s="36" t="s">
        <v>240</v>
      </c>
      <c r="I5008" s="36" t="s">
        <v>1281</v>
      </c>
    </row>
    <row r="5009" spans="1:9" x14ac:dyDescent="0.25">
      <c r="A5009" s="38" t="s">
        <v>209</v>
      </c>
      <c r="B5009" s="28">
        <v>9950</v>
      </c>
      <c r="C5009" s="28">
        <v>5633496</v>
      </c>
      <c r="D5009" s="46"/>
      <c r="E5009" s="35">
        <v>46143</v>
      </c>
      <c r="F5009" s="49">
        <v>0.32613425925925926</v>
      </c>
      <c r="G5009" s="37">
        <v>6.3</v>
      </c>
      <c r="H5009" s="36" t="s">
        <v>237</v>
      </c>
      <c r="I5009" s="36" t="s">
        <v>1282</v>
      </c>
    </row>
    <row r="5010" spans="1:9" x14ac:dyDescent="0.25">
      <c r="A5010" s="38" t="s">
        <v>209</v>
      </c>
      <c r="B5010" s="28">
        <v>9950</v>
      </c>
      <c r="C5010" s="28">
        <v>5633496</v>
      </c>
      <c r="D5010" s="46"/>
      <c r="E5010" s="35">
        <v>46143</v>
      </c>
      <c r="F5010" s="49">
        <v>0.33140046296296294</v>
      </c>
      <c r="G5010" s="37">
        <v>6.3</v>
      </c>
      <c r="H5010" s="36" t="s">
        <v>234</v>
      </c>
      <c r="I5010" s="36" t="s">
        <v>1282</v>
      </c>
    </row>
    <row r="5011" spans="1:9" x14ac:dyDescent="0.25">
      <c r="A5011" s="38" t="s">
        <v>209</v>
      </c>
      <c r="B5011" s="28">
        <v>9950</v>
      </c>
      <c r="C5011" s="28" t="s">
        <v>1278</v>
      </c>
      <c r="D5011" s="46"/>
      <c r="E5011" s="35">
        <v>46143</v>
      </c>
      <c r="F5011" s="49">
        <v>0.53089120370370368</v>
      </c>
      <c r="G5011" s="37">
        <v>6.3</v>
      </c>
      <c r="H5011" s="36" t="s">
        <v>235</v>
      </c>
      <c r="I5011" s="36" t="s">
        <v>1282</v>
      </c>
    </row>
    <row r="5012" spans="1:9" x14ac:dyDescent="0.25">
      <c r="A5012" s="38" t="s">
        <v>209</v>
      </c>
      <c r="B5012" s="28">
        <v>9950</v>
      </c>
      <c r="C5012" s="28" t="s">
        <v>1278</v>
      </c>
      <c r="D5012" s="46"/>
      <c r="E5012" s="35">
        <v>46143</v>
      </c>
      <c r="F5012" s="49">
        <v>0.53796296296296298</v>
      </c>
      <c r="G5012" s="37">
        <v>6.3</v>
      </c>
      <c r="H5012" s="36" t="s">
        <v>236</v>
      </c>
      <c r="I5012" s="36" t="s">
        <v>1282</v>
      </c>
    </row>
    <row r="5013" spans="1:9" x14ac:dyDescent="0.25">
      <c r="A5013" s="38" t="s">
        <v>209</v>
      </c>
      <c r="B5013" s="28">
        <v>9950</v>
      </c>
      <c r="C5013" s="28" t="s">
        <v>35</v>
      </c>
      <c r="D5013" s="46" t="s">
        <v>38</v>
      </c>
      <c r="E5013" s="35">
        <v>46144</v>
      </c>
      <c r="F5013" s="49">
        <v>0.91184027777777776</v>
      </c>
      <c r="G5013" s="37">
        <v>6.3</v>
      </c>
      <c r="H5013" s="36" t="s">
        <v>236</v>
      </c>
      <c r="I5013" s="36" t="s">
        <v>1282</v>
      </c>
    </row>
    <row r="5014" spans="1:9" x14ac:dyDescent="0.25">
      <c r="A5014" s="38" t="s">
        <v>209</v>
      </c>
      <c r="B5014" s="28">
        <v>9950</v>
      </c>
      <c r="C5014" s="28">
        <v>5647957</v>
      </c>
      <c r="D5014" s="46"/>
      <c r="E5014" s="35">
        <v>46145</v>
      </c>
      <c r="F5014" s="49">
        <v>0.20572916666666666</v>
      </c>
      <c r="G5014" s="37">
        <v>6.3</v>
      </c>
      <c r="H5014" s="36" t="s">
        <v>233</v>
      </c>
      <c r="I5014" s="36" t="s">
        <v>1282</v>
      </c>
    </row>
    <row r="5015" spans="1:9" x14ac:dyDescent="0.25">
      <c r="A5015" s="38" t="s">
        <v>209</v>
      </c>
      <c r="B5015" s="28">
        <v>9950</v>
      </c>
      <c r="C5015" s="28">
        <v>5647957</v>
      </c>
      <c r="D5015" s="46"/>
      <c r="E5015" s="35">
        <v>46145</v>
      </c>
      <c r="F5015" s="49">
        <v>0.21065972222222223</v>
      </c>
      <c r="G5015" s="37">
        <v>6.3</v>
      </c>
      <c r="H5015" s="36" t="s">
        <v>234</v>
      </c>
      <c r="I5015" s="36" t="s">
        <v>1282</v>
      </c>
    </row>
    <row r="5016" spans="1:9" x14ac:dyDescent="0.25">
      <c r="A5016" s="38" t="s">
        <v>209</v>
      </c>
      <c r="B5016" s="28">
        <v>9950</v>
      </c>
      <c r="C5016" s="28" t="s">
        <v>1279</v>
      </c>
      <c r="D5016" s="46"/>
      <c r="E5016" s="35">
        <v>46145</v>
      </c>
      <c r="F5016" s="49">
        <v>0.31767361111111109</v>
      </c>
      <c r="G5016" s="37">
        <v>6.3</v>
      </c>
      <c r="H5016" s="36" t="s">
        <v>235</v>
      </c>
      <c r="I5016" s="36" t="s">
        <v>1282</v>
      </c>
    </row>
    <row r="5017" spans="1:9" x14ac:dyDescent="0.25">
      <c r="A5017" s="38" t="s">
        <v>209</v>
      </c>
      <c r="B5017" s="28">
        <v>9950</v>
      </c>
      <c r="C5017" s="28" t="s">
        <v>1279</v>
      </c>
      <c r="D5017" s="46"/>
      <c r="E5017" s="35">
        <v>46145</v>
      </c>
      <c r="F5017" s="49">
        <v>0.32557870370370373</v>
      </c>
      <c r="G5017" s="37">
        <v>6.3</v>
      </c>
      <c r="H5017" s="36" t="s">
        <v>236</v>
      </c>
      <c r="I5017" s="36" t="s">
        <v>1282</v>
      </c>
    </row>
    <row r="5018" spans="1:9" x14ac:dyDescent="0.25">
      <c r="A5018" s="38" t="s">
        <v>210</v>
      </c>
      <c r="B5018" s="28">
        <v>9953</v>
      </c>
      <c r="C5018" s="28">
        <v>5636704</v>
      </c>
      <c r="D5018" s="46"/>
      <c r="E5018" s="35">
        <v>46139</v>
      </c>
      <c r="F5018" s="49">
        <v>0.15337962962962962</v>
      </c>
      <c r="G5018" s="37">
        <v>6.3</v>
      </c>
      <c r="H5018" s="36" t="s">
        <v>233</v>
      </c>
      <c r="I5018" s="36" t="s">
        <v>1281</v>
      </c>
    </row>
    <row r="5019" spans="1:9" x14ac:dyDescent="0.25">
      <c r="A5019" s="38" t="s">
        <v>210</v>
      </c>
      <c r="B5019" s="28">
        <v>9953</v>
      </c>
      <c r="C5019" s="28">
        <v>5636704</v>
      </c>
      <c r="D5019" s="46"/>
      <c r="E5019" s="35">
        <v>46139</v>
      </c>
      <c r="F5019" s="49">
        <v>0.15880787037037036</v>
      </c>
      <c r="G5019" s="37">
        <v>6.3</v>
      </c>
      <c r="H5019" s="36" t="s">
        <v>234</v>
      </c>
      <c r="I5019" s="36" t="s">
        <v>1281</v>
      </c>
    </row>
    <row r="5020" spans="1:9" x14ac:dyDescent="0.25">
      <c r="A5020" s="38" t="s">
        <v>210</v>
      </c>
      <c r="B5020" s="28">
        <v>9953</v>
      </c>
      <c r="C5020" s="28" t="s">
        <v>1280</v>
      </c>
      <c r="D5020" s="46"/>
      <c r="E5020" s="35">
        <v>46141</v>
      </c>
      <c r="F5020" s="49">
        <v>0.89453703703703702</v>
      </c>
      <c r="G5020" s="37">
        <v>6.3</v>
      </c>
      <c r="H5020" s="36" t="s">
        <v>235</v>
      </c>
      <c r="I5020" s="36" t="s">
        <v>1281</v>
      </c>
    </row>
    <row r="5021" spans="1:9" x14ac:dyDescent="0.25">
      <c r="A5021" s="38" t="s">
        <v>210</v>
      </c>
      <c r="B5021" s="28">
        <v>9953</v>
      </c>
      <c r="C5021" s="28" t="s">
        <v>1280</v>
      </c>
      <c r="D5021" s="46"/>
      <c r="E5021" s="35">
        <v>46141</v>
      </c>
      <c r="F5021" s="49">
        <v>0.90229166666666671</v>
      </c>
      <c r="G5021" s="37">
        <v>6.3</v>
      </c>
      <c r="H5021" s="36" t="s">
        <v>239</v>
      </c>
      <c r="I5021" s="36" t="s">
        <v>1281</v>
      </c>
    </row>
    <row r="5022" spans="1:9" x14ac:dyDescent="0.25">
      <c r="A5022" s="38" t="s">
        <v>210</v>
      </c>
      <c r="B5022" s="28">
        <v>9953</v>
      </c>
      <c r="C5022" s="28" t="s">
        <v>35</v>
      </c>
      <c r="D5022" s="46" t="s">
        <v>38</v>
      </c>
      <c r="E5022" s="35">
        <v>46141</v>
      </c>
      <c r="F5022" s="49">
        <v>0.9375</v>
      </c>
      <c r="G5022" s="37">
        <v>6.3</v>
      </c>
      <c r="H5022" s="36" t="s">
        <v>234</v>
      </c>
      <c r="I5022" s="36" t="s">
        <v>1281</v>
      </c>
    </row>
    <row r="5023" spans="1:9" x14ac:dyDescent="0.25">
      <c r="A5023" s="38" t="s">
        <v>210</v>
      </c>
      <c r="B5023" s="28">
        <v>9953</v>
      </c>
      <c r="C5023" s="28">
        <v>5644382</v>
      </c>
      <c r="D5023" s="46"/>
      <c r="E5023" s="35">
        <v>46142</v>
      </c>
      <c r="F5023" s="49">
        <v>0.45001157407407405</v>
      </c>
      <c r="G5023" s="37">
        <v>6.3</v>
      </c>
      <c r="H5023" s="36" t="s">
        <v>235</v>
      </c>
      <c r="I5023" s="36" t="s">
        <v>1281</v>
      </c>
    </row>
    <row r="5024" spans="1:9" x14ac:dyDescent="0.25">
      <c r="A5024" s="38" t="s">
        <v>210</v>
      </c>
      <c r="B5024" s="28">
        <v>9953</v>
      </c>
      <c r="C5024" s="28">
        <v>5644382</v>
      </c>
      <c r="D5024" s="46"/>
      <c r="E5024" s="35">
        <v>46142</v>
      </c>
      <c r="F5024" s="49">
        <v>0.4682175925925926</v>
      </c>
      <c r="G5024" s="37">
        <v>6.3</v>
      </c>
      <c r="H5024" s="36" t="s">
        <v>236</v>
      </c>
      <c r="I5024" s="36" t="s">
        <v>1281</v>
      </c>
    </row>
    <row r="5025" spans="1:9" x14ac:dyDescent="0.25">
      <c r="A5025" s="38" t="s">
        <v>211</v>
      </c>
      <c r="B5025" s="28">
        <v>9980</v>
      </c>
      <c r="C5025" s="28">
        <v>10548431</v>
      </c>
      <c r="D5025" s="46"/>
      <c r="E5025" s="35">
        <v>46139</v>
      </c>
      <c r="F5025" s="49">
        <v>0.18591435185185184</v>
      </c>
      <c r="G5025" s="37">
        <v>6.3</v>
      </c>
      <c r="H5025" s="36" t="s">
        <v>234</v>
      </c>
      <c r="I5025" s="36" t="s">
        <v>1281</v>
      </c>
    </row>
    <row r="5026" spans="1:9" x14ac:dyDescent="0.25">
      <c r="A5026" s="38" t="s">
        <v>211</v>
      </c>
      <c r="B5026" s="28">
        <v>9980</v>
      </c>
      <c r="C5026" s="28">
        <v>10544441</v>
      </c>
      <c r="D5026" s="46"/>
      <c r="E5026" s="35">
        <v>46139</v>
      </c>
      <c r="F5026" s="49">
        <v>0.55879629629629635</v>
      </c>
      <c r="G5026" s="37">
        <v>6.3</v>
      </c>
      <c r="H5026" s="36" t="s">
        <v>235</v>
      </c>
      <c r="I5026" s="36" t="s">
        <v>1281</v>
      </c>
    </row>
    <row r="5027" spans="1:9" x14ac:dyDescent="0.25">
      <c r="A5027" s="38" t="s">
        <v>211</v>
      </c>
      <c r="B5027" s="28">
        <v>9980</v>
      </c>
      <c r="C5027" s="28">
        <v>10544441</v>
      </c>
      <c r="D5027" s="46"/>
      <c r="E5027" s="35">
        <v>46139</v>
      </c>
      <c r="F5027" s="49">
        <v>0.56880787037037039</v>
      </c>
      <c r="G5027" s="37">
        <v>6.3</v>
      </c>
      <c r="H5027" s="36" t="s">
        <v>236</v>
      </c>
      <c r="I5027" s="36" t="s">
        <v>1281</v>
      </c>
    </row>
    <row r="5028" spans="1:9" x14ac:dyDescent="0.25">
      <c r="A5028" s="38" t="s">
        <v>211</v>
      </c>
      <c r="B5028" s="28">
        <v>9980</v>
      </c>
      <c r="C5028" s="28">
        <v>10551917</v>
      </c>
      <c r="D5028" s="46"/>
      <c r="E5028" s="35">
        <v>46140</v>
      </c>
      <c r="F5028" s="49">
        <v>0.17861111111111111</v>
      </c>
      <c r="G5028" s="37">
        <v>6.3</v>
      </c>
      <c r="H5028" s="36" t="s">
        <v>237</v>
      </c>
      <c r="I5028" s="36" t="s">
        <v>1281</v>
      </c>
    </row>
    <row r="5029" spans="1:9" x14ac:dyDescent="0.25">
      <c r="A5029" s="38" t="s">
        <v>211</v>
      </c>
      <c r="B5029" s="28">
        <v>9980</v>
      </c>
      <c r="C5029" s="28">
        <v>10551917</v>
      </c>
      <c r="D5029" s="46"/>
      <c r="E5029" s="35">
        <v>46140</v>
      </c>
      <c r="F5029" s="49">
        <v>0.18444444444444444</v>
      </c>
      <c r="G5029" s="37">
        <v>6.3</v>
      </c>
      <c r="H5029" s="36" t="s">
        <v>234</v>
      </c>
      <c r="I5029" s="36" t="s">
        <v>1281</v>
      </c>
    </row>
    <row r="5030" spans="1:9" x14ac:dyDescent="0.25">
      <c r="A5030" s="38" t="s">
        <v>211</v>
      </c>
      <c r="B5030" s="28">
        <v>9980</v>
      </c>
      <c r="C5030" s="28" t="s">
        <v>35</v>
      </c>
      <c r="D5030" s="46" t="s">
        <v>38</v>
      </c>
      <c r="E5030" s="35">
        <v>46140</v>
      </c>
      <c r="F5030" s="49">
        <v>0.78249999999999997</v>
      </c>
      <c r="G5030" s="37">
        <v>6.3</v>
      </c>
      <c r="H5030" s="36" t="s">
        <v>235</v>
      </c>
      <c r="I5030" s="36" t="s">
        <v>1281</v>
      </c>
    </row>
    <row r="5031" spans="1:9" x14ac:dyDescent="0.25">
      <c r="A5031" s="38" t="s">
        <v>211</v>
      </c>
      <c r="B5031" s="28">
        <v>9980</v>
      </c>
      <c r="C5031" s="28">
        <v>10566520</v>
      </c>
      <c r="D5031" s="46"/>
      <c r="E5031" s="35">
        <v>46142</v>
      </c>
      <c r="F5031" s="49">
        <v>0.17686342592592594</v>
      </c>
      <c r="G5031" s="37">
        <v>6.3</v>
      </c>
      <c r="H5031" s="36" t="s">
        <v>233</v>
      </c>
      <c r="I5031" s="36" t="s">
        <v>1281</v>
      </c>
    </row>
    <row r="5032" spans="1:9" x14ac:dyDescent="0.25">
      <c r="A5032" s="38" t="s">
        <v>211</v>
      </c>
      <c r="B5032" s="28">
        <v>9980</v>
      </c>
      <c r="C5032" s="28">
        <v>10566490</v>
      </c>
      <c r="D5032" s="46"/>
      <c r="E5032" s="35">
        <v>46142</v>
      </c>
      <c r="F5032" s="49">
        <v>0.59692129629629631</v>
      </c>
      <c r="G5032" s="37">
        <v>6.3</v>
      </c>
      <c r="H5032" s="36" t="s">
        <v>235</v>
      </c>
      <c r="I5032" s="36" t="s">
        <v>1281</v>
      </c>
    </row>
    <row r="5033" spans="1:9" x14ac:dyDescent="0.25">
      <c r="A5033" s="38" t="s">
        <v>211</v>
      </c>
      <c r="B5033" s="28">
        <v>9980</v>
      </c>
      <c r="C5033" s="28">
        <v>10573233</v>
      </c>
      <c r="D5033" s="46"/>
      <c r="E5033" s="35">
        <v>46143</v>
      </c>
      <c r="F5033" s="49">
        <v>0.1819212962962963</v>
      </c>
      <c r="G5033" s="37">
        <v>6.3</v>
      </c>
      <c r="H5033" s="36" t="s">
        <v>233</v>
      </c>
      <c r="I5033" s="36" t="s">
        <v>1282</v>
      </c>
    </row>
    <row r="5034" spans="1:9" x14ac:dyDescent="0.25">
      <c r="A5034" s="38" t="s">
        <v>211</v>
      </c>
      <c r="B5034" s="28">
        <v>9980</v>
      </c>
      <c r="C5034" s="28">
        <v>10573233</v>
      </c>
      <c r="D5034" s="46"/>
      <c r="E5034" s="35">
        <v>46143</v>
      </c>
      <c r="F5034" s="49">
        <v>0.18827546296296296</v>
      </c>
      <c r="G5034" s="37">
        <v>6.3</v>
      </c>
      <c r="H5034" s="36" t="s">
        <v>234</v>
      </c>
      <c r="I5034" s="36" t="s">
        <v>1282</v>
      </c>
    </row>
    <row r="5035" spans="1:9" x14ac:dyDescent="0.25">
      <c r="A5035" s="38" t="s">
        <v>211</v>
      </c>
      <c r="B5035" s="28">
        <v>9980</v>
      </c>
      <c r="C5035" s="28">
        <v>10573318</v>
      </c>
      <c r="D5035" s="46"/>
      <c r="E5035" s="35">
        <v>46143</v>
      </c>
      <c r="F5035" s="49">
        <v>0.51048611111111108</v>
      </c>
      <c r="G5035" s="37">
        <v>6.3</v>
      </c>
      <c r="H5035" s="36" t="s">
        <v>237</v>
      </c>
      <c r="I5035" s="36" t="s">
        <v>1282</v>
      </c>
    </row>
    <row r="5036" spans="1:9" x14ac:dyDescent="0.25">
      <c r="A5036" s="38" t="s">
        <v>211</v>
      </c>
      <c r="B5036" s="28">
        <v>9980</v>
      </c>
      <c r="C5036" s="28">
        <v>10573318</v>
      </c>
      <c r="D5036" s="46"/>
      <c r="E5036" s="35">
        <v>46143</v>
      </c>
      <c r="F5036" s="49">
        <v>0.51589120370370367</v>
      </c>
      <c r="G5036" s="37">
        <v>6.3</v>
      </c>
      <c r="H5036" s="36" t="s">
        <v>234</v>
      </c>
      <c r="I5036" s="36" t="s">
        <v>1282</v>
      </c>
    </row>
    <row r="5037" spans="1:9" x14ac:dyDescent="0.25">
      <c r="A5037" s="38" t="s">
        <v>211</v>
      </c>
      <c r="B5037" s="28">
        <v>9980</v>
      </c>
      <c r="C5037" s="28" t="s">
        <v>35</v>
      </c>
      <c r="D5037" s="46" t="s">
        <v>38</v>
      </c>
      <c r="E5037" s="35">
        <v>46143</v>
      </c>
      <c r="F5037" s="49">
        <v>0.92076388888888894</v>
      </c>
      <c r="G5037" s="37">
        <v>6.3</v>
      </c>
      <c r="H5037" s="36" t="s">
        <v>237</v>
      </c>
      <c r="I5037" s="36" t="s">
        <v>1282</v>
      </c>
    </row>
    <row r="5038" spans="1:9" x14ac:dyDescent="0.25">
      <c r="A5038" s="38" t="s">
        <v>211</v>
      </c>
      <c r="B5038" s="28">
        <v>9980</v>
      </c>
      <c r="C5038" s="28" t="s">
        <v>35</v>
      </c>
      <c r="D5038" s="46" t="s">
        <v>38</v>
      </c>
      <c r="E5038" s="35">
        <v>46143</v>
      </c>
      <c r="F5038" s="49">
        <v>0.92643518518518519</v>
      </c>
      <c r="G5038" s="37">
        <v>6.3</v>
      </c>
      <c r="H5038" s="36" t="s">
        <v>234</v>
      </c>
      <c r="I5038" s="36" t="s">
        <v>1282</v>
      </c>
    </row>
    <row r="5039" spans="1:9" x14ac:dyDescent="0.25">
      <c r="A5039" s="38" t="s">
        <v>211</v>
      </c>
      <c r="B5039" s="28">
        <v>9980</v>
      </c>
      <c r="C5039" s="28" t="s">
        <v>35</v>
      </c>
      <c r="D5039" s="46" t="s">
        <v>38</v>
      </c>
      <c r="E5039" s="35">
        <v>46143</v>
      </c>
      <c r="F5039" s="49">
        <v>0.98434027777777777</v>
      </c>
      <c r="G5039" s="37">
        <v>6.3</v>
      </c>
      <c r="H5039" s="36" t="s">
        <v>235</v>
      </c>
      <c r="I5039" s="36" t="s">
        <v>1282</v>
      </c>
    </row>
    <row r="5040" spans="1:9" x14ac:dyDescent="0.25">
      <c r="A5040" s="38" t="s">
        <v>211</v>
      </c>
      <c r="B5040" s="28">
        <v>9980</v>
      </c>
      <c r="C5040" s="28" t="s">
        <v>35</v>
      </c>
      <c r="D5040" s="46" t="s">
        <v>38</v>
      </c>
      <c r="E5040" s="35">
        <v>46143</v>
      </c>
      <c r="F5040" s="49">
        <v>0.99596064814814811</v>
      </c>
      <c r="G5040" s="37">
        <v>6.3</v>
      </c>
      <c r="H5040" s="36" t="s">
        <v>236</v>
      </c>
      <c r="I5040" s="36" t="s">
        <v>1282</v>
      </c>
    </row>
    <row r="5041" spans="1:9" x14ac:dyDescent="0.25">
      <c r="A5041" s="38" t="s">
        <v>211</v>
      </c>
      <c r="B5041" s="28">
        <v>9980</v>
      </c>
      <c r="C5041" s="28">
        <v>10580095</v>
      </c>
      <c r="D5041" s="46"/>
      <c r="E5041" s="35">
        <v>46144</v>
      </c>
      <c r="F5041" s="49">
        <v>0.52209490740740738</v>
      </c>
      <c r="G5041" s="37">
        <v>6.3</v>
      </c>
      <c r="H5041" s="36" t="s">
        <v>237</v>
      </c>
      <c r="I5041" s="36" t="s">
        <v>1282</v>
      </c>
    </row>
    <row r="5042" spans="1:9" x14ac:dyDescent="0.25">
      <c r="A5042" s="38" t="s">
        <v>211</v>
      </c>
      <c r="B5042" s="28">
        <v>9980</v>
      </c>
      <c r="C5042" s="28">
        <v>10580095</v>
      </c>
      <c r="D5042" s="46"/>
      <c r="E5042" s="35">
        <v>46144</v>
      </c>
      <c r="F5042" s="49">
        <v>0.52833333333333332</v>
      </c>
      <c r="G5042" s="37">
        <v>6.3</v>
      </c>
      <c r="H5042" s="36" t="s">
        <v>234</v>
      </c>
      <c r="I5042" s="36" t="s">
        <v>1282</v>
      </c>
    </row>
    <row r="5043" spans="1:9" x14ac:dyDescent="0.25">
      <c r="A5043" s="38" t="s">
        <v>211</v>
      </c>
      <c r="B5043" s="28">
        <v>9980</v>
      </c>
      <c r="C5043" s="28">
        <v>10583384</v>
      </c>
      <c r="D5043" s="46"/>
      <c r="E5043" s="35">
        <v>46144</v>
      </c>
      <c r="F5043" s="49">
        <v>0.62070601851851848</v>
      </c>
      <c r="G5043" s="37">
        <v>6.3</v>
      </c>
      <c r="H5043" s="36" t="s">
        <v>235</v>
      </c>
      <c r="I5043" s="36" t="s">
        <v>1282</v>
      </c>
    </row>
    <row r="5044" spans="1:9" x14ac:dyDescent="0.25">
      <c r="A5044" s="38" t="s">
        <v>211</v>
      </c>
      <c r="B5044" s="28">
        <v>9980</v>
      </c>
      <c r="C5044" s="28">
        <v>10583384</v>
      </c>
      <c r="D5044" s="46"/>
      <c r="E5044" s="35">
        <v>46144</v>
      </c>
      <c r="F5044" s="49">
        <v>0.63129629629629624</v>
      </c>
      <c r="G5044" s="37">
        <v>6.3</v>
      </c>
      <c r="H5044" s="36" t="s">
        <v>236</v>
      </c>
      <c r="I5044" s="36" t="s">
        <v>1282</v>
      </c>
    </row>
    <row r="5045" spans="1:9" x14ac:dyDescent="0.25">
      <c r="A5045" s="38" t="s">
        <v>211</v>
      </c>
      <c r="B5045" s="28">
        <v>9980</v>
      </c>
      <c r="C5045" s="28">
        <v>10585778</v>
      </c>
      <c r="D5045" s="46" t="s">
        <v>36</v>
      </c>
      <c r="E5045" s="35">
        <v>46145</v>
      </c>
      <c r="F5045" s="49">
        <v>0.58221064814814816</v>
      </c>
      <c r="G5045" s="37">
        <v>6.3</v>
      </c>
      <c r="H5045" s="36" t="s">
        <v>235</v>
      </c>
      <c r="I5045" s="36" t="s">
        <v>1282</v>
      </c>
    </row>
    <row r="5046" spans="1:9" x14ac:dyDescent="0.25">
      <c r="A5046" s="38" t="s">
        <v>211</v>
      </c>
      <c r="B5046" s="28">
        <v>9980</v>
      </c>
      <c r="C5046" s="28">
        <v>10585778</v>
      </c>
      <c r="D5046" s="46" t="s">
        <v>36</v>
      </c>
      <c r="E5046" s="35">
        <v>46145</v>
      </c>
      <c r="F5046" s="49">
        <v>0.58917824074074077</v>
      </c>
      <c r="G5046" s="37">
        <v>6.3</v>
      </c>
      <c r="H5046" s="36" t="s">
        <v>236</v>
      </c>
      <c r="I5046" s="36" t="s">
        <v>1282</v>
      </c>
    </row>
    <row r="5047" spans="1:9" x14ac:dyDescent="0.25">
      <c r="A5047" s="38" t="s">
        <v>134</v>
      </c>
      <c r="B5047" s="28">
        <v>9991</v>
      </c>
      <c r="C5047" s="28">
        <v>5637289</v>
      </c>
      <c r="D5047" s="46"/>
      <c r="E5047" s="35">
        <v>46139</v>
      </c>
      <c r="F5047" s="49">
        <v>0.4036689814814815</v>
      </c>
      <c r="G5047" s="37">
        <v>6.3</v>
      </c>
      <c r="H5047" s="36" t="s">
        <v>234</v>
      </c>
      <c r="I5047" s="36" t="s">
        <v>1281</v>
      </c>
    </row>
    <row r="5048" spans="1:9" x14ac:dyDescent="0.25">
      <c r="A5048" s="38" t="s">
        <v>134</v>
      </c>
      <c r="B5048" s="28">
        <v>9991</v>
      </c>
      <c r="C5048" s="28" t="s">
        <v>35</v>
      </c>
      <c r="D5048" s="46" t="s">
        <v>38</v>
      </c>
      <c r="E5048" s="35">
        <v>46140</v>
      </c>
      <c r="F5048" s="49">
        <v>0.47723379629629631</v>
      </c>
      <c r="G5048" s="37">
        <v>6.3</v>
      </c>
      <c r="H5048" s="36" t="s">
        <v>237</v>
      </c>
      <c r="I5048" s="36" t="s">
        <v>1281</v>
      </c>
    </row>
    <row r="5049" spans="1:9" x14ac:dyDescent="0.25">
      <c r="A5049" s="38" t="s">
        <v>134</v>
      </c>
      <c r="B5049" s="28">
        <v>9991</v>
      </c>
      <c r="C5049" s="28" t="s">
        <v>35</v>
      </c>
      <c r="D5049" s="46" t="s">
        <v>38</v>
      </c>
      <c r="E5049" s="35">
        <v>46140</v>
      </c>
      <c r="F5049" s="49">
        <v>0.48798611111111112</v>
      </c>
      <c r="G5049" s="37">
        <v>6.3</v>
      </c>
      <c r="H5049" s="36" t="s">
        <v>234</v>
      </c>
      <c r="I5049" s="36" t="s">
        <v>1281</v>
      </c>
    </row>
    <row r="5050" spans="1:9" x14ac:dyDescent="0.25">
      <c r="A5050" s="38" t="s">
        <v>134</v>
      </c>
      <c r="B5050" s="28">
        <v>9991</v>
      </c>
      <c r="C5050" s="28">
        <v>5642144</v>
      </c>
      <c r="D5050" s="46"/>
      <c r="E5050" s="35">
        <v>46141</v>
      </c>
      <c r="F5050" s="49">
        <v>0.31201388888888887</v>
      </c>
      <c r="G5050" s="37">
        <v>6.3</v>
      </c>
      <c r="H5050" s="36" t="s">
        <v>235</v>
      </c>
      <c r="I5050" s="36" t="s">
        <v>1281</v>
      </c>
    </row>
    <row r="5051" spans="1:9" x14ac:dyDescent="0.25">
      <c r="A5051" s="38" t="s">
        <v>134</v>
      </c>
      <c r="B5051" s="28">
        <v>9991</v>
      </c>
      <c r="C5051" s="28">
        <v>5642144</v>
      </c>
      <c r="D5051" s="46"/>
      <c r="E5051" s="35">
        <v>46141</v>
      </c>
      <c r="F5051" s="49">
        <v>0.32646990740740739</v>
      </c>
      <c r="G5051" s="37">
        <v>6.3</v>
      </c>
      <c r="H5051" s="36" t="s">
        <v>236</v>
      </c>
      <c r="I5051" s="36" t="s">
        <v>1281</v>
      </c>
    </row>
    <row r="5052" spans="1:9" x14ac:dyDescent="0.25">
      <c r="A5052" s="38" t="s">
        <v>134</v>
      </c>
      <c r="B5052" s="28">
        <v>9991</v>
      </c>
      <c r="C5052" s="28" t="s">
        <v>35</v>
      </c>
      <c r="D5052" s="46" t="s">
        <v>38</v>
      </c>
      <c r="E5052" s="35">
        <v>46141</v>
      </c>
      <c r="F5052" s="49">
        <v>0.37776620370370373</v>
      </c>
      <c r="G5052" s="37">
        <v>6.3</v>
      </c>
      <c r="H5052" s="36" t="s">
        <v>237</v>
      </c>
      <c r="I5052" s="36" t="s">
        <v>1281</v>
      </c>
    </row>
    <row r="5053" spans="1:9" x14ac:dyDescent="0.25">
      <c r="A5053" s="38" t="s">
        <v>134</v>
      </c>
      <c r="B5053" s="28">
        <v>9991</v>
      </c>
      <c r="C5053" s="28" t="s">
        <v>35</v>
      </c>
      <c r="D5053" s="46" t="s">
        <v>38</v>
      </c>
      <c r="E5053" s="35">
        <v>46141</v>
      </c>
      <c r="F5053" s="49">
        <v>0.39142361111111112</v>
      </c>
      <c r="G5053" s="37">
        <v>6.3</v>
      </c>
      <c r="H5053" s="36" t="s">
        <v>234</v>
      </c>
      <c r="I5053" s="36" t="s">
        <v>1281</v>
      </c>
    </row>
    <row r="5054" spans="1:9" x14ac:dyDescent="0.25">
      <c r="A5054" s="38" t="s">
        <v>134</v>
      </c>
      <c r="B5054" s="28">
        <v>9991</v>
      </c>
      <c r="C5054" s="28">
        <v>5645130</v>
      </c>
      <c r="D5054" s="46"/>
      <c r="E5054" s="35">
        <v>46142</v>
      </c>
      <c r="F5054" s="49">
        <v>0.70450231481481485</v>
      </c>
      <c r="G5054" s="37">
        <v>6.3</v>
      </c>
      <c r="H5054" s="36" t="s">
        <v>235</v>
      </c>
      <c r="I5054" s="36" t="s">
        <v>1281</v>
      </c>
    </row>
    <row r="5055" spans="1:9" x14ac:dyDescent="0.25">
      <c r="A5055" s="38" t="s">
        <v>134</v>
      </c>
      <c r="B5055" s="28">
        <v>9991</v>
      </c>
      <c r="C5055" s="28">
        <v>5645130</v>
      </c>
      <c r="D5055" s="46"/>
      <c r="E5055" s="35">
        <v>46142</v>
      </c>
      <c r="F5055" s="49">
        <v>0.72437499999999999</v>
      </c>
      <c r="G5055" s="37">
        <v>6.3</v>
      </c>
      <c r="H5055" s="36" t="s">
        <v>236</v>
      </c>
      <c r="I5055" s="36" t="s">
        <v>1281</v>
      </c>
    </row>
    <row r="5056" spans="1:9" x14ac:dyDescent="0.25">
      <c r="A5056" s="38" t="s">
        <v>134</v>
      </c>
      <c r="B5056" s="28">
        <v>9991</v>
      </c>
      <c r="C5056" s="28">
        <v>5646043</v>
      </c>
      <c r="D5056" s="46"/>
      <c r="E5056" s="35">
        <v>46143</v>
      </c>
      <c r="F5056" s="49">
        <v>0.29270833333333335</v>
      </c>
      <c r="G5056" s="37">
        <v>6.3</v>
      </c>
      <c r="H5056" s="36" t="s">
        <v>235</v>
      </c>
      <c r="I5056" s="36" t="s">
        <v>1282</v>
      </c>
    </row>
    <row r="5057" spans="1:9" x14ac:dyDescent="0.25">
      <c r="A5057" s="38" t="s">
        <v>134</v>
      </c>
      <c r="B5057" s="28">
        <v>9991</v>
      </c>
      <c r="C5057" s="28">
        <v>5646043</v>
      </c>
      <c r="D5057" s="46"/>
      <c r="E5057" s="35">
        <v>46143</v>
      </c>
      <c r="F5057" s="49">
        <v>0.29993055555555553</v>
      </c>
      <c r="G5057" s="37">
        <v>6.3</v>
      </c>
      <c r="H5057" s="36" t="s">
        <v>236</v>
      </c>
      <c r="I5057" s="36" t="s">
        <v>1282</v>
      </c>
    </row>
    <row r="5058" spans="1:9" x14ac:dyDescent="0.25">
      <c r="A5058" s="38" t="s">
        <v>134</v>
      </c>
      <c r="B5058" s="28">
        <v>9991</v>
      </c>
      <c r="C5058" s="28" t="s">
        <v>35</v>
      </c>
      <c r="D5058" s="46" t="s">
        <v>38</v>
      </c>
      <c r="E5058" s="35">
        <v>46143</v>
      </c>
      <c r="F5058" s="49">
        <v>0.31212962962962965</v>
      </c>
      <c r="G5058" s="37">
        <v>6.3</v>
      </c>
      <c r="H5058" s="36" t="s">
        <v>237</v>
      </c>
      <c r="I5058" s="36" t="s">
        <v>1282</v>
      </c>
    </row>
    <row r="5059" spans="1:9" x14ac:dyDescent="0.25">
      <c r="A5059" s="38" t="s">
        <v>134</v>
      </c>
      <c r="B5059" s="28">
        <v>9991</v>
      </c>
      <c r="C5059" s="28" t="s">
        <v>35</v>
      </c>
      <c r="D5059" s="46" t="s">
        <v>38</v>
      </c>
      <c r="E5059" s="35">
        <v>46143</v>
      </c>
      <c r="F5059" s="49">
        <v>0.31745370370370368</v>
      </c>
      <c r="G5059" s="37">
        <v>6.3</v>
      </c>
      <c r="H5059" s="36" t="s">
        <v>234</v>
      </c>
      <c r="I5059" s="36" t="s">
        <v>1282</v>
      </c>
    </row>
    <row r="5060" spans="1:9" x14ac:dyDescent="0.25">
      <c r="A5060" s="38" t="s">
        <v>134</v>
      </c>
      <c r="B5060" s="28">
        <v>9991</v>
      </c>
      <c r="C5060" s="28" t="s">
        <v>35</v>
      </c>
      <c r="D5060" s="46" t="s">
        <v>38</v>
      </c>
      <c r="E5060" s="35">
        <v>46144</v>
      </c>
      <c r="F5060" s="49">
        <v>0.32546296296296295</v>
      </c>
      <c r="G5060" s="37">
        <v>6.3</v>
      </c>
      <c r="H5060" s="36" t="s">
        <v>237</v>
      </c>
      <c r="I5060" s="36" t="s">
        <v>1282</v>
      </c>
    </row>
    <row r="5061" spans="1:9" x14ac:dyDescent="0.25">
      <c r="A5061" s="38" t="s">
        <v>134</v>
      </c>
      <c r="B5061" s="28">
        <v>9991</v>
      </c>
      <c r="C5061" s="28" t="s">
        <v>35</v>
      </c>
      <c r="D5061" s="46" t="s">
        <v>38</v>
      </c>
      <c r="E5061" s="35">
        <v>46144</v>
      </c>
      <c r="F5061" s="49">
        <v>0.33144675925925926</v>
      </c>
      <c r="G5061" s="37">
        <v>6.3</v>
      </c>
      <c r="H5061" s="36" t="s">
        <v>234</v>
      </c>
      <c r="I5061" s="36" t="s">
        <v>1282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4140625" defaultRowHeight="14.4" x14ac:dyDescent="0.3"/>
  <cols>
    <col min="1" max="1" width="11.88671875" bestFit="1" customWidth="1"/>
    <col min="2" max="3" width="15.5546875" bestFit="1" customWidth="1"/>
    <col min="5" max="5" width="4.109375" customWidth="1"/>
    <col min="6" max="6" width="11.88671875" bestFit="1" customWidth="1"/>
    <col min="7" max="8" width="15.5546875" bestFit="1" customWidth="1"/>
    <col min="10" max="10" width="4.109375" customWidth="1"/>
    <col min="11" max="11" width="11.88671875" bestFit="1" customWidth="1"/>
    <col min="12" max="13" width="15.5546875" bestFit="1" customWidth="1"/>
    <col min="15" max="111" width="8" bestFit="1" customWidth="1"/>
    <col min="112" max="112" width="11.88671875" bestFit="1" customWidth="1"/>
  </cols>
  <sheetData>
    <row r="1" spans="1:14" x14ac:dyDescent="0.3">
      <c r="A1" s="64" t="s">
        <v>19</v>
      </c>
      <c r="B1" s="64"/>
      <c r="C1" s="64"/>
      <c r="D1" s="9">
        <f>GETPIVOTDATA("Suma Reembolso",$A$4)</f>
        <v>0</v>
      </c>
      <c r="F1" s="64" t="s">
        <v>20</v>
      </c>
      <c r="G1" s="64"/>
      <c r="H1" s="64"/>
      <c r="I1" s="9">
        <f>GETPIVOTDATA("Suma Reembolso",$F$4)</f>
        <v>0</v>
      </c>
      <c r="K1" s="64" t="s">
        <v>21</v>
      </c>
      <c r="L1" s="64"/>
      <c r="M1" s="64"/>
      <c r="N1" s="9">
        <f>GETPIVOTDATA("Suma Reembolso",$K$4)</f>
        <v>0</v>
      </c>
    </row>
    <row r="2" spans="1:14" x14ac:dyDescent="0.3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3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3">
      <c r="A5" s="2">
        <v>1698</v>
      </c>
      <c r="F5" s="2">
        <v>404</v>
      </c>
      <c r="K5" s="2">
        <v>404</v>
      </c>
    </row>
    <row r="6" spans="1:14" x14ac:dyDescent="0.3">
      <c r="A6" s="2">
        <v>3386</v>
      </c>
      <c r="F6" s="2">
        <v>423</v>
      </c>
      <c r="K6" s="2">
        <v>423</v>
      </c>
    </row>
    <row r="7" spans="1:14" x14ac:dyDescent="0.3">
      <c r="A7" s="2">
        <v>1413</v>
      </c>
      <c r="F7" s="2">
        <v>561</v>
      </c>
      <c r="K7" s="2">
        <v>561</v>
      </c>
    </row>
    <row r="8" spans="1:14" x14ac:dyDescent="0.3">
      <c r="A8" s="2">
        <v>1615</v>
      </c>
      <c r="F8" s="2">
        <v>722</v>
      </c>
      <c r="K8" s="2">
        <v>722</v>
      </c>
    </row>
    <row r="9" spans="1:14" x14ac:dyDescent="0.3">
      <c r="A9" s="2">
        <v>1675</v>
      </c>
      <c r="F9" s="2">
        <v>1981</v>
      </c>
      <c r="K9" s="2">
        <v>1981</v>
      </c>
    </row>
    <row r="10" spans="1:14" x14ac:dyDescent="0.3">
      <c r="A10" s="2">
        <v>208</v>
      </c>
      <c r="F10" s="2">
        <v>2035</v>
      </c>
      <c r="K10" s="2">
        <v>2035</v>
      </c>
    </row>
    <row r="11" spans="1:14" x14ac:dyDescent="0.3">
      <c r="A11" s="2">
        <v>1440</v>
      </c>
      <c r="F11" s="2">
        <v>2501</v>
      </c>
      <c r="K11" s="2">
        <v>2501</v>
      </c>
    </row>
    <row r="12" spans="1:14" x14ac:dyDescent="0.3">
      <c r="A12" s="2">
        <v>769</v>
      </c>
      <c r="F12" s="2">
        <v>2631</v>
      </c>
      <c r="K12" s="2">
        <v>2631</v>
      </c>
    </row>
    <row r="13" spans="1:14" x14ac:dyDescent="0.3">
      <c r="A13" s="2">
        <v>923</v>
      </c>
      <c r="F13" s="2">
        <v>5032</v>
      </c>
      <c r="K13" s="2">
        <v>5032</v>
      </c>
    </row>
    <row r="14" spans="1:14" x14ac:dyDescent="0.3">
      <c r="A14" s="2">
        <v>229</v>
      </c>
      <c r="F14" s="2">
        <v>521</v>
      </c>
      <c r="K14" s="2">
        <v>2135</v>
      </c>
    </row>
    <row r="15" spans="1:14" x14ac:dyDescent="0.3">
      <c r="A15" s="2">
        <v>713</v>
      </c>
      <c r="F15" s="2">
        <v>2135</v>
      </c>
      <c r="K15" s="2">
        <v>2220</v>
      </c>
    </row>
    <row r="16" spans="1:14" x14ac:dyDescent="0.3">
      <c r="A16" s="2">
        <v>902</v>
      </c>
      <c r="F16" s="2">
        <v>2220</v>
      </c>
      <c r="K16" s="2">
        <v>2278</v>
      </c>
    </row>
    <row r="17" spans="1:11" x14ac:dyDescent="0.3">
      <c r="A17" s="2">
        <v>828</v>
      </c>
      <c r="F17" s="2">
        <v>2253</v>
      </c>
      <c r="K17" s="2">
        <v>3173</v>
      </c>
    </row>
    <row r="18" spans="1:11" x14ac:dyDescent="0.3">
      <c r="A18" s="2">
        <v>2703</v>
      </c>
      <c r="F18" s="2">
        <v>2278</v>
      </c>
      <c r="K18" s="2">
        <v>5130</v>
      </c>
    </row>
    <row r="19" spans="1:11" x14ac:dyDescent="0.3">
      <c r="A19" s="2">
        <v>223</v>
      </c>
      <c r="F19" s="2">
        <v>3173</v>
      </c>
      <c r="K19" s="2">
        <v>420</v>
      </c>
    </row>
    <row r="20" spans="1:11" x14ac:dyDescent="0.3">
      <c r="A20" s="2">
        <v>1567</v>
      </c>
      <c r="F20" s="2">
        <v>5130</v>
      </c>
      <c r="K20" s="2">
        <v>2246</v>
      </c>
    </row>
    <row r="21" spans="1:11" x14ac:dyDescent="0.3">
      <c r="A21" s="2" t="s">
        <v>28</v>
      </c>
      <c r="F21" s="2">
        <v>420</v>
      </c>
      <c r="K21" s="2">
        <v>627</v>
      </c>
    </row>
    <row r="22" spans="1:11" x14ac:dyDescent="0.3">
      <c r="F22" s="2">
        <v>2246</v>
      </c>
      <c r="K22" s="2">
        <v>688</v>
      </c>
    </row>
    <row r="23" spans="1:11" x14ac:dyDescent="0.3">
      <c r="F23" s="2">
        <v>627</v>
      </c>
      <c r="K23" s="2">
        <v>2254</v>
      </c>
    </row>
    <row r="24" spans="1:11" x14ac:dyDescent="0.3">
      <c r="F24" s="2">
        <v>688</v>
      </c>
      <c r="K24" s="2">
        <v>466</v>
      </c>
    </row>
    <row r="25" spans="1:11" x14ac:dyDescent="0.3">
      <c r="F25" s="2">
        <v>2254</v>
      </c>
      <c r="K25" s="2">
        <v>412</v>
      </c>
    </row>
    <row r="26" spans="1:11" x14ac:dyDescent="0.3">
      <c r="F26" s="2">
        <v>398</v>
      </c>
      <c r="K26" s="2">
        <v>2039</v>
      </c>
    </row>
    <row r="27" spans="1:11" x14ac:dyDescent="0.3">
      <c r="F27" s="2">
        <v>466</v>
      </c>
      <c r="K27" s="2">
        <v>3456</v>
      </c>
    </row>
    <row r="28" spans="1:11" x14ac:dyDescent="0.3">
      <c r="F28" s="2">
        <v>2647</v>
      </c>
      <c r="K28" s="2">
        <v>2701</v>
      </c>
    </row>
    <row r="29" spans="1:11" x14ac:dyDescent="0.3">
      <c r="F29" s="2">
        <v>412</v>
      </c>
      <c r="K29" s="2">
        <v>529</v>
      </c>
    </row>
    <row r="30" spans="1:11" x14ac:dyDescent="0.3">
      <c r="F30" s="2">
        <v>2039</v>
      </c>
      <c r="K30" s="2">
        <v>626</v>
      </c>
    </row>
    <row r="31" spans="1:11" x14ac:dyDescent="0.3">
      <c r="F31" s="2">
        <v>2627</v>
      </c>
      <c r="K31" s="2">
        <v>331</v>
      </c>
    </row>
    <row r="32" spans="1:11" x14ac:dyDescent="0.3">
      <c r="F32" s="2">
        <v>3456</v>
      </c>
      <c r="K32" s="2" t="s">
        <v>28</v>
      </c>
    </row>
    <row r="33" spans="6:6" x14ac:dyDescent="0.3">
      <c r="F33" s="2">
        <v>2701</v>
      </c>
    </row>
    <row r="34" spans="6:6" x14ac:dyDescent="0.3">
      <c r="F34" s="2">
        <v>529</v>
      </c>
    </row>
    <row r="35" spans="6:6" x14ac:dyDescent="0.3">
      <c r="F35" s="2">
        <v>626</v>
      </c>
    </row>
    <row r="36" spans="6:6" x14ac:dyDescent="0.3">
      <c r="F36" s="2">
        <v>331</v>
      </c>
    </row>
    <row r="37" spans="6:6" x14ac:dyDescent="0.3">
      <c r="F37" s="2">
        <v>7092</v>
      </c>
    </row>
    <row r="38" spans="6:6" x14ac:dyDescent="0.3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5546875" customWidth="1"/>
    <col min="2" max="2" width="29.33203125" bestFit="1" customWidth="1"/>
    <col min="4" max="4" width="4.109375" customWidth="1"/>
    <col min="5" max="5" width="16.5546875" bestFit="1" customWidth="1"/>
    <col min="6" max="6" width="29.33203125" bestFit="1" customWidth="1"/>
    <col min="8" max="8" width="4.109375" customWidth="1"/>
    <col min="9" max="9" width="16.5546875" bestFit="1" customWidth="1"/>
    <col min="10" max="10" width="29.33203125" bestFit="1" customWidth="1"/>
    <col min="12" max="12" width="4.109375" customWidth="1"/>
    <col min="13" max="13" width="16.5546875" bestFit="1" customWidth="1"/>
    <col min="14" max="14" width="29.33203125" customWidth="1"/>
    <col min="16" max="16" width="4.109375" customWidth="1"/>
    <col min="17" max="17" width="16.5546875" customWidth="1"/>
    <col min="18" max="18" width="29.33203125" bestFit="1" customWidth="1"/>
    <col min="20" max="20" width="4.109375" customWidth="1"/>
    <col min="21" max="21" width="16.5546875" bestFit="1" customWidth="1"/>
    <col min="22" max="22" width="29.33203125" bestFit="1" customWidth="1"/>
  </cols>
  <sheetData>
    <row r="1" spans="1:23" x14ac:dyDescent="0.3">
      <c r="A1" s="64" t="s">
        <v>29</v>
      </c>
      <c r="B1" s="64"/>
      <c r="C1" s="9">
        <f>GETPIVOTDATA("Monto",$A$6)</f>
        <v>2237.3999999999996</v>
      </c>
      <c r="E1" s="64" t="s">
        <v>30</v>
      </c>
      <c r="F1" s="64"/>
      <c r="G1" s="9">
        <f>GETPIVOTDATA("Monto",$E$6)</f>
        <v>2600.3999999999996</v>
      </c>
      <c r="I1" s="64" t="s">
        <v>31</v>
      </c>
      <c r="J1" s="64"/>
      <c r="K1" s="9">
        <f>GETPIVOTDATA("Monto",$I$5)</f>
        <v>567.59999999999991</v>
      </c>
      <c r="M1" s="64" t="s">
        <v>32</v>
      </c>
      <c r="N1" s="64"/>
      <c r="O1" s="9">
        <f>GETPIVOTDATA("Monto",$M$5)</f>
        <v>759.00000000000034</v>
      </c>
      <c r="Q1" s="64" t="s">
        <v>33</v>
      </c>
      <c r="R1" s="64"/>
      <c r="S1" s="9">
        <f>GETPIVOTDATA("Monto",$Q$5)</f>
        <v>72.599999999999994</v>
      </c>
      <c r="U1" s="64" t="s">
        <v>34</v>
      </c>
      <c r="V1" s="64"/>
      <c r="W1" s="9">
        <f>GETPIVOTDATA("Monto",$U$5)</f>
        <v>257.39999999999992</v>
      </c>
    </row>
    <row r="2" spans="1:23" x14ac:dyDescent="0.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3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3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3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3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3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3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3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3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3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3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3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3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3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3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3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3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3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3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3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3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3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3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3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3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3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3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3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3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3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3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3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3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3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3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3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3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3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3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3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3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3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3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3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3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3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3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3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3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3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3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3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3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3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3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3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3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3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3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3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3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3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3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3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3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3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3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3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3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3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3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3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3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3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3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3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3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3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3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3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3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3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3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3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3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3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3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3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3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3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3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3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3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3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3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3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3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3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3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3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3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3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3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3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3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3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3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3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3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3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3">
      <c r="C122" s="2"/>
      <c r="D122" s="2"/>
      <c r="E122" s="2" t="s">
        <v>28</v>
      </c>
      <c r="F122">
        <v>2600.3999999999996</v>
      </c>
    </row>
    <row r="123" spans="1:6" x14ac:dyDescent="0.3">
      <c r="C123" s="2"/>
      <c r="D123" s="2"/>
    </row>
    <row r="124" spans="1:6" x14ac:dyDescent="0.3">
      <c r="C124" s="2"/>
      <c r="D124" s="2"/>
    </row>
    <row r="125" spans="1:6" x14ac:dyDescent="0.3">
      <c r="C125" s="2"/>
      <c r="D125" s="2"/>
    </row>
    <row r="126" spans="1:6" x14ac:dyDescent="0.3">
      <c r="C126" s="2"/>
      <c r="D126" s="2"/>
    </row>
    <row r="127" spans="1:6" x14ac:dyDescent="0.3">
      <c r="C127" s="2"/>
      <c r="D127" s="2"/>
    </row>
    <row r="128" spans="1:6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70"/>
  <sheetViews>
    <sheetView tabSelected="1" zoomScale="85" zoomScaleNormal="85" workbookViewId="0">
      <selection activeCell="B9" sqref="B9"/>
    </sheetView>
  </sheetViews>
  <sheetFormatPr baseColWidth="10" defaultColWidth="11.44140625" defaultRowHeight="14.4" x14ac:dyDescent="0.3"/>
  <cols>
    <col min="2" max="5" width="39.44140625" customWidth="1"/>
    <col min="6" max="6" width="33" customWidth="1"/>
    <col min="7" max="7" width="18.33203125" bestFit="1" customWidth="1"/>
  </cols>
  <sheetData>
    <row r="1" spans="1:7" ht="23.4" customHeight="1" x14ac:dyDescent="0.3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  <c r="G1" s="3" t="s">
        <v>1286</v>
      </c>
    </row>
    <row r="2" spans="1:7" x14ac:dyDescent="0.3">
      <c r="A2" s="66">
        <v>210</v>
      </c>
      <c r="B2" s="5">
        <f>+SUMIFS(Tabla16[Importe],Tabla16[MOVIL],Tabla38[[#This Row],[MOVIL]],Tabla16[OBSV],"DESCONTAR POR USO PERSONAL")</f>
        <v>37.799999999999997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" s="65">
        <f>+VLOOKUP(Tabla38[[#This Row],[MOVIL]],[1]LIQUIDACION!$B:$B,1,0)</f>
        <v>210</v>
      </c>
    </row>
    <row r="3" spans="1:7" x14ac:dyDescent="0.3">
      <c r="A3" s="66">
        <v>2246</v>
      </c>
      <c r="B3" s="5">
        <f>+SUMIFS(Tabla16[Importe],Tabla16[MOVIL],Tabla38[[#This Row],[MOVIL]],Tabla16[OBSV],"DESCONTAR POR USO PERSONAL")</f>
        <v>0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6.3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" s="65">
        <f>+VLOOKUP(Tabla38[[#This Row],[MOVIL]],[1]LIQUIDACION!$B:$B,1,0)</f>
        <v>2246</v>
      </c>
    </row>
    <row r="4" spans="1:7" x14ac:dyDescent="0.3">
      <c r="A4" s="66">
        <v>1981</v>
      </c>
      <c r="B4" s="5">
        <f>+SUMIFS(Tabla16[Importe],Tabla16[MOVIL],Tabla38[[#This Row],[MOVIL]],Tabla16[OBSV],"DESCONTAR POR USO PERSONAL")</f>
        <v>37.799999999999997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" s="65">
        <f>+VLOOKUP(Tabla38[[#This Row],[MOVIL]],[1]LIQUIDACION!$B:$B,1,0)</f>
        <v>1981</v>
      </c>
    </row>
    <row r="5" spans="1:7" x14ac:dyDescent="0.3">
      <c r="A5" s="66">
        <v>772</v>
      </c>
      <c r="B5" s="5">
        <f>+SUMIFS(Tabla16[Importe],Tabla16[MOVIL],Tabla38[[#This Row],[MOVIL]],Tabla16[OBSV],"DESCONTAR POR USO PERSONAL")</f>
        <v>12.6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" s="65">
        <f>+VLOOKUP(Tabla38[[#This Row],[MOVIL]],[1]LIQUIDACION!$B:$B,1,0)</f>
        <v>772</v>
      </c>
    </row>
    <row r="6" spans="1:7" x14ac:dyDescent="0.3">
      <c r="A6" s="66">
        <v>3243</v>
      </c>
      <c r="B6" s="5">
        <f>+SUMIFS(Tabla16[Importe],Tabla16[MOVIL],Tabla38[[#This Row],[MOVIL]],Tabla16[OBSV],"DESCONTAR POR USO PERSONAL")</f>
        <v>12.6</v>
      </c>
      <c r="C6" s="5">
        <f>+SUMIFS(Tabla16[Importe],Tabla16[MOVIL],Tabla38[[#This Row],[MOVIL]],Tabla16[OBSV],"DESCONTAR POR INCIDENCIA")</f>
        <v>12.6</v>
      </c>
      <c r="D6" s="5">
        <f>+SUMIFS(Tabla16[Importe],Tabla16[MOVIL],Tabla38[[#This Row],[MOVIL]],Tabla16[OBSV],"DESCONTAR SERVICIO EN EFECTIVO")</f>
        <v>12.6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" s="65">
        <f>+VLOOKUP(Tabla38[[#This Row],[MOVIL]],[1]LIQUIDACION!$B:$B,1,0)</f>
        <v>3243</v>
      </c>
    </row>
    <row r="7" spans="1:7" x14ac:dyDescent="0.3">
      <c r="A7" s="66">
        <v>9214</v>
      </c>
      <c r="B7" s="5">
        <f>+SUMIFS(Tabla16[Importe],Tabla16[MOVIL],Tabla38[[#This Row],[MOVIL]],Tabla16[OBSV],"DESCONTAR POR USO PERSONAL")</f>
        <v>0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" s="65">
        <f>+VLOOKUP(Tabla38[[#This Row],[MOVIL]],[1]LIQUIDACION!$B:$B,1,0)</f>
        <v>9214</v>
      </c>
    </row>
    <row r="8" spans="1:7" x14ac:dyDescent="0.3">
      <c r="A8" s="66">
        <v>674</v>
      </c>
      <c r="B8" s="5">
        <f>+SUMIFS(Tabla16[Importe],Tabla16[MOVIL],Tabla38[[#This Row],[MOVIL]],Tabla16[OBSV],"DESCONTAR POR USO PERSONAL")</f>
        <v>18.899999999999999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6.3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" s="65">
        <f>+VLOOKUP(Tabla38[[#This Row],[MOVIL]],[1]LIQUIDACION!$B:$B,1,0)</f>
        <v>674</v>
      </c>
    </row>
    <row r="9" spans="1:7" x14ac:dyDescent="0.3">
      <c r="A9" s="66">
        <v>230</v>
      </c>
      <c r="B9" s="5">
        <f>+SUMIFS(Tabla16[Importe],Tabla16[MOVIL],Tabla38[[#This Row],[MOVIL]],Tabla16[OBSV],"DESCONTAR POR USO PERSONAL")</f>
        <v>25.2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" s="65">
        <f>+VLOOKUP(Tabla38[[#This Row],[MOVIL]],[1]LIQUIDACION!$B:$B,1,0)</f>
        <v>230</v>
      </c>
    </row>
    <row r="10" spans="1:7" x14ac:dyDescent="0.3">
      <c r="A10" s="8">
        <v>7090</v>
      </c>
      <c r="B10" s="5">
        <f>+SUMIFS(Tabla16[Importe],Tabla16[MOVIL],Tabla38[[#This Row],[MOVIL]],Tabla16[OBSV],"DESCONTAR POR USO PERSONAL")</f>
        <v>0</v>
      </c>
      <c r="C10" s="5">
        <f>+SUMIFS(Tabla16[Importe],Tabla16[MOVIL],Tabla38[[#This Row],[MOVIL]],Tabla16[OBSV],"DESCONTAR POR INCIDENCIA")</f>
        <v>12.6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" s="65" t="e">
        <f>+VLOOKUP(Tabla38[[#This Row],[MOVIL]],[1]LIQUIDACION!$B:$B,1,0)</f>
        <v>#N/A</v>
      </c>
    </row>
    <row r="11" spans="1:7" x14ac:dyDescent="0.3">
      <c r="A11" s="66">
        <v>1524</v>
      </c>
      <c r="B11" s="5">
        <f>+SUMIFS(Tabla16[Importe],Tabla16[MOVIL],Tabla38[[#This Row],[MOVIL]],Tabla16[OBSV],"DESCONTAR POR USO PERSONAL")</f>
        <v>56.699999999999989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1" s="65">
        <f>+VLOOKUP(Tabla38[[#This Row],[MOVIL]],[1]LIQUIDACION!$B:$B,1,0)</f>
        <v>1524</v>
      </c>
    </row>
    <row r="12" spans="1:7" x14ac:dyDescent="0.3">
      <c r="A12" s="66">
        <v>7065</v>
      </c>
      <c r="B12" s="5">
        <f>+SUMIFS(Tabla16[Importe],Tabla16[MOVIL],Tabla38[[#This Row],[MOVIL]],Tabla16[OBSV],"DESCONTAR POR USO PERSONAL")</f>
        <v>6.3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" s="65">
        <f>+VLOOKUP(Tabla38[[#This Row],[MOVIL]],[1]LIQUIDACION!$B:$B,1,0)</f>
        <v>7065</v>
      </c>
    </row>
    <row r="13" spans="1:7" x14ac:dyDescent="0.3">
      <c r="A13" s="66">
        <v>766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" s="65">
        <f>+VLOOKUP(Tabla38[[#This Row],[MOVIL]],[1]LIQUIDACION!$B:$B,1,0)</f>
        <v>766</v>
      </c>
    </row>
    <row r="14" spans="1:7" x14ac:dyDescent="0.3">
      <c r="A14" s="66">
        <v>2308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65">
        <f>+VLOOKUP(Tabla38[[#This Row],[MOVIL]],[1]LIQUIDACION!$B:$B,1,0)</f>
        <v>2308</v>
      </c>
    </row>
    <row r="15" spans="1:7" x14ac:dyDescent="0.3">
      <c r="A15" s="66">
        <v>826</v>
      </c>
      <c r="B15" s="5">
        <f>+SUMIFS(Tabla16[Importe],Tabla16[MOVIL],Tabla38[[#This Row],[MOVIL]],Tabla16[OBSV],"DESCONTAR POR USO PERSONAL")</f>
        <v>18.899999999999999</v>
      </c>
      <c r="C15" s="5">
        <f>+SUMIFS(Tabla16[Importe],Tabla16[MOVIL],Tabla38[[#This Row],[MOVIL]],Tabla16[OBSV],"DESCONTAR POR INCIDENCIA")</f>
        <v>12.6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5" s="65">
        <f>+VLOOKUP(Tabla38[[#This Row],[MOVIL]],[1]LIQUIDACION!$B:$B,1,0)</f>
        <v>826</v>
      </c>
    </row>
    <row r="16" spans="1:7" x14ac:dyDescent="0.3">
      <c r="A16" s="8">
        <v>7045</v>
      </c>
      <c r="B16" s="5">
        <f>+SUMIFS(Tabla16[Importe],Tabla16[MOVIL],Tabla38[[#This Row],[MOVIL]],Tabla16[OBSV],"DESCONTAR POR USO PERSONAL")</f>
        <v>25.2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" s="65" t="e">
        <f>+VLOOKUP(Tabla38[[#This Row],[MOVIL]],[1]LIQUIDACION!$B:$B,1,0)</f>
        <v>#N/A</v>
      </c>
    </row>
    <row r="17" spans="1:7" x14ac:dyDescent="0.3">
      <c r="A17" s="66">
        <v>3683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" s="65">
        <f>+VLOOKUP(Tabla38[[#This Row],[MOVIL]],[1]LIQUIDACION!$B:$B,1,0)</f>
        <v>3683</v>
      </c>
    </row>
    <row r="18" spans="1:7" x14ac:dyDescent="0.3">
      <c r="A18" s="8">
        <v>9259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" s="65" t="e">
        <f>+VLOOKUP(Tabla38[[#This Row],[MOVIL]],[1]LIQUIDACION!$B:$B,1,0)</f>
        <v>#N/A</v>
      </c>
    </row>
    <row r="19" spans="1:7" x14ac:dyDescent="0.3">
      <c r="A19" s="66">
        <v>2463</v>
      </c>
      <c r="B19" s="5">
        <f>+SUMIFS(Tabla16[Importe],Tabla16[MOVIL],Tabla38[[#This Row],[MOVIL]],Tabla16[OBSV],"DESCONTAR POR USO PERSONAL")</f>
        <v>6.3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" s="65">
        <f>+VLOOKUP(Tabla38[[#This Row],[MOVIL]],[1]LIQUIDACION!$B:$B,1,0)</f>
        <v>2463</v>
      </c>
    </row>
    <row r="20" spans="1:7" x14ac:dyDescent="0.3">
      <c r="A20" s="8">
        <v>9761</v>
      </c>
      <c r="B20" s="5">
        <f>+SUMIFS(Tabla16[Importe],Tabla16[MOVIL],Tabla38[[#This Row],[MOVIL]],Tabla16[OBSV],"DESCONTAR POR USO PERSONAL")</f>
        <v>37.799999999999997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" s="65" t="e">
        <f>+VLOOKUP(Tabla38[[#This Row],[MOVIL]],[1]LIQUIDACION!$B:$B,1,0)</f>
        <v>#N/A</v>
      </c>
    </row>
    <row r="21" spans="1:7" x14ac:dyDescent="0.3">
      <c r="A21" s="66">
        <v>9226</v>
      </c>
      <c r="B21" s="5">
        <f>+SUMIFS(Tabla16[Importe],Tabla16[MOVIL],Tabla38[[#This Row],[MOVIL]],Tabla16[OBSV],"DESCONTAR POR USO PERSONAL")</f>
        <v>0</v>
      </c>
      <c r="C21" s="5">
        <f>+SUMIFS(Tabla16[Importe],Tabla16[MOVIL],Tabla38[[#This Row],[MOVIL]],Tabla16[OBSV],"DESCONTAR POR INCIDENCIA")</f>
        <v>12.6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" s="65">
        <f>+VLOOKUP(Tabla38[[#This Row],[MOVIL]],[1]LIQUIDACION!$B:$B,1,0)</f>
        <v>9226</v>
      </c>
    </row>
    <row r="22" spans="1:7" x14ac:dyDescent="0.3">
      <c r="A22" s="66">
        <v>2848</v>
      </c>
      <c r="B22" s="5">
        <f>+SUMIFS(Tabla16[Importe],Tabla16[MOVIL],Tabla38[[#This Row],[MOVIL]],Tabla16[OBSV],"DESCONTAR POR USO PERSONAL")</f>
        <v>18.899999999999999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" s="65">
        <f>+VLOOKUP(Tabla38[[#This Row],[MOVIL]],[1]LIQUIDACION!$B:$B,1,0)</f>
        <v>2848</v>
      </c>
    </row>
    <row r="23" spans="1:7" x14ac:dyDescent="0.3">
      <c r="A23" s="66">
        <v>790</v>
      </c>
      <c r="B23" s="5">
        <f>+SUMIFS(Tabla16[Importe],Tabla16[MOVIL],Tabla38[[#This Row],[MOVIL]],Tabla16[OBSV],"DESCONTAR POR USO PERSONAL")</f>
        <v>12.6</v>
      </c>
      <c r="C23" s="5">
        <f>+SUMIFS(Tabla16[Importe],Tabla16[MOVIL],Tabla38[[#This Row],[MOVIL]],Tabla16[OBSV],"DESCONTAR POR INCIDENCIA")</f>
        <v>6.3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" s="65">
        <f>+VLOOKUP(Tabla38[[#This Row],[MOVIL]],[1]LIQUIDACION!$B:$B,1,0)</f>
        <v>790</v>
      </c>
    </row>
    <row r="24" spans="1:7" x14ac:dyDescent="0.3">
      <c r="A24" s="8">
        <v>7438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65" t="e">
        <f>+VLOOKUP(Tabla38[[#This Row],[MOVIL]],[1]LIQUIDACION!$B:$B,1,0)</f>
        <v>#N/A</v>
      </c>
    </row>
    <row r="25" spans="1:7" x14ac:dyDescent="0.3">
      <c r="A25" s="66">
        <v>529</v>
      </c>
      <c r="B25" s="5">
        <f>+SUMIFS(Tabla16[Importe],Tabla16[MOVIL],Tabla38[[#This Row],[MOVIL]],Tabla16[OBSV],"DESCONTAR POR USO PERSONAL")</f>
        <v>18.899999999999999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" s="65">
        <f>+VLOOKUP(Tabla38[[#This Row],[MOVIL]],[1]LIQUIDACION!$B:$B,1,0)</f>
        <v>529</v>
      </c>
    </row>
    <row r="26" spans="1:7" x14ac:dyDescent="0.3">
      <c r="A26" s="66">
        <v>660</v>
      </c>
      <c r="B26" s="5">
        <f>+SUMIFS(Tabla16[Importe],Tabla16[MOVIL],Tabla38[[#This Row],[MOVIL]],Tabla16[OBSV],"DESCONTAR POR USO PERSONAL")</f>
        <v>25.2</v>
      </c>
      <c r="C26" s="5">
        <f>+SUMIFS(Tabla16[Importe],Tabla16[MOVIL],Tabla38[[#This Row],[MOVIL]],Tabla16[OBSV],"DESCONTAR POR INCIDENCIA")</f>
        <v>6.3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" s="65">
        <f>+VLOOKUP(Tabla38[[#This Row],[MOVIL]],[1]LIQUIDACION!$B:$B,1,0)</f>
        <v>660</v>
      </c>
    </row>
    <row r="27" spans="1:7" x14ac:dyDescent="0.3">
      <c r="A27" s="66">
        <v>3775</v>
      </c>
      <c r="B27" s="5">
        <f>+SUMIFS(Tabla16[Importe],Tabla16[MOVIL],Tabla38[[#This Row],[MOVIL]],Tabla16[OBSV],"DESCONTAR POR USO PERSONAL")</f>
        <v>6.3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" s="65">
        <f>+VLOOKUP(Tabla38[[#This Row],[MOVIL]],[1]LIQUIDACION!$B:$B,1,0)</f>
        <v>3775</v>
      </c>
    </row>
    <row r="28" spans="1:7" x14ac:dyDescent="0.3">
      <c r="A28" s="66">
        <v>2278</v>
      </c>
      <c r="B28" s="5">
        <f>+SUMIFS(Tabla16[Importe],Tabla16[MOVIL],Tabla38[[#This Row],[MOVIL]],Tabla16[OBSV],"DESCONTAR POR USO PERSONAL")</f>
        <v>25.2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" s="65">
        <f>+VLOOKUP(Tabla38[[#This Row],[MOVIL]],[1]LIQUIDACION!$B:$B,1,0)</f>
        <v>2278</v>
      </c>
    </row>
    <row r="29" spans="1:7" x14ac:dyDescent="0.3">
      <c r="A29" s="8">
        <v>2736</v>
      </c>
      <c r="B29" s="5">
        <f>+SUMIFS(Tabla16[Importe],Tabla16[MOVIL],Tabla38[[#This Row],[MOVIL]],Tabla16[OBSV],"DESCONTAR POR USO PERSONAL")</f>
        <v>6.3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" s="65" t="e">
        <f>+VLOOKUP(Tabla38[[#This Row],[MOVIL]],[1]LIQUIDACION!$B:$B,1,0)</f>
        <v>#N/A</v>
      </c>
    </row>
    <row r="30" spans="1:7" x14ac:dyDescent="0.3">
      <c r="A30" s="66">
        <v>633</v>
      </c>
      <c r="B30" s="5">
        <f>+SUMIFS(Tabla16[Importe],Tabla16[MOVIL],Tabla38[[#This Row],[MOVIL]],Tabla16[OBSV],"DESCONTAR POR USO PERSONAL")</f>
        <v>6.3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" s="65">
        <f>+VLOOKUP(Tabla38[[#This Row],[MOVIL]],[1]LIQUIDACION!$B:$B,1,0)</f>
        <v>633</v>
      </c>
    </row>
    <row r="31" spans="1:7" x14ac:dyDescent="0.3">
      <c r="A31" s="66">
        <v>1445</v>
      </c>
      <c r="B31" s="5">
        <f>+SUMIFS(Tabla16[Importe],Tabla16[MOVIL],Tabla38[[#This Row],[MOVIL]],Tabla16[OBSV],"DESCONTAR POR USO PERSONAL")</f>
        <v>31.5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25.2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31" s="65">
        <f>+VLOOKUP(Tabla38[[#This Row],[MOVIL]],[1]LIQUIDACION!$B:$B,1,0)</f>
        <v>1445</v>
      </c>
    </row>
    <row r="32" spans="1:7" x14ac:dyDescent="0.3">
      <c r="A32" s="66">
        <v>1226</v>
      </c>
      <c r="B32" s="5">
        <f>+SUMIFS(Tabla16[Importe],Tabla16[MOVIL],Tabla38[[#This Row],[MOVIL]],Tabla16[OBSV],"DESCONTAR POR USO PERSONAL")</f>
        <v>12.6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" s="65">
        <f>+VLOOKUP(Tabla38[[#This Row],[MOVIL]],[1]LIQUIDACION!$B:$B,1,0)</f>
        <v>1226</v>
      </c>
    </row>
    <row r="33" spans="1:7" x14ac:dyDescent="0.3">
      <c r="A33" s="66">
        <v>553</v>
      </c>
      <c r="B33" s="5">
        <f>+SUMIFS(Tabla16[Importe],Tabla16[MOVIL],Tabla38[[#This Row],[MOVIL]],Tabla16[OBSV],"DESCONTAR POR USO PERSONAL")</f>
        <v>0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" s="65">
        <f>+VLOOKUP(Tabla38[[#This Row],[MOVIL]],[1]LIQUIDACION!$B:$B,1,0)</f>
        <v>553</v>
      </c>
    </row>
    <row r="34" spans="1:7" x14ac:dyDescent="0.3">
      <c r="A34" s="66">
        <v>3160</v>
      </c>
      <c r="B34" s="5">
        <f>+SUMIFS(Tabla16[Importe],Tabla16[MOVIL],Tabla38[[#This Row],[MOVIL]],Tabla16[OBSV],"DESCONTAR POR USO PERSONAL")</f>
        <v>6.3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" s="65">
        <f>+VLOOKUP(Tabla38[[#This Row],[MOVIL]],[1]LIQUIDACION!$B:$B,1,0)</f>
        <v>3160</v>
      </c>
    </row>
    <row r="35" spans="1:7" x14ac:dyDescent="0.3">
      <c r="A35" s="8">
        <v>9334</v>
      </c>
      <c r="B35" s="5">
        <f>+SUMIFS(Tabla16[Importe],Tabla16[MOVIL],Tabla38[[#This Row],[MOVIL]],Tabla16[OBSV],"DESCONTAR POR USO PERSONAL")</f>
        <v>6.3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" s="65" t="e">
        <f>+VLOOKUP(Tabla38[[#This Row],[MOVIL]],[1]LIQUIDACION!$B:$B,1,0)</f>
        <v>#N/A</v>
      </c>
    </row>
    <row r="36" spans="1:7" x14ac:dyDescent="0.3">
      <c r="A36" s="8">
        <v>9604</v>
      </c>
      <c r="B36" s="5">
        <f>+SUMIFS(Tabla16[Importe],Tabla16[MOVIL],Tabla38[[#This Row],[MOVIL]],Tabla16[OBSV],"DESCONTAR POR USO PERSONAL")</f>
        <v>31.5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" s="65" t="e">
        <f>+VLOOKUP(Tabla38[[#This Row],[MOVIL]],[1]LIQUIDACION!$B:$B,1,0)</f>
        <v>#N/A</v>
      </c>
    </row>
    <row r="37" spans="1:7" x14ac:dyDescent="0.3">
      <c r="A37" s="66">
        <v>807</v>
      </c>
      <c r="B37" s="5">
        <f>+SUMIFS(Tabla16[Importe],Tabla16[MOVIL],Tabla38[[#This Row],[MOVIL]],Tabla16[OBSV],"DESCONTAR POR USO PERSONAL")</f>
        <v>6.3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6.3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" s="65">
        <f>+VLOOKUP(Tabla38[[#This Row],[MOVIL]],[1]LIQUIDACION!$B:$B,1,0)</f>
        <v>807</v>
      </c>
    </row>
    <row r="38" spans="1:7" x14ac:dyDescent="0.3">
      <c r="A38" s="66">
        <v>1537</v>
      </c>
      <c r="B38" s="5">
        <f>+SUMIFS(Tabla16[Importe],Tabla16[MOVIL],Tabla38[[#This Row],[MOVIL]],Tabla16[OBSV],"DESCONTAR POR USO PERSONAL")</f>
        <v>12.6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" s="65">
        <f>+VLOOKUP(Tabla38[[#This Row],[MOVIL]],[1]LIQUIDACION!$B:$B,1,0)</f>
        <v>1537</v>
      </c>
    </row>
    <row r="39" spans="1:7" x14ac:dyDescent="0.3">
      <c r="A39" s="66">
        <v>1673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" s="65">
        <f>+VLOOKUP(Tabla38[[#This Row],[MOVIL]],[1]LIQUIDACION!$B:$B,1,0)</f>
        <v>1673</v>
      </c>
    </row>
    <row r="40" spans="1:7" x14ac:dyDescent="0.3">
      <c r="A40" s="8">
        <v>9245</v>
      </c>
      <c r="B40" s="5">
        <f>+SUMIFS(Tabla16[Importe],Tabla16[MOVIL],Tabla38[[#This Row],[MOVIL]],Tabla16[OBSV],"DESCONTAR POR USO PERSONAL")</f>
        <v>12.6</v>
      </c>
      <c r="C40" s="5">
        <f>+SUMIFS(Tabla16[Importe],Tabla16[MOVIL],Tabla38[[#This Row],[MOVIL]],Tabla16[OBSV],"DESCONTAR POR INCIDENCIA")</f>
        <v>12.6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" s="65" t="e">
        <f>+VLOOKUP(Tabla38[[#This Row],[MOVIL]],[1]LIQUIDACION!$B:$B,1,0)</f>
        <v>#N/A</v>
      </c>
    </row>
    <row r="41" spans="1:7" x14ac:dyDescent="0.3">
      <c r="A41" s="66">
        <v>1915</v>
      </c>
      <c r="B41" s="5">
        <f>+SUMIFS(Tabla16[Importe],Tabla16[MOVIL],Tabla38[[#This Row],[MOVIL]],Tabla16[OBSV],"DESCONTAR POR USO PERSONAL")</f>
        <v>31.5</v>
      </c>
      <c r="C41" s="5">
        <f>+SUMIFS(Tabla16[Importe],Tabla16[MOVIL],Tabla38[[#This Row],[MOVIL]],Tabla16[OBSV],"DESCONTAR POR INCIDENCIA")</f>
        <v>6.3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" s="65">
        <f>+VLOOKUP(Tabla38[[#This Row],[MOVIL]],[1]LIQUIDACION!$B:$B,1,0)</f>
        <v>1915</v>
      </c>
    </row>
    <row r="42" spans="1:7" x14ac:dyDescent="0.3">
      <c r="A42" s="66">
        <v>5142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" s="65">
        <f>+VLOOKUP(Tabla38[[#This Row],[MOVIL]],[1]LIQUIDACION!$B:$B,1,0)</f>
        <v>5142</v>
      </c>
    </row>
    <row r="43" spans="1:7" x14ac:dyDescent="0.3">
      <c r="A43" s="66">
        <v>3289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" s="65">
        <f>+VLOOKUP(Tabla38[[#This Row],[MOVIL]],[1]LIQUIDACION!$B:$B,1,0)</f>
        <v>3289</v>
      </c>
    </row>
    <row r="44" spans="1:7" x14ac:dyDescent="0.3">
      <c r="A44" s="66">
        <v>5032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" s="65">
        <f>+VLOOKUP(Tabla38[[#This Row],[MOVIL]],[1]LIQUIDACION!$B:$B,1,0)</f>
        <v>5032</v>
      </c>
    </row>
    <row r="45" spans="1:7" x14ac:dyDescent="0.3">
      <c r="A45" s="66">
        <v>680</v>
      </c>
      <c r="B45" s="5">
        <f>+SUMIFS(Tabla16[Importe],Tabla16[MOVIL],Tabla38[[#This Row],[MOVIL]],Tabla16[OBSV],"DESCONTAR POR USO PERSONAL")</f>
        <v>6.3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5" s="65">
        <f>+VLOOKUP(Tabla38[[#This Row],[MOVIL]],[1]LIQUIDACION!$B:$B,1,0)</f>
        <v>680</v>
      </c>
    </row>
    <row r="46" spans="1:7" x14ac:dyDescent="0.3">
      <c r="A46" s="66">
        <v>1601</v>
      </c>
      <c r="B46" s="5">
        <f>+SUMIFS(Tabla16[Importe],Tabla16[MOVIL],Tabla38[[#This Row],[MOVIL]],Tabla16[OBSV],"DESCONTAR POR USO PERSONAL")</f>
        <v>94.499999999999972</v>
      </c>
      <c r="C46" s="5">
        <f>+SUMIFS(Tabla16[Importe],Tabla16[MOVIL],Tabla38[[#This Row],[MOVIL]],Tabla16[OBSV],"DESCONTAR POR INCIDENCIA")</f>
        <v>6.3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46" s="65">
        <f>+VLOOKUP(Tabla38[[#This Row],[MOVIL]],[1]LIQUIDACION!$B:$B,1,0)</f>
        <v>1601</v>
      </c>
    </row>
    <row r="47" spans="1:7" x14ac:dyDescent="0.3">
      <c r="A47" s="66">
        <v>831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7" s="65">
        <f>+VLOOKUP(Tabla38[[#This Row],[MOVIL]],[1]LIQUIDACION!$B:$B,1,0)</f>
        <v>831</v>
      </c>
    </row>
    <row r="48" spans="1:7" x14ac:dyDescent="0.3">
      <c r="A48" s="66">
        <v>1532</v>
      </c>
      <c r="B48" s="5">
        <f>+SUMIFS(Tabla16[Importe],Tabla16[MOVIL],Tabla38[[#This Row],[MOVIL]],Tabla16[OBSV],"DESCONTAR POR USO PERSONAL")</f>
        <v>37.799999999999997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8" s="65">
        <f>+VLOOKUP(Tabla38[[#This Row],[MOVIL]],[1]LIQUIDACION!$B:$B,1,0)</f>
        <v>1532</v>
      </c>
    </row>
    <row r="49" spans="1:7" x14ac:dyDescent="0.3">
      <c r="A49" s="66">
        <v>7027</v>
      </c>
      <c r="B49" s="5">
        <f>+SUMIFS(Tabla16[Importe],Tabla16[MOVIL],Tabla38[[#This Row],[MOVIL]],Tabla16[OBSV],"DESCONTAR POR USO PERSONAL")</f>
        <v>44.099999999999994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9" s="65">
        <f>+VLOOKUP(Tabla38[[#This Row],[MOVIL]],[1]LIQUIDACION!$B:$B,1,0)</f>
        <v>7027</v>
      </c>
    </row>
    <row r="50" spans="1:7" x14ac:dyDescent="0.3">
      <c r="A50" s="66">
        <v>1875</v>
      </c>
      <c r="B50" s="5">
        <f>+SUMIFS(Tabla16[Importe],Tabla16[MOVIL],Tabla38[[#This Row],[MOVIL]],Tabla16[OBSV],"DESCONTAR POR USO PERSONAL")</f>
        <v>18.899999999999999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0" s="65">
        <f>+VLOOKUP(Tabla38[[#This Row],[MOVIL]],[1]LIQUIDACION!$B:$B,1,0)</f>
        <v>1875</v>
      </c>
    </row>
    <row r="51" spans="1:7" x14ac:dyDescent="0.3">
      <c r="A51" s="66">
        <v>2547</v>
      </c>
      <c r="B51" s="5">
        <f>+SUMIFS(Tabla16[Importe],Tabla16[MOVIL],Tabla38[[#This Row],[MOVIL]],Tabla16[OBSV],"DESCONTAR POR USO PERSONAL")</f>
        <v>31.5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1" s="65">
        <f>+VLOOKUP(Tabla38[[#This Row],[MOVIL]],[1]LIQUIDACION!$B:$B,1,0)</f>
        <v>2547</v>
      </c>
    </row>
    <row r="52" spans="1:7" x14ac:dyDescent="0.3">
      <c r="A52" s="66">
        <v>9626</v>
      </c>
      <c r="B52" s="5">
        <f>+SUMIFS(Tabla16[Importe],Tabla16[MOVIL],Tabla38[[#This Row],[MOVIL]],Tabla16[OBSV],"DESCONTAR POR USO PERSONAL")</f>
        <v>6.3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2" s="65">
        <f>+VLOOKUP(Tabla38[[#This Row],[MOVIL]],[1]LIQUIDACION!$B:$B,1,0)</f>
        <v>9626</v>
      </c>
    </row>
    <row r="53" spans="1:7" x14ac:dyDescent="0.3">
      <c r="A53" s="66">
        <v>251</v>
      </c>
      <c r="B53" s="5">
        <f>+SUMIFS(Tabla16[Importe],Tabla16[MOVIL],Tabla38[[#This Row],[MOVIL]],Tabla16[OBSV],"DESCONTAR POR USO PERSONAL")</f>
        <v>62.999999999999986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25.2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53" s="65">
        <f>+VLOOKUP(Tabla38[[#This Row],[MOVIL]],[1]LIQUIDACION!$B:$B,1,0)</f>
        <v>251</v>
      </c>
    </row>
    <row r="54" spans="1:7" x14ac:dyDescent="0.3">
      <c r="A54" s="66">
        <v>301</v>
      </c>
      <c r="B54" s="5">
        <f>+SUMIFS(Tabla16[Importe],Tabla16[MOVIL],Tabla38[[#This Row],[MOVIL]],Tabla16[OBSV],"DESCONTAR POR USO PERSONAL")</f>
        <v>0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4" s="65">
        <f>+VLOOKUP(Tabla38[[#This Row],[MOVIL]],[1]LIQUIDACION!$B:$B,1,0)</f>
        <v>301</v>
      </c>
    </row>
    <row r="55" spans="1:7" x14ac:dyDescent="0.3">
      <c r="A55" s="66">
        <v>3703</v>
      </c>
      <c r="B55" s="5">
        <f>+SUMIFS(Tabla16[Importe],Tabla16[MOVIL],Tabla38[[#This Row],[MOVIL]],Tabla16[OBSV],"DESCONTAR POR USO PERSONAL")</f>
        <v>12.6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5" s="65">
        <f>+VLOOKUP(Tabla38[[#This Row],[MOVIL]],[1]LIQUIDACION!$B:$B,1,0)</f>
        <v>3703</v>
      </c>
    </row>
    <row r="56" spans="1:7" x14ac:dyDescent="0.3">
      <c r="A56" s="66">
        <v>380</v>
      </c>
      <c r="B56" s="5">
        <f>+SUMIFS(Tabla16[Importe],Tabla16[MOVIL],Tabla38[[#This Row],[MOVIL]],Tabla16[OBSV],"DESCONTAR POR USO PERSONAL")</f>
        <v>0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6.3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6" s="65">
        <f>+VLOOKUP(Tabla38[[#This Row],[MOVIL]],[1]LIQUIDACION!$B:$B,1,0)</f>
        <v>380</v>
      </c>
    </row>
    <row r="57" spans="1:7" x14ac:dyDescent="0.3">
      <c r="A57" s="66">
        <v>227</v>
      </c>
      <c r="B57" s="5">
        <f>+SUMIFS(Tabla16[Importe],Tabla16[MOVIL],Tabla38[[#This Row],[MOVIL]],Tabla16[OBSV],"DESCONTAR POR USO PERSONAL")</f>
        <v>25.2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7" s="65">
        <f>+VLOOKUP(Tabla38[[#This Row],[MOVIL]],[1]LIQUIDACION!$B:$B,1,0)</f>
        <v>227</v>
      </c>
    </row>
    <row r="58" spans="1:7" x14ac:dyDescent="0.3">
      <c r="A58" s="66">
        <v>658</v>
      </c>
      <c r="B58" s="5">
        <f>+SUMIFS(Tabla16[Importe],Tabla16[MOVIL],Tabla38[[#This Row],[MOVIL]],Tabla16[OBSV],"DESCONTAR POR USO PERSONAL")</f>
        <v>12.6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8" s="65">
        <f>+VLOOKUP(Tabla38[[#This Row],[MOVIL]],[1]LIQUIDACION!$B:$B,1,0)</f>
        <v>658</v>
      </c>
    </row>
    <row r="59" spans="1:7" x14ac:dyDescent="0.3">
      <c r="A59" s="66">
        <v>3041</v>
      </c>
      <c r="B59" s="5">
        <f>+SUMIFS(Tabla16[Importe],Tabla16[MOVIL],Tabla38[[#This Row],[MOVIL]],Tabla16[OBSV],"DESCONTAR POR USO PERSONAL")</f>
        <v>25.2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9" s="65">
        <f>+VLOOKUP(Tabla38[[#This Row],[MOVIL]],[1]LIQUIDACION!$B:$B,1,0)</f>
        <v>3041</v>
      </c>
    </row>
    <row r="60" spans="1:7" x14ac:dyDescent="0.3">
      <c r="A60" s="66">
        <v>9004</v>
      </c>
      <c r="B60" s="5">
        <f>+SUMIFS(Tabla16[Importe],Tabla16[MOVIL],Tabla38[[#This Row],[MOVIL]],Tabla16[OBSV],"DESCONTAR POR USO PERSONAL")</f>
        <v>6.3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0" s="65">
        <f>+VLOOKUP(Tabla38[[#This Row],[MOVIL]],[1]LIQUIDACION!$B:$B,1,0)</f>
        <v>9004</v>
      </c>
    </row>
    <row r="61" spans="1:7" x14ac:dyDescent="0.3">
      <c r="A61" s="66">
        <v>1576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1" s="65">
        <f>+VLOOKUP(Tabla38[[#This Row],[MOVIL]],[1]LIQUIDACION!$B:$B,1,0)</f>
        <v>1576</v>
      </c>
    </row>
    <row r="62" spans="1:7" x14ac:dyDescent="0.3">
      <c r="A62" s="66">
        <v>9636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2" s="65">
        <f>+VLOOKUP(Tabla38[[#This Row],[MOVIL]],[1]LIQUIDACION!$B:$B,1,0)</f>
        <v>9636</v>
      </c>
    </row>
    <row r="63" spans="1:7" x14ac:dyDescent="0.3">
      <c r="A63" s="66">
        <v>9991</v>
      </c>
      <c r="B63" s="5">
        <f>+SUMIFS(Tabla16[Importe],Tabla16[MOVIL],Tabla38[[#This Row],[MOVIL]],Tabla16[OBSV],"DESCONTAR POR USO PERSONAL")</f>
        <v>50.399999999999991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63" s="65">
        <f>+VLOOKUP(Tabla38[[#This Row],[MOVIL]],[1]LIQUIDACION!$B:$B,1,0)</f>
        <v>9991</v>
      </c>
    </row>
    <row r="64" spans="1:7" x14ac:dyDescent="0.3">
      <c r="A64" s="66">
        <v>795</v>
      </c>
      <c r="B64" s="5">
        <f>+SUMIFS(Tabla16[Importe],Tabla16[MOVIL],Tabla38[[#This Row],[MOVIL]],Tabla16[OBSV],"DESCONTAR POR USO PERSONAL")</f>
        <v>25.2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4" s="65">
        <f>+VLOOKUP(Tabla38[[#This Row],[MOVIL]],[1]LIQUIDACION!$B:$B,1,0)</f>
        <v>795</v>
      </c>
    </row>
    <row r="65" spans="1:7" x14ac:dyDescent="0.3">
      <c r="A65" s="66">
        <v>1447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5" s="65">
        <f>+VLOOKUP(Tabla38[[#This Row],[MOVIL]],[1]LIQUIDACION!$B:$B,1,0)</f>
        <v>1447</v>
      </c>
    </row>
    <row r="66" spans="1:7" x14ac:dyDescent="0.3">
      <c r="A66" s="66">
        <v>4286</v>
      </c>
      <c r="B66" s="5">
        <f>+SUMIFS(Tabla16[Importe],Tabla16[MOVIL],Tabla38[[#This Row],[MOVIL]],Tabla16[OBSV],"DESCONTAR POR USO PERSONAL")</f>
        <v>44.099999999999994</v>
      </c>
      <c r="C66" s="5">
        <f>+SUMIFS(Tabla16[Importe],Tabla16[MOVIL],Tabla38[[#This Row],[MOVIL]],Tabla16[OBSV],"DESCONTAR POR INCIDENCIA")</f>
        <v>12.6</v>
      </c>
      <c r="D66" s="5">
        <f>+SUMIFS(Tabla16[Importe],Tabla16[MOVIL],Tabla38[[#This Row],[MOVIL]],Tabla16[OBSV],"DESCONTAR SERVICIO EN EFECTIVO")</f>
        <v>12.6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66" s="65">
        <f>+VLOOKUP(Tabla38[[#This Row],[MOVIL]],[1]LIQUIDACION!$B:$B,1,0)</f>
        <v>4286</v>
      </c>
    </row>
    <row r="67" spans="1:7" x14ac:dyDescent="0.3">
      <c r="A67" s="8">
        <v>9424</v>
      </c>
      <c r="B67" s="5">
        <f>+SUMIFS(Tabla16[Importe],Tabla16[MOVIL],Tabla38[[#This Row],[MOVIL]],Tabla16[OBSV],"DESCONTAR POR USO PERSONAL")</f>
        <v>25.2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7" s="65" t="e">
        <f>+VLOOKUP(Tabla38[[#This Row],[MOVIL]],[1]LIQUIDACION!$B:$B,1,0)</f>
        <v>#N/A</v>
      </c>
    </row>
    <row r="68" spans="1:7" x14ac:dyDescent="0.3">
      <c r="A68" s="66">
        <v>1416</v>
      </c>
      <c r="B68" s="5">
        <f>+SUMIFS(Tabla16[Importe],Tabla16[MOVIL],Tabla38[[#This Row],[MOVIL]],Tabla16[OBSV],"DESCONTAR POR USO PERSONAL")</f>
        <v>12.6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8" s="65">
        <f>+VLOOKUP(Tabla38[[#This Row],[MOVIL]],[1]LIQUIDACION!$B:$B,1,0)</f>
        <v>1416</v>
      </c>
    </row>
    <row r="69" spans="1:7" x14ac:dyDescent="0.3">
      <c r="A69" s="66">
        <v>2520</v>
      </c>
      <c r="B69" s="5">
        <f>+SUMIFS(Tabla16[Importe],Tabla16[MOVIL],Tabla38[[#This Row],[MOVIL]],Tabla16[OBSV],"DESCONTAR POR USO PERSONAL")</f>
        <v>6.3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9" s="65">
        <f>+VLOOKUP(Tabla38[[#This Row],[MOVIL]],[1]LIQUIDACION!$B:$B,1,0)</f>
        <v>2520</v>
      </c>
    </row>
    <row r="70" spans="1:7" x14ac:dyDescent="0.3">
      <c r="A70" s="66">
        <v>2501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0" s="65">
        <f>+VLOOKUP(Tabla38[[#This Row],[MOVIL]],[1]LIQUIDACION!$B:$B,1,0)</f>
        <v>2501</v>
      </c>
    </row>
    <row r="71" spans="1:7" x14ac:dyDescent="0.3">
      <c r="A71" s="66">
        <v>423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1" s="65">
        <f>+VLOOKUP(Tabla38[[#This Row],[MOVIL]],[1]LIQUIDACION!$B:$B,1,0)</f>
        <v>423</v>
      </c>
    </row>
    <row r="72" spans="1:7" x14ac:dyDescent="0.3">
      <c r="A72" s="66">
        <v>2005</v>
      </c>
      <c r="B72" s="5">
        <f>+SUMIFS(Tabla16[Importe],Tabla16[MOVIL],Tabla38[[#This Row],[MOVIL]],Tabla16[OBSV],"DESCONTAR POR USO PERSONAL")</f>
        <v>0</v>
      </c>
      <c r="C72" s="5">
        <f>+SUMIFS(Tabla16[Importe],Tabla16[MOVIL],Tabla38[[#This Row],[MOVIL]],Tabla16[OBSV],"DESCONTAR POR INCIDENCIA")</f>
        <v>12.6</v>
      </c>
      <c r="D72" s="5">
        <f>+SUMIFS(Tabla16[Importe],Tabla16[MOVIL],Tabla38[[#This Row],[MOVIL]],Tabla16[OBSV],"DESCONTAR SERVICIO EN EFECTIVO")</f>
        <v>12.6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2" s="65">
        <f>+VLOOKUP(Tabla38[[#This Row],[MOVIL]],[1]LIQUIDACION!$B:$B,1,0)</f>
        <v>2005</v>
      </c>
    </row>
    <row r="73" spans="1:7" x14ac:dyDescent="0.3">
      <c r="A73" s="66">
        <v>707</v>
      </c>
      <c r="B73" s="5">
        <f>+SUMIFS(Tabla16[Importe],Tabla16[MOVIL],Tabla38[[#This Row],[MOVIL]],Tabla16[OBSV],"DESCONTAR POR USO PERSONAL")</f>
        <v>25.2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3" s="65">
        <f>+VLOOKUP(Tabla38[[#This Row],[MOVIL]],[1]LIQUIDACION!$B:$B,1,0)</f>
        <v>707</v>
      </c>
    </row>
    <row r="74" spans="1:7" x14ac:dyDescent="0.3">
      <c r="A74" s="66">
        <v>846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12.6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4" s="65">
        <f>+VLOOKUP(Tabla38[[#This Row],[MOVIL]],[1]LIQUIDACION!$B:$B,1,0)</f>
        <v>846</v>
      </c>
    </row>
    <row r="75" spans="1:7" x14ac:dyDescent="0.3">
      <c r="A75" s="8">
        <v>7116</v>
      </c>
      <c r="B75" s="5">
        <f>+SUMIFS(Tabla16[Importe],Tabla16[MOVIL],Tabla38[[#This Row],[MOVIL]],Tabla16[OBSV],"DESCONTAR POR USO PERSONAL")</f>
        <v>12.6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5" s="65" t="e">
        <f>+VLOOKUP(Tabla38[[#This Row],[MOVIL]],[1]LIQUIDACION!$B:$B,1,0)</f>
        <v>#N/A</v>
      </c>
    </row>
    <row r="76" spans="1:7" x14ac:dyDescent="0.3">
      <c r="A76" s="66">
        <v>1594</v>
      </c>
      <c r="B76" s="5">
        <f>+SUMIFS(Tabla16[Importe],Tabla16[MOVIL],Tabla38[[#This Row],[MOVIL]],Tabla16[OBSV],"DESCONTAR POR USO PERSONAL")</f>
        <v>31.5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12.6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76" s="65">
        <f>+VLOOKUP(Tabla38[[#This Row],[MOVIL]],[1]LIQUIDACION!$B:$B,1,0)</f>
        <v>1594</v>
      </c>
    </row>
    <row r="77" spans="1:7" x14ac:dyDescent="0.3">
      <c r="A77" s="66">
        <v>3047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7" s="65">
        <f>+VLOOKUP(Tabla38[[#This Row],[MOVIL]],[1]LIQUIDACION!$B:$B,1,0)</f>
        <v>3047</v>
      </c>
    </row>
    <row r="78" spans="1:7" x14ac:dyDescent="0.3">
      <c r="A78" s="66">
        <v>2051</v>
      </c>
      <c r="B78" s="5">
        <f>+SUMIFS(Tabla16[Importe],Tabla16[MOVIL],Tabla38[[#This Row],[MOVIL]],Tabla16[OBSV],"DESCONTAR POR USO PERSONAL")</f>
        <v>18.899999999999999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8" s="65">
        <f>+VLOOKUP(Tabla38[[#This Row],[MOVIL]],[1]LIQUIDACION!$B:$B,1,0)</f>
        <v>2051</v>
      </c>
    </row>
    <row r="79" spans="1:7" x14ac:dyDescent="0.3">
      <c r="A79" s="66">
        <v>9744</v>
      </c>
      <c r="B79" s="5">
        <f>+SUMIFS(Tabla16[Importe],Tabla16[MOVIL],Tabla38[[#This Row],[MOVIL]],Tabla16[OBSV],"DESCONTAR POR USO PERSONAL")</f>
        <v>37.799999999999997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18.899999999999999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79" s="65">
        <f>+VLOOKUP(Tabla38[[#This Row],[MOVIL]],[1]LIQUIDACION!$B:$B,1,0)</f>
        <v>9744</v>
      </c>
    </row>
    <row r="80" spans="1:7" x14ac:dyDescent="0.3">
      <c r="A80" s="66">
        <v>899</v>
      </c>
      <c r="B80" s="5">
        <f>+SUMIFS(Tabla16[Importe],Tabla16[MOVIL],Tabla38[[#This Row],[MOVIL]],Tabla16[OBSV],"DESCONTAR POR USO PERSONAL")</f>
        <v>6.3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0" s="65">
        <f>+VLOOKUP(Tabla38[[#This Row],[MOVIL]],[1]LIQUIDACION!$B:$B,1,0)</f>
        <v>899</v>
      </c>
    </row>
    <row r="81" spans="1:7" x14ac:dyDescent="0.3">
      <c r="A81" s="66">
        <v>467</v>
      </c>
      <c r="B81" s="5">
        <f>+SUMIFS(Tabla16[Importe],Tabla16[MOVIL],Tabla38[[#This Row],[MOVIL]],Tabla16[OBSV],"DESCONTAR POR USO PERSONAL")</f>
        <v>6.3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1" s="65">
        <f>+VLOOKUP(Tabla38[[#This Row],[MOVIL]],[1]LIQUIDACION!$B:$B,1,0)</f>
        <v>467</v>
      </c>
    </row>
    <row r="82" spans="1:7" x14ac:dyDescent="0.3">
      <c r="A82" s="66">
        <v>9154</v>
      </c>
      <c r="B82" s="5">
        <f>+SUMIFS(Tabla16[Importe],Tabla16[MOVIL],Tabla38[[#This Row],[MOVIL]],Tabla16[OBSV],"DESCONTAR POR USO PERSONAL")</f>
        <v>6.3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2" s="65">
        <f>+VLOOKUP(Tabla38[[#This Row],[MOVIL]],[1]LIQUIDACION!$B:$B,1,0)</f>
        <v>9154</v>
      </c>
    </row>
    <row r="83" spans="1:7" x14ac:dyDescent="0.3">
      <c r="A83" s="66">
        <v>1411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3" s="65">
        <f>+VLOOKUP(Tabla38[[#This Row],[MOVIL]],[1]LIQUIDACION!$B:$B,1,0)</f>
        <v>1411</v>
      </c>
    </row>
    <row r="84" spans="1:7" x14ac:dyDescent="0.3">
      <c r="A84" s="66">
        <v>3102</v>
      </c>
      <c r="B84" s="5">
        <f>+SUMIFS(Tabla16[Importe],Tabla16[MOVIL],Tabla38[[#This Row],[MOVIL]],Tabla16[OBSV],"DESCONTAR POR USO PERSONAL")</f>
        <v>6.3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12.6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4" s="65">
        <f>+VLOOKUP(Tabla38[[#This Row],[MOVIL]],[1]LIQUIDACION!$B:$B,1,0)</f>
        <v>3102</v>
      </c>
    </row>
    <row r="85" spans="1:7" x14ac:dyDescent="0.3">
      <c r="A85" s="66">
        <v>9017</v>
      </c>
      <c r="B85" s="5">
        <f>+SUMIFS(Tabla16[Importe],Tabla16[MOVIL],Tabla38[[#This Row],[MOVIL]],Tabla16[OBSV],"DESCONTAR POR USO PERSONAL")</f>
        <v>6.3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5" s="65">
        <f>+VLOOKUP(Tabla38[[#This Row],[MOVIL]],[1]LIQUIDACION!$B:$B,1,0)</f>
        <v>9017</v>
      </c>
    </row>
    <row r="86" spans="1:7" x14ac:dyDescent="0.3">
      <c r="A86" s="66">
        <v>1466</v>
      </c>
      <c r="B86" s="5">
        <f>+SUMIFS(Tabla16[Importe],Tabla16[MOVIL],Tabla38[[#This Row],[MOVIL]],Tabla16[OBSV],"DESCONTAR POR USO PERSONAL")</f>
        <v>0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6" s="65">
        <f>+VLOOKUP(Tabla38[[#This Row],[MOVIL]],[1]LIQUIDACION!$B:$B,1,0)</f>
        <v>1466</v>
      </c>
    </row>
    <row r="87" spans="1:7" x14ac:dyDescent="0.3">
      <c r="A87" s="66">
        <v>659</v>
      </c>
      <c r="B87" s="5">
        <f>+SUMIFS(Tabla16[Importe],Tabla16[MOVIL],Tabla38[[#This Row],[MOVIL]],Tabla16[OBSV],"DESCONTAR POR USO PERSONAL")</f>
        <v>6.3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7" s="65">
        <f>+VLOOKUP(Tabla38[[#This Row],[MOVIL]],[1]LIQUIDACION!$B:$B,1,0)</f>
        <v>659</v>
      </c>
    </row>
    <row r="88" spans="1:7" x14ac:dyDescent="0.3">
      <c r="A88" s="66">
        <v>2275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12.6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8" s="65">
        <f>+VLOOKUP(Tabla38[[#This Row],[MOVIL]],[1]LIQUIDACION!$B:$B,1,0)</f>
        <v>2275</v>
      </c>
    </row>
    <row r="89" spans="1:7" x14ac:dyDescent="0.3">
      <c r="A89" s="66">
        <v>1468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9" s="65">
        <f>+VLOOKUP(Tabla38[[#This Row],[MOVIL]],[1]LIQUIDACION!$B:$B,1,0)</f>
        <v>1468</v>
      </c>
    </row>
    <row r="90" spans="1:7" x14ac:dyDescent="0.3">
      <c r="A90" s="66">
        <v>9575</v>
      </c>
      <c r="B90" s="5">
        <f>+SUMIFS(Tabla16[Importe],Tabla16[MOVIL],Tabla38[[#This Row],[MOVIL]],Tabla16[OBSV],"DESCONTAR POR USO PERSONAL")</f>
        <v>44.099999999999994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12.6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90" s="65">
        <f>+VLOOKUP(Tabla38[[#This Row],[MOVIL]],[1]LIQUIDACION!$B:$B,1,0)</f>
        <v>9575</v>
      </c>
    </row>
    <row r="91" spans="1:7" x14ac:dyDescent="0.3">
      <c r="A91" s="66">
        <v>1410</v>
      </c>
      <c r="B91" s="5">
        <f>+SUMIFS(Tabla16[Importe],Tabla16[MOVIL],Tabla38[[#This Row],[MOVIL]],Tabla16[OBSV],"DESCONTAR POR USO PERSONAL")</f>
        <v>18.899999999999999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1" s="65">
        <f>+VLOOKUP(Tabla38[[#This Row],[MOVIL]],[1]LIQUIDACION!$B:$B,1,0)</f>
        <v>1410</v>
      </c>
    </row>
    <row r="92" spans="1:7" x14ac:dyDescent="0.3">
      <c r="A92" s="66">
        <v>1420</v>
      </c>
      <c r="B92" s="5">
        <f>+SUMIFS(Tabla16[Importe],Tabla16[MOVIL],Tabla38[[#This Row],[MOVIL]],Tabla16[OBSV],"DESCONTAR POR USO PERSONAL")</f>
        <v>12.6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2" s="65">
        <f>+VLOOKUP(Tabla38[[#This Row],[MOVIL]],[1]LIQUIDACION!$B:$B,1,0)</f>
        <v>1420</v>
      </c>
    </row>
    <row r="93" spans="1:7" x14ac:dyDescent="0.3">
      <c r="A93" s="8">
        <v>7628</v>
      </c>
      <c r="B93" s="5">
        <f>+SUMIFS(Tabla16[Importe],Tabla16[MOVIL],Tabla38[[#This Row],[MOVIL]],Tabla16[OBSV],"DESCONTAR POR USO PERSONAL")</f>
        <v>62.999999999999986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12.6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93" s="65" t="e">
        <f>+VLOOKUP(Tabla38[[#This Row],[MOVIL]],[1]LIQUIDACION!$B:$B,1,0)</f>
        <v>#N/A</v>
      </c>
    </row>
    <row r="94" spans="1:7" x14ac:dyDescent="0.3">
      <c r="A94" s="66">
        <v>3664</v>
      </c>
      <c r="B94" s="5">
        <f>+SUMIFS(Tabla16[Importe],Tabla16[MOVIL],Tabla38[[#This Row],[MOVIL]],Tabla16[OBSV],"DESCONTAR POR USO PERSONAL")</f>
        <v>6.3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4" s="65">
        <f>+VLOOKUP(Tabla38[[#This Row],[MOVIL]],[1]LIQUIDACION!$B:$B,1,0)</f>
        <v>3664</v>
      </c>
    </row>
    <row r="95" spans="1:7" x14ac:dyDescent="0.3">
      <c r="A95" s="66">
        <v>3357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5" s="65">
        <f>+VLOOKUP(Tabla38[[#This Row],[MOVIL]],[1]LIQUIDACION!$B:$B,1,0)</f>
        <v>3357</v>
      </c>
    </row>
    <row r="96" spans="1:7" x14ac:dyDescent="0.3">
      <c r="A96" s="66">
        <v>3309</v>
      </c>
      <c r="B96" s="5">
        <f>+SUMIFS(Tabla16[Importe],Tabla16[MOVIL],Tabla38[[#This Row],[MOVIL]],Tabla16[OBSV],"DESCONTAR POR USO PERSONAL")</f>
        <v>6.3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6" s="65">
        <f>+VLOOKUP(Tabla38[[#This Row],[MOVIL]],[1]LIQUIDACION!$B:$B,1,0)</f>
        <v>3309</v>
      </c>
    </row>
    <row r="97" spans="1:7" x14ac:dyDescent="0.3">
      <c r="A97" s="66">
        <v>3118</v>
      </c>
      <c r="B97" s="5">
        <f>+SUMIFS(Tabla16[Importe],Tabla16[MOVIL],Tabla38[[#This Row],[MOVIL]],Tabla16[OBSV],"DESCONTAR POR USO PERSONAL")</f>
        <v>6.3</v>
      </c>
      <c r="C97" s="5">
        <f>+SUMIFS(Tabla16[Importe],Tabla16[MOVIL],Tabla38[[#This Row],[MOVIL]],Tabla16[OBSV],"DESCONTAR POR INCIDENCIA")</f>
        <v>12.6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7" s="65">
        <f>+VLOOKUP(Tabla38[[#This Row],[MOVIL]],[1]LIQUIDACION!$B:$B,1,0)</f>
        <v>3118</v>
      </c>
    </row>
    <row r="98" spans="1:7" x14ac:dyDescent="0.3">
      <c r="A98" s="66">
        <v>1401</v>
      </c>
      <c r="B98" s="5">
        <f>+SUMIFS(Tabla16[Importe],Tabla16[MOVIL],Tabla38[[#This Row],[MOVIL]],Tabla16[OBSV],"DESCONTAR POR USO PERSONAL")</f>
        <v>50.399999999999991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98" s="65">
        <f>+VLOOKUP(Tabla38[[#This Row],[MOVIL]],[1]LIQUIDACION!$B:$B,1,0)</f>
        <v>1401</v>
      </c>
    </row>
    <row r="99" spans="1:7" x14ac:dyDescent="0.3">
      <c r="A99" s="66">
        <v>2186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6.3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9" s="65">
        <f>+VLOOKUP(Tabla38[[#This Row],[MOVIL]],[1]LIQUIDACION!$B:$B,1,0)</f>
        <v>2186</v>
      </c>
    </row>
    <row r="100" spans="1:7" x14ac:dyDescent="0.3">
      <c r="A100" s="66">
        <v>1470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0" s="65">
        <f>+VLOOKUP(Tabla38[[#This Row],[MOVIL]],[1]LIQUIDACION!$B:$B,1,0)</f>
        <v>1470</v>
      </c>
    </row>
    <row r="101" spans="1:7" x14ac:dyDescent="0.3">
      <c r="A101" s="66">
        <v>213</v>
      </c>
      <c r="B101" s="5">
        <f>+SUMIFS(Tabla16[Importe],Tabla16[MOVIL],Tabla38[[#This Row],[MOVIL]],Tabla16[OBSV],"DESCONTAR POR USO PERSONAL")</f>
        <v>12.6</v>
      </c>
      <c r="C101" s="5">
        <f>+SUMIFS(Tabla16[Importe],Tabla16[MOVIL],Tabla38[[#This Row],[MOVIL]],Tabla16[OBSV],"DESCONTAR POR INCIDENCIA")</f>
        <v>12.6</v>
      </c>
      <c r="D101" s="5">
        <f>+SUMIFS(Tabla16[Importe],Tabla16[MOVIL],Tabla38[[#This Row],[MOVIL]],Tabla16[OBSV],"DESCONTAR SERVICIO EN EFECTIVO")</f>
        <v>18.899999999999999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01" s="65">
        <f>+VLOOKUP(Tabla38[[#This Row],[MOVIL]],[1]LIQUIDACION!$B:$B,1,0)</f>
        <v>213</v>
      </c>
    </row>
    <row r="102" spans="1:7" x14ac:dyDescent="0.3">
      <c r="A102" s="66">
        <v>9084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6.3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2" s="65">
        <f>+VLOOKUP(Tabla38[[#This Row],[MOVIL]],[1]LIQUIDACION!$B:$B,1,0)</f>
        <v>9084</v>
      </c>
    </row>
    <row r="103" spans="1:7" x14ac:dyDescent="0.3">
      <c r="A103" s="66">
        <v>3159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3" s="65">
        <f>+VLOOKUP(Tabla38[[#This Row],[MOVIL]],[1]LIQUIDACION!$B:$B,1,0)</f>
        <v>3159</v>
      </c>
    </row>
    <row r="104" spans="1:7" x14ac:dyDescent="0.3">
      <c r="A104" s="66">
        <v>2030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4" s="65">
        <f>+VLOOKUP(Tabla38[[#This Row],[MOVIL]],[1]LIQUIDACION!$B:$B,1,0)</f>
        <v>2030</v>
      </c>
    </row>
    <row r="105" spans="1:7" x14ac:dyDescent="0.3">
      <c r="A105" s="66">
        <v>794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5" s="65">
        <f>+VLOOKUP(Tabla38[[#This Row],[MOVIL]],[1]LIQUIDACION!$B:$B,1,0)</f>
        <v>794</v>
      </c>
    </row>
    <row r="106" spans="1:7" x14ac:dyDescent="0.3">
      <c r="A106" s="66">
        <v>3809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6" s="65">
        <f>+VLOOKUP(Tabla38[[#This Row],[MOVIL]],[1]LIQUIDACION!$B:$B,1,0)</f>
        <v>3809</v>
      </c>
    </row>
    <row r="107" spans="1:7" x14ac:dyDescent="0.3">
      <c r="A107" s="8">
        <v>9685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65" t="e">
        <f>+VLOOKUP(Tabla38[[#This Row],[MOVIL]],[1]LIQUIDACION!$B:$B,1,0)</f>
        <v>#N/A</v>
      </c>
    </row>
    <row r="108" spans="1:7" x14ac:dyDescent="0.3">
      <c r="A108" s="66">
        <v>3424</v>
      </c>
      <c r="B108" s="5">
        <f>+SUMIFS(Tabla16[Importe],Tabla16[MOVIL],Tabla38[[#This Row],[MOVIL]],Tabla16[OBSV],"DESCONTAR POR USO PERSONAL")</f>
        <v>6.3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8" s="65">
        <f>+VLOOKUP(Tabla38[[#This Row],[MOVIL]],[1]LIQUIDACION!$B:$B,1,0)</f>
        <v>3424</v>
      </c>
    </row>
    <row r="109" spans="1:7" x14ac:dyDescent="0.3">
      <c r="A109" s="66">
        <v>3038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9" s="65">
        <f>+VLOOKUP(Tabla38[[#This Row],[MOVIL]],[1]LIQUIDACION!$B:$B,1,0)</f>
        <v>3038</v>
      </c>
    </row>
    <row r="110" spans="1:7" x14ac:dyDescent="0.3">
      <c r="A110" s="66">
        <v>3565</v>
      </c>
      <c r="B110" s="5">
        <f>+SUMIFS(Tabla16[Importe],Tabla16[MOVIL],Tabla38[[#This Row],[MOVIL]],Tabla16[OBSV],"DESCONTAR POR USO PERSONAL")</f>
        <v>31.5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6.3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0" s="65">
        <f>+VLOOKUP(Tabla38[[#This Row],[MOVIL]],[1]LIQUIDACION!$B:$B,1,0)</f>
        <v>3565</v>
      </c>
    </row>
    <row r="111" spans="1:7" x14ac:dyDescent="0.3">
      <c r="A111" s="66">
        <v>596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65">
        <f>+VLOOKUP(Tabla38[[#This Row],[MOVIL]],[1]LIQUIDACION!$B:$B,1,0)</f>
        <v>596</v>
      </c>
    </row>
    <row r="112" spans="1:7" x14ac:dyDescent="0.3">
      <c r="A112" s="66">
        <v>1443</v>
      </c>
      <c r="B112" s="5">
        <f>+SUMIFS(Tabla16[Importe],Tabla16[MOVIL],Tabla38[[#This Row],[MOVIL]],Tabla16[OBSV],"DESCONTAR POR USO PERSONAL")</f>
        <v>25.2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2" s="65">
        <f>+VLOOKUP(Tabla38[[#This Row],[MOVIL]],[1]LIQUIDACION!$B:$B,1,0)</f>
        <v>1443</v>
      </c>
    </row>
    <row r="113" spans="1:7" x14ac:dyDescent="0.3">
      <c r="A113" s="66">
        <v>9665</v>
      </c>
      <c r="B113" s="5">
        <f>+SUMIFS(Tabla16[Importe],Tabla16[MOVIL],Tabla38[[#This Row],[MOVIL]],Tabla16[OBSV],"DESCONTAR POR USO PERSONAL")</f>
        <v>12.6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3" s="65">
        <f>+VLOOKUP(Tabla38[[#This Row],[MOVIL]],[1]LIQUIDACION!$B:$B,1,0)</f>
        <v>9665</v>
      </c>
    </row>
    <row r="114" spans="1:7" x14ac:dyDescent="0.3">
      <c r="A114" s="66">
        <v>643</v>
      </c>
      <c r="B114" s="5">
        <f>+SUMIFS(Tabla16[Importe],Tabla16[MOVIL],Tabla38[[#This Row],[MOVIL]],Tabla16[OBSV],"DESCONTAR POR USO PERSONAL")</f>
        <v>6.3</v>
      </c>
      <c r="C114" s="5">
        <f>+SUMIFS(Tabla16[Importe],Tabla16[MOVIL],Tabla38[[#This Row],[MOVIL]],Tabla16[OBSV],"DESCONTAR POR INCIDENCIA")</f>
        <v>6.3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4" s="65">
        <f>+VLOOKUP(Tabla38[[#This Row],[MOVIL]],[1]LIQUIDACION!$B:$B,1,0)</f>
        <v>643</v>
      </c>
    </row>
    <row r="115" spans="1:7" x14ac:dyDescent="0.3">
      <c r="A115" s="66">
        <v>830</v>
      </c>
      <c r="B115" s="5">
        <f>+SUMIFS(Tabla16[Importe],Tabla16[MOVIL],Tabla38[[#This Row],[MOVIL]],Tabla16[OBSV],"DESCONTAR POR USO PERSONAL")</f>
        <v>31.5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5" s="65">
        <f>+VLOOKUP(Tabla38[[#This Row],[MOVIL]],[1]LIQUIDACION!$B:$B,1,0)</f>
        <v>830</v>
      </c>
    </row>
    <row r="116" spans="1:7" x14ac:dyDescent="0.3">
      <c r="A116" s="66">
        <v>2168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6.3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6" s="65">
        <f>+VLOOKUP(Tabla38[[#This Row],[MOVIL]],[1]LIQUIDACION!$B:$B,1,0)</f>
        <v>2168</v>
      </c>
    </row>
    <row r="117" spans="1:7" x14ac:dyDescent="0.3">
      <c r="A117" s="66">
        <v>3411</v>
      </c>
      <c r="B117" s="5">
        <f>+SUMIFS(Tabla16[Importe],Tabla16[MOVIL],Tabla38[[#This Row],[MOVIL]],Tabla16[OBSV],"DESCONTAR POR USO PERSONAL")</f>
        <v>12.6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7" s="65">
        <f>+VLOOKUP(Tabla38[[#This Row],[MOVIL]],[1]LIQUIDACION!$B:$B,1,0)</f>
        <v>3411</v>
      </c>
    </row>
    <row r="118" spans="1:7" x14ac:dyDescent="0.3">
      <c r="A118" s="66">
        <v>9883</v>
      </c>
      <c r="B118" s="5">
        <f>+SUMIFS(Tabla16[Importe],Tabla16[MOVIL],Tabla38[[#This Row],[MOVIL]],Tabla16[OBSV],"DESCONTAR POR USO PERSONAL")</f>
        <v>31.5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12.6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18" s="65">
        <f>+VLOOKUP(Tabla38[[#This Row],[MOVIL]],[1]LIQUIDACION!$B:$B,1,0)</f>
        <v>9883</v>
      </c>
    </row>
    <row r="119" spans="1:7" x14ac:dyDescent="0.3">
      <c r="A119" s="66">
        <v>2220</v>
      </c>
      <c r="B119" s="5">
        <f>+SUMIFS(Tabla16[Importe],Tabla16[MOVIL],Tabla38[[#This Row],[MOVIL]],Tabla16[OBSV],"DESCONTAR POR USO PERSONAL")</f>
        <v>12.6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9" s="65">
        <f>+VLOOKUP(Tabla38[[#This Row],[MOVIL]],[1]LIQUIDACION!$B:$B,1,0)</f>
        <v>2220</v>
      </c>
    </row>
    <row r="120" spans="1:7" x14ac:dyDescent="0.3">
      <c r="A120" s="66">
        <v>3153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0" s="65">
        <f>+VLOOKUP(Tabla38[[#This Row],[MOVIL]],[1]LIQUIDACION!$B:$B,1,0)</f>
        <v>3153</v>
      </c>
    </row>
    <row r="121" spans="1:7" x14ac:dyDescent="0.3">
      <c r="A121" s="66">
        <v>2210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12.6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1" s="65">
        <f>+VLOOKUP(Tabla38[[#This Row],[MOVIL]],[1]LIQUIDACION!$B:$B,1,0)</f>
        <v>2210</v>
      </c>
    </row>
    <row r="122" spans="1:7" x14ac:dyDescent="0.3">
      <c r="A122" s="66">
        <v>1774</v>
      </c>
      <c r="B122" s="5">
        <f>+SUMIFS(Tabla16[Importe],Tabla16[MOVIL],Tabla38[[#This Row],[MOVIL]],Tabla16[OBSV],"DESCONTAR POR USO PERSONAL")</f>
        <v>6.3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2" s="65">
        <f>+VLOOKUP(Tabla38[[#This Row],[MOVIL]],[1]LIQUIDACION!$B:$B,1,0)</f>
        <v>1774</v>
      </c>
    </row>
    <row r="123" spans="1:7" x14ac:dyDescent="0.3">
      <c r="A123" s="66">
        <v>837</v>
      </c>
      <c r="B123" s="5">
        <f>+SUMIFS(Tabla16[Importe],Tabla16[MOVIL],Tabla38[[#This Row],[MOVIL]],Tabla16[OBSV],"DESCONTAR POR USO PERSONAL")</f>
        <v>25.2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3" s="65">
        <f>+VLOOKUP(Tabla38[[#This Row],[MOVIL]],[1]LIQUIDACION!$B:$B,1,0)</f>
        <v>837</v>
      </c>
    </row>
    <row r="124" spans="1:7" x14ac:dyDescent="0.3">
      <c r="A124" s="66">
        <v>9470</v>
      </c>
      <c r="B124" s="5">
        <f>+SUMIFS(Tabla16[Importe],Tabla16[MOVIL],Tabla38[[#This Row],[MOVIL]],Tabla16[OBSV],"DESCONTAR POR USO PERSONAL")</f>
        <v>12.6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4" s="65">
        <f>+VLOOKUP(Tabla38[[#This Row],[MOVIL]],[1]LIQUIDACION!$B:$B,1,0)</f>
        <v>9470</v>
      </c>
    </row>
    <row r="125" spans="1:7" x14ac:dyDescent="0.3">
      <c r="A125" s="66">
        <v>3236</v>
      </c>
      <c r="B125" s="5">
        <f>+SUMIFS(Tabla16[Importe],Tabla16[MOVIL],Tabla38[[#This Row],[MOVIL]],Tabla16[OBSV],"DESCONTAR POR USO PERSONAL")</f>
        <v>6.3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6.3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5" s="65">
        <f>+VLOOKUP(Tabla38[[#This Row],[MOVIL]],[1]LIQUIDACION!$B:$B,1,0)</f>
        <v>3236</v>
      </c>
    </row>
    <row r="126" spans="1:7" x14ac:dyDescent="0.3">
      <c r="A126" s="66">
        <v>760</v>
      </c>
      <c r="B126" s="5">
        <f>+SUMIFS(Tabla16[Importe],Tabla16[MOVIL],Tabla38[[#This Row],[MOVIL]],Tabla16[OBSV],"DESCONTAR POR USO PERSONAL")</f>
        <v>12.6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6" s="65">
        <f>+VLOOKUP(Tabla38[[#This Row],[MOVIL]],[1]LIQUIDACION!$B:$B,1,0)</f>
        <v>760</v>
      </c>
    </row>
    <row r="127" spans="1:7" x14ac:dyDescent="0.3">
      <c r="A127" s="66">
        <v>3662</v>
      </c>
      <c r="B127" s="5">
        <f>+SUMIFS(Tabla16[Importe],Tabla16[MOVIL],Tabla38[[#This Row],[MOVIL]],Tabla16[OBSV],"DESCONTAR POR USO PERSONAL")</f>
        <v>0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7" s="65">
        <f>+VLOOKUP(Tabla38[[#This Row],[MOVIL]],[1]LIQUIDACION!$B:$B,1,0)</f>
        <v>3662</v>
      </c>
    </row>
    <row r="128" spans="1:7" x14ac:dyDescent="0.3">
      <c r="A128" s="66">
        <v>3786</v>
      </c>
      <c r="B128" s="5">
        <f>+SUMIFS(Tabla16[Importe],Tabla16[MOVIL],Tabla38[[#This Row],[MOVIL]],Tabla16[OBSV],"DESCONTAR POR USO PERSONAL")</f>
        <v>0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8" s="65">
        <f>+VLOOKUP(Tabla38[[#This Row],[MOVIL]],[1]LIQUIDACION!$B:$B,1,0)</f>
        <v>3786</v>
      </c>
    </row>
    <row r="129" spans="1:7" x14ac:dyDescent="0.3">
      <c r="A129" s="8">
        <v>7635</v>
      </c>
      <c r="B129" s="5">
        <f>+SUMIFS(Tabla16[Importe],Tabla16[MOVIL],Tabla38[[#This Row],[MOVIL]],Tabla16[OBSV],"DESCONTAR POR USO PERSONAL")</f>
        <v>25.2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12.6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9" s="65" t="e">
        <f>+VLOOKUP(Tabla38[[#This Row],[MOVIL]],[1]LIQUIDACION!$B:$B,1,0)</f>
        <v>#N/A</v>
      </c>
    </row>
    <row r="130" spans="1:7" x14ac:dyDescent="0.3">
      <c r="A130" s="66">
        <v>1553</v>
      </c>
      <c r="B130" s="5">
        <f>+SUMIFS(Tabla16[Importe],Tabla16[MOVIL],Tabla38[[#This Row],[MOVIL]],Tabla16[OBSV],"DESCONTAR POR USO PERSONAL")</f>
        <v>18.899999999999999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0" s="65">
        <f>+VLOOKUP(Tabla38[[#This Row],[MOVIL]],[1]LIQUIDACION!$B:$B,1,0)</f>
        <v>1553</v>
      </c>
    </row>
    <row r="131" spans="1:7" x14ac:dyDescent="0.3">
      <c r="A131" s="66">
        <v>1584</v>
      </c>
      <c r="B131" s="5">
        <f>+SUMIFS(Tabla16[Importe],Tabla16[MOVIL],Tabla38[[#This Row],[MOVIL]],Tabla16[OBSV],"DESCONTAR POR USO PERSONAL")</f>
        <v>94.499999999999972</v>
      </c>
      <c r="C131" s="5">
        <f>+SUMIFS(Tabla16[Importe],Tabla16[MOVIL],Tabla38[[#This Row],[MOVIL]],Tabla16[OBSV],"DESCONTAR POR INCIDENCIA")</f>
        <v>37.799999999999997</v>
      </c>
      <c r="D131" s="5">
        <f>+SUMIFS(Tabla16[Importe],Tabla16[MOVIL],Tabla38[[#This Row],[MOVIL]],Tabla16[OBSV],"DESCONTAR SERVICIO EN EFECTIVO")</f>
        <v>18.899999999999999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151.19999999999996</v>
      </c>
      <c r="G131" s="65">
        <f>+VLOOKUP(Tabla38[[#This Row],[MOVIL]],[1]LIQUIDACION!$B:$B,1,0)</f>
        <v>1584</v>
      </c>
    </row>
    <row r="132" spans="1:7" x14ac:dyDescent="0.3">
      <c r="A132" s="66">
        <v>2446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2" s="65">
        <f>+VLOOKUP(Tabla38[[#This Row],[MOVIL]],[1]LIQUIDACION!$B:$B,1,0)</f>
        <v>2446</v>
      </c>
    </row>
    <row r="133" spans="1:7" x14ac:dyDescent="0.3">
      <c r="A133" s="66">
        <v>870</v>
      </c>
      <c r="B133" s="5">
        <f>+SUMIFS(Tabla16[Importe],Tabla16[MOVIL],Tabla38[[#This Row],[MOVIL]],Tabla16[OBSV],"DESCONTAR POR USO PERSONAL")</f>
        <v>31.5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12.6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33" s="65">
        <f>+VLOOKUP(Tabla38[[#This Row],[MOVIL]],[1]LIQUIDACION!$B:$B,1,0)</f>
        <v>870</v>
      </c>
    </row>
    <row r="134" spans="1:7" x14ac:dyDescent="0.3">
      <c r="A134" s="66">
        <v>9434</v>
      </c>
      <c r="B134" s="5">
        <f>+SUMIFS(Tabla16[Importe],Tabla16[MOVIL],Tabla38[[#This Row],[MOVIL]],Tabla16[OBSV],"DESCONTAR POR USO PERSONAL")</f>
        <v>56.699999999999989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34" s="65">
        <f>+VLOOKUP(Tabla38[[#This Row],[MOVIL]],[1]LIQUIDACION!$B:$B,1,0)</f>
        <v>9434</v>
      </c>
    </row>
    <row r="135" spans="1:7" x14ac:dyDescent="0.3">
      <c r="A135" s="66">
        <v>926</v>
      </c>
      <c r="B135" s="5">
        <f>+SUMIFS(Tabla16[Importe],Tabla16[MOVIL],Tabla38[[#This Row],[MOVIL]],Tabla16[OBSV],"DESCONTAR POR USO PERSONAL")</f>
        <v>37.799999999999997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5" s="65">
        <f>+VLOOKUP(Tabla38[[#This Row],[MOVIL]],[1]LIQUIDACION!$B:$B,1,0)</f>
        <v>926</v>
      </c>
    </row>
    <row r="136" spans="1:7" x14ac:dyDescent="0.3">
      <c r="A136" s="66">
        <v>1603</v>
      </c>
      <c r="B136" s="5">
        <f>+SUMIFS(Tabla16[Importe],Tabla16[MOVIL],Tabla38[[#This Row],[MOVIL]],Tabla16[OBSV],"DESCONTAR POR USO PERSONAL")</f>
        <v>18.899999999999999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6" s="65">
        <f>+VLOOKUP(Tabla38[[#This Row],[MOVIL]],[1]LIQUIDACION!$B:$B,1,0)</f>
        <v>1603</v>
      </c>
    </row>
    <row r="137" spans="1:7" x14ac:dyDescent="0.3">
      <c r="A137" s="66">
        <v>985</v>
      </c>
      <c r="B137" s="5">
        <f>+SUMIFS(Tabla16[Importe],Tabla16[MOVIL],Tabla38[[#This Row],[MOVIL]],Tabla16[OBSV],"DESCONTAR POR USO PERSONAL")</f>
        <v>18.899999999999999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12.6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7" s="65">
        <f>+VLOOKUP(Tabla38[[#This Row],[MOVIL]],[1]LIQUIDACION!$B:$B,1,0)</f>
        <v>985</v>
      </c>
    </row>
    <row r="138" spans="1:7" x14ac:dyDescent="0.3">
      <c r="A138" s="66">
        <v>3378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18.899999999999999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8" s="65">
        <f>+VLOOKUP(Tabla38[[#This Row],[MOVIL]],[1]LIQUIDACION!$B:$B,1,0)</f>
        <v>3378</v>
      </c>
    </row>
    <row r="139" spans="1:7" x14ac:dyDescent="0.3">
      <c r="A139" s="66">
        <v>2755</v>
      </c>
      <c r="B139" s="5">
        <f>+SUMIFS(Tabla16[Importe],Tabla16[MOVIL],Tabla38[[#This Row],[MOVIL]],Tabla16[OBSV],"DESCONTAR POR USO PERSONAL")</f>
        <v>6.3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9" s="65">
        <f>+VLOOKUP(Tabla38[[#This Row],[MOVIL]],[1]LIQUIDACION!$B:$B,1,0)</f>
        <v>2755</v>
      </c>
    </row>
    <row r="140" spans="1:7" x14ac:dyDescent="0.3">
      <c r="A140" s="66">
        <v>283</v>
      </c>
      <c r="B140" s="5">
        <f>+SUMIFS(Tabla16[Importe],Tabla16[MOVIL],Tabla38[[#This Row],[MOVIL]],Tabla16[OBSV],"DESCONTAR POR USO PERSONAL")</f>
        <v>18.899999999999999</v>
      </c>
      <c r="C140" s="5">
        <f>+SUMIFS(Tabla16[Importe],Tabla16[MOVIL],Tabla38[[#This Row],[MOVIL]],Tabla16[OBSV],"DESCONTAR POR INCIDENCIA")</f>
        <v>6.3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0" s="65">
        <f>+VLOOKUP(Tabla38[[#This Row],[MOVIL]],[1]LIQUIDACION!$B:$B,1,0)</f>
        <v>283</v>
      </c>
    </row>
    <row r="141" spans="1:7" x14ac:dyDescent="0.3">
      <c r="A141" s="66">
        <v>507</v>
      </c>
      <c r="B141" s="5">
        <f>+SUMIFS(Tabla16[Importe],Tabla16[MOVIL],Tabla38[[#This Row],[MOVIL]],Tabla16[OBSV],"DESCONTAR POR USO PERSONAL")</f>
        <v>6.3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1" s="65">
        <f>+VLOOKUP(Tabla38[[#This Row],[MOVIL]],[1]LIQUIDACION!$B:$B,1,0)</f>
        <v>507</v>
      </c>
    </row>
    <row r="142" spans="1:7" x14ac:dyDescent="0.3">
      <c r="A142" s="66">
        <v>923</v>
      </c>
      <c r="B142" s="5">
        <f>+SUMIFS(Tabla16[Importe],Tabla16[MOVIL],Tabla38[[#This Row],[MOVIL]],Tabla16[OBSV],"DESCONTAR POR USO PERSONAL")</f>
        <v>56.699999999999989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18.899999999999999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142" s="65">
        <f>+VLOOKUP(Tabla38[[#This Row],[MOVIL]],[1]LIQUIDACION!$B:$B,1,0)</f>
        <v>923</v>
      </c>
    </row>
    <row r="143" spans="1:7" x14ac:dyDescent="0.3">
      <c r="A143" s="66">
        <v>1472</v>
      </c>
      <c r="B143" s="5">
        <f>+SUMIFS(Tabla16[Importe],Tabla16[MOVIL],Tabla38[[#This Row],[MOVIL]],Tabla16[OBSV],"DESCONTAR POR USO PERSONAL")</f>
        <v>6.3</v>
      </c>
      <c r="C143" s="5">
        <f>+SUMIFS(Tabla16[Importe],Tabla16[MOVIL],Tabla38[[#This Row],[MOVIL]],Tabla16[OBSV],"DESCONTAR POR INCIDENCIA")</f>
        <v>6.3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3" s="65">
        <f>+VLOOKUP(Tabla38[[#This Row],[MOVIL]],[1]LIQUIDACION!$B:$B,1,0)</f>
        <v>1472</v>
      </c>
    </row>
    <row r="144" spans="1:7" x14ac:dyDescent="0.3">
      <c r="A144" s="66">
        <v>2039</v>
      </c>
      <c r="B144" s="5">
        <f>+SUMIFS(Tabla16[Importe],Tabla16[MOVIL],Tabla38[[#This Row],[MOVIL]],Tabla16[OBSV],"DESCONTAR POR USO PERSONAL")</f>
        <v>44.099999999999994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44" s="65">
        <f>+VLOOKUP(Tabla38[[#This Row],[MOVIL]],[1]LIQUIDACION!$B:$B,1,0)</f>
        <v>2039</v>
      </c>
    </row>
    <row r="145" spans="1:7" x14ac:dyDescent="0.3">
      <c r="A145" s="66">
        <v>952</v>
      </c>
      <c r="B145" s="5">
        <f>+SUMIFS(Tabla16[Importe],Tabla16[MOVIL],Tabla38[[#This Row],[MOVIL]],Tabla16[OBSV],"DESCONTAR POR USO PERSONAL")</f>
        <v>0</v>
      </c>
      <c r="C145" s="5">
        <f>+SUMIFS(Tabla16[Importe],Tabla16[MOVIL],Tabla38[[#This Row],[MOVIL]],Tabla16[OBSV],"DESCONTAR POR INCIDENCIA")</f>
        <v>12.6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5" s="65">
        <f>+VLOOKUP(Tabla38[[#This Row],[MOVIL]],[1]LIQUIDACION!$B:$B,1,0)</f>
        <v>952</v>
      </c>
    </row>
    <row r="146" spans="1:7" x14ac:dyDescent="0.3">
      <c r="A146" s="66">
        <v>3517</v>
      </c>
      <c r="B146" s="5">
        <f>+SUMIFS(Tabla16[Importe],Tabla16[MOVIL],Tabla38[[#This Row],[MOVIL]],Tabla16[OBSV],"DESCONTAR POR USO PERSONAL")</f>
        <v>0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6" s="65">
        <f>+VLOOKUP(Tabla38[[#This Row],[MOVIL]],[1]LIQUIDACION!$B:$B,1,0)</f>
        <v>3517</v>
      </c>
    </row>
    <row r="147" spans="1:7" x14ac:dyDescent="0.3">
      <c r="A147" s="66">
        <v>1429</v>
      </c>
      <c r="B147" s="5">
        <f>+SUMIFS(Tabla16[Importe],Tabla16[MOVIL],Tabla38[[#This Row],[MOVIL]],Tabla16[OBSV],"DESCONTAR POR USO PERSONAL")</f>
        <v>6.3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7" s="65">
        <f>+VLOOKUP(Tabla38[[#This Row],[MOVIL]],[1]LIQUIDACION!$B:$B,1,0)</f>
        <v>1429</v>
      </c>
    </row>
    <row r="148" spans="1:7" x14ac:dyDescent="0.3">
      <c r="A148" s="66">
        <v>917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8" s="65">
        <f>+VLOOKUP(Tabla38[[#This Row],[MOVIL]],[1]LIQUIDACION!$B:$B,1,0)</f>
        <v>917</v>
      </c>
    </row>
    <row r="149" spans="1:7" x14ac:dyDescent="0.3">
      <c r="A149" s="66">
        <v>9844</v>
      </c>
      <c r="B149" s="5">
        <f>+SUMIFS(Tabla16[Importe],Tabla16[MOVIL],Tabla38[[#This Row],[MOVIL]],Tabla16[OBSV],"DESCONTAR POR USO PERSONAL")</f>
        <v>6.3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9" s="65">
        <f>+VLOOKUP(Tabla38[[#This Row],[MOVIL]],[1]LIQUIDACION!$B:$B,1,0)</f>
        <v>9844</v>
      </c>
    </row>
    <row r="150" spans="1:7" x14ac:dyDescent="0.3">
      <c r="A150" s="8">
        <v>7606</v>
      </c>
      <c r="B150" s="5">
        <f>+SUMIFS(Tabla16[Importe],Tabla16[MOVIL],Tabla38[[#This Row],[MOVIL]],Tabla16[OBSV],"DESCONTAR POR USO PERSONAL")</f>
        <v>31.5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50" s="65" t="e">
        <f>+VLOOKUP(Tabla38[[#This Row],[MOVIL]],[1]LIQUIDACION!$B:$B,1,0)</f>
        <v>#N/A</v>
      </c>
    </row>
    <row r="151" spans="1:7" x14ac:dyDescent="0.3">
      <c r="A151" s="66">
        <v>9195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1" s="65">
        <f>+VLOOKUP(Tabla38[[#This Row],[MOVIL]],[1]LIQUIDACION!$B:$B,1,0)</f>
        <v>9195</v>
      </c>
    </row>
    <row r="152" spans="1:7" x14ac:dyDescent="0.3">
      <c r="A152" s="66">
        <v>3621</v>
      </c>
      <c r="B152" s="5">
        <f>+SUMIFS(Tabla16[Importe],Tabla16[MOVIL],Tabla38[[#This Row],[MOVIL]],Tabla16[OBSV],"DESCONTAR POR USO PERSONAL")</f>
        <v>6.3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2" s="65">
        <f>+VLOOKUP(Tabla38[[#This Row],[MOVIL]],[1]LIQUIDACION!$B:$B,1,0)</f>
        <v>3621</v>
      </c>
    </row>
    <row r="153" spans="1:7" x14ac:dyDescent="0.3">
      <c r="A153" s="66">
        <v>1458</v>
      </c>
      <c r="B153" s="5">
        <f>+SUMIFS(Tabla16[Importe],Tabla16[MOVIL],Tabla38[[#This Row],[MOVIL]],Tabla16[OBSV],"DESCONTAR POR USO PERSONAL")</f>
        <v>6.3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3" s="65">
        <f>+VLOOKUP(Tabla38[[#This Row],[MOVIL]],[1]LIQUIDACION!$B:$B,1,0)</f>
        <v>1458</v>
      </c>
    </row>
    <row r="154" spans="1:7" x14ac:dyDescent="0.3">
      <c r="A154" s="66">
        <v>3661</v>
      </c>
      <c r="B154" s="5">
        <f>+SUMIFS(Tabla16[Importe],Tabla16[MOVIL],Tabla38[[#This Row],[MOVIL]],Tabla16[OBSV],"DESCONTAR POR USO PERSONAL")</f>
        <v>25.2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12.6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4" s="65">
        <f>+VLOOKUP(Tabla38[[#This Row],[MOVIL]],[1]LIQUIDACION!$B:$B,1,0)</f>
        <v>3661</v>
      </c>
    </row>
    <row r="155" spans="1:7" x14ac:dyDescent="0.3">
      <c r="A155" s="66">
        <v>2810</v>
      </c>
      <c r="B155" s="5">
        <f>+SUMIFS(Tabla16[Importe],Tabla16[MOVIL],Tabla38[[#This Row],[MOVIL]],Tabla16[OBSV],"DESCONTAR POR USO PERSONAL")</f>
        <v>100.79999999999997</v>
      </c>
      <c r="C155" s="5">
        <f>+SUMIFS(Tabla16[Importe],Tabla16[MOVIL],Tabla38[[#This Row],[MOVIL]],Tabla16[OBSV],"DESCONTAR POR INCIDENCIA")</f>
        <v>25.2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125.99999999999997</v>
      </c>
      <c r="G155" s="65">
        <f>+VLOOKUP(Tabla38[[#This Row],[MOVIL]],[1]LIQUIDACION!$B:$B,1,0)</f>
        <v>2810</v>
      </c>
    </row>
    <row r="156" spans="1:7" x14ac:dyDescent="0.3">
      <c r="A156" s="66">
        <v>2549</v>
      </c>
      <c r="B156" s="5">
        <f>+SUMIFS(Tabla16[Importe],Tabla16[MOVIL],Tabla38[[#This Row],[MOVIL]],Tabla16[OBSV],"DESCONTAR POR USO PERSONAL")</f>
        <v>12.6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6" s="65">
        <f>+VLOOKUP(Tabla38[[#This Row],[MOVIL]],[1]LIQUIDACION!$B:$B,1,0)</f>
        <v>2549</v>
      </c>
    </row>
    <row r="157" spans="1:7" x14ac:dyDescent="0.3">
      <c r="A157" s="8">
        <v>9063</v>
      </c>
      <c r="B157" s="5">
        <f>+SUMIFS(Tabla16[Importe],Tabla16[MOVIL],Tabla38[[#This Row],[MOVIL]],Tabla16[OBSV],"DESCONTAR POR USO PERSONAL")</f>
        <v>6.3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12.6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7" s="65" t="e">
        <f>+VLOOKUP(Tabla38[[#This Row],[MOVIL]],[1]LIQUIDACION!$B:$B,1,0)</f>
        <v>#N/A</v>
      </c>
    </row>
    <row r="158" spans="1:7" x14ac:dyDescent="0.3">
      <c r="A158" s="66">
        <v>1699</v>
      </c>
      <c r="B158" s="5">
        <f>+SUMIFS(Tabla16[Importe],Tabla16[MOVIL],Tabla38[[#This Row],[MOVIL]],Tabla16[OBSV],"DESCONTAR POR USO PERSONAL")</f>
        <v>6.3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8" s="65">
        <f>+VLOOKUP(Tabla38[[#This Row],[MOVIL]],[1]LIQUIDACION!$B:$B,1,0)</f>
        <v>1699</v>
      </c>
    </row>
    <row r="159" spans="1:7" x14ac:dyDescent="0.3">
      <c r="A159" s="66">
        <v>248</v>
      </c>
      <c r="B159" s="5">
        <f>+SUMIFS(Tabla16[Importe],Tabla16[MOVIL],Tabla38[[#This Row],[MOVIL]],Tabla16[OBSV],"DESCONTAR POR USO PERSONAL")</f>
        <v>0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25.2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9" s="65">
        <f>+VLOOKUP(Tabla38[[#This Row],[MOVIL]],[1]LIQUIDACION!$B:$B,1,0)</f>
        <v>248</v>
      </c>
    </row>
    <row r="160" spans="1:7" x14ac:dyDescent="0.3">
      <c r="A160" s="66">
        <v>3368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6.3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0" s="65">
        <f>+VLOOKUP(Tabla38[[#This Row],[MOVIL]],[1]LIQUIDACION!$B:$B,1,0)</f>
        <v>3368</v>
      </c>
    </row>
    <row r="161" spans="1:7" x14ac:dyDescent="0.3">
      <c r="A161" s="66">
        <v>879</v>
      </c>
      <c r="B161" s="5">
        <f>+SUMIFS(Tabla16[Importe],Tabla16[MOVIL],Tabla38[[#This Row],[MOVIL]],Tabla16[OBSV],"DESCONTAR POR USO PERSONAL")</f>
        <v>25.2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25.2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61" s="65">
        <f>+VLOOKUP(Tabla38[[#This Row],[MOVIL]],[1]LIQUIDACION!$B:$B,1,0)</f>
        <v>879</v>
      </c>
    </row>
    <row r="162" spans="1:7" x14ac:dyDescent="0.3">
      <c r="A162" s="66">
        <v>9035</v>
      </c>
      <c r="B162" s="5">
        <f>+SUMIFS(Tabla16[Importe],Tabla16[MOVIL],Tabla38[[#This Row],[MOVIL]],Tabla16[OBSV],"DESCONTAR POR USO PERSONAL")</f>
        <v>25.2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2" s="65">
        <f>+VLOOKUP(Tabla38[[#This Row],[MOVIL]],[1]LIQUIDACION!$B:$B,1,0)</f>
        <v>9035</v>
      </c>
    </row>
    <row r="163" spans="1:7" x14ac:dyDescent="0.3">
      <c r="A163" s="66">
        <v>847</v>
      </c>
      <c r="B163" s="5">
        <f>+SUMIFS(Tabla16[Importe],Tabla16[MOVIL],Tabla38[[#This Row],[MOVIL]],Tabla16[OBSV],"DESCONTAR POR USO PERSONAL")</f>
        <v>37.799999999999997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12.6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63" s="65">
        <f>+VLOOKUP(Tabla38[[#This Row],[MOVIL]],[1]LIQUIDACION!$B:$B,1,0)</f>
        <v>847</v>
      </c>
    </row>
    <row r="164" spans="1:7" x14ac:dyDescent="0.3">
      <c r="A164" s="66">
        <v>9527</v>
      </c>
      <c r="B164" s="5">
        <f>+SUMIFS(Tabla16[Importe],Tabla16[MOVIL],Tabla38[[#This Row],[MOVIL]],Tabla16[OBSV],"DESCONTAR POR USO PERSONAL")</f>
        <v>12.6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12.6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4" s="65">
        <f>+VLOOKUP(Tabla38[[#This Row],[MOVIL]],[1]LIQUIDACION!$B:$B,1,0)</f>
        <v>9527</v>
      </c>
    </row>
    <row r="165" spans="1:7" x14ac:dyDescent="0.3">
      <c r="A165" s="8">
        <v>9152</v>
      </c>
      <c r="B165" s="5">
        <f>+SUMIFS(Tabla16[Importe],Tabla16[MOVIL],Tabla38[[#This Row],[MOVIL]],Tabla16[OBSV],"DESCONTAR POR USO PERSONAL")</f>
        <v>18.899999999999999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5" s="65" t="e">
        <f>+VLOOKUP(Tabla38[[#This Row],[MOVIL]],[1]LIQUIDACION!$B:$B,1,0)</f>
        <v>#N/A</v>
      </c>
    </row>
    <row r="166" spans="1:7" x14ac:dyDescent="0.3">
      <c r="A166" s="66">
        <v>2913</v>
      </c>
      <c r="B166" s="5">
        <f>+SUMIFS(Tabla16[Importe],Tabla16[MOVIL],Tabla38[[#This Row],[MOVIL]],Tabla16[OBSV],"DESCONTAR POR USO PERSONAL")</f>
        <v>25.2</v>
      </c>
      <c r="C166" s="5">
        <f>+SUMIFS(Tabla16[Importe],Tabla16[MOVIL],Tabla38[[#This Row],[MOVIL]],Tabla16[OBSV],"DESCONTAR POR INCIDENCIA")</f>
        <v>6.3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6" s="65">
        <f>+VLOOKUP(Tabla38[[#This Row],[MOVIL]],[1]LIQUIDACION!$B:$B,1,0)</f>
        <v>2913</v>
      </c>
    </row>
    <row r="167" spans="1:7" x14ac:dyDescent="0.3">
      <c r="A167" s="66">
        <v>243</v>
      </c>
      <c r="B167" s="5">
        <f>+SUMIFS(Tabla16[Importe],Tabla16[MOVIL],Tabla38[[#This Row],[MOVIL]],Tabla16[OBSV],"DESCONTAR POR USO PERSONAL")</f>
        <v>6.3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7" s="65">
        <f>+VLOOKUP(Tabla38[[#This Row],[MOVIL]],[1]LIQUIDACION!$B:$B,1,0)</f>
        <v>243</v>
      </c>
    </row>
    <row r="168" spans="1:7" x14ac:dyDescent="0.3">
      <c r="A168" s="66">
        <v>838</v>
      </c>
      <c r="B168" s="5">
        <f>+SUMIFS(Tabla16[Importe],Tabla16[MOVIL],Tabla38[[#This Row],[MOVIL]],Tabla16[OBSV],"DESCONTAR POR USO PERSONAL")</f>
        <v>81.899999999999977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68" s="65">
        <f>+VLOOKUP(Tabla38[[#This Row],[MOVIL]],[1]LIQUIDACION!$B:$B,1,0)</f>
        <v>838</v>
      </c>
    </row>
    <row r="169" spans="1:7" x14ac:dyDescent="0.3">
      <c r="A169" s="66">
        <v>9720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9" s="65">
        <f>+VLOOKUP(Tabla38[[#This Row],[MOVIL]],[1]LIQUIDACION!$B:$B,1,0)</f>
        <v>9720</v>
      </c>
    </row>
    <row r="170" spans="1:7" x14ac:dyDescent="0.3">
      <c r="A170" s="66">
        <v>222</v>
      </c>
      <c r="B170" s="5">
        <f>+SUMIFS(Tabla16[Importe],Tabla16[MOVIL],Tabla38[[#This Row],[MOVIL]],Tabla16[OBSV],"DESCONTAR POR USO PERSONAL")</f>
        <v>56.699999999999989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70" s="65">
        <f>+VLOOKUP(Tabla38[[#This Row],[MOVIL]],[1]LIQUIDACION!$B:$B,1,0)</f>
        <v>222</v>
      </c>
    </row>
    <row r="171" spans="1:7" x14ac:dyDescent="0.3">
      <c r="A171" s="66">
        <v>9112</v>
      </c>
      <c r="B171" s="5">
        <f>+SUMIFS(Tabla16[Importe],Tabla16[MOVIL],Tabla38[[#This Row],[MOVIL]],Tabla16[OBSV],"DESCONTAR POR USO PERSONAL")</f>
        <v>12.6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1" s="65">
        <f>+VLOOKUP(Tabla38[[#This Row],[MOVIL]],[1]LIQUIDACION!$B:$B,1,0)</f>
        <v>9112</v>
      </c>
    </row>
    <row r="172" spans="1:7" x14ac:dyDescent="0.3">
      <c r="A172" s="66">
        <v>220</v>
      </c>
      <c r="B172" s="5">
        <f>+SUMIFS(Tabla16[Importe],Tabla16[MOVIL],Tabla38[[#This Row],[MOVIL]],Tabla16[OBSV],"DESCONTAR POR USO PERSONAL")</f>
        <v>6.3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2" s="65">
        <f>+VLOOKUP(Tabla38[[#This Row],[MOVIL]],[1]LIQUIDACION!$B:$B,1,0)</f>
        <v>220</v>
      </c>
    </row>
    <row r="173" spans="1:7" x14ac:dyDescent="0.3">
      <c r="A173" s="66">
        <v>9132</v>
      </c>
      <c r="B173" s="5">
        <f>+SUMIFS(Tabla16[Importe],Tabla16[MOVIL],Tabla38[[#This Row],[MOVIL]],Tabla16[OBSV],"DESCONTAR POR USO PERSONAL")</f>
        <v>56.699999999999989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73" s="65">
        <f>+VLOOKUP(Tabla38[[#This Row],[MOVIL]],[1]LIQUIDACION!$B:$B,1,0)</f>
        <v>9132</v>
      </c>
    </row>
    <row r="174" spans="1:7" x14ac:dyDescent="0.3">
      <c r="A174" s="66">
        <v>9376</v>
      </c>
      <c r="B174" s="5">
        <f>+SUMIFS(Tabla16[Importe],Tabla16[MOVIL],Tabla38[[#This Row],[MOVIL]],Tabla16[OBSV],"DESCONTAR POR USO PERSONAL")</f>
        <v>31.5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4" s="65">
        <f>+VLOOKUP(Tabla38[[#This Row],[MOVIL]],[1]LIQUIDACION!$B:$B,1,0)</f>
        <v>9376</v>
      </c>
    </row>
    <row r="175" spans="1:7" x14ac:dyDescent="0.3">
      <c r="A175" s="66">
        <v>9333</v>
      </c>
      <c r="B175" s="5">
        <f>+SUMIFS(Tabla16[Importe],Tabla16[MOVIL],Tabla38[[#This Row],[MOVIL]],Tabla16[OBSV],"DESCONTAR POR USO PERSONAL")</f>
        <v>0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12.6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5" s="65">
        <f>+VLOOKUP(Tabla38[[#This Row],[MOVIL]],[1]LIQUIDACION!$B:$B,1,0)</f>
        <v>9333</v>
      </c>
    </row>
    <row r="176" spans="1:7" x14ac:dyDescent="0.3">
      <c r="A176" s="66">
        <v>1541</v>
      </c>
      <c r="B176" s="5">
        <f>+SUMIFS(Tabla16[Importe],Tabla16[MOVIL],Tabla38[[#This Row],[MOVIL]],Tabla16[OBSV],"DESCONTAR POR USO PERSONAL")</f>
        <v>0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6" s="65">
        <f>+VLOOKUP(Tabla38[[#This Row],[MOVIL]],[1]LIQUIDACION!$B:$B,1,0)</f>
        <v>1541</v>
      </c>
    </row>
    <row r="177" spans="1:7" x14ac:dyDescent="0.3">
      <c r="A177" s="66">
        <v>9204</v>
      </c>
      <c r="B177" s="5">
        <f>+SUMIFS(Tabla16[Importe],Tabla16[MOVIL],Tabla38[[#This Row],[MOVIL]],Tabla16[OBSV],"DESCONTAR POR USO PERSONAL")</f>
        <v>6.3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7" s="65">
        <f>+VLOOKUP(Tabla38[[#This Row],[MOVIL]],[1]LIQUIDACION!$B:$B,1,0)</f>
        <v>9204</v>
      </c>
    </row>
    <row r="178" spans="1:7" x14ac:dyDescent="0.3">
      <c r="A178" s="66">
        <v>1224</v>
      </c>
      <c r="B178" s="5">
        <f>+SUMIFS(Tabla16[Importe],Tabla16[MOVIL],Tabla38[[#This Row],[MOVIL]],Tabla16[OBSV],"DESCONTAR POR USO PERSONAL")</f>
        <v>50.399999999999991</v>
      </c>
      <c r="C178" s="5">
        <f>+SUMIFS(Tabla16[Importe],Tabla16[MOVIL],Tabla38[[#This Row],[MOVIL]],Tabla16[OBSV],"DESCONTAR POR INCIDENCIA")</f>
        <v>6.3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78" s="65">
        <f>+VLOOKUP(Tabla38[[#This Row],[MOVIL]],[1]LIQUIDACION!$B:$B,1,0)</f>
        <v>1224</v>
      </c>
    </row>
    <row r="179" spans="1:7" x14ac:dyDescent="0.3">
      <c r="A179" s="66">
        <v>3917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9" s="65">
        <f>+VLOOKUP(Tabla38[[#This Row],[MOVIL]],[1]LIQUIDACION!$B:$B,1,0)</f>
        <v>3917</v>
      </c>
    </row>
    <row r="180" spans="1:7" x14ac:dyDescent="0.3">
      <c r="A180" s="66">
        <v>9617</v>
      </c>
      <c r="B180" s="5">
        <f>+SUMIFS(Tabla16[Importe],Tabla16[MOVIL],Tabla38[[#This Row],[MOVIL]],Tabla16[OBSV],"DESCONTAR POR USO PERSONAL")</f>
        <v>44.099999999999994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80" s="65">
        <f>+VLOOKUP(Tabla38[[#This Row],[MOVIL]],[1]LIQUIDACION!$B:$B,1,0)</f>
        <v>9617</v>
      </c>
    </row>
    <row r="181" spans="1:7" x14ac:dyDescent="0.3">
      <c r="A181" s="66">
        <v>3180</v>
      </c>
      <c r="B181" s="5">
        <f>+SUMIFS(Tabla16[Importe],Tabla16[MOVIL],Tabla38[[#This Row],[MOVIL]],Tabla16[OBSV],"DESCONTAR POR USO PERSONAL")</f>
        <v>12.6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1" s="65">
        <f>+VLOOKUP(Tabla38[[#This Row],[MOVIL]],[1]LIQUIDACION!$B:$B,1,0)</f>
        <v>3180</v>
      </c>
    </row>
    <row r="182" spans="1:7" x14ac:dyDescent="0.3">
      <c r="A182" s="66">
        <v>3812</v>
      </c>
      <c r="B182" s="5">
        <f>+SUMIFS(Tabla16[Importe],Tabla16[MOVIL],Tabla38[[#This Row],[MOVIL]],Tabla16[OBSV],"DESCONTAR POR USO PERSONAL")</f>
        <v>6.3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2" s="65">
        <f>+VLOOKUP(Tabla38[[#This Row],[MOVIL]],[1]LIQUIDACION!$B:$B,1,0)</f>
        <v>3812</v>
      </c>
    </row>
    <row r="183" spans="1:7" x14ac:dyDescent="0.3">
      <c r="A183" s="66">
        <v>3607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3" s="65">
        <f>+VLOOKUP(Tabla38[[#This Row],[MOVIL]],[1]LIQUIDACION!$B:$B,1,0)</f>
        <v>3607</v>
      </c>
    </row>
    <row r="184" spans="1:7" x14ac:dyDescent="0.3">
      <c r="A184" s="66">
        <v>9658</v>
      </c>
      <c r="B184" s="5">
        <f>+SUMIFS(Tabla16[Importe],Tabla16[MOVIL],Tabla38[[#This Row],[MOVIL]],Tabla16[OBSV],"DESCONTAR POR USO PERSONAL")</f>
        <v>0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4" s="65">
        <f>+VLOOKUP(Tabla38[[#This Row],[MOVIL]],[1]LIQUIDACION!$B:$B,1,0)</f>
        <v>9658</v>
      </c>
    </row>
    <row r="185" spans="1:7" x14ac:dyDescent="0.3">
      <c r="A185" s="66">
        <v>9490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65">
        <f>+VLOOKUP(Tabla38[[#This Row],[MOVIL]],[1]LIQUIDACION!$B:$B,1,0)</f>
        <v>9490</v>
      </c>
    </row>
    <row r="186" spans="1:7" x14ac:dyDescent="0.3">
      <c r="A186" s="66">
        <v>9624</v>
      </c>
      <c r="B186" s="5">
        <f>+SUMIFS(Tabla16[Importe],Tabla16[MOVIL],Tabla38[[#This Row],[MOVIL]],Tabla16[OBSV],"DESCONTAR POR USO PERSONAL")</f>
        <v>18.899999999999999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12.6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6" s="65">
        <f>+VLOOKUP(Tabla38[[#This Row],[MOVIL]],[1]LIQUIDACION!$B:$B,1,0)</f>
        <v>9624</v>
      </c>
    </row>
    <row r="187" spans="1:7" x14ac:dyDescent="0.3">
      <c r="A187" s="66">
        <v>9950</v>
      </c>
      <c r="B187" s="5">
        <f>+SUMIFS(Tabla16[Importe],Tabla16[MOVIL],Tabla38[[#This Row],[MOVIL]],Tabla16[OBSV],"DESCONTAR POR USO PERSONAL")</f>
        <v>12.6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7" s="65">
        <f>+VLOOKUP(Tabla38[[#This Row],[MOVIL]],[1]LIQUIDACION!$B:$B,1,0)</f>
        <v>9950</v>
      </c>
    </row>
    <row r="188" spans="1:7" x14ac:dyDescent="0.3">
      <c r="A188" s="66">
        <v>927</v>
      </c>
      <c r="B188" s="5">
        <f>+SUMIFS(Tabla16[Importe],Tabla16[MOVIL],Tabla38[[#This Row],[MOVIL]],Tabla16[OBSV],"DESCONTAR POR USO PERSONAL")</f>
        <v>50.399999999999991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88" s="65">
        <f>+VLOOKUP(Tabla38[[#This Row],[MOVIL]],[1]LIQUIDACION!$B:$B,1,0)</f>
        <v>927</v>
      </c>
    </row>
    <row r="189" spans="1:7" x14ac:dyDescent="0.3">
      <c r="A189" s="8">
        <v>9953</v>
      </c>
      <c r="B189" s="5">
        <f>+SUMIFS(Tabla16[Importe],Tabla16[MOVIL],Tabla38[[#This Row],[MOVIL]],Tabla16[OBSV],"DESCONTAR POR USO PERSONAL")</f>
        <v>6.3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9" s="65" t="e">
        <f>+VLOOKUP(Tabla38[[#This Row],[MOVIL]],[1]LIQUIDACION!$B:$B,1,0)</f>
        <v>#N/A</v>
      </c>
    </row>
    <row r="190" spans="1:7" x14ac:dyDescent="0.3">
      <c r="A190" s="66">
        <v>9837</v>
      </c>
      <c r="B190" s="5">
        <f>+SUMIFS(Tabla16[Importe],Tabla16[MOVIL],Tabla38[[#This Row],[MOVIL]],Tabla16[OBSV],"DESCONTAR POR USO PERSONAL")</f>
        <v>12.6</v>
      </c>
      <c r="C190" s="5">
        <f>+SUMIFS(Tabla16[Importe],Tabla16[MOVIL],Tabla38[[#This Row],[MOVIL]],Tabla16[OBSV],"DESCONTAR POR INCIDENCIA")</f>
        <v>12.6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0" s="65">
        <f>+VLOOKUP(Tabla38[[#This Row],[MOVIL]],[1]LIQUIDACION!$B:$B,1,0)</f>
        <v>9837</v>
      </c>
    </row>
    <row r="191" spans="1:7" x14ac:dyDescent="0.3">
      <c r="A191" s="66">
        <v>9795</v>
      </c>
      <c r="B191" s="5">
        <f>+SUMIFS(Tabla16[Importe],Tabla16[MOVIL],Tabla38[[#This Row],[MOVIL]],Tabla16[OBSV],"DESCONTAR POR USO PERSONAL")</f>
        <v>25.2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1" s="65">
        <f>+VLOOKUP(Tabla38[[#This Row],[MOVIL]],[1]LIQUIDACION!$B:$B,1,0)</f>
        <v>9795</v>
      </c>
    </row>
    <row r="192" spans="1:7" x14ac:dyDescent="0.3">
      <c r="A192" s="66">
        <v>9672</v>
      </c>
      <c r="B192" s="5">
        <f>+SUMIFS(Tabla16[Importe],Tabla16[MOVIL],Tabla38[[#This Row],[MOVIL]],Tabla16[OBSV],"DESCONTAR POR USO PERSONAL")</f>
        <v>18.899999999999999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2" s="65">
        <f>+VLOOKUP(Tabla38[[#This Row],[MOVIL]],[1]LIQUIDACION!$B:$B,1,0)</f>
        <v>9672</v>
      </c>
    </row>
    <row r="193" spans="1:7" x14ac:dyDescent="0.3">
      <c r="A193" s="66">
        <v>9921</v>
      </c>
      <c r="B193" s="5">
        <f>+SUMIFS(Tabla16[Importe],Tabla16[MOVIL],Tabla38[[#This Row],[MOVIL]],Tabla16[OBSV],"DESCONTAR POR USO PERSONAL")</f>
        <v>18.899999999999999</v>
      </c>
      <c r="C193" s="5">
        <f>+SUMIFS(Tabla16[Importe],Tabla16[MOVIL],Tabla38[[#This Row],[MOVIL]],Tabla16[OBSV],"DESCONTAR POR INCIDENCIA")</f>
        <v>12.6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3" s="65">
        <f>+VLOOKUP(Tabla38[[#This Row],[MOVIL]],[1]LIQUIDACION!$B:$B,1,0)</f>
        <v>9921</v>
      </c>
    </row>
    <row r="194" spans="1:7" x14ac:dyDescent="0.3">
      <c r="A194" s="66">
        <v>292</v>
      </c>
      <c r="B194" s="5">
        <f>+SUMIFS(Tabla16[Importe],Tabla16[MOVIL],Tabla38[[#This Row],[MOVIL]],Tabla16[OBSV],"DESCONTAR POR USO PERSONAL")</f>
        <v>75.59999999999998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12.6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194" s="65">
        <f>+VLOOKUP(Tabla38[[#This Row],[MOVIL]],[1]LIQUIDACION!$B:$B,1,0)</f>
        <v>292</v>
      </c>
    </row>
    <row r="195" spans="1:7" x14ac:dyDescent="0.3">
      <c r="A195" s="66">
        <v>9769</v>
      </c>
      <c r="B195" s="5">
        <f>+SUMIFS(Tabla16[Importe],Tabla16[MOVIL],Tabla38[[#This Row],[MOVIL]],Tabla16[OBSV],"DESCONTAR POR USO PERSONAL")</f>
        <v>44.099999999999994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95" s="65">
        <f>+VLOOKUP(Tabla38[[#This Row],[MOVIL]],[1]LIQUIDACION!$B:$B,1,0)</f>
        <v>9769</v>
      </c>
    </row>
    <row r="196" spans="1:7" x14ac:dyDescent="0.3">
      <c r="A196" s="66">
        <v>821</v>
      </c>
      <c r="B196" s="5">
        <f>+SUMIFS(Tabla16[Importe],Tabla16[MOVIL],Tabla38[[#This Row],[MOVIL]],Tabla16[OBSV],"DESCONTAR POR USO PERSONAL")</f>
        <v>12.6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6" s="65">
        <f>+VLOOKUP(Tabla38[[#This Row],[MOVIL]],[1]LIQUIDACION!$B:$B,1,0)</f>
        <v>821</v>
      </c>
    </row>
    <row r="197" spans="1:7" x14ac:dyDescent="0.3">
      <c r="A197" s="66">
        <v>3815</v>
      </c>
      <c r="B197" s="5">
        <f>+SUMIFS(Tabla16[Importe],Tabla16[MOVIL],Tabla38[[#This Row],[MOVIL]],Tabla16[OBSV],"DESCONTAR POR USO PERSONAL")</f>
        <v>12.6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12.6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7" s="65">
        <f>+VLOOKUP(Tabla38[[#This Row],[MOVIL]],[1]LIQUIDACION!$B:$B,1,0)</f>
        <v>3815</v>
      </c>
    </row>
    <row r="198" spans="1:7" x14ac:dyDescent="0.3">
      <c r="A198" s="66">
        <v>2349</v>
      </c>
      <c r="B198" s="5">
        <f>+SUMIFS(Tabla16[Importe],Tabla16[MOVIL],Tabla38[[#This Row],[MOVIL]],Tabla16[OBSV],"DESCONTAR POR USO PERSONAL")</f>
        <v>0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8" s="65">
        <f>+VLOOKUP(Tabla38[[#This Row],[MOVIL]],[1]LIQUIDACION!$B:$B,1,0)</f>
        <v>2349</v>
      </c>
    </row>
    <row r="199" spans="1:7" x14ac:dyDescent="0.3">
      <c r="A199" s="66">
        <v>2609</v>
      </c>
      <c r="B199" s="5">
        <f>+SUMIFS(Tabla16[Importe],Tabla16[MOVIL],Tabla38[[#This Row],[MOVIL]],Tabla16[OBSV],"DESCONTAR POR USO PERSONAL")</f>
        <v>12.6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9" s="65">
        <f>+VLOOKUP(Tabla38[[#This Row],[MOVIL]],[1]LIQUIDACION!$B:$B,1,0)</f>
        <v>2609</v>
      </c>
    </row>
    <row r="200" spans="1:7" x14ac:dyDescent="0.3">
      <c r="A200" s="66">
        <v>2722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0" s="65">
        <f>+VLOOKUP(Tabla38[[#This Row],[MOVIL]],[1]LIQUIDACION!$B:$B,1,0)</f>
        <v>2722</v>
      </c>
    </row>
    <row r="201" spans="1:7" x14ac:dyDescent="0.3">
      <c r="A201" s="66">
        <v>9980</v>
      </c>
      <c r="B201" s="5">
        <f>+SUMIFS(Tabla16[Importe],Tabla16[MOVIL],Tabla38[[#This Row],[MOVIL]],Tabla16[OBSV],"DESCONTAR POR USO PERSONAL")</f>
        <v>31.5</v>
      </c>
      <c r="C201" s="5">
        <f>+SUMIFS(Tabla16[Importe],Tabla16[MOVIL],Tabla38[[#This Row],[MOVIL]],Tabla16[OBSV],"DESCONTAR POR INCIDENCIA")</f>
        <v>12.6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01" s="65">
        <f>+VLOOKUP(Tabla38[[#This Row],[MOVIL]],[1]LIQUIDACION!$B:$B,1,0)</f>
        <v>9980</v>
      </c>
    </row>
    <row r="202" spans="1:7" x14ac:dyDescent="0.3">
      <c r="A202" s="66">
        <v>9645</v>
      </c>
      <c r="B202" s="5">
        <f>+SUMIFS(Tabla16[Importe],Tabla16[MOVIL],Tabla38[[#This Row],[MOVIL]],Tabla16[OBSV],"DESCONTAR POR USO PERSONAL")</f>
        <v>0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12.6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2" s="65">
        <f>+VLOOKUP(Tabla38[[#This Row],[MOVIL]],[1]LIQUIDACION!$B:$B,1,0)</f>
        <v>9645</v>
      </c>
    </row>
    <row r="203" spans="1:7" x14ac:dyDescent="0.3">
      <c r="A203" s="66">
        <v>9938</v>
      </c>
      <c r="B203" s="5">
        <f>+SUMIFS(Tabla16[Importe],Tabla16[MOVIL],Tabla38[[#This Row],[MOVIL]],Tabla16[OBSV],"DESCONTAR POR USO PERSONAL")</f>
        <v>0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3" s="65">
        <f>+VLOOKUP(Tabla38[[#This Row],[MOVIL]],[1]LIQUIDACION!$B:$B,1,0)</f>
        <v>9938</v>
      </c>
    </row>
    <row r="204" spans="1:7" x14ac:dyDescent="0.3">
      <c r="A204" s="66">
        <v>9630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12.6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4" s="65">
        <f>+VLOOKUP(Tabla38[[#This Row],[MOVIL]],[1]LIQUIDACION!$B:$B,1,0)</f>
        <v>9630</v>
      </c>
    </row>
    <row r="205" spans="1:7" x14ac:dyDescent="0.3">
      <c r="A205" s="66">
        <v>3643</v>
      </c>
      <c r="B205" s="5">
        <f>+SUMIFS(Tabla16[Importe],Tabla16[MOVIL],Tabla38[[#This Row],[MOVIL]],Tabla16[OBSV],"DESCONTAR POR USO PERSONAL")</f>
        <v>0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5" s="65">
        <f>+VLOOKUP(Tabla38[[#This Row],[MOVIL]],[1]LIQUIDACION!$B:$B,1,0)</f>
        <v>3643</v>
      </c>
    </row>
    <row r="206" spans="1:7" x14ac:dyDescent="0.3">
      <c r="A206" s="66">
        <v>3079</v>
      </c>
      <c r="B206" s="5">
        <f>+SUMIFS(Tabla16[Importe],Tabla16[MOVIL],Tabla38[[#This Row],[MOVIL]],Tabla16[OBSV],"DESCONTAR POR USO PERSONAL")</f>
        <v>31.5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6" s="65">
        <f>+VLOOKUP(Tabla38[[#This Row],[MOVIL]],[1]LIQUIDACION!$B:$B,1,0)</f>
        <v>3079</v>
      </c>
    </row>
    <row r="207" spans="1:7" x14ac:dyDescent="0.3">
      <c r="A207" s="66">
        <v>1713</v>
      </c>
      <c r="B207" s="5">
        <f>+SUMIFS(Tabla16[Importe],Tabla16[MOVIL],Tabla38[[#This Row],[MOVIL]],Tabla16[OBSV],"DESCONTAR POR USO PERSONAL")</f>
        <v>12.6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7" s="65">
        <f>+VLOOKUP(Tabla38[[#This Row],[MOVIL]],[1]LIQUIDACION!$B:$B,1,0)</f>
        <v>1713</v>
      </c>
    </row>
    <row r="208" spans="1:7" x14ac:dyDescent="0.3">
      <c r="A208" s="8">
        <v>9172</v>
      </c>
      <c r="B208" s="5">
        <f>+SUMIFS(Tabla16[Importe],Tabla16[MOVIL],Tabla38[[#This Row],[MOVIL]],Tabla16[OBSV],"DESCONTAR POR USO PERSONAL")</f>
        <v>37.799999999999997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8" s="65" t="e">
        <f>+VLOOKUP(Tabla38[[#This Row],[MOVIL]],[1]LIQUIDACION!$B:$B,1,0)</f>
        <v>#N/A</v>
      </c>
    </row>
    <row r="209" spans="1:7" x14ac:dyDescent="0.3">
      <c r="A209" s="66">
        <v>688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9" s="65">
        <f>+VLOOKUP(Tabla38[[#This Row],[MOVIL]],[1]LIQUIDACION!$B:$B,1,0)</f>
        <v>688</v>
      </c>
    </row>
    <row r="210" spans="1:7" x14ac:dyDescent="0.3">
      <c r="A210" s="8">
        <v>9120</v>
      </c>
      <c r="B210" s="5">
        <f>+SUMIFS(Tabla16[Importe],Tabla16[MOVIL],Tabla38[[#This Row],[MOVIL]],Tabla16[OBSV],"DESCONTAR POR USO PERSONAL")</f>
        <v>25.2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6.3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0" s="65" t="e">
        <f>+VLOOKUP(Tabla38[[#This Row],[MOVIL]],[1]LIQUIDACION!$B:$B,1,0)</f>
        <v>#N/A</v>
      </c>
    </row>
    <row r="211" spans="1:7" x14ac:dyDescent="0.3">
      <c r="A211" s="66">
        <v>9922</v>
      </c>
      <c r="B211" s="5">
        <f>+SUMIFS(Tabla16[Importe],Tabla16[MOVIL],Tabla38[[#This Row],[MOVIL]],Tabla16[OBSV],"DESCONTAR POR USO PERSONAL")</f>
        <v>12.6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1" s="65">
        <f>+VLOOKUP(Tabla38[[#This Row],[MOVIL]],[1]LIQUIDACION!$B:$B,1,0)</f>
        <v>9922</v>
      </c>
    </row>
    <row r="212" spans="1:7" x14ac:dyDescent="0.3">
      <c r="A212" s="66">
        <v>3006</v>
      </c>
      <c r="B212" s="5">
        <f>+SUMIFS(Tabla16[Importe],Tabla16[MOVIL],Tabla38[[#This Row],[MOVIL]],Tabla16[OBSV],"DESCONTAR POR USO PERSONAL")</f>
        <v>0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2" s="65">
        <f>+VLOOKUP(Tabla38[[#This Row],[MOVIL]],[1]LIQUIDACION!$B:$B,1,0)</f>
        <v>3006</v>
      </c>
    </row>
    <row r="213" spans="1:7" x14ac:dyDescent="0.3">
      <c r="A213" s="66">
        <v>5023</v>
      </c>
      <c r="B213" s="5">
        <f>+SUMIFS(Tabla16[Importe],Tabla16[MOVIL],Tabla38[[#This Row],[MOVIL]],Tabla16[OBSV],"DESCONTAR POR USO PERSONAL")</f>
        <v>18.899999999999999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3" s="65">
        <f>+VLOOKUP(Tabla38[[#This Row],[MOVIL]],[1]LIQUIDACION!$B:$B,1,0)</f>
        <v>5023</v>
      </c>
    </row>
    <row r="214" spans="1:7" x14ac:dyDescent="0.3">
      <c r="A214" s="66">
        <v>3730</v>
      </c>
      <c r="B214" s="5">
        <f>+SUMIFS(Tabla16[Importe],Tabla16[MOVIL],Tabla38[[#This Row],[MOVIL]],Tabla16[OBSV],"DESCONTAR POR USO PERSONAL")</f>
        <v>18.899999999999999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4" s="65">
        <f>+VLOOKUP(Tabla38[[#This Row],[MOVIL]],[1]LIQUIDACION!$B:$B,1,0)</f>
        <v>3730</v>
      </c>
    </row>
    <row r="215" spans="1:7" x14ac:dyDescent="0.3">
      <c r="A215" s="66">
        <v>1549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5" s="65">
        <f>+VLOOKUP(Tabla38[[#This Row],[MOVIL]],[1]LIQUIDACION!$B:$B,1,0)</f>
        <v>1549</v>
      </c>
    </row>
    <row r="216" spans="1:7" x14ac:dyDescent="0.3">
      <c r="A216" s="66">
        <v>793</v>
      </c>
      <c r="B216" s="5">
        <f>+SUMIFS(Tabla16[Importe],Tabla16[MOVIL],Tabla38[[#This Row],[MOVIL]],Tabla16[OBSV],"DESCONTAR POR USO PERSONAL")</f>
        <v>50.399999999999991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6.3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16" s="65">
        <f>+VLOOKUP(Tabla38[[#This Row],[MOVIL]],[1]LIQUIDACION!$B:$B,1,0)</f>
        <v>793</v>
      </c>
    </row>
    <row r="217" spans="1:7" x14ac:dyDescent="0.3">
      <c r="A217" s="66">
        <v>1792</v>
      </c>
      <c r="B217" s="5">
        <f>+SUMIFS(Tabla16[Importe],Tabla16[MOVIL],Tabla38[[#This Row],[MOVIL]],Tabla16[OBSV],"DESCONTAR POR USO PERSONAL")</f>
        <v>25.2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7" s="65">
        <f>+VLOOKUP(Tabla38[[#This Row],[MOVIL]],[1]LIQUIDACION!$B:$B,1,0)</f>
        <v>1792</v>
      </c>
    </row>
    <row r="218" spans="1:7" x14ac:dyDescent="0.3">
      <c r="A218" s="66">
        <v>1891</v>
      </c>
      <c r="B218" s="5">
        <f>+SUMIFS(Tabla16[Importe],Tabla16[MOVIL],Tabla38[[#This Row],[MOVIL]],Tabla16[OBSV],"DESCONTAR POR USO PERSONAL")</f>
        <v>12.6</v>
      </c>
      <c r="C218" s="5">
        <f>+SUMIFS(Tabla16[Importe],Tabla16[MOVIL],Tabla38[[#This Row],[MOVIL]],Tabla16[OBSV],"DESCONTAR POR INCIDENCIA")</f>
        <v>18.899999999999999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8" s="65">
        <f>+VLOOKUP(Tabla38[[#This Row],[MOVIL]],[1]LIQUIDACION!$B:$B,1,0)</f>
        <v>1891</v>
      </c>
    </row>
    <row r="219" spans="1:7" x14ac:dyDescent="0.3">
      <c r="A219" s="66">
        <v>1847</v>
      </c>
      <c r="B219" s="5">
        <f>+SUMIFS(Tabla16[Importe],Tabla16[MOVIL],Tabla38[[#This Row],[MOVIL]],Tabla16[OBSV],"DESCONTAR POR USO PERSONAL")</f>
        <v>6.3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9" s="65">
        <f>+VLOOKUP(Tabla38[[#This Row],[MOVIL]],[1]LIQUIDACION!$B:$B,1,0)</f>
        <v>1847</v>
      </c>
    </row>
    <row r="220" spans="1:7" x14ac:dyDescent="0.3">
      <c r="A220" s="66">
        <v>3744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12.6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0" s="65">
        <f>+VLOOKUP(Tabla38[[#This Row],[MOVIL]],[1]LIQUIDACION!$B:$B,1,0)</f>
        <v>3744</v>
      </c>
    </row>
    <row r="221" spans="1:7" x14ac:dyDescent="0.3">
      <c r="A221" s="66">
        <v>3806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1" s="65">
        <f>+VLOOKUP(Tabla38[[#This Row],[MOVIL]],[1]LIQUIDACION!$B:$B,1,0)</f>
        <v>3806</v>
      </c>
    </row>
    <row r="222" spans="1:7" x14ac:dyDescent="0.3">
      <c r="A222" s="66">
        <v>1698</v>
      </c>
      <c r="B222" s="5">
        <f>+SUMIFS(Tabla16[Importe],Tabla16[MOVIL],Tabla38[[#This Row],[MOVIL]],Tabla16[OBSV],"DESCONTAR POR USO PERSONAL")</f>
        <v>37.799999999999997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12.6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22" s="65">
        <f>+VLOOKUP(Tabla38[[#This Row],[MOVIL]],[1]LIQUIDACION!$B:$B,1,0)</f>
        <v>1698</v>
      </c>
    </row>
    <row r="223" spans="1:7" x14ac:dyDescent="0.3">
      <c r="A223" s="66">
        <v>2852</v>
      </c>
      <c r="B223" s="5">
        <f>+SUMIFS(Tabla16[Importe],Tabla16[MOVIL],Tabla38[[#This Row],[MOVIL]],Tabla16[OBSV],"DESCONTAR POR USO PERSONAL")</f>
        <v>12.6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3" s="65">
        <f>+VLOOKUP(Tabla38[[#This Row],[MOVIL]],[1]LIQUIDACION!$B:$B,1,0)</f>
        <v>2852</v>
      </c>
    </row>
    <row r="224" spans="1:7" x14ac:dyDescent="0.3">
      <c r="A224" s="66">
        <v>1675</v>
      </c>
      <c r="B224" s="5">
        <f>+SUMIFS(Tabla16[Importe],Tabla16[MOVIL],Tabla38[[#This Row],[MOVIL]],Tabla16[OBSV],"DESCONTAR POR USO PERSONAL")</f>
        <v>25.2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4" s="65">
        <f>+VLOOKUP(Tabla38[[#This Row],[MOVIL]],[1]LIQUIDACION!$B:$B,1,0)</f>
        <v>1675</v>
      </c>
    </row>
    <row r="225" spans="1:7" x14ac:dyDescent="0.3">
      <c r="A225" s="66">
        <v>3663</v>
      </c>
      <c r="B225" s="5">
        <f>+SUMIFS(Tabla16[Importe],Tabla16[MOVIL],Tabla38[[#This Row],[MOVIL]],Tabla16[OBSV],"DESCONTAR POR USO PERSONAL")</f>
        <v>12.6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5" s="65">
        <f>+VLOOKUP(Tabla38[[#This Row],[MOVIL]],[1]LIQUIDACION!$B:$B,1,0)</f>
        <v>3663</v>
      </c>
    </row>
    <row r="226" spans="1:7" x14ac:dyDescent="0.3">
      <c r="A226" s="66">
        <v>709</v>
      </c>
      <c r="B226" s="5">
        <f>+SUMIFS(Tabla16[Importe],Tabla16[MOVIL],Tabla38[[#This Row],[MOVIL]],Tabla16[OBSV],"DESCONTAR POR USO PERSONAL")</f>
        <v>0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6" s="65">
        <f>+VLOOKUP(Tabla38[[#This Row],[MOVIL]],[1]LIQUIDACION!$B:$B,1,0)</f>
        <v>709</v>
      </c>
    </row>
    <row r="227" spans="1:7" x14ac:dyDescent="0.3">
      <c r="A227" s="66">
        <v>3575</v>
      </c>
      <c r="B227" s="5">
        <f>+SUMIFS(Tabla16[Importe],Tabla16[MOVIL],Tabla38[[#This Row],[MOVIL]],Tabla16[OBSV],"DESCONTAR POR USO PERSONAL")</f>
        <v>37.799999999999997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7" s="65">
        <f>+VLOOKUP(Tabla38[[#This Row],[MOVIL]],[1]LIQUIDACION!$B:$B,1,0)</f>
        <v>3575</v>
      </c>
    </row>
    <row r="228" spans="1:7" x14ac:dyDescent="0.3">
      <c r="A228" s="66">
        <v>9377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8" s="65">
        <f>+VLOOKUP(Tabla38[[#This Row],[MOVIL]],[1]LIQUIDACION!$B:$B,1,0)</f>
        <v>9377</v>
      </c>
    </row>
    <row r="229" spans="1:7" x14ac:dyDescent="0.3">
      <c r="A229" s="66">
        <v>3594</v>
      </c>
      <c r="B229" s="5">
        <f>+SUMIFS(Tabla16[Importe],Tabla16[MOVIL],Tabla38[[#This Row],[MOVIL]],Tabla16[OBSV],"DESCONTAR POR USO PERSONAL")</f>
        <v>25.2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9" s="65">
        <f>+VLOOKUP(Tabla38[[#This Row],[MOVIL]],[1]LIQUIDACION!$B:$B,1,0)</f>
        <v>3594</v>
      </c>
    </row>
    <row r="230" spans="1:7" x14ac:dyDescent="0.3">
      <c r="A230" s="66">
        <v>1878</v>
      </c>
      <c r="B230" s="5">
        <f>+SUMIFS(Tabla16[Importe],Tabla16[MOVIL],Tabla38[[#This Row],[MOVIL]],Tabla16[OBSV],"DESCONTAR POR USO PERSONAL")</f>
        <v>50.399999999999991</v>
      </c>
      <c r="C230" s="5">
        <f>+SUMIFS(Tabla16[Importe],Tabla16[MOVIL],Tabla38[[#This Row],[MOVIL]],Tabla16[OBSV],"DESCONTAR POR INCIDENCIA")</f>
        <v>12.6</v>
      </c>
      <c r="D230" s="5">
        <f>+SUMIFS(Tabla16[Importe],Tabla16[MOVIL],Tabla38[[#This Row],[MOVIL]],Tabla16[OBSV],"DESCONTAR SERVICIO EN EFECTIVO")</f>
        <v>12.6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230" s="65">
        <f>+VLOOKUP(Tabla38[[#This Row],[MOVIL]],[1]LIQUIDACION!$B:$B,1,0)</f>
        <v>1878</v>
      </c>
    </row>
    <row r="231" spans="1:7" x14ac:dyDescent="0.3">
      <c r="A231" s="8">
        <v>9110</v>
      </c>
      <c r="B231" s="5">
        <f>+SUMIFS(Tabla16[Importe],Tabla16[MOVIL],Tabla38[[#This Row],[MOVIL]],Tabla16[OBSV],"DESCONTAR POR USO PERSONAL")</f>
        <v>18.899999999999999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1" s="65" t="e">
        <f>+VLOOKUP(Tabla38[[#This Row],[MOVIL]],[1]LIQUIDACION!$B:$B,1,0)</f>
        <v>#N/A</v>
      </c>
    </row>
    <row r="232" spans="1:7" x14ac:dyDescent="0.3">
      <c r="A232" s="66">
        <v>1550</v>
      </c>
      <c r="B232" s="5">
        <f>+SUMIFS(Tabla16[Importe],Tabla16[MOVIL],Tabla38[[#This Row],[MOVIL]],Tabla16[OBSV],"DESCONTAR POR USO PERSONAL")</f>
        <v>25.2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6.3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2" s="65">
        <f>+VLOOKUP(Tabla38[[#This Row],[MOVIL]],[1]LIQUIDACION!$B:$B,1,0)</f>
        <v>1550</v>
      </c>
    </row>
    <row r="233" spans="1:7" x14ac:dyDescent="0.3">
      <c r="A233" s="66">
        <v>411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3" s="65">
        <f>+VLOOKUP(Tabla38[[#This Row],[MOVIL]],[1]LIQUIDACION!$B:$B,1,0)</f>
        <v>411</v>
      </c>
    </row>
    <row r="234" spans="1:7" x14ac:dyDescent="0.3">
      <c r="A234" s="66">
        <v>205</v>
      </c>
      <c r="B234" s="5">
        <f>+SUMIFS(Tabla16[Importe],Tabla16[MOVIL],Tabla38[[#This Row],[MOVIL]],Tabla16[OBSV],"DESCONTAR POR USO PERSONAL")</f>
        <v>6.3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12.6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4" s="65">
        <f>+VLOOKUP(Tabla38[[#This Row],[MOVIL]],[1]LIQUIDACION!$B:$B,1,0)</f>
        <v>205</v>
      </c>
    </row>
    <row r="235" spans="1:7" x14ac:dyDescent="0.3">
      <c r="A235" s="66">
        <v>858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65">
        <f>+VLOOKUP(Tabla38[[#This Row],[MOVIL]],[1]LIQUIDACION!$B:$B,1,0)</f>
        <v>858</v>
      </c>
    </row>
    <row r="236" spans="1:7" x14ac:dyDescent="0.3">
      <c r="A236" s="66">
        <v>9742</v>
      </c>
      <c r="B236" s="5">
        <f>+SUMIFS(Tabla16[Importe],Tabla16[MOVIL],Tabla38[[#This Row],[MOVIL]],Tabla16[OBSV],"DESCONTAR POR USO PERSONAL")</f>
        <v>37.799999999999997</v>
      </c>
      <c r="C236" s="5">
        <f>+SUMIFS(Tabla16[Importe],Tabla16[MOVIL],Tabla38[[#This Row],[MOVIL]],Tabla16[OBSV],"DESCONTAR POR INCIDENCIA")</f>
        <v>6.3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36" s="65">
        <f>+VLOOKUP(Tabla38[[#This Row],[MOVIL]],[1]LIQUIDACION!$B:$B,1,0)</f>
        <v>9742</v>
      </c>
    </row>
    <row r="237" spans="1:7" x14ac:dyDescent="0.3">
      <c r="A237" s="66">
        <v>3061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12.6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7" s="65">
        <f>+VLOOKUP(Tabla38[[#This Row],[MOVIL]],[1]LIQUIDACION!$B:$B,1,0)</f>
        <v>3061</v>
      </c>
    </row>
    <row r="238" spans="1:7" x14ac:dyDescent="0.3">
      <c r="A238" s="66">
        <v>3833</v>
      </c>
      <c r="B238" s="5">
        <f>+SUMIFS(Tabla16[Importe],Tabla16[MOVIL],Tabla38[[#This Row],[MOVIL]],Tabla16[OBSV],"DESCONTAR POR USO PERSONAL")</f>
        <v>0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18.899999999999999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8" s="65">
        <f>+VLOOKUP(Tabla38[[#This Row],[MOVIL]],[1]LIQUIDACION!$B:$B,1,0)</f>
        <v>3833</v>
      </c>
    </row>
    <row r="239" spans="1:7" x14ac:dyDescent="0.3">
      <c r="A239" s="66">
        <v>3799</v>
      </c>
      <c r="B239" s="5">
        <f>+SUMIFS(Tabla16[Importe],Tabla16[MOVIL],Tabla38[[#This Row],[MOVIL]],Tabla16[OBSV],"DESCONTAR POR USO PERSONAL")</f>
        <v>6.3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9" s="65">
        <f>+VLOOKUP(Tabla38[[#This Row],[MOVIL]],[1]LIQUIDACION!$B:$B,1,0)</f>
        <v>3799</v>
      </c>
    </row>
    <row r="240" spans="1:7" x14ac:dyDescent="0.3">
      <c r="A240" s="66">
        <v>1146</v>
      </c>
      <c r="B240" s="5">
        <f>+SUMIFS(Tabla16[Importe],Tabla16[MOVIL],Tabla38[[#This Row],[MOVIL]],Tabla16[OBSV],"DESCONTAR POR USO PERSONAL")</f>
        <v>12.6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0" s="65">
        <f>+VLOOKUP(Tabla38[[#This Row],[MOVIL]],[1]LIQUIDACION!$B:$B,1,0)</f>
        <v>1146</v>
      </c>
    </row>
    <row r="241" spans="1:7" x14ac:dyDescent="0.3">
      <c r="A241" s="66">
        <v>3816</v>
      </c>
      <c r="B241" s="5">
        <f>+SUMIFS(Tabla16[Importe],Tabla16[MOVIL],Tabla38[[#This Row],[MOVIL]],Tabla16[OBSV],"DESCONTAR POR USO PERSONAL")</f>
        <v>25.2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12.6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1" s="65">
        <f>+VLOOKUP(Tabla38[[#This Row],[MOVIL]],[1]LIQUIDACION!$B:$B,1,0)</f>
        <v>3816</v>
      </c>
    </row>
    <row r="242" spans="1:7" x14ac:dyDescent="0.3">
      <c r="A242" s="66">
        <v>3842</v>
      </c>
      <c r="B242" s="5">
        <f>+SUMIFS(Tabla16[Importe],Tabla16[MOVIL],Tabla38[[#This Row],[MOVIL]],Tabla16[OBSV],"DESCONTAR POR USO PERSONAL")</f>
        <v>0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2" s="65">
        <f>+VLOOKUP(Tabla38[[#This Row],[MOVIL]],[1]LIQUIDACION!$B:$B,1,0)</f>
        <v>3842</v>
      </c>
    </row>
    <row r="243" spans="1:7" x14ac:dyDescent="0.3">
      <c r="A243" s="66">
        <v>3855</v>
      </c>
      <c r="B243" s="5">
        <f>+SUMIFS(Tabla16[Importe],Tabla16[MOVIL],Tabla38[[#This Row],[MOVIL]],Tabla16[OBSV],"DESCONTAR POR USO PERSONAL")</f>
        <v>0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6.3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3" s="65">
        <f>+VLOOKUP(Tabla38[[#This Row],[MOVIL]],[1]LIQUIDACION!$B:$B,1,0)</f>
        <v>3855</v>
      </c>
    </row>
    <row r="244" spans="1:7" x14ac:dyDescent="0.3">
      <c r="A244" s="66">
        <v>747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4" s="65">
        <f>+VLOOKUP(Tabla38[[#This Row],[MOVIL]],[1]LIQUIDACION!$B:$B,1,0)</f>
        <v>747</v>
      </c>
    </row>
    <row r="245" spans="1:7" x14ac:dyDescent="0.3">
      <c r="A245" s="66">
        <v>785</v>
      </c>
      <c r="B245" s="5">
        <f>+SUMIFS(Tabla16[Importe],Tabla16[MOVIL],Tabla38[[#This Row],[MOVIL]],Tabla16[OBSV],"DESCONTAR POR USO PERSONAL")</f>
        <v>31.5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5" s="65">
        <f>+VLOOKUP(Tabla38[[#This Row],[MOVIL]],[1]LIQUIDACION!$B:$B,1,0)</f>
        <v>785</v>
      </c>
    </row>
    <row r="246" spans="1:7" x14ac:dyDescent="0.3">
      <c r="A246" s="66">
        <v>2653</v>
      </c>
      <c r="B246" s="5">
        <f>+SUMIFS(Tabla16[Importe],Tabla16[MOVIL],Tabla38[[#This Row],[MOVIL]],Tabla16[OBSV],"DESCONTAR POR USO PERSONAL")</f>
        <v>62.999999999999986</v>
      </c>
      <c r="C246" s="5">
        <f>+SUMIFS(Tabla16[Importe],Tabla16[MOVIL],Tabla38[[#This Row],[MOVIL]],Tabla16[OBSV],"DESCONTAR POR INCIDENCIA")</f>
        <v>12.6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246" s="65">
        <f>+VLOOKUP(Tabla38[[#This Row],[MOVIL]],[1]LIQUIDACION!$B:$B,1,0)</f>
        <v>2653</v>
      </c>
    </row>
    <row r="247" spans="1:7" x14ac:dyDescent="0.3">
      <c r="A247" s="66">
        <v>2597</v>
      </c>
      <c r="B247" s="5">
        <f>+SUMIFS(Tabla16[Importe],Tabla16[MOVIL],Tabla38[[#This Row],[MOVIL]],Tabla16[OBSV],"DESCONTAR POR USO PERSONAL")</f>
        <v>12.6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7" s="65">
        <f>+VLOOKUP(Tabla38[[#This Row],[MOVIL]],[1]LIQUIDACION!$B:$B,1,0)</f>
        <v>2597</v>
      </c>
    </row>
    <row r="248" spans="1:7" x14ac:dyDescent="0.3">
      <c r="A248" s="66">
        <v>319</v>
      </c>
      <c r="B248" s="5">
        <f>+SUMIFS(Tabla16[Importe],Tabla16[MOVIL],Tabla38[[#This Row],[MOVIL]],Tabla16[OBSV],"DESCONTAR POR USO PERSONAL")</f>
        <v>12.6</v>
      </c>
      <c r="C248" s="5">
        <f>+SUMIFS(Tabla16[Importe],Tabla16[MOVIL],Tabla38[[#This Row],[MOVIL]],Tabla16[OBSV],"DESCONTAR POR INCIDENCIA")</f>
        <v>6.3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8" s="65">
        <f>+VLOOKUP(Tabla38[[#This Row],[MOVIL]],[1]LIQUIDACION!$B:$B,1,0)</f>
        <v>319</v>
      </c>
    </row>
    <row r="249" spans="1:7" x14ac:dyDescent="0.3">
      <c r="A249" s="66">
        <v>684</v>
      </c>
      <c r="B249" s="5">
        <f>+SUMIFS(Tabla16[Importe],Tabla16[MOVIL],Tabla38[[#This Row],[MOVIL]],Tabla16[OBSV],"DESCONTAR POR USO PERSONAL")</f>
        <v>31.5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6.3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9" s="65">
        <f>+VLOOKUP(Tabla38[[#This Row],[MOVIL]],[1]LIQUIDACION!$B:$B,1,0)</f>
        <v>684</v>
      </c>
    </row>
    <row r="250" spans="1:7" x14ac:dyDescent="0.3">
      <c r="A250" s="66">
        <v>3938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18.899999999999999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0" s="65">
        <f>+VLOOKUP(Tabla38[[#This Row],[MOVIL]],[1]LIQUIDACION!$B:$B,1,0)</f>
        <v>3938</v>
      </c>
    </row>
    <row r="251" spans="1:7" x14ac:dyDescent="0.3">
      <c r="A251" s="66">
        <v>2020</v>
      </c>
      <c r="B251" s="5">
        <f>+SUMIFS(Tabla16[Importe],Tabla16[MOVIL],Tabla38[[#This Row],[MOVIL]],Tabla16[OBSV],"DESCONTAR POR USO PERSONAL")</f>
        <v>6.3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1" s="65">
        <f>+VLOOKUP(Tabla38[[#This Row],[MOVIL]],[1]LIQUIDACION!$B:$B,1,0)</f>
        <v>2020</v>
      </c>
    </row>
    <row r="252" spans="1:7" x14ac:dyDescent="0.3">
      <c r="A252" s="66">
        <v>9480</v>
      </c>
      <c r="B252" s="5">
        <f>+SUMIFS(Tabla16[Importe],Tabla16[MOVIL],Tabla38[[#This Row],[MOVIL]],Tabla16[OBSV],"DESCONTAR POR USO PERSONAL")</f>
        <v>31.5</v>
      </c>
      <c r="C252" s="5">
        <f>+SUMIFS(Tabla16[Importe],Tabla16[MOVIL],Tabla38[[#This Row],[MOVIL]],Tabla16[OBSV],"DESCONTAR POR INCIDENCIA")</f>
        <v>6.3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2" s="65">
        <f>+VLOOKUP(Tabla38[[#This Row],[MOVIL]],[1]LIQUIDACION!$B:$B,1,0)</f>
        <v>9480</v>
      </c>
    </row>
    <row r="253" spans="1:7" x14ac:dyDescent="0.3">
      <c r="A253" s="66">
        <v>3460</v>
      </c>
      <c r="B253" s="5">
        <f>+SUMIFS(Tabla16[Importe],Tabla16[MOVIL],Tabla38[[#This Row],[MOVIL]],Tabla16[OBSV],"DESCONTAR POR USO PERSONAL")</f>
        <v>37.799999999999997</v>
      </c>
      <c r="C253" s="5">
        <f>+SUMIFS(Tabla16[Importe],Tabla16[MOVIL],Tabla38[[#This Row],[MOVIL]],Tabla16[OBSV],"DESCONTAR POR INCIDENCIA")</f>
        <v>12.6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53" s="65">
        <f>+VLOOKUP(Tabla38[[#This Row],[MOVIL]],[1]LIQUIDACION!$B:$B,1,0)</f>
        <v>3460</v>
      </c>
    </row>
    <row r="254" spans="1:7" x14ac:dyDescent="0.3">
      <c r="A254" s="8">
        <v>7581</v>
      </c>
      <c r="B254" s="5">
        <f>+SUMIFS(Tabla16[Importe],Tabla16[MOVIL],Tabla38[[#This Row],[MOVIL]],Tabla16[OBSV],"DESCONTAR POR USO PERSONAL")</f>
        <v>0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4" s="65" t="e">
        <f>+VLOOKUP(Tabla38[[#This Row],[MOVIL]],[1]LIQUIDACION!$B:$B,1,0)</f>
        <v>#N/A</v>
      </c>
    </row>
    <row r="255" spans="1:7" x14ac:dyDescent="0.3">
      <c r="A255" s="66">
        <v>217</v>
      </c>
      <c r="B255" s="5">
        <f>+SUMIFS(Tabla16[Importe],Tabla16[MOVIL],Tabla38[[#This Row],[MOVIL]],Tabla16[OBSV],"DESCONTAR POR USO PERSONAL")</f>
        <v>31.5</v>
      </c>
      <c r="C255" s="5">
        <f>+SUMIFS(Tabla16[Importe],Tabla16[MOVIL],Tabla38[[#This Row],[MOVIL]],Tabla16[OBSV],"DESCONTAR POR INCIDENCIA")</f>
        <v>6.3</v>
      </c>
      <c r="D255" s="5">
        <f>+SUMIFS(Tabla16[Importe],Tabla16[MOVIL],Tabla38[[#This Row],[MOVIL]],Tabla16[OBSV],"DESCONTAR SERVICIO EN EFECTIVO")</f>
        <v>18.899999999999999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55" s="65">
        <f>+VLOOKUP(Tabla38[[#This Row],[MOVIL]],[1]LIQUIDACION!$B:$B,1,0)</f>
        <v>217</v>
      </c>
    </row>
    <row r="256" spans="1:7" x14ac:dyDescent="0.3">
      <c r="A256" s="66">
        <v>865</v>
      </c>
      <c r="B256" s="5">
        <f>+SUMIFS(Tabla16[Importe],Tabla16[MOVIL],Tabla38[[#This Row],[MOVIL]],Tabla16[OBSV],"DESCONTAR POR USO PERSONAL")</f>
        <v>31.5</v>
      </c>
      <c r="C256" s="5">
        <f>+SUMIFS(Tabla16[Importe],Tabla16[MOVIL],Tabla38[[#This Row],[MOVIL]],Tabla16[OBSV],"DESCONTAR POR INCIDENCIA")</f>
        <v>6.3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6" s="65">
        <f>+VLOOKUP(Tabla38[[#This Row],[MOVIL]],[1]LIQUIDACION!$B:$B,1,0)</f>
        <v>865</v>
      </c>
    </row>
    <row r="257" spans="1:7" x14ac:dyDescent="0.3">
      <c r="A257" s="66">
        <v>3740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7" s="65">
        <f>+VLOOKUP(Tabla38[[#This Row],[MOVIL]],[1]LIQUIDACION!$B:$B,1,0)</f>
        <v>3740</v>
      </c>
    </row>
    <row r="258" spans="1:7" x14ac:dyDescent="0.3">
      <c r="A258" s="66">
        <v>3398</v>
      </c>
      <c r="B258" s="5">
        <f>+SUMIFS(Tabla16[Importe],Tabla16[MOVIL],Tabla38[[#This Row],[MOVIL]],Tabla16[OBSV],"DESCONTAR POR USO PERSONAL")</f>
        <v>6.3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6.3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8" s="65">
        <f>+VLOOKUP(Tabla38[[#This Row],[MOVIL]],[1]LIQUIDACION!$B:$B,1,0)</f>
        <v>3398</v>
      </c>
    </row>
    <row r="259" spans="1:7" x14ac:dyDescent="0.3">
      <c r="A259" s="66">
        <v>223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9" s="65">
        <f>+VLOOKUP(Tabla38[[#This Row],[MOVIL]],[1]LIQUIDACION!$B:$B,1,0)</f>
        <v>223</v>
      </c>
    </row>
    <row r="260" spans="1:7" x14ac:dyDescent="0.3">
      <c r="A260" s="66">
        <v>561</v>
      </c>
      <c r="B260" s="5">
        <f>+SUMIFS(Tabla16[Importe],Tabla16[MOVIL],Tabla38[[#This Row],[MOVIL]],Tabla16[OBSV],"DESCONTAR POR USO PERSONAL")</f>
        <v>6.3</v>
      </c>
      <c r="C260" s="5">
        <f>+SUMIFS(Tabla16[Importe],Tabla16[MOVIL],Tabla38[[#This Row],[MOVIL]],Tabla16[OBSV],"DESCONTAR POR INCIDENCIA")</f>
        <v>12.6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0" s="65">
        <f>+VLOOKUP(Tabla38[[#This Row],[MOVIL]],[1]LIQUIDACION!$B:$B,1,0)</f>
        <v>561</v>
      </c>
    </row>
    <row r="261" spans="1:7" x14ac:dyDescent="0.3">
      <c r="A261" s="66">
        <v>9684</v>
      </c>
      <c r="B261" s="5">
        <f>+SUMIFS(Tabla16[Importe],Tabla16[MOVIL],Tabla38[[#This Row],[MOVIL]],Tabla16[OBSV],"DESCONTAR POR USO PERSONAL")</f>
        <v>18.899999999999999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1" s="65">
        <f>+VLOOKUP(Tabla38[[#This Row],[MOVIL]],[1]LIQUIDACION!$B:$B,1,0)</f>
        <v>9684</v>
      </c>
    </row>
    <row r="262" spans="1:7" x14ac:dyDescent="0.3">
      <c r="A262" s="66">
        <v>679</v>
      </c>
      <c r="B262" s="5">
        <f>+SUMIFS(Tabla16[Importe],Tabla16[MOVIL],Tabla38[[#This Row],[MOVIL]],Tabla16[OBSV],"DESCONTAR POR USO PERSONAL")</f>
        <v>6.3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12.6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2" s="65">
        <f>+VLOOKUP(Tabla38[[#This Row],[MOVIL]],[1]LIQUIDACION!$B:$B,1,0)</f>
        <v>679</v>
      </c>
    </row>
    <row r="263" spans="1:7" x14ac:dyDescent="0.3">
      <c r="A263" s="66">
        <v>9134</v>
      </c>
      <c r="B263" s="5">
        <f>+SUMIFS(Tabla16[Importe],Tabla16[MOVIL],Tabla38[[#This Row],[MOVIL]],Tabla16[OBSV],"DESCONTAR POR USO PERSONAL")</f>
        <v>12.6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12.6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3" s="65">
        <f>+VLOOKUP(Tabla38[[#This Row],[MOVIL]],[1]LIQUIDACION!$B:$B,1,0)</f>
        <v>9134</v>
      </c>
    </row>
    <row r="264" spans="1:7" x14ac:dyDescent="0.3">
      <c r="A264" s="66">
        <v>1424</v>
      </c>
      <c r="B264" s="5">
        <f>+SUMIFS(Tabla16[Importe],Tabla16[MOVIL],Tabla38[[#This Row],[MOVIL]],Tabla16[OBSV],"DESCONTAR POR USO PERSONAL")</f>
        <v>6.3</v>
      </c>
      <c r="C264" s="5">
        <f>+SUMIFS(Tabla16[Importe],Tabla16[MOVIL],Tabla38[[#This Row],[MOVIL]],Tabla16[OBSV],"DESCONTAR POR INCIDENCIA")</f>
        <v>6.3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4" s="65">
        <f>+VLOOKUP(Tabla38[[#This Row],[MOVIL]],[1]LIQUIDACION!$B:$B,1,0)</f>
        <v>1424</v>
      </c>
    </row>
    <row r="265" spans="1:7" x14ac:dyDescent="0.3">
      <c r="A265" s="66">
        <v>9701</v>
      </c>
      <c r="B265" s="5">
        <f>+SUMIFS(Tabla16[Importe],Tabla16[MOVIL],Tabla38[[#This Row],[MOVIL]],Tabla16[OBSV],"DESCONTAR POR USO PERSONAL")</f>
        <v>25.2</v>
      </c>
      <c r="C265" s="5">
        <f>+SUMIFS(Tabla16[Importe],Tabla16[MOVIL],Tabla38[[#This Row],[MOVIL]],Tabla16[OBSV],"DESCONTAR POR INCIDENCIA")</f>
        <v>12.6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5" s="65">
        <f>+VLOOKUP(Tabla38[[#This Row],[MOVIL]],[1]LIQUIDACION!$B:$B,1,0)</f>
        <v>9701</v>
      </c>
    </row>
    <row r="266" spans="1:7" x14ac:dyDescent="0.3">
      <c r="A266" s="66">
        <v>2118</v>
      </c>
      <c r="B266" s="5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6" s="65">
        <f>+VLOOKUP(Tabla38[[#This Row],[MOVIL]],[1]LIQUIDACION!$B:$B,1,0)</f>
        <v>2118</v>
      </c>
    </row>
    <row r="267" spans="1:7" x14ac:dyDescent="0.3">
      <c r="A267" s="66">
        <v>735</v>
      </c>
      <c r="B267" s="5">
        <f>+SUMIFS(Tabla16[Importe],Tabla16[MOVIL],Tabla38[[#This Row],[MOVIL]],Tabla16[OBSV],"DESCONTAR POR USO PERSONAL")</f>
        <v>37.799999999999997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12.6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67" s="65">
        <f>+VLOOKUP(Tabla38[[#This Row],[MOVIL]],[1]LIQUIDACION!$B:$B,1,0)</f>
        <v>735</v>
      </c>
    </row>
    <row r="268" spans="1:7" x14ac:dyDescent="0.3">
      <c r="A268" s="66">
        <v>988</v>
      </c>
      <c r="B268" s="5">
        <f>+SUMIFS(Tabla16[Importe],Tabla16[MOVIL],Tabla38[[#This Row],[MOVIL]],Tabla16[OBSV],"DESCONTAR POR USO PERSONAL")</f>
        <v>0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8" s="65">
        <f>+VLOOKUP(Tabla38[[#This Row],[MOVIL]],[1]LIQUIDACION!$B:$B,1,0)</f>
        <v>988</v>
      </c>
    </row>
    <row r="269" spans="1:7" x14ac:dyDescent="0.3">
      <c r="A269" s="66">
        <v>9190</v>
      </c>
      <c r="B269" s="5">
        <f>+SUMIFS(Tabla16[Importe],Tabla16[MOVIL],Tabla38[[#This Row],[MOVIL]],Tabla16[OBSV],"DESCONTAR POR USO PERSONAL")</f>
        <v>18.899999999999999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9" s="65">
        <f>+VLOOKUP(Tabla38[[#This Row],[MOVIL]],[1]LIQUIDACION!$B:$B,1,0)</f>
        <v>9190</v>
      </c>
    </row>
    <row r="270" spans="1:7" x14ac:dyDescent="0.3">
      <c r="A270" s="66">
        <v>3708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12.6</v>
      </c>
      <c r="D270" s="5">
        <f>+SUMIFS(Tabla16[Importe],Tabla16[MOVIL],Tabla38[[#This Row],[MOVIL]],Tabla16[OBSV],"DESCONTAR SERVICIO EN EFECTIVO")</f>
        <v>12.6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0" s="65">
        <f>+VLOOKUP(Tabla38[[#This Row],[MOVIL]],[1]LIQUIDACION!$B:$B,1,0)</f>
        <v>3708</v>
      </c>
    </row>
    <row r="271" spans="1:7" x14ac:dyDescent="0.3">
      <c r="A271" s="66">
        <v>3788</v>
      </c>
      <c r="B271" s="5">
        <f>+SUMIFS(Tabla16[Importe],Tabla16[MOVIL],Tabla38[[#This Row],[MOVIL]],Tabla16[OBSV],"DESCONTAR POR USO PERSONAL")</f>
        <v>37.799999999999997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1" s="65">
        <f>+VLOOKUP(Tabla38[[#This Row],[MOVIL]],[1]LIQUIDACION!$B:$B,1,0)</f>
        <v>3788</v>
      </c>
    </row>
    <row r="272" spans="1:7" x14ac:dyDescent="0.3">
      <c r="A272" s="66">
        <v>3818</v>
      </c>
      <c r="B272" s="5">
        <f>+SUMIFS(Tabla16[Importe],Tabla16[MOVIL],Tabla38[[#This Row],[MOVIL]],Tabla16[OBSV],"DESCONTAR POR USO PERSONAL")</f>
        <v>31.5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2" s="65">
        <f>+VLOOKUP(Tabla38[[#This Row],[MOVIL]],[1]LIQUIDACION!$B:$B,1,0)</f>
        <v>3818</v>
      </c>
    </row>
    <row r="273" spans="1:7" x14ac:dyDescent="0.3">
      <c r="A273" s="66">
        <v>3956</v>
      </c>
      <c r="B273" s="5">
        <f>+SUMIFS(Tabla16[Importe],Tabla16[MOVIL],Tabla38[[#This Row],[MOVIL]],Tabla16[OBSV],"DESCONTAR POR USO PERSONAL")</f>
        <v>37.799999999999997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3" s="65">
        <f>+VLOOKUP(Tabla38[[#This Row],[MOVIL]],[1]LIQUIDACION!$B:$B,1,0)</f>
        <v>3956</v>
      </c>
    </row>
    <row r="274" spans="1:7" x14ac:dyDescent="0.3">
      <c r="A274" s="66">
        <v>3934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4" s="65">
        <f>+VLOOKUP(Tabla38[[#This Row],[MOVIL]],[1]LIQUIDACION!$B:$B,1,0)</f>
        <v>3934</v>
      </c>
    </row>
    <row r="275" spans="1:7" x14ac:dyDescent="0.3">
      <c r="A275" s="66">
        <v>3829</v>
      </c>
      <c r="B275" s="5">
        <f>+SUMIFS(Tabla16[Importe],Tabla16[MOVIL],Tabla38[[#This Row],[MOVIL]],Tabla16[OBSV],"DESCONTAR POR USO PERSONAL")</f>
        <v>0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5" s="65">
        <f>+VLOOKUP(Tabla38[[#This Row],[MOVIL]],[1]LIQUIDACION!$B:$B,1,0)</f>
        <v>3829</v>
      </c>
    </row>
    <row r="276" spans="1:7" x14ac:dyDescent="0.3">
      <c r="A276" s="66">
        <v>3685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6" s="65">
        <f>+VLOOKUP(Tabla38[[#This Row],[MOVIL]],[1]LIQUIDACION!$B:$B,1,0)</f>
        <v>3685</v>
      </c>
    </row>
    <row r="277" spans="1:7" x14ac:dyDescent="0.3">
      <c r="A277" s="66">
        <v>3070</v>
      </c>
      <c r="B277" s="5">
        <f>+SUMIFS(Tabla16[Importe],Tabla16[MOVIL],Tabla38[[#This Row],[MOVIL]],Tabla16[OBSV],"DESCONTAR POR USO PERSONAL")</f>
        <v>0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7" s="65">
        <f>+VLOOKUP(Tabla38[[#This Row],[MOVIL]],[1]LIQUIDACION!$B:$B,1,0)</f>
        <v>3070</v>
      </c>
    </row>
    <row r="278" spans="1:7" x14ac:dyDescent="0.3">
      <c r="A278" s="66">
        <v>3948</v>
      </c>
      <c r="B278" s="5">
        <f>+SUMIFS(Tabla16[Importe],Tabla16[MOVIL],Tabla38[[#This Row],[MOVIL]],Tabla16[OBSV],"DESCONTAR POR USO PERSONAL")</f>
        <v>0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8" s="65">
        <f>+VLOOKUP(Tabla38[[#This Row],[MOVIL]],[1]LIQUIDACION!$B:$B,1,0)</f>
        <v>3948</v>
      </c>
    </row>
    <row r="279" spans="1:7" x14ac:dyDescent="0.3">
      <c r="A279" s="66">
        <v>245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9" s="65">
        <f>+VLOOKUP(Tabla38[[#This Row],[MOVIL]],[1]LIQUIDACION!$B:$B,1,0)</f>
        <v>245</v>
      </c>
    </row>
    <row r="280" spans="1:7" x14ac:dyDescent="0.3">
      <c r="A280" s="66">
        <v>818</v>
      </c>
      <c r="B280" s="5">
        <f>+SUMIFS(Tabla16[Importe],Tabla16[MOVIL],Tabla38[[#This Row],[MOVIL]],Tabla16[OBSV],"DESCONTAR POR USO PERSONAL")</f>
        <v>50.399999999999991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80" s="65">
        <f>+VLOOKUP(Tabla38[[#This Row],[MOVIL]],[1]LIQUIDACION!$B:$B,1,0)</f>
        <v>818</v>
      </c>
    </row>
    <row r="281" spans="1:7" x14ac:dyDescent="0.3">
      <c r="A281" s="66">
        <v>9510</v>
      </c>
      <c r="B281" s="5">
        <f>+SUMIFS(Tabla16[Importe],Tabla16[MOVIL],Tabla38[[#This Row],[MOVIL]],Tabla16[OBSV],"DESCONTAR POR USO PERSONAL")</f>
        <v>25.2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1" s="65">
        <f>+VLOOKUP(Tabla38[[#This Row],[MOVIL]],[1]LIQUIDACION!$B:$B,1,0)</f>
        <v>9510</v>
      </c>
    </row>
    <row r="282" spans="1:7" x14ac:dyDescent="0.3">
      <c r="A282" s="66">
        <v>219</v>
      </c>
      <c r="B282" s="5">
        <f>+SUMIFS(Tabla16[Importe],Tabla16[MOVIL],Tabla38[[#This Row],[MOVIL]],Tabla16[OBSV],"DESCONTAR POR USO PERSONAL")</f>
        <v>6.3</v>
      </c>
      <c r="C282" s="5">
        <f>+SUMIFS(Tabla16[Importe],Tabla16[MOVIL],Tabla38[[#This Row],[MOVIL]],Tabla16[OBSV],"DESCONTAR POR INCIDENCIA")</f>
        <v>12.6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2" s="65">
        <f>+VLOOKUP(Tabla38[[#This Row],[MOVIL]],[1]LIQUIDACION!$B:$B,1,0)</f>
        <v>219</v>
      </c>
    </row>
    <row r="283" spans="1:7" x14ac:dyDescent="0.3">
      <c r="A283" s="66">
        <v>3449</v>
      </c>
      <c r="B283" s="5">
        <f>+SUMIFS(Tabla16[Importe],Tabla16[MOVIL],Tabla38[[#This Row],[MOVIL]],Tabla16[OBSV],"DESCONTAR POR USO PERSONAL")</f>
        <v>25.2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3" s="65">
        <f>+VLOOKUP(Tabla38[[#This Row],[MOVIL]],[1]LIQUIDACION!$B:$B,1,0)</f>
        <v>3449</v>
      </c>
    </row>
    <row r="284" spans="1:7" x14ac:dyDescent="0.3">
      <c r="A284" s="66">
        <v>207</v>
      </c>
      <c r="B284" s="5">
        <f>+SUMIFS(Tabla16[Importe],Tabla16[MOVIL],Tabla38[[#This Row],[MOVIL]],Tabla16[OBSV],"DESCONTAR POR USO PERSONAL")</f>
        <v>50.399999999999991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84" s="65">
        <f>+VLOOKUP(Tabla38[[#This Row],[MOVIL]],[1]LIQUIDACION!$B:$B,1,0)</f>
        <v>207</v>
      </c>
    </row>
    <row r="285" spans="1:7" x14ac:dyDescent="0.3">
      <c r="A285" s="66">
        <v>4055</v>
      </c>
      <c r="B285" s="5">
        <f>+SUMIFS(Tabla16[Importe],Tabla16[MOVIL],Tabla38[[#This Row],[MOVIL]],Tabla16[OBSV],"DESCONTAR POR USO PERSONAL")</f>
        <v>44.099999999999994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85" s="65">
        <f>+VLOOKUP(Tabla38[[#This Row],[MOVIL]],[1]LIQUIDACION!$B:$B,1,0)</f>
        <v>4055</v>
      </c>
    </row>
    <row r="286" spans="1:7" x14ac:dyDescent="0.3">
      <c r="A286" s="66">
        <v>774</v>
      </c>
      <c r="B286" s="5">
        <f>+SUMIFS(Tabla16[Importe],Tabla16[MOVIL],Tabla38[[#This Row],[MOVIL]],Tabla16[OBSV],"DESCONTAR POR USO PERSONAL")</f>
        <v>25.2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6.3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6" s="65">
        <f>+VLOOKUP(Tabla38[[#This Row],[MOVIL]],[1]LIQUIDACION!$B:$B,1,0)</f>
        <v>774</v>
      </c>
    </row>
    <row r="287" spans="1:7" x14ac:dyDescent="0.3">
      <c r="A287" s="66">
        <v>9935</v>
      </c>
      <c r="B287" s="5">
        <f>+SUMIFS(Tabla16[Importe],Tabla16[MOVIL],Tabla38[[#This Row],[MOVIL]],Tabla16[OBSV],"DESCONTAR POR USO PERSONAL")</f>
        <v>0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7" s="65">
        <f>+VLOOKUP(Tabla38[[#This Row],[MOVIL]],[1]LIQUIDACION!$B:$B,1,0)</f>
        <v>9935</v>
      </c>
    </row>
    <row r="288" spans="1:7" x14ac:dyDescent="0.3">
      <c r="A288" s="66">
        <v>4042</v>
      </c>
      <c r="B288" s="5">
        <f>+SUMIFS(Tabla16[Importe],Tabla16[MOVIL],Tabla38[[#This Row],[MOVIL]],Tabla16[OBSV],"DESCONTAR POR USO PERSONAL")</f>
        <v>0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8" s="65">
        <f>+VLOOKUP(Tabla38[[#This Row],[MOVIL]],[1]LIQUIDACION!$B:$B,1,0)</f>
        <v>4042</v>
      </c>
    </row>
    <row r="289" spans="1:7" x14ac:dyDescent="0.3">
      <c r="A289" s="66">
        <v>4033</v>
      </c>
      <c r="B289" s="5">
        <f>+SUMIFS(Tabla16[Importe],Tabla16[MOVIL],Tabla38[[#This Row],[MOVIL]],Tabla16[OBSV],"DESCONTAR POR USO PERSONAL")</f>
        <v>6.3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9" s="65">
        <f>+VLOOKUP(Tabla38[[#This Row],[MOVIL]],[1]LIQUIDACION!$B:$B,1,0)</f>
        <v>4033</v>
      </c>
    </row>
    <row r="290" spans="1:7" x14ac:dyDescent="0.3">
      <c r="A290" s="66">
        <v>226</v>
      </c>
      <c r="B290" s="5">
        <f>+SUMIFS(Tabla16[Importe],Tabla16[MOVIL],Tabla38[[#This Row],[MOVIL]],Tabla16[OBSV],"DESCONTAR POR USO PERSONAL")</f>
        <v>25.2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0" s="65">
        <f>+VLOOKUP(Tabla38[[#This Row],[MOVIL]],[1]LIQUIDACION!$B:$B,1,0)</f>
        <v>226</v>
      </c>
    </row>
    <row r="291" spans="1:7" x14ac:dyDescent="0.3">
      <c r="A291" s="66">
        <v>3278</v>
      </c>
      <c r="B291" s="5">
        <f>+SUMIFS(Tabla16[Importe],Tabla16[MOVIL],Tabla38[[#This Row],[MOVIL]],Tabla16[OBSV],"DESCONTAR POR USO PERSONAL")</f>
        <v>44.099999999999994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91" s="65">
        <f>+VLOOKUP(Tabla38[[#This Row],[MOVIL]],[1]LIQUIDACION!$B:$B,1,0)</f>
        <v>3278</v>
      </c>
    </row>
    <row r="292" spans="1:7" x14ac:dyDescent="0.3">
      <c r="A292" s="8">
        <v>3959</v>
      </c>
      <c r="B292" s="5">
        <f>+SUMIFS(Tabla16[Importe],Tabla16[MOVIL],Tabla38[[#This Row],[MOVIL]],Tabla16[OBSV],"DESCONTAR POR USO PERSONAL")</f>
        <v>6.3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12.6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2" s="65" t="e">
        <f>+VLOOKUP(Tabla38[[#This Row],[MOVIL]],[1]LIQUIDACION!$B:$B,1,0)</f>
        <v>#N/A</v>
      </c>
    </row>
    <row r="293" spans="1:7" x14ac:dyDescent="0.3">
      <c r="A293" s="8">
        <v>7038</v>
      </c>
      <c r="B293" s="5">
        <f>+SUMIFS(Tabla16[Importe],Tabla16[MOVIL],Tabla38[[#This Row],[MOVIL]],Tabla16[OBSV],"DESCONTAR POR USO PERSONAL")</f>
        <v>0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6.3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3" s="65" t="e">
        <f>+VLOOKUP(Tabla38[[#This Row],[MOVIL]],[1]LIQUIDACION!$B:$B,1,0)</f>
        <v>#N/A</v>
      </c>
    </row>
    <row r="294" spans="1:7" x14ac:dyDescent="0.3">
      <c r="A294" s="66">
        <v>2777</v>
      </c>
      <c r="B294" s="5">
        <f>+SUMIFS(Tabla16[Importe],Tabla16[MOVIL],Tabla38[[#This Row],[MOVIL]],Tabla16[OBSV],"DESCONTAR POR USO PERSONAL")</f>
        <v>0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4" s="65">
        <f>+VLOOKUP(Tabla38[[#This Row],[MOVIL]],[1]LIQUIDACION!$B:$B,1,0)</f>
        <v>2777</v>
      </c>
    </row>
    <row r="295" spans="1:7" x14ac:dyDescent="0.3">
      <c r="A295" s="66">
        <v>2746</v>
      </c>
      <c r="B295" s="5">
        <f>+SUMIFS(Tabla16[Importe],Tabla16[MOVIL],Tabla38[[#This Row],[MOVIL]],Tabla16[OBSV],"DESCONTAR POR USO PERSONAL")</f>
        <v>6.3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5" s="65">
        <f>+VLOOKUP(Tabla38[[#This Row],[MOVIL]],[1]LIQUIDACION!$B:$B,1,0)</f>
        <v>2746</v>
      </c>
    </row>
    <row r="296" spans="1:7" x14ac:dyDescent="0.3">
      <c r="A296" s="66">
        <v>1786</v>
      </c>
      <c r="B296" s="5">
        <f>+SUMIFS(Tabla16[Importe],Tabla16[MOVIL],Tabla38[[#This Row],[MOVIL]],Tabla16[OBSV],"DESCONTAR POR USO PERSONAL")</f>
        <v>12.6</v>
      </c>
      <c r="C296" s="5">
        <f>+SUMIFS(Tabla16[Importe],Tabla16[MOVIL],Tabla38[[#This Row],[MOVIL]],Tabla16[OBSV],"DESCONTAR POR INCIDENCIA")</f>
        <v>12.6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6" s="65">
        <f>+VLOOKUP(Tabla38[[#This Row],[MOVIL]],[1]LIQUIDACION!$B:$B,1,0)</f>
        <v>1786</v>
      </c>
    </row>
    <row r="297" spans="1:7" x14ac:dyDescent="0.3">
      <c r="A297" s="66">
        <v>3198</v>
      </c>
      <c r="B297" s="5">
        <f>+SUMIFS(Tabla16[Importe],Tabla16[MOVIL],Tabla38[[#This Row],[MOVIL]],Tabla16[OBSV],"DESCONTAR POR USO PERSONAL")</f>
        <v>62.999999999999986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12.6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297" s="65">
        <f>+VLOOKUP(Tabla38[[#This Row],[MOVIL]],[1]LIQUIDACION!$B:$B,1,0)</f>
        <v>3198</v>
      </c>
    </row>
    <row r="298" spans="1:7" x14ac:dyDescent="0.3">
      <c r="A298" s="66">
        <v>9740</v>
      </c>
      <c r="B298" s="5">
        <f>+SUMIFS(Tabla16[Importe],Tabla16[MOVIL],Tabla38[[#This Row],[MOVIL]],Tabla16[OBSV],"DESCONTAR POR USO PERSONAL")</f>
        <v>12.6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8" s="65">
        <f>+VLOOKUP(Tabla38[[#This Row],[MOVIL]],[1]LIQUIDACION!$B:$B,1,0)</f>
        <v>9740</v>
      </c>
    </row>
    <row r="299" spans="1:7" x14ac:dyDescent="0.3">
      <c r="A299" s="66">
        <v>2394</v>
      </c>
      <c r="B299" s="5">
        <f>+SUMIFS(Tabla16[Importe],Tabla16[MOVIL],Tabla38[[#This Row],[MOVIL]],Tabla16[OBSV],"DESCONTAR POR USO PERSONAL")</f>
        <v>56.699999999999989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6.3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99" s="65">
        <f>+VLOOKUP(Tabla38[[#This Row],[MOVIL]],[1]LIQUIDACION!$B:$B,1,0)</f>
        <v>2394</v>
      </c>
    </row>
    <row r="300" spans="1:7" x14ac:dyDescent="0.3">
      <c r="A300" s="66">
        <v>4029</v>
      </c>
      <c r="B300" s="5">
        <f>+SUMIFS(Tabla16[Importe],Tabla16[MOVIL],Tabla38[[#This Row],[MOVIL]],Tabla16[OBSV],"DESCONTAR POR USO PERSONAL")</f>
        <v>25.2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0" s="65">
        <f>+VLOOKUP(Tabla38[[#This Row],[MOVIL]],[1]LIQUIDACION!$B:$B,1,0)</f>
        <v>4029</v>
      </c>
    </row>
    <row r="301" spans="1:7" x14ac:dyDescent="0.3">
      <c r="A301" s="66">
        <v>3787</v>
      </c>
      <c r="B301" s="5">
        <f>+SUMIFS(Tabla16[Importe],Tabla16[MOVIL],Tabla38[[#This Row],[MOVIL]],Tabla16[OBSV],"DESCONTAR POR USO PERSONAL")</f>
        <v>37.799999999999997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12.6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01" s="65">
        <f>+VLOOKUP(Tabla38[[#This Row],[MOVIL]],[1]LIQUIDACION!$B:$B,1,0)</f>
        <v>3787</v>
      </c>
    </row>
    <row r="302" spans="1:7" x14ac:dyDescent="0.3">
      <c r="A302" s="8">
        <v>2849</v>
      </c>
      <c r="B302" s="5">
        <f>+SUMIFS(Tabla16[Importe],Tabla16[MOVIL],Tabla38[[#This Row],[MOVIL]],Tabla16[OBSV],"DESCONTAR POR USO PERSONAL")</f>
        <v>18.899999999999999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2" s="65" t="e">
        <f>+VLOOKUP(Tabla38[[#This Row],[MOVIL]],[1]LIQUIDACION!$B:$B,1,0)</f>
        <v>#N/A</v>
      </c>
    </row>
    <row r="303" spans="1:7" x14ac:dyDescent="0.3">
      <c r="A303" s="66">
        <v>2218</v>
      </c>
      <c r="B303" s="5">
        <f>+SUMIFS(Tabla16[Importe],Tabla16[MOVIL],Tabla38[[#This Row],[MOVIL]],Tabla16[OBSV],"DESCONTAR POR USO PERSONAL")</f>
        <v>6.3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6.3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3" s="65">
        <f>+VLOOKUP(Tabla38[[#This Row],[MOVIL]],[1]LIQUIDACION!$B:$B,1,0)</f>
        <v>2218</v>
      </c>
    </row>
    <row r="304" spans="1:7" x14ac:dyDescent="0.3">
      <c r="A304" s="66">
        <v>1615</v>
      </c>
      <c r="B304" s="5">
        <f>+SUMIFS(Tabla16[Importe],Tabla16[MOVIL],Tabla38[[#This Row],[MOVIL]],Tabla16[OBSV],"DESCONTAR POR USO PERSONAL")</f>
        <v>18.899999999999999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4" s="65">
        <f>+VLOOKUP(Tabla38[[#This Row],[MOVIL]],[1]LIQUIDACION!$B:$B,1,0)</f>
        <v>1615</v>
      </c>
    </row>
    <row r="305" spans="1:7" x14ac:dyDescent="0.3">
      <c r="A305" s="66">
        <v>3242</v>
      </c>
      <c r="B305" s="5">
        <f>+SUMIFS(Tabla16[Importe],Tabla16[MOVIL],Tabla38[[#This Row],[MOVIL]],Tabla16[OBSV],"DESCONTAR POR USO PERSONAL")</f>
        <v>31.5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12.6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05" s="65">
        <f>+VLOOKUP(Tabla38[[#This Row],[MOVIL]],[1]LIQUIDACION!$B:$B,1,0)</f>
        <v>3242</v>
      </c>
    </row>
    <row r="306" spans="1:7" x14ac:dyDescent="0.3">
      <c r="A306" s="66">
        <v>1422</v>
      </c>
      <c r="B306" s="5">
        <f>+SUMIFS(Tabla16[Importe],Tabla16[MOVIL],Tabla38[[#This Row],[MOVIL]],Tabla16[OBSV],"DESCONTAR POR USO PERSONAL")</f>
        <v>12.6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12.6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6" s="65">
        <f>+VLOOKUP(Tabla38[[#This Row],[MOVIL]],[1]LIQUIDACION!$B:$B,1,0)</f>
        <v>1422</v>
      </c>
    </row>
    <row r="307" spans="1:7" x14ac:dyDescent="0.3">
      <c r="A307" s="66">
        <v>1453</v>
      </c>
      <c r="B307" s="5">
        <f>+SUMIFS(Tabla16[Importe],Tabla16[MOVIL],Tabla38[[#This Row],[MOVIL]],Tabla16[OBSV],"DESCONTAR POR USO PERSONAL")</f>
        <v>12.6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7" s="65">
        <f>+VLOOKUP(Tabla38[[#This Row],[MOVIL]],[1]LIQUIDACION!$B:$B,1,0)</f>
        <v>1453</v>
      </c>
    </row>
    <row r="308" spans="1:7" x14ac:dyDescent="0.3">
      <c r="A308" s="66">
        <v>3960</v>
      </c>
      <c r="B308" s="5">
        <f>+SUMIFS(Tabla16[Importe],Tabla16[MOVIL],Tabla38[[#This Row],[MOVIL]],Tabla16[OBSV],"DESCONTAR POR USO PERSONAL")</f>
        <v>12.6</v>
      </c>
      <c r="C308" s="5">
        <f>+SUMIFS(Tabla16[Importe],Tabla16[MOVIL],Tabla38[[#This Row],[MOVIL]],Tabla16[OBSV],"DESCONTAR POR INCIDENCIA")</f>
        <v>12.6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8" s="65">
        <f>+VLOOKUP(Tabla38[[#This Row],[MOVIL]],[1]LIQUIDACION!$B:$B,1,0)</f>
        <v>3960</v>
      </c>
    </row>
    <row r="309" spans="1:7" x14ac:dyDescent="0.3">
      <c r="A309" s="66">
        <v>4072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9" s="65">
        <f>+VLOOKUP(Tabla38[[#This Row],[MOVIL]],[1]LIQUIDACION!$B:$B,1,0)</f>
        <v>4072</v>
      </c>
    </row>
    <row r="310" spans="1:7" x14ac:dyDescent="0.3">
      <c r="A310" s="66">
        <v>127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0" s="65">
        <f>+VLOOKUP(Tabla38[[#This Row],[MOVIL]],[1]LIQUIDACION!$B:$B,1,0)</f>
        <v>127</v>
      </c>
    </row>
    <row r="311" spans="1:7" x14ac:dyDescent="0.3">
      <c r="A311" s="66">
        <v>4070</v>
      </c>
      <c r="B311" s="5">
        <f>+SUMIFS(Tabla16[Importe],Tabla16[MOVIL],Tabla38[[#This Row],[MOVIL]],Tabla16[OBSV],"DESCONTAR POR USO PERSONAL")</f>
        <v>6.3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12.6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1" s="65">
        <f>+VLOOKUP(Tabla38[[#This Row],[MOVIL]],[1]LIQUIDACION!$B:$B,1,0)</f>
        <v>4070</v>
      </c>
    </row>
    <row r="312" spans="1:7" x14ac:dyDescent="0.3">
      <c r="A312" s="66">
        <v>515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2" s="65">
        <f>+VLOOKUP(Tabla38[[#This Row],[MOVIL]],[1]LIQUIDACION!$B:$B,1,0)</f>
        <v>515</v>
      </c>
    </row>
    <row r="313" spans="1:7" x14ac:dyDescent="0.3">
      <c r="A313" s="66">
        <v>412</v>
      </c>
      <c r="B313" s="5">
        <f>+SUMIFS(Tabla16[Importe],Tabla16[MOVIL],Tabla38[[#This Row],[MOVIL]],Tabla16[OBSV],"DESCONTAR POR USO PERSONAL")</f>
        <v>0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3" s="65">
        <f>+VLOOKUP(Tabla38[[#This Row],[MOVIL]],[1]LIQUIDACION!$B:$B,1,0)</f>
        <v>412</v>
      </c>
    </row>
    <row r="314" spans="1:7" x14ac:dyDescent="0.3">
      <c r="A314" s="66">
        <v>2467</v>
      </c>
      <c r="B314" s="5">
        <f>+SUMIFS(Tabla16[Importe],Tabla16[MOVIL],Tabla38[[#This Row],[MOVIL]],Tabla16[OBSV],"DESCONTAR POR USO PERSONAL")</f>
        <v>12.6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4" s="65">
        <f>+VLOOKUP(Tabla38[[#This Row],[MOVIL]],[1]LIQUIDACION!$B:$B,1,0)</f>
        <v>2467</v>
      </c>
    </row>
    <row r="315" spans="1:7" x14ac:dyDescent="0.3">
      <c r="A315" s="66">
        <v>3113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5" s="65">
        <f>+VLOOKUP(Tabla38[[#This Row],[MOVIL]],[1]LIQUIDACION!$B:$B,1,0)</f>
        <v>3113</v>
      </c>
    </row>
    <row r="316" spans="1:7" x14ac:dyDescent="0.3">
      <c r="A316" s="66">
        <v>3638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12.6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6" s="65">
        <f>+VLOOKUP(Tabla38[[#This Row],[MOVIL]],[1]LIQUIDACION!$B:$B,1,0)</f>
        <v>3638</v>
      </c>
    </row>
    <row r="317" spans="1:7" x14ac:dyDescent="0.3">
      <c r="A317" s="66">
        <v>3014</v>
      </c>
      <c r="B317" s="5">
        <f>+SUMIFS(Tabla16[Importe],Tabla16[MOVIL],Tabla38[[#This Row],[MOVIL]],Tabla16[OBSV],"DESCONTAR POR USO PERSONAL")</f>
        <v>18.899999999999999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12.6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7" s="65">
        <f>+VLOOKUP(Tabla38[[#This Row],[MOVIL]],[1]LIQUIDACION!$B:$B,1,0)</f>
        <v>3014</v>
      </c>
    </row>
    <row r="318" spans="1:7" x14ac:dyDescent="0.3">
      <c r="A318" s="66">
        <v>2674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8" s="65">
        <f>+VLOOKUP(Tabla38[[#This Row],[MOVIL]],[1]LIQUIDACION!$B:$B,1,0)</f>
        <v>2674</v>
      </c>
    </row>
    <row r="319" spans="1:7" x14ac:dyDescent="0.3">
      <c r="A319" s="66">
        <v>9045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12.6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9" s="65">
        <f>+VLOOKUP(Tabla38[[#This Row],[MOVIL]],[1]LIQUIDACION!$B:$B,1,0)</f>
        <v>9045</v>
      </c>
    </row>
    <row r="320" spans="1:7" x14ac:dyDescent="0.3">
      <c r="A320" s="66">
        <v>3381</v>
      </c>
      <c r="B320" s="5">
        <f>+SUMIFS(Tabla16[Importe],Tabla16[MOVIL],Tabla38[[#This Row],[MOVIL]],Tabla16[OBSV],"DESCONTAR POR USO PERSONAL")</f>
        <v>6.3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0" s="65">
        <f>+VLOOKUP(Tabla38[[#This Row],[MOVIL]],[1]LIQUIDACION!$B:$B,1,0)</f>
        <v>3381</v>
      </c>
    </row>
    <row r="321" spans="1:7" x14ac:dyDescent="0.3">
      <c r="A321" s="66">
        <v>2014</v>
      </c>
      <c r="B321" s="5">
        <f>+SUMIFS(Tabla16[Importe],Tabla16[MOVIL],Tabla38[[#This Row],[MOVIL]],Tabla16[OBSV],"DESCONTAR POR USO PERSONAL")</f>
        <v>18.899999999999999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1" s="65">
        <f>+VLOOKUP(Tabla38[[#This Row],[MOVIL]],[1]LIQUIDACION!$B:$B,1,0)</f>
        <v>2014</v>
      </c>
    </row>
    <row r="322" spans="1:7" x14ac:dyDescent="0.3">
      <c r="A322" s="66">
        <v>3954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2" s="65">
        <f>+VLOOKUP(Tabla38[[#This Row],[MOVIL]],[1]LIQUIDACION!$B:$B,1,0)</f>
        <v>3954</v>
      </c>
    </row>
    <row r="323" spans="1:7" x14ac:dyDescent="0.3">
      <c r="A323" s="66">
        <v>4073</v>
      </c>
      <c r="B323" s="5">
        <f>+SUMIFS(Tabla16[Importe],Tabla16[MOVIL],Tabla38[[#This Row],[MOVIL]],Tabla16[OBSV],"DESCONTAR POR USO PERSONAL")</f>
        <v>6.3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3" s="65">
        <f>+VLOOKUP(Tabla38[[#This Row],[MOVIL]],[1]LIQUIDACION!$B:$B,1,0)</f>
        <v>4073</v>
      </c>
    </row>
    <row r="324" spans="1:7" x14ac:dyDescent="0.3">
      <c r="A324" s="66">
        <v>1844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4" s="65">
        <f>+VLOOKUP(Tabla38[[#This Row],[MOVIL]],[1]LIQUIDACION!$B:$B,1,0)</f>
        <v>1844</v>
      </c>
    </row>
    <row r="325" spans="1:7" x14ac:dyDescent="0.3">
      <c r="A325" s="66">
        <v>2416</v>
      </c>
      <c r="B325" s="5">
        <f>+SUMIFS(Tabla16[Importe],Tabla16[MOVIL],Tabla38[[#This Row],[MOVIL]],Tabla16[OBSV],"DESCONTAR POR USO PERSONAL")</f>
        <v>6.3</v>
      </c>
      <c r="C325" s="5">
        <f>+SUMIFS(Tabla16[Importe],Tabla16[MOVIL],Tabla38[[#This Row],[MOVIL]],Tabla16[OBSV],"DESCONTAR POR INCIDENCIA")</f>
        <v>6.3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5" s="65">
        <f>+VLOOKUP(Tabla38[[#This Row],[MOVIL]],[1]LIQUIDACION!$B:$B,1,0)</f>
        <v>2416</v>
      </c>
    </row>
    <row r="326" spans="1:7" x14ac:dyDescent="0.3">
      <c r="A326" s="66">
        <v>7106</v>
      </c>
      <c r="B326" s="5">
        <f>+SUMIFS(Tabla16[Importe],Tabla16[MOVIL],Tabla38[[#This Row],[MOVIL]],Tabla16[OBSV],"DESCONTAR POR USO PERSONAL")</f>
        <v>25.2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6" s="65">
        <f>+VLOOKUP(Tabla38[[#This Row],[MOVIL]],[1]LIQUIDACION!$B:$B,1,0)</f>
        <v>7106</v>
      </c>
    </row>
    <row r="327" spans="1:7" x14ac:dyDescent="0.3">
      <c r="A327" s="66">
        <v>3924</v>
      </c>
      <c r="B327" s="5">
        <f>+SUMIFS(Tabla16[Importe],Tabla16[MOVIL],Tabla38[[#This Row],[MOVIL]],Tabla16[OBSV],"DESCONTAR POR USO PERSONAL")</f>
        <v>12.6</v>
      </c>
      <c r="C327" s="5">
        <f>+SUMIFS(Tabla16[Importe],Tabla16[MOVIL],Tabla38[[#This Row],[MOVIL]],Tabla16[OBSV],"DESCONTAR POR INCIDENCIA")</f>
        <v>6.3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7" s="65">
        <f>+VLOOKUP(Tabla38[[#This Row],[MOVIL]],[1]LIQUIDACION!$B:$B,1,0)</f>
        <v>3924</v>
      </c>
    </row>
    <row r="328" spans="1:7" x14ac:dyDescent="0.3">
      <c r="A328" s="66">
        <v>2189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8" s="65">
        <f>+VLOOKUP(Tabla38[[#This Row],[MOVIL]],[1]LIQUIDACION!$B:$B,1,0)</f>
        <v>2189</v>
      </c>
    </row>
    <row r="329" spans="1:7" x14ac:dyDescent="0.3">
      <c r="A329" s="66">
        <v>4145</v>
      </c>
      <c r="B329" s="5">
        <f>+SUMIFS(Tabla16[Importe],Tabla16[MOVIL],Tabla38[[#This Row],[MOVIL]],Tabla16[OBSV],"DESCONTAR POR USO PERSONAL")</f>
        <v>100.79999999999997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12.6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329" s="65">
        <f>+VLOOKUP(Tabla38[[#This Row],[MOVIL]],[1]LIQUIDACION!$B:$B,1,0)</f>
        <v>4145</v>
      </c>
    </row>
    <row r="330" spans="1:7" x14ac:dyDescent="0.3">
      <c r="A330" s="66">
        <v>4026</v>
      </c>
      <c r="B330" s="5">
        <f>+SUMIFS(Tabla16[Importe],Tabla16[MOVIL],Tabla38[[#This Row],[MOVIL]],Tabla16[OBSV],"DESCONTAR POR USO PERSONAL")</f>
        <v>0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0" s="65">
        <f>+VLOOKUP(Tabla38[[#This Row],[MOVIL]],[1]LIQUIDACION!$B:$B,1,0)</f>
        <v>4026</v>
      </c>
    </row>
    <row r="331" spans="1:7" x14ac:dyDescent="0.3">
      <c r="A331" s="66">
        <v>3912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1" s="65">
        <f>+VLOOKUP(Tabla38[[#This Row],[MOVIL]],[1]LIQUIDACION!$B:$B,1,0)</f>
        <v>3912</v>
      </c>
    </row>
    <row r="332" spans="1:7" x14ac:dyDescent="0.3">
      <c r="A332" s="66">
        <v>3939</v>
      </c>
      <c r="B332" s="5">
        <f>+SUMIFS(Tabla16[Importe],Tabla16[MOVIL],Tabla38[[#This Row],[MOVIL]],Tabla16[OBSV],"DESCONTAR POR USO PERSONAL")</f>
        <v>25.2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2" s="65">
        <f>+VLOOKUP(Tabla38[[#This Row],[MOVIL]],[1]LIQUIDACION!$B:$B,1,0)</f>
        <v>3939</v>
      </c>
    </row>
    <row r="333" spans="1:7" x14ac:dyDescent="0.3">
      <c r="A333" s="66">
        <v>3691</v>
      </c>
      <c r="B333" s="5">
        <f>+SUMIFS(Tabla16[Importe],Tabla16[MOVIL],Tabla38[[#This Row],[MOVIL]],Tabla16[OBSV],"DESCONTAR POR USO PERSONAL")</f>
        <v>6.3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12.6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3" s="65">
        <f>+VLOOKUP(Tabla38[[#This Row],[MOVIL]],[1]LIQUIDACION!$B:$B,1,0)</f>
        <v>3691</v>
      </c>
    </row>
    <row r="334" spans="1:7" x14ac:dyDescent="0.3">
      <c r="A334" s="66">
        <v>1591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4" s="65">
        <f>+VLOOKUP(Tabla38[[#This Row],[MOVIL]],[1]LIQUIDACION!$B:$B,1,0)</f>
        <v>1591</v>
      </c>
    </row>
    <row r="335" spans="1:7" x14ac:dyDescent="0.3">
      <c r="A335" s="66">
        <v>9637</v>
      </c>
      <c r="B335" s="5">
        <f>+SUMIFS(Tabla16[Importe],Tabla16[MOVIL],Tabla38[[#This Row],[MOVIL]],Tabla16[OBSV],"DESCONTAR POR USO PERSONAL")</f>
        <v>25.2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5" s="65">
        <f>+VLOOKUP(Tabla38[[#This Row],[MOVIL]],[1]LIQUIDACION!$B:$B,1,0)</f>
        <v>9637</v>
      </c>
    </row>
    <row r="336" spans="1:7" x14ac:dyDescent="0.3">
      <c r="A336" s="66">
        <v>3768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6" s="65">
        <f>+VLOOKUP(Tabla38[[#This Row],[MOVIL]],[1]LIQUIDACION!$B:$B,1,0)</f>
        <v>3768</v>
      </c>
    </row>
    <row r="337" spans="1:7" x14ac:dyDescent="0.3">
      <c r="A337" s="66">
        <v>3509</v>
      </c>
      <c r="B337" s="5">
        <f>+SUMIFS(Tabla16[Importe],Tabla16[MOVIL],Tabla38[[#This Row],[MOVIL]],Tabla16[OBSV],"DESCONTAR POR USO PERSONAL")</f>
        <v>31.5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6.3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37" s="65">
        <f>+VLOOKUP(Tabla38[[#This Row],[MOVIL]],[1]LIQUIDACION!$B:$B,1,0)</f>
        <v>3509</v>
      </c>
    </row>
    <row r="338" spans="1:7" x14ac:dyDescent="0.3">
      <c r="A338" s="66">
        <v>3568</v>
      </c>
      <c r="B338" s="5">
        <f>+SUMIFS(Tabla16[Importe],Tabla16[MOVIL],Tabla38[[#This Row],[MOVIL]],Tabla16[OBSV],"DESCONTAR POR USO PERSONAL")</f>
        <v>6.3</v>
      </c>
      <c r="C338" s="5">
        <f>+SUMIFS(Tabla16[Importe],Tabla16[MOVIL],Tabla38[[#This Row],[MOVIL]],Tabla16[OBSV],"DESCONTAR POR INCIDENCIA")</f>
        <v>6.3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8" s="65">
        <f>+VLOOKUP(Tabla38[[#This Row],[MOVIL]],[1]LIQUIDACION!$B:$B,1,0)</f>
        <v>3568</v>
      </c>
    </row>
    <row r="339" spans="1:7" x14ac:dyDescent="0.3">
      <c r="A339" s="66">
        <v>541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9" s="65">
        <f>+VLOOKUP(Tabla38[[#This Row],[MOVIL]],[1]LIQUIDACION!$B:$B,1,0)</f>
        <v>541</v>
      </c>
    </row>
    <row r="340" spans="1:7" x14ac:dyDescent="0.3">
      <c r="A340" s="66">
        <v>9177</v>
      </c>
      <c r="B340" s="5">
        <f>+SUMIFS(Tabla16[Importe],Tabla16[MOVIL],Tabla38[[#This Row],[MOVIL]],Tabla16[OBSV],"DESCONTAR POR USO PERSONAL")</f>
        <v>50.399999999999991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40" s="65">
        <f>+VLOOKUP(Tabla38[[#This Row],[MOVIL]],[1]LIQUIDACION!$B:$B,1,0)</f>
        <v>9177</v>
      </c>
    </row>
    <row r="341" spans="1:7" x14ac:dyDescent="0.3">
      <c r="A341" s="66">
        <v>3840</v>
      </c>
      <c r="B341" s="5">
        <f>+SUMIFS(Tabla16[Importe],Tabla16[MOVIL],Tabla38[[#This Row],[MOVIL]],Tabla16[OBSV],"DESCONTAR POR USO PERSONAL")</f>
        <v>62.999999999999986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41" s="65">
        <f>+VLOOKUP(Tabla38[[#This Row],[MOVIL]],[1]LIQUIDACION!$B:$B,1,0)</f>
        <v>3840</v>
      </c>
    </row>
    <row r="342" spans="1:7" x14ac:dyDescent="0.3">
      <c r="A342" s="66">
        <v>224</v>
      </c>
      <c r="B342" s="5">
        <f>+SUMIFS(Tabla16[Importe],Tabla16[MOVIL],Tabla38[[#This Row],[MOVIL]],Tabla16[OBSV],"DESCONTAR POR USO PERSONAL")</f>
        <v>18.899999999999999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2" s="65">
        <f>+VLOOKUP(Tabla38[[#This Row],[MOVIL]],[1]LIQUIDACION!$B:$B,1,0)</f>
        <v>224</v>
      </c>
    </row>
    <row r="343" spans="1:7" x14ac:dyDescent="0.3">
      <c r="A343" s="66">
        <v>3695</v>
      </c>
      <c r="B343" s="5">
        <f>+SUMIFS(Tabla16[Importe],Tabla16[MOVIL],Tabla38[[#This Row],[MOVIL]],Tabla16[OBSV],"DESCONTAR POR USO PERSONAL")</f>
        <v>44.099999999999994</v>
      </c>
      <c r="C343" s="5">
        <f>+SUMIFS(Tabla16[Importe],Tabla16[MOVIL],Tabla38[[#This Row],[MOVIL]],Tabla16[OBSV],"DESCONTAR POR INCIDENCIA")</f>
        <v>6.3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43" s="65">
        <f>+VLOOKUP(Tabla38[[#This Row],[MOVIL]],[1]LIQUIDACION!$B:$B,1,0)</f>
        <v>3695</v>
      </c>
    </row>
    <row r="344" spans="1:7" x14ac:dyDescent="0.3">
      <c r="A344" s="66">
        <v>677</v>
      </c>
      <c r="B344" s="5">
        <f>+SUMIFS(Tabla16[Importe],Tabla16[MOVIL],Tabla38[[#This Row],[MOVIL]],Tabla16[OBSV],"DESCONTAR POR USO PERSONAL")</f>
        <v>0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4" s="65">
        <f>+VLOOKUP(Tabla38[[#This Row],[MOVIL]],[1]LIQUIDACION!$B:$B,1,0)</f>
        <v>677</v>
      </c>
    </row>
    <row r="345" spans="1:7" x14ac:dyDescent="0.3">
      <c r="A345" s="66">
        <v>233</v>
      </c>
      <c r="B345" s="5">
        <f>+SUMIFS(Tabla16[Importe],Tabla16[MOVIL],Tabla38[[#This Row],[MOVIL]],Tabla16[OBSV],"DESCONTAR POR USO PERSONAL")</f>
        <v>6.3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5" s="65">
        <f>+VLOOKUP(Tabla38[[#This Row],[MOVIL]],[1]LIQUIDACION!$B:$B,1,0)</f>
        <v>233</v>
      </c>
    </row>
    <row r="346" spans="1:7" x14ac:dyDescent="0.3">
      <c r="A346" s="66">
        <v>4100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6" s="65">
        <f>+VLOOKUP(Tabla38[[#This Row],[MOVIL]],[1]LIQUIDACION!$B:$B,1,0)</f>
        <v>4100</v>
      </c>
    </row>
    <row r="347" spans="1:7" x14ac:dyDescent="0.3">
      <c r="A347" s="66">
        <v>4119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7" s="65">
        <f>+VLOOKUP(Tabla38[[#This Row],[MOVIL]],[1]LIQUIDACION!$B:$B,1,0)</f>
        <v>4119</v>
      </c>
    </row>
    <row r="348" spans="1:7" x14ac:dyDescent="0.3">
      <c r="A348" s="66">
        <v>1480</v>
      </c>
      <c r="B348" s="5">
        <f>+SUMIFS(Tabla16[Importe],Tabla16[MOVIL],Tabla38[[#This Row],[MOVIL]],Tabla16[OBSV],"DESCONTAR POR USO PERSONAL")</f>
        <v>18.899999999999999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8" s="65">
        <f>+VLOOKUP(Tabla38[[#This Row],[MOVIL]],[1]LIQUIDACION!$B:$B,1,0)</f>
        <v>1480</v>
      </c>
    </row>
    <row r="349" spans="1:7" x14ac:dyDescent="0.3">
      <c r="A349" s="66">
        <v>2850</v>
      </c>
      <c r="B349" s="5">
        <f>+SUMIFS(Tabla16[Importe],Tabla16[MOVIL],Tabla38[[#This Row],[MOVIL]],Tabla16[OBSV],"DESCONTAR POR USO PERSONAL")</f>
        <v>25.2</v>
      </c>
      <c r="C349" s="5">
        <f>+SUMIFS(Tabla16[Importe],Tabla16[MOVIL],Tabla38[[#This Row],[MOVIL]],Tabla16[OBSV],"DESCONTAR POR INCIDENCIA")</f>
        <v>6.3</v>
      </c>
      <c r="D349" s="5">
        <f>+SUMIFS(Tabla16[Importe],Tabla16[MOVIL],Tabla38[[#This Row],[MOVIL]],Tabla16[OBSV],"DESCONTAR SERVICIO EN EFECTIVO")</f>
        <v>6.3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9" s="65">
        <f>+VLOOKUP(Tabla38[[#This Row],[MOVIL]],[1]LIQUIDACION!$B:$B,1,0)</f>
        <v>2850</v>
      </c>
    </row>
    <row r="350" spans="1:7" x14ac:dyDescent="0.3">
      <c r="A350" s="66">
        <v>3335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0" s="65">
        <f>+VLOOKUP(Tabla38[[#This Row],[MOVIL]],[1]LIQUIDACION!$B:$B,1,0)</f>
        <v>3335</v>
      </c>
    </row>
    <row r="351" spans="1:7" x14ac:dyDescent="0.3">
      <c r="A351" s="66">
        <v>3719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1" s="65">
        <f>+VLOOKUP(Tabla38[[#This Row],[MOVIL]],[1]LIQUIDACION!$B:$B,1,0)</f>
        <v>3719</v>
      </c>
    </row>
    <row r="352" spans="1:7" x14ac:dyDescent="0.3">
      <c r="A352" s="66">
        <v>3127</v>
      </c>
      <c r="B352" s="5">
        <f>+SUMIFS(Tabla16[Importe],Tabla16[MOVIL],Tabla38[[#This Row],[MOVIL]],Tabla16[OBSV],"DESCONTAR POR USO PERSONAL")</f>
        <v>6.3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2" s="65">
        <f>+VLOOKUP(Tabla38[[#This Row],[MOVIL]],[1]LIQUIDACION!$B:$B,1,0)</f>
        <v>3127</v>
      </c>
    </row>
    <row r="353" spans="1:7" x14ac:dyDescent="0.3">
      <c r="A353" s="66">
        <v>2784</v>
      </c>
      <c r="B353" s="5">
        <f>+SUMIFS(Tabla16[Importe],Tabla16[MOVIL],Tabla38[[#This Row],[MOVIL]],Tabla16[OBSV],"DESCONTAR POR USO PERSONAL")</f>
        <v>12.6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3" s="65">
        <f>+VLOOKUP(Tabla38[[#This Row],[MOVIL]],[1]LIQUIDACION!$B:$B,1,0)</f>
        <v>2784</v>
      </c>
    </row>
    <row r="354" spans="1:7" x14ac:dyDescent="0.3">
      <c r="A354" s="66">
        <v>4181</v>
      </c>
      <c r="B354" s="5">
        <f>+SUMIFS(Tabla16[Importe],Tabla16[MOVIL],Tabla38[[#This Row],[MOVIL]],Tabla16[OBSV],"DESCONTAR POR USO PERSONAL")</f>
        <v>25.2</v>
      </c>
      <c r="C354" s="5">
        <f>+SUMIFS(Tabla16[Importe],Tabla16[MOVIL],Tabla38[[#This Row],[MOVIL]],Tabla16[OBSV],"DESCONTAR POR INCIDENCIA")</f>
        <v>6.3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4" s="65">
        <f>+VLOOKUP(Tabla38[[#This Row],[MOVIL]],[1]LIQUIDACION!$B:$B,1,0)</f>
        <v>4181</v>
      </c>
    </row>
    <row r="355" spans="1:7" x14ac:dyDescent="0.3">
      <c r="A355" s="8">
        <v>7629</v>
      </c>
      <c r="B355" s="5">
        <f>+SUMIFS(Tabla16[Importe],Tabla16[MOVIL],Tabla38[[#This Row],[MOVIL]],Tabla16[OBSV],"DESCONTAR POR USO PERSONAL")</f>
        <v>6.3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5" s="65" t="e">
        <f>+VLOOKUP(Tabla38[[#This Row],[MOVIL]],[1]LIQUIDACION!$B:$B,1,0)</f>
        <v>#N/A</v>
      </c>
    </row>
    <row r="356" spans="1:7" x14ac:dyDescent="0.3">
      <c r="A356" s="66">
        <v>3399</v>
      </c>
      <c r="B356" s="5">
        <f>+SUMIFS(Tabla16[Importe],Tabla16[MOVIL],Tabla38[[#This Row],[MOVIL]],Tabla16[OBSV],"DESCONTAR POR USO PERSONAL")</f>
        <v>0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12.6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6" s="65">
        <f>+VLOOKUP(Tabla38[[#This Row],[MOVIL]],[1]LIQUIDACION!$B:$B,1,0)</f>
        <v>3399</v>
      </c>
    </row>
    <row r="357" spans="1:7" x14ac:dyDescent="0.3">
      <c r="A357" s="8">
        <v>446</v>
      </c>
      <c r="B357" s="5">
        <f>+SUMIFS(Tabla16[Importe],Tabla16[MOVIL],Tabla38[[#This Row],[MOVIL]],Tabla16[OBSV],"DESCONTAR POR USO PERSONAL")</f>
        <v>44.099999999999994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7" s="65" t="e">
        <f>+VLOOKUP(Tabla38[[#This Row],[MOVIL]],[1]LIQUIDACION!$B:$B,1,0)</f>
        <v>#N/A</v>
      </c>
    </row>
    <row r="358" spans="1:7" x14ac:dyDescent="0.3">
      <c r="A358" s="66">
        <v>4251</v>
      </c>
      <c r="B358" s="5">
        <f>+SUMIFS(Tabla16[Importe],Tabla16[MOVIL],Tabla38[[#This Row],[MOVIL]],Tabla16[OBSV],"DESCONTAR POR USO PERSONAL")</f>
        <v>0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8" s="65">
        <f>+VLOOKUP(Tabla38[[#This Row],[MOVIL]],[1]LIQUIDACION!$B:$B,1,0)</f>
        <v>4251</v>
      </c>
    </row>
    <row r="359" spans="1:7" x14ac:dyDescent="0.3">
      <c r="A359" s="66">
        <v>1874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9" s="65">
        <f>+VLOOKUP(Tabla38[[#This Row],[MOVIL]],[1]LIQUIDACION!$B:$B,1,0)</f>
        <v>1874</v>
      </c>
    </row>
    <row r="360" spans="1:7" x14ac:dyDescent="0.3">
      <c r="A360" s="66">
        <v>957</v>
      </c>
      <c r="B360" s="5">
        <f>+SUMIFS(Tabla16[Importe],Tabla16[MOVIL],Tabla38[[#This Row],[MOVIL]],Tabla16[OBSV],"DESCONTAR POR USO PERSONAL")</f>
        <v>6.3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25.2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0" s="65">
        <f>+VLOOKUP(Tabla38[[#This Row],[MOVIL]],[1]LIQUIDACION!$B:$B,1,0)</f>
        <v>957</v>
      </c>
    </row>
    <row r="361" spans="1:7" x14ac:dyDescent="0.3">
      <c r="A361" s="66">
        <v>4154</v>
      </c>
      <c r="B361" s="5">
        <f>+SUMIFS(Tabla16[Importe],Tabla16[MOVIL],Tabla38[[#This Row],[MOVIL]],Tabla16[OBSV],"DESCONTAR POR USO PERSONAL")</f>
        <v>25.2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1" s="65">
        <f>+VLOOKUP(Tabla38[[#This Row],[MOVIL]],[1]LIQUIDACION!$B:$B,1,0)</f>
        <v>4154</v>
      </c>
    </row>
    <row r="362" spans="1:7" x14ac:dyDescent="0.3">
      <c r="A362" s="66">
        <v>4099</v>
      </c>
      <c r="B362" s="5">
        <f>+SUMIFS(Tabla16[Importe],Tabla16[MOVIL],Tabla38[[#This Row],[MOVIL]],Tabla16[OBSV],"DESCONTAR POR USO PERSONAL")</f>
        <v>31.5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2" s="65">
        <f>+VLOOKUP(Tabla38[[#This Row],[MOVIL]],[1]LIQUIDACION!$B:$B,1,0)</f>
        <v>4099</v>
      </c>
    </row>
    <row r="363" spans="1:7" x14ac:dyDescent="0.3">
      <c r="A363" s="8">
        <v>7109</v>
      </c>
      <c r="B363" s="5">
        <f>+SUMIFS(Tabla16[Importe],Tabla16[MOVIL],Tabla38[[#This Row],[MOVIL]],Tabla16[OBSV],"DESCONTAR POR USO PERSONAL")</f>
        <v>18.899999999999999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3" s="65" t="e">
        <f>+VLOOKUP(Tabla38[[#This Row],[MOVIL]],[1]LIQUIDACION!$B:$B,1,0)</f>
        <v>#N/A</v>
      </c>
    </row>
    <row r="364" spans="1:7" x14ac:dyDescent="0.3">
      <c r="A364" s="66">
        <v>9102</v>
      </c>
      <c r="B364" s="5">
        <f>+SUMIFS(Tabla16[Importe],Tabla16[MOVIL],Tabla38[[#This Row],[MOVIL]],Tabla16[OBSV],"DESCONTAR POR USO PERSONAL")</f>
        <v>6.3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4" s="65">
        <f>+VLOOKUP(Tabla38[[#This Row],[MOVIL]],[1]LIQUIDACION!$B:$B,1,0)</f>
        <v>9102</v>
      </c>
    </row>
    <row r="365" spans="1:7" x14ac:dyDescent="0.3">
      <c r="A365" s="66">
        <v>4268</v>
      </c>
      <c r="B365" s="5">
        <f>+SUMIFS(Tabla16[Importe],Tabla16[MOVIL],Tabla38[[#This Row],[MOVIL]],Tabla16[OBSV],"DESCONTAR POR USO PERSONAL")</f>
        <v>37.799999999999997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65" s="65">
        <f>+VLOOKUP(Tabla38[[#This Row],[MOVIL]],[1]LIQUIDACION!$B:$B,1,0)</f>
        <v>4268</v>
      </c>
    </row>
    <row r="366" spans="1:7" x14ac:dyDescent="0.3">
      <c r="A366" s="66">
        <v>9891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6" s="65">
        <f>+VLOOKUP(Tabla38[[#This Row],[MOVIL]],[1]LIQUIDACION!$B:$B,1,0)</f>
        <v>9891</v>
      </c>
    </row>
    <row r="367" spans="1:7" x14ac:dyDescent="0.3">
      <c r="A367" s="66">
        <v>4260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7" s="65">
        <f>+VLOOKUP(Tabla38[[#This Row],[MOVIL]],[1]LIQUIDACION!$B:$B,1,0)</f>
        <v>4260</v>
      </c>
    </row>
    <row r="368" spans="1:7" x14ac:dyDescent="0.3">
      <c r="A368" s="66">
        <v>9834</v>
      </c>
      <c r="B368" s="5">
        <f>+SUMIFS(Tabla16[Importe],Tabla16[MOVIL],Tabla38[[#This Row],[MOVIL]],Tabla16[OBSV],"DESCONTAR POR USO PERSONAL")</f>
        <v>6.3</v>
      </c>
      <c r="C368" s="5">
        <f>+SUMIFS(Tabla16[Importe],Tabla16[MOVIL],Tabla38[[#This Row],[MOVIL]],Tabla16[OBSV],"DESCONTAR POR INCIDENCIA")</f>
        <v>12.6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8" s="65">
        <f>+VLOOKUP(Tabla38[[#This Row],[MOVIL]],[1]LIQUIDACION!$B:$B,1,0)</f>
        <v>9834</v>
      </c>
    </row>
    <row r="369" spans="1:7" x14ac:dyDescent="0.3">
      <c r="A369" s="66">
        <v>3504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12.6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9" s="65">
        <f>+VLOOKUP(Tabla38[[#This Row],[MOVIL]],[1]LIQUIDACION!$B:$B,1,0)</f>
        <v>3504</v>
      </c>
    </row>
    <row r="370" spans="1:7" x14ac:dyDescent="0.3">
      <c r="A370" s="66">
        <v>4163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12.6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0" s="65">
        <f>+VLOOKUP(Tabla38[[#This Row],[MOVIL]],[1]LIQUIDACION!$B:$B,1,0)</f>
        <v>4163</v>
      </c>
    </row>
    <row r="371" spans="1:7" x14ac:dyDescent="0.3">
      <c r="A371" s="66">
        <v>4297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1" s="65">
        <f>+VLOOKUP(Tabla38[[#This Row],[MOVIL]],[1]LIQUIDACION!$B:$B,1,0)</f>
        <v>4297</v>
      </c>
    </row>
    <row r="372" spans="1:7" x14ac:dyDescent="0.3">
      <c r="A372" s="66">
        <v>4183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2" s="65">
        <f>+VLOOKUP(Tabla38[[#This Row],[MOVIL]],[1]LIQUIDACION!$B:$B,1,0)</f>
        <v>4183</v>
      </c>
    </row>
    <row r="373" spans="1:7" x14ac:dyDescent="0.3">
      <c r="A373" s="66">
        <v>3348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3" s="65">
        <f>+VLOOKUP(Tabla38[[#This Row],[MOVIL]],[1]LIQUIDACION!$B:$B,1,0)</f>
        <v>3348</v>
      </c>
    </row>
    <row r="374" spans="1:7" x14ac:dyDescent="0.3">
      <c r="A374" s="66">
        <v>1868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4" s="65">
        <f>+VLOOKUP(Tabla38[[#This Row],[MOVIL]],[1]LIQUIDACION!$B:$B,1,0)</f>
        <v>1868</v>
      </c>
    </row>
    <row r="375" spans="1:7" x14ac:dyDescent="0.3">
      <c r="A375" s="66">
        <v>781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5" s="65">
        <f>+VLOOKUP(Tabla38[[#This Row],[MOVIL]],[1]LIQUIDACION!$B:$B,1,0)</f>
        <v>781</v>
      </c>
    </row>
    <row r="376" spans="1:7" x14ac:dyDescent="0.3">
      <c r="A376" s="66">
        <v>3666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6" s="65">
        <f>+VLOOKUP(Tabla38[[#This Row],[MOVIL]],[1]LIQUIDACION!$B:$B,1,0)</f>
        <v>3666</v>
      </c>
    </row>
    <row r="377" spans="1:7" x14ac:dyDescent="0.3">
      <c r="A377" s="66">
        <v>951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7" s="65">
        <f>+VLOOKUP(Tabla38[[#This Row],[MOVIL]],[1]LIQUIDACION!$B:$B,1,0)</f>
        <v>951</v>
      </c>
    </row>
    <row r="378" spans="1:7" x14ac:dyDescent="0.3">
      <c r="A378" s="66">
        <v>3905</v>
      </c>
      <c r="B378" s="5">
        <f>+SUMIFS(Tabla16[Importe],Tabla16[MOVIL],Tabla38[[#This Row],[MOVIL]],Tabla16[OBSV],"DESCONTAR POR USO PERSONAL")</f>
        <v>12.6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8" s="65">
        <f>+VLOOKUP(Tabla38[[#This Row],[MOVIL]],[1]LIQUIDACION!$B:$B,1,0)</f>
        <v>3905</v>
      </c>
    </row>
    <row r="379" spans="1:7" x14ac:dyDescent="0.3">
      <c r="A379" s="66">
        <v>4278</v>
      </c>
      <c r="B379" s="5">
        <f>+SUMIFS(Tabla16[Importe],Tabla16[MOVIL],Tabla38[[#This Row],[MOVIL]],Tabla16[OBSV],"DESCONTAR POR USO PERSONAL")</f>
        <v>0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9" s="65">
        <f>+VLOOKUP(Tabla38[[#This Row],[MOVIL]],[1]LIQUIDACION!$B:$B,1,0)</f>
        <v>4278</v>
      </c>
    </row>
    <row r="380" spans="1:7" x14ac:dyDescent="0.3">
      <c r="A380" s="66">
        <v>2961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12.6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0" s="65">
        <f>+VLOOKUP(Tabla38[[#This Row],[MOVIL]],[1]LIQUIDACION!$B:$B,1,0)</f>
        <v>2961</v>
      </c>
    </row>
    <row r="381" spans="1:7" x14ac:dyDescent="0.3">
      <c r="A381" s="66">
        <v>4300</v>
      </c>
      <c r="B381" s="5">
        <f>+SUMIFS(Tabla16[Importe],Tabla16[MOVIL],Tabla38[[#This Row],[MOVIL]],Tabla16[OBSV],"DESCONTAR POR USO PERSONAL")</f>
        <v>0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1" s="65">
        <f>+VLOOKUP(Tabla38[[#This Row],[MOVIL]],[1]LIQUIDACION!$B:$B,1,0)</f>
        <v>4300</v>
      </c>
    </row>
    <row r="382" spans="1:7" x14ac:dyDescent="0.3">
      <c r="A382" s="66">
        <v>803</v>
      </c>
      <c r="B382" s="5">
        <f>+SUMIFS(Tabla16[Importe],Tabla16[MOVIL],Tabla38[[#This Row],[MOVIL]],Tabla16[OBSV],"DESCONTAR POR USO PERSONAL")</f>
        <v>25.2</v>
      </c>
      <c r="C382" s="5">
        <f>+SUMIFS(Tabla16[Importe],Tabla16[MOVIL],Tabla38[[#This Row],[MOVIL]],Tabla16[OBSV],"DESCONTAR POR INCIDENCIA")</f>
        <v>6.3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2" s="65">
        <f>+VLOOKUP(Tabla38[[#This Row],[MOVIL]],[1]LIQUIDACION!$B:$B,1,0)</f>
        <v>803</v>
      </c>
    </row>
    <row r="383" spans="1:7" x14ac:dyDescent="0.3">
      <c r="A383" s="66">
        <v>1425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3" s="65">
        <f>+VLOOKUP(Tabla38[[#This Row],[MOVIL]],[1]LIQUIDACION!$B:$B,1,0)</f>
        <v>1425</v>
      </c>
    </row>
    <row r="384" spans="1:7" x14ac:dyDescent="0.3">
      <c r="A384" s="66">
        <v>9354</v>
      </c>
      <c r="B384" s="5">
        <f>+SUMIFS(Tabla16[Importe],Tabla16[MOVIL],Tabla38[[#This Row],[MOVIL]],Tabla16[OBSV],"DESCONTAR POR USO PERSONAL")</f>
        <v>18.899999999999999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4" s="65">
        <f>+VLOOKUP(Tabla38[[#This Row],[MOVIL]],[1]LIQUIDACION!$B:$B,1,0)</f>
        <v>9354</v>
      </c>
    </row>
    <row r="385" spans="1:7" x14ac:dyDescent="0.3">
      <c r="A385" s="66">
        <v>722</v>
      </c>
      <c r="B385" s="5">
        <f>+SUMIFS(Tabla16[Importe],Tabla16[MOVIL],Tabla38[[#This Row],[MOVIL]],Tabla16[OBSV],"DESCONTAR POR USO PERSONAL")</f>
        <v>107.09999999999997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385" s="65">
        <f>+VLOOKUP(Tabla38[[#This Row],[MOVIL]],[1]LIQUIDACION!$B:$B,1,0)</f>
        <v>722</v>
      </c>
    </row>
    <row r="386" spans="1:7" x14ac:dyDescent="0.3">
      <c r="A386" s="66">
        <v>9099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12.6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6" s="65">
        <f>+VLOOKUP(Tabla38[[#This Row],[MOVIL]],[1]LIQUIDACION!$B:$B,1,0)</f>
        <v>9099</v>
      </c>
    </row>
    <row r="387" spans="1:7" x14ac:dyDescent="0.3">
      <c r="A387" s="66">
        <v>3138</v>
      </c>
      <c r="B387" s="5">
        <f>+SUMIFS(Tabla16[Importe],Tabla16[MOVIL],Tabla38[[#This Row],[MOVIL]],Tabla16[OBSV],"DESCONTAR POR USO PERSONAL")</f>
        <v>18.899999999999999</v>
      </c>
      <c r="C387" s="5">
        <f>+SUMIFS(Tabla16[Importe],Tabla16[MOVIL],Tabla38[[#This Row],[MOVIL]],Tabla16[OBSV],"DESCONTAR POR INCIDENCIA")</f>
        <v>6.3</v>
      </c>
      <c r="D387" s="5">
        <f>+SUMIFS(Tabla16[Importe],Tabla16[MOVIL],Tabla38[[#This Row],[MOVIL]],Tabla16[OBSV],"DESCONTAR SERVICIO EN EFECTIVO")</f>
        <v>12.6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87" s="65">
        <f>+VLOOKUP(Tabla38[[#This Row],[MOVIL]],[1]LIQUIDACION!$B:$B,1,0)</f>
        <v>3138</v>
      </c>
    </row>
    <row r="388" spans="1:7" x14ac:dyDescent="0.3">
      <c r="A388" s="66">
        <v>4078</v>
      </c>
      <c r="B388" s="5">
        <f>+SUMIFS(Tabla16[Importe],Tabla16[MOVIL],Tabla38[[#This Row],[MOVIL]],Tabla16[OBSV],"DESCONTAR POR USO PERSONAL")</f>
        <v>12.6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8" s="65">
        <f>+VLOOKUP(Tabla38[[#This Row],[MOVIL]],[1]LIQUIDACION!$B:$B,1,0)</f>
        <v>4078</v>
      </c>
    </row>
    <row r="389" spans="1:7" x14ac:dyDescent="0.3">
      <c r="A389" s="66">
        <v>2583</v>
      </c>
      <c r="B389" s="5">
        <f>+SUMIFS(Tabla16[Importe],Tabla16[MOVIL],Tabla38[[#This Row],[MOVIL]],Tabla16[OBSV],"DESCONTAR POR USO PERSONAL")</f>
        <v>50.399999999999991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89" s="65">
        <f>+VLOOKUP(Tabla38[[#This Row],[MOVIL]],[1]LIQUIDACION!$B:$B,1,0)</f>
        <v>2583</v>
      </c>
    </row>
    <row r="390" spans="1:7" x14ac:dyDescent="0.3">
      <c r="A390" s="66">
        <v>3613</v>
      </c>
      <c r="B390" s="5">
        <f>+SUMIFS(Tabla16[Importe],Tabla16[MOVIL],Tabla38[[#This Row],[MOVIL]],Tabla16[OBSV],"DESCONTAR POR USO PERSONAL")</f>
        <v>6.3</v>
      </c>
      <c r="C390" s="5">
        <f>+SUMIFS(Tabla16[Importe],Tabla16[MOVIL],Tabla38[[#This Row],[MOVIL]],Tabla16[OBSV],"DESCONTAR POR INCIDENCIA")</f>
        <v>6.3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0" s="65">
        <f>+VLOOKUP(Tabla38[[#This Row],[MOVIL]],[1]LIQUIDACION!$B:$B,1,0)</f>
        <v>3613</v>
      </c>
    </row>
    <row r="391" spans="1:7" x14ac:dyDescent="0.3">
      <c r="A391" s="66">
        <v>4311</v>
      </c>
      <c r="B391" s="5">
        <f>+SUMIFS(Tabla16[Importe],Tabla16[MOVIL],Tabla38[[#This Row],[MOVIL]],Tabla16[OBSV],"DESCONTAR POR USO PERSONAL")</f>
        <v>31.5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1" s="65">
        <f>+VLOOKUP(Tabla38[[#This Row],[MOVIL]],[1]LIQUIDACION!$B:$B,1,0)</f>
        <v>4311</v>
      </c>
    </row>
    <row r="392" spans="1:7" x14ac:dyDescent="0.3">
      <c r="A392" s="66">
        <v>1798</v>
      </c>
      <c r="B392" s="5">
        <f>+SUMIFS(Tabla16[Importe],Tabla16[MOVIL],Tabla38[[#This Row],[MOVIL]],Tabla16[OBSV],"DESCONTAR POR USO PERSONAL")</f>
        <v>25.2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2" s="65">
        <f>+VLOOKUP(Tabla38[[#This Row],[MOVIL]],[1]LIQUIDACION!$B:$B,1,0)</f>
        <v>1798</v>
      </c>
    </row>
    <row r="393" spans="1:7" x14ac:dyDescent="0.3">
      <c r="A393" s="66">
        <v>3003</v>
      </c>
      <c r="B393" s="5">
        <f>+SUMIFS(Tabla16[Importe],Tabla16[MOVIL],Tabla38[[#This Row],[MOVIL]],Tabla16[OBSV],"DESCONTAR POR USO PERSONAL")</f>
        <v>6.3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3" s="65">
        <f>+VLOOKUP(Tabla38[[#This Row],[MOVIL]],[1]LIQUIDACION!$B:$B,1,0)</f>
        <v>3003</v>
      </c>
    </row>
    <row r="394" spans="1:7" x14ac:dyDescent="0.3">
      <c r="A394" s="66">
        <v>3951</v>
      </c>
      <c r="B394" s="5">
        <f>+SUMIFS(Tabla16[Importe],Tabla16[MOVIL],Tabla38[[#This Row],[MOVIL]],Tabla16[OBSV],"DESCONTAR POR USO PERSONAL")</f>
        <v>6.3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4" s="65">
        <f>+VLOOKUP(Tabla38[[#This Row],[MOVIL]],[1]LIQUIDACION!$B:$B,1,0)</f>
        <v>3951</v>
      </c>
    </row>
    <row r="395" spans="1:7" x14ac:dyDescent="0.3">
      <c r="A395" s="66">
        <v>1595</v>
      </c>
      <c r="B395" s="5">
        <f>+SUMIFS(Tabla16[Importe],Tabla16[MOVIL],Tabla38[[#This Row],[MOVIL]],Tabla16[OBSV],"DESCONTAR POR USO PERSONAL")</f>
        <v>0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6.3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5" s="65">
        <f>+VLOOKUP(Tabla38[[#This Row],[MOVIL]],[1]LIQUIDACION!$B:$B,1,0)</f>
        <v>1595</v>
      </c>
    </row>
    <row r="396" spans="1:7" x14ac:dyDescent="0.3">
      <c r="A396" s="66">
        <v>291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6" s="65">
        <f>+VLOOKUP(Tabla38[[#This Row],[MOVIL]],[1]LIQUIDACION!$B:$B,1,0)</f>
        <v>291</v>
      </c>
    </row>
    <row r="397" spans="1:7" x14ac:dyDescent="0.3">
      <c r="A397" s="66">
        <v>9821</v>
      </c>
      <c r="B397" s="5">
        <f>+SUMIFS(Tabla16[Importe],Tabla16[MOVIL],Tabla38[[#This Row],[MOVIL]],Tabla16[OBSV],"DESCONTAR POR USO PERSONAL")</f>
        <v>37.799999999999997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7" s="65">
        <f>+VLOOKUP(Tabla38[[#This Row],[MOVIL]],[1]LIQUIDACION!$B:$B,1,0)</f>
        <v>9821</v>
      </c>
    </row>
    <row r="398" spans="1:7" x14ac:dyDescent="0.3">
      <c r="A398" s="66">
        <v>4103</v>
      </c>
      <c r="B398" s="5">
        <f>+SUMIFS(Tabla16[Importe],Tabla16[MOVIL],Tabla38[[#This Row],[MOVIL]],Tabla16[OBSV],"DESCONTAR POR USO PERSONAL")</f>
        <v>0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8" s="65">
        <f>+VLOOKUP(Tabla38[[#This Row],[MOVIL]],[1]LIQUIDACION!$B:$B,1,0)</f>
        <v>4103</v>
      </c>
    </row>
    <row r="399" spans="1:7" x14ac:dyDescent="0.3">
      <c r="A399" s="66">
        <v>4295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6.3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9" s="65">
        <f>+VLOOKUP(Tabla38[[#This Row],[MOVIL]],[1]LIQUIDACION!$B:$B,1,0)</f>
        <v>4295</v>
      </c>
    </row>
    <row r="400" spans="1:7" x14ac:dyDescent="0.3">
      <c r="A400" s="66">
        <v>3646</v>
      </c>
      <c r="B400" s="5">
        <f>+SUMIFS(Tabla16[Importe],Tabla16[MOVIL],Tabla38[[#This Row],[MOVIL]],Tabla16[OBSV],"DESCONTAR POR USO PERSONAL")</f>
        <v>31.5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0" s="65">
        <f>+VLOOKUP(Tabla38[[#This Row],[MOVIL]],[1]LIQUIDACION!$B:$B,1,0)</f>
        <v>3646</v>
      </c>
    </row>
    <row r="401" spans="1:7" x14ac:dyDescent="0.3">
      <c r="A401" s="66">
        <v>9158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1" s="65">
        <f>+VLOOKUP(Tabla38[[#This Row],[MOVIL]],[1]LIQUIDACION!$B:$B,1,0)</f>
        <v>9158</v>
      </c>
    </row>
    <row r="402" spans="1:7" x14ac:dyDescent="0.3">
      <c r="A402" s="66">
        <v>4331</v>
      </c>
      <c r="B402" s="5">
        <f>+SUMIFS(Tabla16[Importe],Tabla16[MOVIL],Tabla38[[#This Row],[MOVIL]],Tabla16[OBSV],"DESCONTAR POR USO PERSONAL")</f>
        <v>25.2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2" s="65">
        <f>+VLOOKUP(Tabla38[[#This Row],[MOVIL]],[1]LIQUIDACION!$B:$B,1,0)</f>
        <v>4331</v>
      </c>
    </row>
    <row r="403" spans="1:7" x14ac:dyDescent="0.3">
      <c r="A403" s="66">
        <v>3838</v>
      </c>
      <c r="B403" s="5">
        <f>+SUMIFS(Tabla16[Importe],Tabla16[MOVIL],Tabla38[[#This Row],[MOVIL]],Tabla16[OBSV],"DESCONTAR POR USO PERSONAL")</f>
        <v>18.899999999999999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3" s="65">
        <f>+VLOOKUP(Tabla38[[#This Row],[MOVIL]],[1]LIQUIDACION!$B:$B,1,0)</f>
        <v>3838</v>
      </c>
    </row>
    <row r="404" spans="1:7" x14ac:dyDescent="0.3">
      <c r="A404" s="66">
        <v>3386</v>
      </c>
      <c r="B404" s="5">
        <f>+SUMIFS(Tabla16[Importe],Tabla16[MOVIL],Tabla38[[#This Row],[MOVIL]],Tabla16[OBSV],"DESCONTAR POR USO PERSONAL")</f>
        <v>31.5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4" s="65">
        <f>+VLOOKUP(Tabla38[[#This Row],[MOVIL]],[1]LIQUIDACION!$B:$B,1,0)</f>
        <v>3386</v>
      </c>
    </row>
    <row r="405" spans="1:7" x14ac:dyDescent="0.3">
      <c r="A405" s="66">
        <v>4330</v>
      </c>
      <c r="B405" s="5">
        <f>+SUMIFS(Tabla16[Importe],Tabla16[MOVIL],Tabla38[[#This Row],[MOVIL]],Tabla16[OBSV],"DESCONTAR POR USO PERSONAL")</f>
        <v>6.3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5" s="65">
        <f>+VLOOKUP(Tabla38[[#This Row],[MOVIL]],[1]LIQUIDACION!$B:$B,1,0)</f>
        <v>4330</v>
      </c>
    </row>
    <row r="406" spans="1:7" x14ac:dyDescent="0.3">
      <c r="A406" s="66">
        <v>4294</v>
      </c>
      <c r="B406" s="5">
        <f>+SUMIFS(Tabla16[Importe],Tabla16[MOVIL],Tabla38[[#This Row],[MOVIL]],Tabla16[OBSV],"DESCONTAR POR USO PERSONAL")</f>
        <v>6.3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6" s="65">
        <f>+VLOOKUP(Tabla38[[#This Row],[MOVIL]],[1]LIQUIDACION!$B:$B,1,0)</f>
        <v>4294</v>
      </c>
    </row>
    <row r="407" spans="1:7" x14ac:dyDescent="0.3">
      <c r="A407" s="66">
        <v>1441</v>
      </c>
      <c r="B407" s="5">
        <f>+SUMIFS(Tabla16[Importe],Tabla16[MOVIL],Tabla38[[#This Row],[MOVIL]],Tabla16[OBSV],"DESCONTAR POR USO PERSONAL")</f>
        <v>69.299999999999983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07" s="65">
        <f>+VLOOKUP(Tabla38[[#This Row],[MOVIL]],[1]LIQUIDACION!$B:$B,1,0)</f>
        <v>1441</v>
      </c>
    </row>
    <row r="408" spans="1:7" x14ac:dyDescent="0.3">
      <c r="A408" s="66">
        <v>1894</v>
      </c>
      <c r="B408" s="5">
        <f>+SUMIFS(Tabla16[Importe],Tabla16[MOVIL],Tabla38[[#This Row],[MOVIL]],Tabla16[OBSV],"DESCONTAR POR USO PERSONAL")</f>
        <v>0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8" s="65">
        <f>+VLOOKUP(Tabla38[[#This Row],[MOVIL]],[1]LIQUIDACION!$B:$B,1,0)</f>
        <v>1894</v>
      </c>
    </row>
    <row r="409" spans="1:7" x14ac:dyDescent="0.3">
      <c r="A409" s="66">
        <v>4196</v>
      </c>
      <c r="B409" s="5">
        <f>+SUMIFS(Tabla16[Importe],Tabla16[MOVIL],Tabla38[[#This Row],[MOVIL]],Tabla16[OBSV],"DESCONTAR POR USO PERSONAL")</f>
        <v>12.6</v>
      </c>
      <c r="C409" s="5">
        <f>+SUMIFS(Tabla16[Importe],Tabla16[MOVIL],Tabla38[[#This Row],[MOVIL]],Tabla16[OBSV],"DESCONTAR POR INCIDENCIA")</f>
        <v>6.3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9" s="65">
        <f>+VLOOKUP(Tabla38[[#This Row],[MOVIL]],[1]LIQUIDACION!$B:$B,1,0)</f>
        <v>4196</v>
      </c>
    </row>
    <row r="410" spans="1:7" x14ac:dyDescent="0.3">
      <c r="A410" s="66">
        <v>4337</v>
      </c>
      <c r="B410" s="5">
        <f>+SUMIFS(Tabla16[Importe],Tabla16[MOVIL],Tabla38[[#This Row],[MOVIL]],Tabla16[OBSV],"DESCONTAR POR USO PERSONAL")</f>
        <v>25.2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6.3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0" s="65">
        <f>+VLOOKUP(Tabla38[[#This Row],[MOVIL]],[1]LIQUIDACION!$B:$B,1,0)</f>
        <v>4337</v>
      </c>
    </row>
    <row r="411" spans="1:7" x14ac:dyDescent="0.3">
      <c r="A411" s="66">
        <v>950</v>
      </c>
      <c r="B411" s="5">
        <f>+SUMIFS(Tabla16[Importe],Tabla16[MOVIL],Tabla38[[#This Row],[MOVIL]],Tabla16[OBSV],"DESCONTAR POR USO PERSONAL")</f>
        <v>25.2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1" s="65">
        <f>+VLOOKUP(Tabla38[[#This Row],[MOVIL]],[1]LIQUIDACION!$B:$B,1,0)</f>
        <v>950</v>
      </c>
    </row>
    <row r="412" spans="1:7" x14ac:dyDescent="0.3">
      <c r="A412" s="66">
        <v>9896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2" s="65">
        <f>+VLOOKUP(Tabla38[[#This Row],[MOVIL]],[1]LIQUIDACION!$B:$B,1,0)</f>
        <v>9896</v>
      </c>
    </row>
    <row r="413" spans="1:7" x14ac:dyDescent="0.3">
      <c r="A413" s="66">
        <v>2356</v>
      </c>
      <c r="B413" s="5">
        <f>+SUMIFS(Tabla16[Importe],Tabla16[MOVIL],Tabla38[[#This Row],[MOVIL]],Tabla16[OBSV],"DESCONTAR POR USO PERSONAL")</f>
        <v>107.09999999999997</v>
      </c>
      <c r="C413" s="5">
        <f>+SUMIFS(Tabla16[Importe],Tabla16[MOVIL],Tabla38[[#This Row],[MOVIL]],Tabla16[OBSV],"DESCONTAR POR INCIDENCIA")</f>
        <v>12.6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413" s="65">
        <f>+VLOOKUP(Tabla38[[#This Row],[MOVIL]],[1]LIQUIDACION!$B:$B,1,0)</f>
        <v>2356</v>
      </c>
    </row>
    <row r="414" spans="1:7" x14ac:dyDescent="0.3">
      <c r="A414" s="66">
        <v>4306</v>
      </c>
      <c r="B414" s="5">
        <f>+SUMIFS(Tabla16[Importe],Tabla16[MOVIL],Tabla38[[#This Row],[MOVIL]],Tabla16[OBSV],"DESCONTAR POR USO PERSONAL")</f>
        <v>6.3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4" s="65">
        <f>+VLOOKUP(Tabla38[[#This Row],[MOVIL]],[1]LIQUIDACION!$B:$B,1,0)</f>
        <v>4306</v>
      </c>
    </row>
    <row r="415" spans="1:7" x14ac:dyDescent="0.3">
      <c r="A415" s="66">
        <v>3206</v>
      </c>
      <c r="B415" s="5">
        <f>+SUMIFS(Tabla16[Importe],Tabla16[MOVIL],Tabla38[[#This Row],[MOVIL]],Tabla16[OBSV],"DESCONTAR POR USO PERSONAL")</f>
        <v>6.3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12.6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5" s="65">
        <f>+VLOOKUP(Tabla38[[#This Row],[MOVIL]],[1]LIQUIDACION!$B:$B,1,0)</f>
        <v>3206</v>
      </c>
    </row>
    <row r="416" spans="1:7" x14ac:dyDescent="0.3">
      <c r="A416" s="66">
        <v>4266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6" s="65">
        <f>+VLOOKUP(Tabla38[[#This Row],[MOVIL]],[1]LIQUIDACION!$B:$B,1,0)</f>
        <v>4266</v>
      </c>
    </row>
    <row r="417" spans="1:7" x14ac:dyDescent="0.3">
      <c r="A417" s="66">
        <v>3950</v>
      </c>
      <c r="B417" s="5">
        <f>+SUMIFS(Tabla16[Importe],Tabla16[MOVIL],Tabla38[[#This Row],[MOVIL]],Tabla16[OBSV],"DESCONTAR POR USO PERSONAL")</f>
        <v>0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7" s="65">
        <f>+VLOOKUP(Tabla38[[#This Row],[MOVIL]],[1]LIQUIDACION!$B:$B,1,0)</f>
        <v>3950</v>
      </c>
    </row>
    <row r="418" spans="1:7" x14ac:dyDescent="0.3">
      <c r="A418" s="8">
        <v>9887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8" s="65" t="e">
        <f>+VLOOKUP(Tabla38[[#This Row],[MOVIL]],[1]LIQUIDACION!$B:$B,1,0)</f>
        <v>#N/A</v>
      </c>
    </row>
    <row r="419" spans="1:7" x14ac:dyDescent="0.3">
      <c r="A419" s="66">
        <v>9820</v>
      </c>
      <c r="B419" s="5">
        <f>+SUMIFS(Tabla16[Importe],Tabla16[MOVIL],Tabla38[[#This Row],[MOVIL]],Tabla16[OBSV],"DESCONTAR POR USO PERSONAL")</f>
        <v>81.899999999999977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19" s="65">
        <f>+VLOOKUP(Tabla38[[#This Row],[MOVIL]],[1]LIQUIDACION!$B:$B,1,0)</f>
        <v>9820</v>
      </c>
    </row>
    <row r="420" spans="1:7" x14ac:dyDescent="0.3">
      <c r="A420" s="66">
        <v>1209</v>
      </c>
      <c r="B420" s="5">
        <f>+SUMIFS(Tabla16[Importe],Tabla16[MOVIL],Tabla38[[#This Row],[MOVIL]],Tabla16[OBSV],"DESCONTAR POR USO PERSONAL")</f>
        <v>0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0" s="65">
        <f>+VLOOKUP(Tabla38[[#This Row],[MOVIL]],[1]LIQUIDACION!$B:$B,1,0)</f>
        <v>1209</v>
      </c>
    </row>
    <row r="421" spans="1:7" x14ac:dyDescent="0.3">
      <c r="A421" s="66">
        <v>1543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1" s="65">
        <f>+VLOOKUP(Tabla38[[#This Row],[MOVIL]],[1]LIQUIDACION!$B:$B,1,0)</f>
        <v>1543</v>
      </c>
    </row>
    <row r="422" spans="1:7" x14ac:dyDescent="0.3">
      <c r="A422" s="66">
        <v>1485</v>
      </c>
      <c r="B422" s="5">
        <f>+SUMIFS(Tabla16[Importe],Tabla16[MOVIL],Tabla38[[#This Row],[MOVIL]],Tabla16[OBSV],"DESCONTAR POR USO PERSONAL")</f>
        <v>0</v>
      </c>
      <c r="C422" s="5">
        <f>+SUMIFS(Tabla16[Importe],Tabla16[MOVIL],Tabla38[[#This Row],[MOVIL]],Tabla16[OBSV],"DESCONTAR POR INCIDENCIA")</f>
        <v>6.3</v>
      </c>
      <c r="D422" s="5">
        <f>+SUMIFS(Tabla16[Importe],Tabla16[MOVIL],Tabla38[[#This Row],[MOVIL]],Tabla16[OBSV],"DESCONTAR SERVICIO EN EFECTIVO")</f>
        <v>12.6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2" s="65">
        <f>+VLOOKUP(Tabla38[[#This Row],[MOVIL]],[1]LIQUIDACION!$B:$B,1,0)</f>
        <v>1485</v>
      </c>
    </row>
    <row r="423" spans="1:7" x14ac:dyDescent="0.3">
      <c r="A423" s="66">
        <v>7028</v>
      </c>
      <c r="B423" s="5">
        <f>+SUMIFS(Tabla16[Importe],Tabla16[MOVIL],Tabla38[[#This Row],[MOVIL]],Tabla16[OBSV],"DESCONTAR POR USO PERSONAL")</f>
        <v>31.5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25.2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423" s="65">
        <f>+VLOOKUP(Tabla38[[#This Row],[MOVIL]],[1]LIQUIDACION!$B:$B,1,0)</f>
        <v>7028</v>
      </c>
    </row>
    <row r="424" spans="1:7" x14ac:dyDescent="0.3">
      <c r="A424" s="66">
        <v>3049</v>
      </c>
      <c r="B424" s="5">
        <f>+SUMIFS(Tabla16[Importe],Tabla16[MOVIL],Tabla38[[#This Row],[MOVIL]],Tabla16[OBSV],"DESCONTAR POR USO PERSONAL")</f>
        <v>18.899999999999999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4" s="65">
        <f>+VLOOKUP(Tabla38[[#This Row],[MOVIL]],[1]LIQUIDACION!$B:$B,1,0)</f>
        <v>3049</v>
      </c>
    </row>
    <row r="425" spans="1:7" x14ac:dyDescent="0.3">
      <c r="A425" s="66">
        <v>2060</v>
      </c>
      <c r="B425" s="5">
        <f>+SUMIFS(Tabla16[Importe],Tabla16[MOVIL],Tabla38[[#This Row],[MOVIL]],Tabla16[OBSV],"DESCONTAR POR USO PERSONAL")</f>
        <v>6.3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5" s="65">
        <f>+VLOOKUP(Tabla38[[#This Row],[MOVIL]],[1]LIQUIDACION!$B:$B,1,0)</f>
        <v>2060</v>
      </c>
    </row>
    <row r="426" spans="1:7" x14ac:dyDescent="0.3">
      <c r="A426" s="66">
        <v>3095</v>
      </c>
      <c r="B426" s="5">
        <f>+SUMIFS(Tabla16[Importe],Tabla16[MOVIL],Tabla38[[#This Row],[MOVIL]],Tabla16[OBSV],"DESCONTAR POR USO PERSONAL")</f>
        <v>6.3</v>
      </c>
      <c r="C426" s="5">
        <f>+SUMIFS(Tabla16[Importe],Tabla16[MOVIL],Tabla38[[#This Row],[MOVIL]],Tabla16[OBSV],"DESCONTAR POR INCIDENCIA")</f>
        <v>37.799999999999997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26" s="65">
        <f>+VLOOKUP(Tabla38[[#This Row],[MOVIL]],[1]LIQUIDACION!$B:$B,1,0)</f>
        <v>3095</v>
      </c>
    </row>
    <row r="427" spans="1:7" x14ac:dyDescent="0.3">
      <c r="A427" s="66">
        <v>4280</v>
      </c>
      <c r="B427" s="5">
        <f>+SUMIFS(Tabla16[Importe],Tabla16[MOVIL],Tabla38[[#This Row],[MOVIL]],Tabla16[OBSV],"DESCONTAR POR USO PERSONAL")</f>
        <v>6.3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7" s="65">
        <f>+VLOOKUP(Tabla38[[#This Row],[MOVIL]],[1]LIQUIDACION!$B:$B,1,0)</f>
        <v>4280</v>
      </c>
    </row>
    <row r="428" spans="1:7" x14ac:dyDescent="0.3">
      <c r="A428" s="66">
        <v>4302</v>
      </c>
      <c r="B428" s="5">
        <f>+SUMIFS(Tabla16[Importe],Tabla16[MOVIL],Tabla38[[#This Row],[MOVIL]],Tabla16[OBSV],"DESCONTAR POR USO PERSONAL")</f>
        <v>12.6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8" s="65">
        <f>+VLOOKUP(Tabla38[[#This Row],[MOVIL]],[1]LIQUIDACION!$B:$B,1,0)</f>
        <v>4302</v>
      </c>
    </row>
    <row r="429" spans="1:7" x14ac:dyDescent="0.3">
      <c r="A429" s="66">
        <v>4357</v>
      </c>
      <c r="B429" s="5">
        <f>+SUMIFS(Tabla16[Importe],Tabla16[MOVIL],Tabla38[[#This Row],[MOVIL]],Tabla16[OBSV],"DESCONTAR POR USO PERSONAL")</f>
        <v>25.2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9" s="65">
        <f>+VLOOKUP(Tabla38[[#This Row],[MOVIL]],[1]LIQUIDACION!$B:$B,1,0)</f>
        <v>4357</v>
      </c>
    </row>
    <row r="430" spans="1:7" x14ac:dyDescent="0.3">
      <c r="A430" s="66">
        <v>4290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0" s="65">
        <f>+VLOOKUP(Tabla38[[#This Row],[MOVIL]],[1]LIQUIDACION!$B:$B,1,0)</f>
        <v>4290</v>
      </c>
    </row>
    <row r="431" spans="1:7" x14ac:dyDescent="0.3">
      <c r="A431" s="66">
        <v>3810</v>
      </c>
      <c r="B431" s="5">
        <f>+SUMIFS(Tabla16[Importe],Tabla16[MOVIL],Tabla38[[#This Row],[MOVIL]],Tabla16[OBSV],"DESCONTAR POR USO PERSONAL")</f>
        <v>25.2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1" s="65">
        <f>+VLOOKUP(Tabla38[[#This Row],[MOVIL]],[1]LIQUIDACION!$B:$B,1,0)</f>
        <v>3810</v>
      </c>
    </row>
    <row r="432" spans="1:7" x14ac:dyDescent="0.3">
      <c r="A432" s="66">
        <v>9599</v>
      </c>
      <c r="B432" s="5">
        <f>+SUMIFS(Tabla16[Importe],Tabla16[MOVIL],Tabla38[[#This Row],[MOVIL]],Tabla16[OBSV],"DESCONTAR POR USO PERSONAL")</f>
        <v>6.3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2" s="65">
        <f>+VLOOKUP(Tabla38[[#This Row],[MOVIL]],[1]LIQUIDACION!$B:$B,1,0)</f>
        <v>9599</v>
      </c>
    </row>
    <row r="433" spans="1:7" x14ac:dyDescent="0.3">
      <c r="A433" s="66">
        <v>715</v>
      </c>
      <c r="B433" s="5">
        <f>+SUMIFS(Tabla16[Importe],Tabla16[MOVIL],Tabla38[[#This Row],[MOVIL]],Tabla16[OBSV],"DESCONTAR POR USO PERSONAL")</f>
        <v>37.799999999999997</v>
      </c>
      <c r="C433" s="5">
        <f>+SUMIFS(Tabla16[Importe],Tabla16[MOVIL],Tabla38[[#This Row],[MOVIL]],Tabla16[OBSV],"DESCONTAR POR INCIDENCIA")</f>
        <v>12.6</v>
      </c>
      <c r="D433" s="5">
        <f>+SUMIFS(Tabla16[Importe],Tabla16[MOVIL],Tabla38[[#This Row],[MOVIL]],Tabla16[OBSV],"DESCONTAR SERVICIO EN EFECTIVO")</f>
        <v>12.6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33" s="65">
        <f>+VLOOKUP(Tabla38[[#This Row],[MOVIL]],[1]LIQUIDACION!$B:$B,1,0)</f>
        <v>715</v>
      </c>
    </row>
    <row r="434" spans="1:7" x14ac:dyDescent="0.3">
      <c r="A434" s="66">
        <v>9234</v>
      </c>
      <c r="B434" s="5">
        <f>+SUMIFS(Tabla16[Importe],Tabla16[MOVIL],Tabla38[[#This Row],[MOVIL]],Tabla16[OBSV],"DESCONTAR POR USO PERSONAL")</f>
        <v>12.6</v>
      </c>
      <c r="C434" s="5">
        <f>+SUMIFS(Tabla16[Importe],Tabla16[MOVIL],Tabla38[[#This Row],[MOVIL]],Tabla16[OBSV],"DESCONTAR POR INCIDENCIA")</f>
        <v>6.3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4" s="65">
        <f>+VLOOKUP(Tabla38[[#This Row],[MOVIL]],[1]LIQUIDACION!$B:$B,1,0)</f>
        <v>9234</v>
      </c>
    </row>
    <row r="435" spans="1:7" x14ac:dyDescent="0.3">
      <c r="A435" s="66">
        <v>1793</v>
      </c>
      <c r="B435" s="5">
        <f>+SUMIFS(Tabla16[Importe],Tabla16[MOVIL],Tabla38[[#This Row],[MOVIL]],Tabla16[OBSV],"DESCONTAR POR USO PERSONAL")</f>
        <v>69.299999999999983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35" s="65">
        <f>+VLOOKUP(Tabla38[[#This Row],[MOVIL]],[1]LIQUIDACION!$B:$B,1,0)</f>
        <v>1793</v>
      </c>
    </row>
    <row r="436" spans="1:7" x14ac:dyDescent="0.3">
      <c r="A436" s="66">
        <v>4354</v>
      </c>
      <c r="B436" s="5">
        <f>+SUMIFS(Tabla16[Importe],Tabla16[MOVIL],Tabla38[[#This Row],[MOVIL]],Tabla16[OBSV],"DESCONTAR POR USO PERSONAL")</f>
        <v>44.099999999999994</v>
      </c>
      <c r="C436" s="5">
        <f>+SUMIFS(Tabla16[Importe],Tabla16[MOVIL],Tabla38[[#This Row],[MOVIL]],Tabla16[OBSV],"DESCONTAR POR INCIDENCIA")</f>
        <v>6.3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20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70.399999999999991</v>
      </c>
      <c r="G436" s="65">
        <f>+VLOOKUP(Tabla38[[#This Row],[MOVIL]],[1]LIQUIDACION!$B:$B,1,0)</f>
        <v>4354</v>
      </c>
    </row>
    <row r="437" spans="1:7" x14ac:dyDescent="0.3">
      <c r="A437" s="66">
        <v>4364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20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7" s="65">
        <f>+VLOOKUP(Tabla38[[#This Row],[MOVIL]],[1]LIQUIDACION!$B:$B,1,0)</f>
        <v>4364</v>
      </c>
    </row>
    <row r="438" spans="1:7" x14ac:dyDescent="0.3">
      <c r="A438" s="66">
        <v>4312</v>
      </c>
      <c r="B438" s="5">
        <f>+SUMIFS(Tabla16[Importe],Tabla16[MOVIL],Tabla38[[#This Row],[MOVIL]],Tabla16[OBSV],"DESCONTAR POR USO PERSONAL")</f>
        <v>6.3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20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38" s="65">
        <f>+VLOOKUP(Tabla38[[#This Row],[MOVIL]],[1]LIQUIDACION!$B:$B,1,0)</f>
        <v>4312</v>
      </c>
    </row>
    <row r="439" spans="1:7" x14ac:dyDescent="0.3">
      <c r="A439" s="66">
        <v>1828</v>
      </c>
      <c r="B439" s="5">
        <f>+SUMIFS(Tabla16[Importe],Tabla16[MOVIL],Tabla38[[#This Row],[MOVIL]],Tabla16[OBSV],"DESCONTAR POR USO PERSONAL")</f>
        <v>18.899999999999999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20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39" s="65">
        <f>+VLOOKUP(Tabla38[[#This Row],[MOVIL]],[1]LIQUIDACION!$B:$B,1,0)</f>
        <v>1828</v>
      </c>
    </row>
    <row r="440" spans="1:7" x14ac:dyDescent="0.3">
      <c r="A440" s="66">
        <v>4334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20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0" s="65">
        <f>+VLOOKUP(Tabla38[[#This Row],[MOVIL]],[1]LIQUIDACION!$B:$B,1,0)</f>
        <v>4334</v>
      </c>
    </row>
    <row r="441" spans="1:7" x14ac:dyDescent="0.3">
      <c r="A441" s="66">
        <v>3572</v>
      </c>
      <c r="B441" s="5">
        <f>+SUMIFS(Tabla16[Importe],Tabla16[MOVIL],Tabla38[[#This Row],[MOVIL]],Tabla16[OBSV],"DESCONTAR POR USO PERSONAL")</f>
        <v>12.6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20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1" s="65">
        <f>+VLOOKUP(Tabla38[[#This Row],[MOVIL]],[1]LIQUIDACION!$B:$B,1,0)</f>
        <v>3572</v>
      </c>
    </row>
    <row r="442" spans="1:7" x14ac:dyDescent="0.3">
      <c r="A442" s="66">
        <v>4041</v>
      </c>
      <c r="B442" s="5">
        <f>+SUMIFS(Tabla16[Importe],Tabla16[MOVIL],Tabla38[[#This Row],[MOVIL]],Tabla16[OBSV],"DESCONTAR POR USO PERSONAL")</f>
        <v>62.999999999999986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20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82.999999999999986</v>
      </c>
      <c r="G442" s="65">
        <f>+VLOOKUP(Tabla38[[#This Row],[MOVIL]],[1]LIQUIDACION!$B:$B,1,0)</f>
        <v>4041</v>
      </c>
    </row>
    <row r="443" spans="1:7" x14ac:dyDescent="0.3">
      <c r="A443" s="66">
        <v>4186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20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3" s="65">
        <f>+VLOOKUP(Tabla38[[#This Row],[MOVIL]],[1]LIQUIDACION!$B:$B,1,0)</f>
        <v>4186</v>
      </c>
    </row>
    <row r="444" spans="1:7" x14ac:dyDescent="0.3">
      <c r="A444" s="66">
        <v>4279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4" s="65">
        <f>+VLOOKUP(Tabla38[[#This Row],[MOVIL]],[1]LIQUIDACION!$B:$B,1,0)</f>
        <v>4279</v>
      </c>
    </row>
    <row r="445" spans="1:7" x14ac:dyDescent="0.3">
      <c r="A445" s="66">
        <v>2980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12.6</v>
      </c>
      <c r="D445" s="5">
        <f>+SUMIFS(Tabla16[Importe],Tabla16[MOVIL],Tabla38[[#This Row],[MOVIL]],Tabla16[OBSV],"DESCONTAR SERVICIO EN EFECTIVO")</f>
        <v>37.799999999999997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45" s="65">
        <f>+VLOOKUP(Tabla38[[#This Row],[MOVIL]],[1]LIQUIDACION!$B:$B,1,0)</f>
        <v>2980</v>
      </c>
    </row>
    <row r="446" spans="1:7" x14ac:dyDescent="0.3">
      <c r="A446" s="66">
        <v>4203</v>
      </c>
      <c r="B446" s="5">
        <f>+SUMIFS(Tabla16[Importe],Tabla16[MOVIL],Tabla38[[#This Row],[MOVIL]],Tabla16[OBSV],"DESCONTAR POR USO PERSONAL")</f>
        <v>31.5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12.6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46" s="65">
        <f>+VLOOKUP(Tabla38[[#This Row],[MOVIL]],[1]LIQUIDACION!$B:$B,1,0)</f>
        <v>4203</v>
      </c>
    </row>
    <row r="447" spans="1:7" x14ac:dyDescent="0.3">
      <c r="A447" s="66">
        <v>4218</v>
      </c>
      <c r="B447" s="5">
        <f>+SUMIFS(Tabla16[Importe],Tabla16[MOVIL],Tabla38[[#This Row],[MOVIL]],Tabla16[OBSV],"DESCONTAR POR USO PERSONAL")</f>
        <v>25.2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7" s="65">
        <f>+VLOOKUP(Tabla38[[#This Row],[MOVIL]],[1]LIQUIDACION!$B:$B,1,0)</f>
        <v>4218</v>
      </c>
    </row>
    <row r="448" spans="1:7" x14ac:dyDescent="0.3">
      <c r="A448" s="66">
        <v>2983</v>
      </c>
      <c r="B448" s="5">
        <f>+SUMIFS(Tabla16[Importe],Tabla16[MOVIL],Tabla38[[#This Row],[MOVIL]],Tabla16[OBSV],"DESCONTAR POR USO PERSONAL")</f>
        <v>31.5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12.6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48" s="65">
        <f>+VLOOKUP(Tabla38[[#This Row],[MOVIL]],[1]LIQUIDACION!$B:$B,1,0)</f>
        <v>2983</v>
      </c>
    </row>
    <row r="449" spans="1:7" x14ac:dyDescent="0.3">
      <c r="A449" s="66">
        <v>4217</v>
      </c>
      <c r="B449" s="5">
        <f>+SUMIFS(Tabla16[Importe],Tabla16[MOVIL],Tabla38[[#This Row],[MOVIL]],Tabla16[OBSV],"DESCONTAR POR USO PERSONAL")</f>
        <v>12.6</v>
      </c>
      <c r="C449" s="5">
        <f>+SUMIFS(Tabla16[Importe],Tabla16[MOVIL],Tabla38[[#This Row],[MOVIL]],Tabla16[OBSV],"DESCONTAR POR INCIDENCIA")</f>
        <v>18.899999999999999</v>
      </c>
      <c r="D449" s="5">
        <f>+SUMIFS(Tabla16[Importe],Tabla16[MOVIL],Tabla38[[#This Row],[MOVIL]],Tabla16[OBSV],"DESCONTAR SERVICIO EN EFECTIVO")</f>
        <v>12.6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49" s="65">
        <f>+VLOOKUP(Tabla38[[#This Row],[MOVIL]],[1]LIQUIDACION!$B:$B,1,0)</f>
        <v>4217</v>
      </c>
    </row>
    <row r="450" spans="1:7" x14ac:dyDescent="0.3">
      <c r="A450" s="66">
        <v>4206</v>
      </c>
      <c r="B450" s="5">
        <f>+SUMIFS(Tabla16[Importe],Tabla16[MOVIL],Tabla38[[#This Row],[MOVIL]],Tabla16[OBSV],"DESCONTAR POR USO PERSONAL")</f>
        <v>25.2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0" s="65">
        <f>+VLOOKUP(Tabla38[[#This Row],[MOVIL]],[1]LIQUIDACION!$B:$B,1,0)</f>
        <v>4206</v>
      </c>
    </row>
    <row r="451" spans="1:7" x14ac:dyDescent="0.3">
      <c r="A451" s="66">
        <v>4210</v>
      </c>
      <c r="B451" s="5">
        <f>+SUMIFS(Tabla16[Importe],Tabla16[MOVIL],Tabla38[[#This Row],[MOVIL]],Tabla16[OBSV],"DESCONTAR POR USO PERSONAL")</f>
        <v>69.299999999999983</v>
      </c>
      <c r="C451" s="5">
        <f>+SUMIFS(Tabla16[Importe],Tabla16[MOVIL],Tabla38[[#This Row],[MOVIL]],Tabla16[OBSV],"DESCONTAR POR INCIDENCIA")</f>
        <v>12.6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51" s="65">
        <f>+VLOOKUP(Tabla38[[#This Row],[MOVIL]],[1]LIQUIDACION!$B:$B,1,0)</f>
        <v>4210</v>
      </c>
    </row>
    <row r="452" spans="1:7" x14ac:dyDescent="0.3">
      <c r="A452" s="66">
        <v>4175</v>
      </c>
      <c r="B452" s="5">
        <f>+SUMIFS(Tabla16[Importe],Tabla16[MOVIL],Tabla38[[#This Row],[MOVIL]],Tabla16[OBSV],"DESCONTAR POR USO PERSONAL")</f>
        <v>25.2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37.799999999999997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52" s="65">
        <f>+VLOOKUP(Tabla38[[#This Row],[MOVIL]],[1]LIQUIDACION!$B:$B,1,0)</f>
        <v>4175</v>
      </c>
    </row>
    <row r="453" spans="1:7" x14ac:dyDescent="0.3">
      <c r="A453" s="66">
        <v>4323</v>
      </c>
      <c r="B453" s="5">
        <f>+SUMIFS(Tabla16[Importe],Tabla16[MOVIL],Tabla38[[#This Row],[MOVIL]],Tabla16[OBSV],"DESCONTAR POR USO PERSONAL")</f>
        <v>12.6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18.899999999999999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53" s="65">
        <f>+VLOOKUP(Tabla38[[#This Row],[MOVIL]],[1]LIQUIDACION!$B:$B,1,0)</f>
        <v>4323</v>
      </c>
    </row>
    <row r="454" spans="1:7" x14ac:dyDescent="0.3">
      <c r="A454" s="66">
        <v>4208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6.3</v>
      </c>
      <c r="D454" s="5">
        <f>+SUMIFS(Tabla16[Importe],Tabla16[MOVIL],Tabla38[[#This Row],[MOVIL]],Tabla16[OBSV],"DESCONTAR SERVICIO EN EFECTIVO")</f>
        <v>12.6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54" s="65">
        <f>+VLOOKUP(Tabla38[[#This Row],[MOVIL]],[1]LIQUIDACION!$B:$B,1,0)</f>
        <v>4208</v>
      </c>
    </row>
    <row r="455" spans="1:7" x14ac:dyDescent="0.3">
      <c r="A455" s="66">
        <v>2997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5" s="65">
        <f>+VLOOKUP(Tabla38[[#This Row],[MOVIL]],[1]LIQUIDACION!$B:$B,1,0)</f>
        <v>2997</v>
      </c>
    </row>
    <row r="456" spans="1:7" x14ac:dyDescent="0.3">
      <c r="A456" s="66">
        <v>4211</v>
      </c>
      <c r="B456" s="5">
        <f>+SUMIFS(Tabla16[Importe],Tabla16[MOVIL],Tabla38[[#This Row],[MOVIL]],Tabla16[OBSV],"DESCONTAR POR USO PERSONAL")</f>
        <v>12.6</v>
      </c>
      <c r="C456" s="5">
        <f>+SUMIFS(Tabla16[Importe],Tabla16[MOVIL],Tabla38[[#This Row],[MOVIL]],Tabla16[OBSV],"DESCONTAR POR INCIDENCIA")</f>
        <v>12.6</v>
      </c>
      <c r="D456" s="5">
        <f>+SUMIFS(Tabla16[Importe],Tabla16[MOVIL],Tabla38[[#This Row],[MOVIL]],Tabla16[OBSV],"DESCONTAR SERVICIO EN EFECTIVO")</f>
        <v>18.899999999999999</v>
      </c>
      <c r="E456" s="5">
        <f>+IFERROR(VLOOKUP(Tabla38[[#This Row],[MOVIL]],Tabla1[[#All],[MOVIL]:[COBRO POR NUEVA INCLUSIÓN]],4,FALSE),0)</f>
        <v>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56" s="65">
        <f>+VLOOKUP(Tabla38[[#This Row],[MOVIL]],[1]LIQUIDACION!$B:$B,1,0)</f>
        <v>4211</v>
      </c>
    </row>
    <row r="457" spans="1:7" x14ac:dyDescent="0.3">
      <c r="A457" s="66">
        <v>4205</v>
      </c>
      <c r="B457" s="5">
        <f>+SUMIFS(Tabla16[Importe],Tabla16[MOVIL],Tabla38[[#This Row],[MOVIL]],Tabla16[OBSV],"DESCONTAR POR USO PERSONAL")</f>
        <v>88.199999999999974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57" s="65">
        <f>+VLOOKUP(Tabla38[[#This Row],[MOVIL]],[1]LIQUIDACION!$B:$B,1,0)</f>
        <v>4205</v>
      </c>
    </row>
    <row r="458" spans="1:7" x14ac:dyDescent="0.3">
      <c r="A458" s="66">
        <v>2984</v>
      </c>
      <c r="B458" s="5">
        <f>+SUMIFS(Tabla16[Importe],Tabla16[MOVIL],Tabla38[[#This Row],[MOVIL]],Tabla16[OBSV],"DESCONTAR POR USO PERSONAL")</f>
        <v>0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8" s="65">
        <f>+VLOOKUP(Tabla38[[#This Row],[MOVIL]],[1]LIQUIDACION!$B:$B,1,0)</f>
        <v>2984</v>
      </c>
    </row>
    <row r="459" spans="1:7" x14ac:dyDescent="0.3">
      <c r="A459" s="66">
        <v>2987</v>
      </c>
      <c r="B459" s="5">
        <f>+SUMIFS(Tabla16[Importe],Tabla16[MOVIL],Tabla38[[#This Row],[MOVIL]],Tabla16[OBSV],"DESCONTAR POR USO PERSONAL")</f>
        <v>25.2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9" s="65">
        <f>+VLOOKUP(Tabla38[[#This Row],[MOVIL]],[1]LIQUIDACION!$B:$B,1,0)</f>
        <v>2987</v>
      </c>
    </row>
    <row r="460" spans="1:7" x14ac:dyDescent="0.3">
      <c r="A460" s="66">
        <v>4215</v>
      </c>
      <c r="B460" s="5">
        <f>+SUMIFS(Tabla16[Importe],Tabla16[MOVIL],Tabla38[[#This Row],[MOVIL]],Tabla16[OBSV],"DESCONTAR POR USO PERSONAL")</f>
        <v>37.799999999999997</v>
      </c>
      <c r="C460" s="5">
        <f>+SUMIFS(Tabla16[Importe],Tabla16[MOVIL],Tabla38[[#This Row],[MOVIL]],Tabla16[OBSV],"DESCONTAR POR INCIDENCIA")</f>
        <v>6.3</v>
      </c>
      <c r="D460" s="5">
        <f>+SUMIFS(Tabla16[Importe],Tabla16[MOVIL],Tabla38[[#This Row],[MOVIL]],Tabla16[OBSV],"DESCONTAR SERVICIO EN EFECTIVO")</f>
        <v>37.799999999999997</v>
      </c>
      <c r="E460" s="5">
        <f>+IFERROR(VLOOKUP(Tabla38[[#This Row],[MOVIL]],Tabla1[[#All],[MOVIL]:[COBRO POR NUEVA INCLUSIÓN]],4,FALSE),0)</f>
        <v>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460" s="65">
        <f>+VLOOKUP(Tabla38[[#This Row],[MOVIL]],[1]LIQUIDACION!$B:$B,1,0)</f>
        <v>4215</v>
      </c>
    </row>
    <row r="461" spans="1:7" x14ac:dyDescent="0.3">
      <c r="A461" s="66">
        <v>2979</v>
      </c>
      <c r="B461" s="5">
        <f>+SUMIFS(Tabla16[Importe],Tabla16[MOVIL],Tabla38[[#This Row],[MOVIL]],Tabla16[OBSV],"DESCONTAR POR USO PERSONAL")</f>
        <v>31.5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18.899999999999999</v>
      </c>
      <c r="E461" s="5">
        <f>+IFERROR(VLOOKUP(Tabla38[[#This Row],[MOVIL]],Tabla1[[#All],[MOVIL]:[COBRO POR NUEVA INCLUSIÓN]],4,FALSE),0)</f>
        <v>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61" s="65">
        <f>+VLOOKUP(Tabla38[[#This Row],[MOVIL]],[1]LIQUIDACION!$B:$B,1,0)</f>
        <v>2979</v>
      </c>
    </row>
    <row r="462" spans="1:7" x14ac:dyDescent="0.3">
      <c r="A462" s="66">
        <v>2974</v>
      </c>
      <c r="B462" s="5">
        <f>+SUMIFS(Tabla16[Importe],Tabla16[MOVIL],Tabla38[[#This Row],[MOVIL]],Tabla16[OBSV],"DESCONTAR POR USO PERSONAL")</f>
        <v>31.5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12.6</v>
      </c>
      <c r="E462" s="5">
        <f>+IFERROR(VLOOKUP(Tabla38[[#This Row],[MOVIL]],Tabla1[[#All],[MOVIL]:[COBRO POR NUEVA INCLUSIÓN]],4,FALSE),0)</f>
        <v>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62" s="65">
        <f>+VLOOKUP(Tabla38[[#This Row],[MOVIL]],[1]LIQUIDACION!$B:$B,1,0)</f>
        <v>2974</v>
      </c>
    </row>
    <row r="463" spans="1:7" x14ac:dyDescent="0.3">
      <c r="A463" s="66">
        <v>2976</v>
      </c>
      <c r="B463" s="5">
        <f>+SUMIFS(Tabla16[Importe],Tabla16[MOVIL],Tabla38[[#This Row],[MOVIL]],Tabla16[OBSV],"DESCONTAR POR USO PERSONAL")</f>
        <v>56.699999999999989</v>
      </c>
      <c r="C463" s="5">
        <f>+SUMIFS(Tabla16[Importe],Tabla16[MOVIL],Tabla38[[#This Row],[MOVIL]],Tabla16[OBSV],"DESCONTAR POR INCIDENCIA")</f>
        <v>0</v>
      </c>
      <c r="D463" s="5">
        <f>+SUMIFS(Tabla16[Importe],Tabla16[MOVIL],Tabla38[[#This Row],[MOVIL]],Tabla16[OBSV],"DESCONTAR SERVICIO EN EFECTIVO")</f>
        <v>12.6</v>
      </c>
      <c r="E463" s="5">
        <f>+IFERROR(VLOOKUP(Tabla38[[#This Row],[MOVIL]],Tabla1[[#All],[MOVIL]:[COBRO POR NUEVA INCLUSIÓN]],4,FALSE),0)</f>
        <v>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63" s="65">
        <f>+VLOOKUP(Tabla38[[#This Row],[MOVIL]],[1]LIQUIDACION!$B:$B,1,0)</f>
        <v>2976</v>
      </c>
    </row>
    <row r="464" spans="1:7" x14ac:dyDescent="0.3">
      <c r="A464" s="66">
        <v>4201</v>
      </c>
      <c r="B464" s="5">
        <f>+SUMIFS(Tabla16[Importe],Tabla16[MOVIL],Tabla38[[#This Row],[MOVIL]],Tabla16[OBSV],"DESCONTAR POR USO PERSONAL")</f>
        <v>50.399999999999991</v>
      </c>
      <c r="C464" s="5">
        <f>+SUMIFS(Tabla16[Importe],Tabla16[MOVIL],Tabla38[[#This Row],[MOVIL]],Tabla16[OBSV],"DESCONTAR POR INCIDENCIA")</f>
        <v>25.2</v>
      </c>
      <c r="D464" s="5">
        <f>+SUMIFS(Tabla16[Importe],Tabla16[MOVIL],Tabla38[[#This Row],[MOVIL]],Tabla16[OBSV],"DESCONTAR SERVICIO EN EFECTIVO")</f>
        <v>25.2</v>
      </c>
      <c r="E464" s="5">
        <f>+IFERROR(VLOOKUP(Tabla38[[#This Row],[MOVIL]],Tabla1[[#All],[MOVIL]:[COBRO POR NUEVA INCLUSIÓN]],4,FALSE),0)</f>
        <v>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100.8</v>
      </c>
      <c r="G464" s="65">
        <f>+VLOOKUP(Tabla38[[#This Row],[MOVIL]],[1]LIQUIDACION!$B:$B,1,0)</f>
        <v>4201</v>
      </c>
    </row>
    <row r="465" spans="1:7" x14ac:dyDescent="0.3">
      <c r="A465" s="66">
        <v>4202</v>
      </c>
      <c r="B465" s="5">
        <f>+SUMIFS(Tabla16[Importe],Tabla16[MOVIL],Tabla38[[#This Row],[MOVIL]],Tabla16[OBSV],"DESCONTAR POR USO PERSONAL")</f>
        <v>0</v>
      </c>
      <c r="C465" s="5">
        <f>+SUMIFS(Tabla16[Importe],Tabla16[MOVIL],Tabla38[[#This Row],[MOVIL]],Tabla16[OBSV],"DESCONTAR POR INCIDENCIA")</f>
        <v>0</v>
      </c>
      <c r="D465" s="5">
        <f>+SUMIFS(Tabla16[Importe],Tabla16[MOVIL],Tabla38[[#This Row],[MOVIL]],Tabla16[OBSV],"DESCONTAR SERVICIO EN EFECTIVO")</f>
        <v>0</v>
      </c>
      <c r="E465" s="5">
        <f>+IFERROR(VLOOKUP(Tabla38[[#This Row],[MOVIL]],Tabla1[[#All],[MOVIL]:[COBRO POR NUEVA INCLUSIÓN]],4,FALSE),0)</f>
        <v>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5" s="65">
        <f>+VLOOKUP(Tabla38[[#This Row],[MOVIL]],[1]LIQUIDACION!$B:$B,1,0)</f>
        <v>4202</v>
      </c>
    </row>
    <row r="466" spans="1:7" x14ac:dyDescent="0.3">
      <c r="A466" s="66">
        <v>4172</v>
      </c>
      <c r="B466" s="5">
        <f>+SUMIFS(Tabla16[Importe],Tabla16[MOVIL],Tabla38[[#This Row],[MOVIL]],Tabla16[OBSV],"DESCONTAR POR USO PERSONAL")</f>
        <v>50.399999999999991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37.799999999999997</v>
      </c>
      <c r="E466" s="5">
        <f>+IFERROR(VLOOKUP(Tabla38[[#This Row],[MOVIL]],Tabla1[[#All],[MOVIL]:[COBRO POR NUEVA INCLUSIÓN]],4,FALSE),0)</f>
        <v>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466" s="65">
        <f>+VLOOKUP(Tabla38[[#This Row],[MOVIL]],[1]LIQUIDACION!$B:$B,1,0)</f>
        <v>4172</v>
      </c>
    </row>
    <row r="467" spans="1:7" x14ac:dyDescent="0.3">
      <c r="A467" s="66">
        <v>4176</v>
      </c>
      <c r="B467" s="5">
        <f>+SUMIFS(Tabla16[Importe],Tabla16[MOVIL],Tabla38[[#This Row],[MOVIL]],Tabla16[OBSV],"DESCONTAR POR USO PERSONAL")</f>
        <v>25.2</v>
      </c>
      <c r="C467" s="5">
        <f>+SUMIFS(Tabla16[Importe],Tabla16[MOVIL],Tabla38[[#This Row],[MOVIL]],Tabla16[OBSV],"DESCONTAR POR INCIDENCIA")</f>
        <v>0</v>
      </c>
      <c r="D467" s="5">
        <f>+SUMIFS(Tabla16[Importe],Tabla16[MOVIL],Tabla38[[#This Row],[MOVIL]],Tabla16[OBSV],"DESCONTAR SERVICIO EN EFECTIVO")</f>
        <v>25.2</v>
      </c>
      <c r="E467" s="5">
        <f>+IFERROR(VLOOKUP(Tabla38[[#This Row],[MOVIL]],Tabla1[[#All],[MOVIL]:[COBRO POR NUEVA INCLUSIÓN]],4,FALSE),0)</f>
        <v>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67" s="65">
        <f>+VLOOKUP(Tabla38[[#This Row],[MOVIL]],[1]LIQUIDACION!$B:$B,1,0)</f>
        <v>4176</v>
      </c>
    </row>
    <row r="468" spans="1:7" x14ac:dyDescent="0.3">
      <c r="A468" s="66">
        <v>4200</v>
      </c>
      <c r="B468" s="5">
        <f>+SUMIFS(Tabla16[Importe],Tabla16[MOVIL],Tabla38[[#This Row],[MOVIL]],Tabla16[OBSV],"DESCONTAR POR USO PERSONAL")</f>
        <v>0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0</v>
      </c>
      <c r="E468" s="5">
        <f>+IFERROR(VLOOKUP(Tabla38[[#This Row],[MOVIL]],Tabla1[[#All],[MOVIL]:[COBRO POR NUEVA INCLUSIÓN]],4,FALSE),0)</f>
        <v>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8" s="65">
        <f>+VLOOKUP(Tabla38[[#This Row],[MOVIL]],[1]LIQUIDACION!$B:$B,1,0)</f>
        <v>4200</v>
      </c>
    </row>
    <row r="469" spans="1:7" x14ac:dyDescent="0.3">
      <c r="A469" s="8"/>
      <c r="B469" s="5">
        <f>+SUMIFS(Tabla16[Importe],Tabla16[MOVIL],Tabla38[[#This Row],[MOVIL]],Tabla16[OBSV],"DESCONTAR POR USO PERSONAL")</f>
        <v>0</v>
      </c>
      <c r="C469" s="5">
        <f>+SUMIFS(Tabla16[Importe],Tabla16[MOVIL],Tabla38[[#This Row],[MOVIL]],Tabla16[OBSV],"DESCONTAR POR INCIDENCIA")</f>
        <v>0</v>
      </c>
      <c r="D469" s="5">
        <f>+SUMIFS(Tabla16[Importe],Tabla16[MOVIL],Tabla38[[#This Row],[MOVIL]],Tabla16[OBSV],"DESCONTAR SERVICIO EN EFECTIVO")</f>
        <v>0</v>
      </c>
      <c r="E469" s="5">
        <f>+IFERROR(VLOOKUP(Tabla38[[#This Row],[MOVIL]],Tabla1[[#All],[MOVIL]:[COBRO POR NUEVA INCLUSIÓN]],4,FALSE),0)</f>
        <v>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9" s="65" t="e">
        <f>+VLOOKUP(Tabla38[[#This Row],[MOVIL]],[1]LIQUIDACION!$B:$B,1,0)</f>
        <v>#N/A</v>
      </c>
    </row>
    <row r="470" spans="1:7" x14ac:dyDescent="0.3">
      <c r="B470" s="5">
        <f>SUM(B2:B469)</f>
        <v>7635.6000000000049</v>
      </c>
      <c r="C470" s="5">
        <f>SUM(C2:C469)</f>
        <v>825.29999999999984</v>
      </c>
      <c r="D470" s="5">
        <f>SUM(D2:D469)</f>
        <v>1354.5</v>
      </c>
      <c r="E470" s="5">
        <f>SUM(E2:E469)</f>
        <v>180</v>
      </c>
      <c r="F470" s="5">
        <f>SUM(F2:F469)</f>
        <v>9995.4</v>
      </c>
    </row>
  </sheetData>
  <conditionalFormatting sqref="A1">
    <cfRule type="duplicateValues" dxfId="35716" priority="18"/>
  </conditionalFormatting>
  <conditionalFormatting sqref="A2:A469">
    <cfRule type="duplicateValues" dxfId="35715" priority="264565"/>
    <cfRule type="duplicateValues" dxfId="35714" priority="264566"/>
    <cfRule type="duplicateValues" dxfId="35713" priority="264567"/>
    <cfRule type="duplicateValues" dxfId="35712" priority="264568"/>
    <cfRule type="duplicateValues" dxfId="35711" priority="264569"/>
    <cfRule type="duplicateValues" dxfId="35710" priority="264570"/>
    <cfRule type="duplicateValues" dxfId="35709" priority="264571"/>
    <cfRule type="duplicateValues" dxfId="35708" priority="26457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66"/>
  <sheetViews>
    <sheetView zoomScale="90" zoomScaleNormal="90" workbookViewId="0">
      <selection activeCell="E13" sqref="E13"/>
    </sheetView>
  </sheetViews>
  <sheetFormatPr baseColWidth="10" defaultColWidth="11.44140625" defaultRowHeight="14.4" x14ac:dyDescent="0.3"/>
  <cols>
    <col min="1" max="1" width="11" bestFit="1" customWidth="1"/>
    <col min="2" max="2" width="11.33203125" bestFit="1" customWidth="1"/>
    <col min="3" max="3" width="19.109375" bestFit="1" customWidth="1"/>
    <col min="4" max="4" width="28.88671875" bestFit="1" customWidth="1"/>
    <col min="5" max="5" width="21.5546875" bestFit="1" customWidth="1"/>
    <col min="6" max="6" width="7" bestFit="1" customWidth="1"/>
    <col min="7" max="7" width="33.44140625" bestFit="1" customWidth="1"/>
  </cols>
  <sheetData>
    <row r="1" spans="1:5" ht="32.4" customHeight="1" x14ac:dyDescent="0.3">
      <c r="A1" s="10" t="s">
        <v>48</v>
      </c>
      <c r="B1" s="11" t="s">
        <v>11</v>
      </c>
      <c r="C1" s="12" t="s">
        <v>49</v>
      </c>
      <c r="D1" s="26" t="s">
        <v>1285</v>
      </c>
      <c r="E1" s="11" t="s">
        <v>50</v>
      </c>
    </row>
    <row r="2" spans="1:5" ht="15.6" customHeight="1" x14ac:dyDescent="0.3">
      <c r="A2" s="54" t="s">
        <v>51</v>
      </c>
      <c r="B2" s="31">
        <v>210</v>
      </c>
      <c r="C2" s="32" t="s">
        <v>52</v>
      </c>
      <c r="D2" s="33" t="s">
        <v>340</v>
      </c>
      <c r="E2" s="34"/>
    </row>
    <row r="3" spans="1:5" x14ac:dyDescent="0.3">
      <c r="A3" s="54" t="s">
        <v>300</v>
      </c>
      <c r="B3" s="31">
        <v>2246</v>
      </c>
      <c r="C3" s="32" t="s">
        <v>52</v>
      </c>
      <c r="D3" s="33" t="s">
        <v>340</v>
      </c>
      <c r="E3" s="56"/>
    </row>
    <row r="4" spans="1:5" x14ac:dyDescent="0.3">
      <c r="A4" s="30" t="s">
        <v>120</v>
      </c>
      <c r="B4" s="31">
        <v>1981</v>
      </c>
      <c r="C4" s="32" t="s">
        <v>52</v>
      </c>
      <c r="D4" s="33" t="s">
        <v>340</v>
      </c>
      <c r="E4" s="56"/>
    </row>
    <row r="5" spans="1:5" x14ac:dyDescent="0.3">
      <c r="A5" s="30" t="s">
        <v>60</v>
      </c>
      <c r="B5" s="31">
        <v>772</v>
      </c>
      <c r="C5" s="32" t="s">
        <v>52</v>
      </c>
      <c r="D5" s="33" t="s">
        <v>340</v>
      </c>
      <c r="E5" s="56"/>
    </row>
    <row r="6" spans="1:5" x14ac:dyDescent="0.3">
      <c r="A6" s="30" t="s">
        <v>130</v>
      </c>
      <c r="B6" s="31">
        <v>3243</v>
      </c>
      <c r="C6" s="32" t="s">
        <v>52</v>
      </c>
      <c r="D6" s="33" t="s">
        <v>340</v>
      </c>
      <c r="E6" s="56"/>
    </row>
    <row r="7" spans="1:5" x14ac:dyDescent="0.3">
      <c r="A7" s="30" t="s">
        <v>169</v>
      </c>
      <c r="B7" s="31">
        <v>9214</v>
      </c>
      <c r="C7" s="32" t="s">
        <v>52</v>
      </c>
      <c r="D7" s="33" t="s">
        <v>340</v>
      </c>
      <c r="E7" s="56"/>
    </row>
    <row r="8" spans="1:5" x14ac:dyDescent="0.3">
      <c r="A8" s="30" t="s">
        <v>57</v>
      </c>
      <c r="B8" s="31">
        <v>674</v>
      </c>
      <c r="C8" s="32" t="s">
        <v>52</v>
      </c>
      <c r="D8" s="33" t="s">
        <v>340</v>
      </c>
      <c r="E8" s="56"/>
    </row>
    <row r="9" spans="1:5" x14ac:dyDescent="0.3">
      <c r="A9" s="30" t="s">
        <v>55</v>
      </c>
      <c r="B9" s="31">
        <v>230</v>
      </c>
      <c r="C9" s="32" t="s">
        <v>52</v>
      </c>
      <c r="D9" s="33" t="s">
        <v>340</v>
      </c>
      <c r="E9" s="56"/>
    </row>
    <row r="10" spans="1:5" x14ac:dyDescent="0.3">
      <c r="A10" s="30" t="s">
        <v>172</v>
      </c>
      <c r="B10" s="31">
        <v>7090</v>
      </c>
      <c r="C10" s="32" t="s">
        <v>52</v>
      </c>
      <c r="D10" s="33" t="s">
        <v>340</v>
      </c>
      <c r="E10" s="56"/>
    </row>
    <row r="11" spans="1:5" x14ac:dyDescent="0.3">
      <c r="A11" s="30" t="s">
        <v>197</v>
      </c>
      <c r="B11" s="31">
        <v>1524</v>
      </c>
      <c r="C11" s="32" t="s">
        <v>52</v>
      </c>
      <c r="D11" s="33" t="s">
        <v>340</v>
      </c>
      <c r="E11" s="56"/>
    </row>
    <row r="12" spans="1:5" x14ac:dyDescent="0.3">
      <c r="A12" s="30" t="s">
        <v>133</v>
      </c>
      <c r="B12" s="31">
        <v>7065</v>
      </c>
      <c r="C12" s="32" t="s">
        <v>52</v>
      </c>
      <c r="D12" s="33" t="s">
        <v>340</v>
      </c>
      <c r="E12" s="56"/>
    </row>
    <row r="13" spans="1:5" x14ac:dyDescent="0.3">
      <c r="A13" s="30" t="s">
        <v>59</v>
      </c>
      <c r="B13" s="31">
        <v>766</v>
      </c>
      <c r="C13" s="32" t="s">
        <v>52</v>
      </c>
      <c r="D13" s="33" t="s">
        <v>340</v>
      </c>
      <c r="E13" s="56"/>
    </row>
    <row r="14" spans="1:5" x14ac:dyDescent="0.3">
      <c r="A14" s="30" t="s">
        <v>126</v>
      </c>
      <c r="B14" s="31">
        <v>2308</v>
      </c>
      <c r="C14" s="32" t="s">
        <v>52</v>
      </c>
      <c r="D14" s="33" t="s">
        <v>340</v>
      </c>
      <c r="E14" s="56"/>
    </row>
    <row r="15" spans="1:5" x14ac:dyDescent="0.3">
      <c r="A15" s="30" t="s">
        <v>263</v>
      </c>
      <c r="B15" s="31">
        <v>826</v>
      </c>
      <c r="C15" s="32" t="s">
        <v>52</v>
      </c>
      <c r="D15" s="33" t="s">
        <v>340</v>
      </c>
      <c r="E15" s="56"/>
    </row>
    <row r="16" spans="1:5" x14ac:dyDescent="0.3">
      <c r="A16" s="30" t="s">
        <v>1171</v>
      </c>
      <c r="B16" s="31">
        <v>7045</v>
      </c>
      <c r="C16" s="32" t="s">
        <v>52</v>
      </c>
      <c r="D16" s="33" t="s">
        <v>340</v>
      </c>
      <c r="E16" s="56"/>
    </row>
    <row r="17" spans="1:5" x14ac:dyDescent="0.3">
      <c r="A17" s="30" t="s">
        <v>289</v>
      </c>
      <c r="B17" s="31">
        <v>3683</v>
      </c>
      <c r="C17" s="32" t="s">
        <v>52</v>
      </c>
      <c r="D17" s="33" t="s">
        <v>340</v>
      </c>
      <c r="E17" s="56"/>
    </row>
    <row r="18" spans="1:5" x14ac:dyDescent="0.3">
      <c r="A18" s="30" t="s">
        <v>107</v>
      </c>
      <c r="B18" s="31">
        <v>9259</v>
      </c>
      <c r="C18" s="32" t="s">
        <v>52</v>
      </c>
      <c r="D18" s="33" t="s">
        <v>340</v>
      </c>
      <c r="E18" s="56"/>
    </row>
    <row r="19" spans="1:5" x14ac:dyDescent="0.3">
      <c r="A19" s="30" t="s">
        <v>127</v>
      </c>
      <c r="B19" s="31">
        <v>2463</v>
      </c>
      <c r="C19" s="32" t="s">
        <v>52</v>
      </c>
      <c r="D19" s="33" t="s">
        <v>340</v>
      </c>
      <c r="E19" s="56"/>
    </row>
    <row r="20" spans="1:5" x14ac:dyDescent="0.3">
      <c r="A20" s="30" t="s">
        <v>192</v>
      </c>
      <c r="B20" s="31">
        <v>9761</v>
      </c>
      <c r="C20" s="32" t="s">
        <v>52</v>
      </c>
      <c r="D20" s="33" t="s">
        <v>340</v>
      </c>
      <c r="E20" s="56"/>
    </row>
    <row r="21" spans="1:5" x14ac:dyDescent="0.3">
      <c r="A21" s="30" t="s">
        <v>160</v>
      </c>
      <c r="B21" s="31">
        <v>9226</v>
      </c>
      <c r="C21" s="32" t="s">
        <v>52</v>
      </c>
      <c r="D21" s="33" t="s">
        <v>340</v>
      </c>
      <c r="E21" s="56"/>
    </row>
    <row r="22" spans="1:5" x14ac:dyDescent="0.3">
      <c r="A22" s="30" t="s">
        <v>270</v>
      </c>
      <c r="B22" s="31">
        <v>2848</v>
      </c>
      <c r="C22" s="32" t="s">
        <v>52</v>
      </c>
      <c r="D22" s="33" t="s">
        <v>340</v>
      </c>
      <c r="E22" s="56"/>
    </row>
    <row r="23" spans="1:5" x14ac:dyDescent="0.3">
      <c r="A23" s="30" t="s">
        <v>61</v>
      </c>
      <c r="B23" s="31">
        <v>790</v>
      </c>
      <c r="C23" s="32" t="s">
        <v>52</v>
      </c>
      <c r="D23" s="33" t="s">
        <v>340</v>
      </c>
      <c r="E23" s="56"/>
    </row>
    <row r="24" spans="1:5" x14ac:dyDescent="0.3">
      <c r="A24" s="30" t="s">
        <v>106</v>
      </c>
      <c r="B24" s="31">
        <v>7438</v>
      </c>
      <c r="C24" s="32" t="s">
        <v>52</v>
      </c>
      <c r="D24" s="33" t="s">
        <v>340</v>
      </c>
      <c r="E24" s="56"/>
    </row>
    <row r="25" spans="1:5" x14ac:dyDescent="0.3">
      <c r="A25" s="30" t="s">
        <v>113</v>
      </c>
      <c r="B25" s="31">
        <v>529</v>
      </c>
      <c r="C25" s="32" t="s">
        <v>52</v>
      </c>
      <c r="D25" s="33" t="s">
        <v>340</v>
      </c>
      <c r="E25" s="56"/>
    </row>
    <row r="26" spans="1:5" x14ac:dyDescent="0.3">
      <c r="A26" s="30" t="s">
        <v>458</v>
      </c>
      <c r="B26" s="31">
        <v>660</v>
      </c>
      <c r="C26" s="32" t="s">
        <v>52</v>
      </c>
      <c r="D26" s="33" t="s">
        <v>340</v>
      </c>
      <c r="E26" s="56"/>
    </row>
    <row r="27" spans="1:5" x14ac:dyDescent="0.3">
      <c r="A27" s="30" t="s">
        <v>301</v>
      </c>
      <c r="B27" s="31">
        <v>3775</v>
      </c>
      <c r="C27" s="32" t="s">
        <v>52</v>
      </c>
      <c r="D27" s="33" t="s">
        <v>340</v>
      </c>
      <c r="E27" s="56"/>
    </row>
    <row r="28" spans="1:5" x14ac:dyDescent="0.3">
      <c r="A28" s="30" t="s">
        <v>125</v>
      </c>
      <c r="B28" s="31">
        <v>2278</v>
      </c>
      <c r="C28" s="32" t="s">
        <v>52</v>
      </c>
      <c r="D28" s="33" t="s">
        <v>340</v>
      </c>
      <c r="E28" s="56"/>
    </row>
    <row r="29" spans="1:5" x14ac:dyDescent="0.3">
      <c r="A29" s="30" t="s">
        <v>163</v>
      </c>
      <c r="B29" s="31">
        <v>2736</v>
      </c>
      <c r="C29" s="32" t="s">
        <v>52</v>
      </c>
      <c r="D29" s="33" t="s">
        <v>340</v>
      </c>
      <c r="E29" s="56"/>
    </row>
    <row r="30" spans="1:5" x14ac:dyDescent="0.3">
      <c r="A30" s="30" t="s">
        <v>116</v>
      </c>
      <c r="B30" s="31">
        <v>633</v>
      </c>
      <c r="C30" s="32" t="s">
        <v>52</v>
      </c>
      <c r="D30" s="33" t="s">
        <v>340</v>
      </c>
      <c r="E30" s="56"/>
    </row>
    <row r="31" spans="1:5" x14ac:dyDescent="0.3">
      <c r="A31" s="30" t="s">
        <v>226</v>
      </c>
      <c r="B31" s="31">
        <v>1445</v>
      </c>
      <c r="C31" s="32" t="s">
        <v>52</v>
      </c>
      <c r="D31" s="33" t="s">
        <v>340</v>
      </c>
      <c r="E31" s="56"/>
    </row>
    <row r="32" spans="1:5" x14ac:dyDescent="0.3">
      <c r="A32" s="30" t="s">
        <v>297</v>
      </c>
      <c r="B32" s="31">
        <v>1226</v>
      </c>
      <c r="C32" s="32" t="s">
        <v>52</v>
      </c>
      <c r="D32" s="33" t="s">
        <v>340</v>
      </c>
      <c r="E32" s="56"/>
    </row>
    <row r="33" spans="1:5" x14ac:dyDescent="0.3">
      <c r="A33" s="30" t="s">
        <v>115</v>
      </c>
      <c r="B33" s="31">
        <v>553</v>
      </c>
      <c r="C33" s="32" t="s">
        <v>52</v>
      </c>
      <c r="D33" s="33" t="s">
        <v>340</v>
      </c>
      <c r="E33" s="56"/>
    </row>
    <row r="34" spans="1:5" x14ac:dyDescent="0.3">
      <c r="A34" s="30" t="s">
        <v>275</v>
      </c>
      <c r="B34" s="31">
        <v>3160</v>
      </c>
      <c r="C34" s="32" t="s">
        <v>52</v>
      </c>
      <c r="D34" s="33" t="s">
        <v>340</v>
      </c>
      <c r="E34" s="56"/>
    </row>
    <row r="35" spans="1:5" x14ac:dyDescent="0.3">
      <c r="A35" s="30" t="s">
        <v>214</v>
      </c>
      <c r="B35" s="31">
        <v>9334</v>
      </c>
      <c r="C35" s="32" t="s">
        <v>52</v>
      </c>
      <c r="D35" s="33" t="s">
        <v>341</v>
      </c>
      <c r="E35" s="56"/>
    </row>
    <row r="36" spans="1:5" x14ac:dyDescent="0.3">
      <c r="A36" s="30" t="s">
        <v>228</v>
      </c>
      <c r="B36" s="31">
        <v>9604</v>
      </c>
      <c r="C36" s="32" t="s">
        <v>52</v>
      </c>
      <c r="D36" s="33" t="s">
        <v>340</v>
      </c>
      <c r="E36" s="56"/>
    </row>
    <row r="37" spans="1:5" x14ac:dyDescent="0.3">
      <c r="A37" s="30" t="s">
        <v>64</v>
      </c>
      <c r="B37" s="31">
        <v>807</v>
      </c>
      <c r="C37" s="32" t="s">
        <v>52</v>
      </c>
      <c r="D37" s="33" t="s">
        <v>340</v>
      </c>
      <c r="E37" s="56"/>
    </row>
    <row r="38" spans="1:5" x14ac:dyDescent="0.3">
      <c r="A38" s="53" t="s">
        <v>219</v>
      </c>
      <c r="B38" s="52">
        <v>1537</v>
      </c>
      <c r="C38" s="32" t="s">
        <v>52</v>
      </c>
      <c r="D38" s="33" t="s">
        <v>340</v>
      </c>
      <c r="E38" s="56"/>
    </row>
    <row r="39" spans="1:5" x14ac:dyDescent="0.3">
      <c r="A39" s="30" t="s">
        <v>206</v>
      </c>
      <c r="B39" s="31">
        <v>1673</v>
      </c>
      <c r="C39" s="32" t="s">
        <v>52</v>
      </c>
      <c r="D39" s="33" t="s">
        <v>340</v>
      </c>
      <c r="E39" s="56"/>
    </row>
    <row r="40" spans="1:5" x14ac:dyDescent="0.3">
      <c r="A40" s="30" t="s">
        <v>166</v>
      </c>
      <c r="B40" s="31">
        <v>9245</v>
      </c>
      <c r="C40" s="32" t="s">
        <v>52</v>
      </c>
      <c r="D40" s="33" t="s">
        <v>340</v>
      </c>
      <c r="E40" s="56"/>
    </row>
    <row r="41" spans="1:5" x14ac:dyDescent="0.3">
      <c r="A41" s="30" t="s">
        <v>119</v>
      </c>
      <c r="B41" s="31">
        <v>1915</v>
      </c>
      <c r="C41" s="32" t="s">
        <v>52</v>
      </c>
      <c r="D41" s="33" t="s">
        <v>340</v>
      </c>
      <c r="E41" s="56"/>
    </row>
    <row r="42" spans="1:5" x14ac:dyDescent="0.3">
      <c r="A42" s="30" t="s">
        <v>132</v>
      </c>
      <c r="B42" s="31">
        <v>5142</v>
      </c>
      <c r="C42" s="32" t="s">
        <v>52</v>
      </c>
      <c r="D42" s="33" t="s">
        <v>340</v>
      </c>
      <c r="E42" s="56"/>
    </row>
    <row r="43" spans="1:5" x14ac:dyDescent="0.3">
      <c r="A43" s="30" t="s">
        <v>101</v>
      </c>
      <c r="B43" s="31">
        <v>3289</v>
      </c>
      <c r="C43" s="32" t="s">
        <v>52</v>
      </c>
      <c r="D43" s="33" t="s">
        <v>340</v>
      </c>
      <c r="E43" s="56"/>
    </row>
    <row r="44" spans="1:5" x14ac:dyDescent="0.3">
      <c r="A44" s="30" t="s">
        <v>131</v>
      </c>
      <c r="B44" s="31">
        <v>5032</v>
      </c>
      <c r="C44" s="32" t="s">
        <v>52</v>
      </c>
      <c r="D44" s="33" t="s">
        <v>340</v>
      </c>
      <c r="E44" s="56"/>
    </row>
    <row r="45" spans="1:5" x14ac:dyDescent="0.3">
      <c r="A45" s="30" t="s">
        <v>117</v>
      </c>
      <c r="B45" s="31">
        <v>680</v>
      </c>
      <c r="C45" s="32" t="s">
        <v>52</v>
      </c>
      <c r="D45" s="33" t="s">
        <v>340</v>
      </c>
      <c r="E45" s="56"/>
    </row>
    <row r="46" spans="1:5" x14ac:dyDescent="0.3">
      <c r="A46" s="30" t="s">
        <v>157</v>
      </c>
      <c r="B46" s="31">
        <v>1601</v>
      </c>
      <c r="C46" s="32" t="s">
        <v>52</v>
      </c>
      <c r="D46" s="33" t="s">
        <v>340</v>
      </c>
      <c r="E46" s="56"/>
    </row>
    <row r="47" spans="1:5" x14ac:dyDescent="0.3">
      <c r="A47" s="30" t="s">
        <v>66</v>
      </c>
      <c r="B47" s="31">
        <v>831</v>
      </c>
      <c r="C47" s="32" t="s">
        <v>52</v>
      </c>
      <c r="D47" s="33" t="s">
        <v>340</v>
      </c>
      <c r="E47" s="56"/>
    </row>
    <row r="48" spans="1:5" x14ac:dyDescent="0.3">
      <c r="A48" s="30" t="s">
        <v>91</v>
      </c>
      <c r="B48" s="31">
        <v>1532</v>
      </c>
      <c r="C48" s="32" t="s">
        <v>52</v>
      </c>
      <c r="D48" s="33" t="s">
        <v>340</v>
      </c>
      <c r="E48" s="56"/>
    </row>
    <row r="49" spans="1:5" x14ac:dyDescent="0.3">
      <c r="A49" s="30" t="s">
        <v>155</v>
      </c>
      <c r="B49" s="31">
        <v>7027</v>
      </c>
      <c r="C49" s="32" t="s">
        <v>52</v>
      </c>
      <c r="D49" s="33" t="s">
        <v>340</v>
      </c>
      <c r="E49" s="56"/>
    </row>
    <row r="50" spans="1:5" x14ac:dyDescent="0.3">
      <c r="A50" s="30" t="s">
        <v>264</v>
      </c>
      <c r="B50" s="31">
        <v>1875</v>
      </c>
      <c r="C50" s="32" t="s">
        <v>52</v>
      </c>
      <c r="D50" s="33" t="s">
        <v>340</v>
      </c>
      <c r="E50" s="56"/>
    </row>
    <row r="51" spans="1:5" x14ac:dyDescent="0.3">
      <c r="A51" s="30" t="s">
        <v>129</v>
      </c>
      <c r="B51" s="31">
        <v>2547</v>
      </c>
      <c r="C51" s="32" t="s">
        <v>52</v>
      </c>
      <c r="D51" s="33" t="s">
        <v>340</v>
      </c>
      <c r="E51" s="56"/>
    </row>
    <row r="52" spans="1:5" x14ac:dyDescent="0.3">
      <c r="A52" s="30" t="s">
        <v>271</v>
      </c>
      <c r="B52" s="31">
        <v>9626</v>
      </c>
      <c r="C52" s="32" t="s">
        <v>52</v>
      </c>
      <c r="D52" s="33" t="s">
        <v>340</v>
      </c>
      <c r="E52" s="56"/>
    </row>
    <row r="53" spans="1:5" x14ac:dyDescent="0.3">
      <c r="A53" s="30" t="s">
        <v>56</v>
      </c>
      <c r="B53" s="31">
        <v>251</v>
      </c>
      <c r="C53" s="32" t="s">
        <v>52</v>
      </c>
      <c r="D53" s="33" t="s">
        <v>340</v>
      </c>
      <c r="E53" s="56"/>
    </row>
    <row r="54" spans="1:5" x14ac:dyDescent="0.3">
      <c r="A54" s="30" t="s">
        <v>108</v>
      </c>
      <c r="B54" s="31">
        <v>301</v>
      </c>
      <c r="C54" s="32" t="s">
        <v>52</v>
      </c>
      <c r="D54" s="33" t="s">
        <v>340</v>
      </c>
      <c r="E54" s="56"/>
    </row>
    <row r="55" spans="1:5" x14ac:dyDescent="0.3">
      <c r="A55" s="30" t="s">
        <v>190</v>
      </c>
      <c r="B55" s="31">
        <v>3703</v>
      </c>
      <c r="C55" s="32" t="s">
        <v>52</v>
      </c>
      <c r="D55" s="33" t="s">
        <v>340</v>
      </c>
      <c r="E55" s="56"/>
    </row>
    <row r="56" spans="1:5" x14ac:dyDescent="0.3">
      <c r="A56" s="30" t="s">
        <v>109</v>
      </c>
      <c r="B56" s="31">
        <v>380</v>
      </c>
      <c r="C56" s="32" t="s">
        <v>52</v>
      </c>
      <c r="D56" s="33" t="s">
        <v>340</v>
      </c>
      <c r="E56" s="56"/>
    </row>
    <row r="57" spans="1:5" x14ac:dyDescent="0.3">
      <c r="A57" s="30" t="s">
        <v>54</v>
      </c>
      <c r="B57" s="31">
        <v>227</v>
      </c>
      <c r="C57" s="32" t="s">
        <v>52</v>
      </c>
      <c r="D57" s="33" t="s">
        <v>340</v>
      </c>
      <c r="E57" s="56"/>
    </row>
    <row r="58" spans="1:5" x14ac:dyDescent="0.3">
      <c r="A58" s="30" t="s">
        <v>342</v>
      </c>
      <c r="B58" s="31">
        <v>658</v>
      </c>
      <c r="C58" s="32" t="s">
        <v>52</v>
      </c>
      <c r="D58" s="33" t="s">
        <v>340</v>
      </c>
      <c r="E58" s="56"/>
    </row>
    <row r="59" spans="1:5" x14ac:dyDescent="0.3">
      <c r="A59" s="30" t="s">
        <v>205</v>
      </c>
      <c r="B59" s="31">
        <v>3041</v>
      </c>
      <c r="C59" s="32" t="s">
        <v>52</v>
      </c>
      <c r="D59" s="33" t="s">
        <v>340</v>
      </c>
      <c r="E59" s="56"/>
    </row>
    <row r="60" spans="1:5" x14ac:dyDescent="0.3">
      <c r="A60" s="30" t="s">
        <v>227</v>
      </c>
      <c r="B60" s="31">
        <v>9004</v>
      </c>
      <c r="C60" s="32" t="s">
        <v>52</v>
      </c>
      <c r="D60" s="33" t="s">
        <v>340</v>
      </c>
      <c r="E60" s="56"/>
    </row>
    <row r="61" spans="1:5" x14ac:dyDescent="0.3">
      <c r="A61" s="30" t="s">
        <v>343</v>
      </c>
      <c r="B61" s="31">
        <v>1576</v>
      </c>
      <c r="C61" s="32" t="s">
        <v>52</v>
      </c>
      <c r="D61" s="33" t="s">
        <v>340</v>
      </c>
      <c r="E61" s="56"/>
    </row>
    <row r="62" spans="1:5" x14ac:dyDescent="0.3">
      <c r="A62" s="30" t="s">
        <v>196</v>
      </c>
      <c r="B62" s="31">
        <v>9636</v>
      </c>
      <c r="C62" s="32" t="s">
        <v>52</v>
      </c>
      <c r="D62" s="33" t="s">
        <v>340</v>
      </c>
      <c r="E62" s="56"/>
    </row>
    <row r="63" spans="1:5" x14ac:dyDescent="0.3">
      <c r="A63" s="30" t="s">
        <v>134</v>
      </c>
      <c r="B63" s="31">
        <v>9991</v>
      </c>
      <c r="C63" s="32" t="s">
        <v>52</v>
      </c>
      <c r="D63" s="33" t="s">
        <v>340</v>
      </c>
      <c r="E63" s="56"/>
    </row>
    <row r="64" spans="1:5" x14ac:dyDescent="0.3">
      <c r="A64" s="30" t="s">
        <v>63</v>
      </c>
      <c r="B64" s="31">
        <v>795</v>
      </c>
      <c r="C64" s="32" t="s">
        <v>52</v>
      </c>
      <c r="D64" s="33" t="s">
        <v>340</v>
      </c>
      <c r="E64" s="56"/>
    </row>
    <row r="65" spans="1:5" x14ac:dyDescent="0.3">
      <c r="A65" s="30" t="s">
        <v>78</v>
      </c>
      <c r="B65" s="31">
        <v>1447</v>
      </c>
      <c r="C65" s="32" t="s">
        <v>52</v>
      </c>
      <c r="D65" s="33" t="s">
        <v>340</v>
      </c>
      <c r="E65" s="56"/>
    </row>
    <row r="66" spans="1:5" x14ac:dyDescent="0.3">
      <c r="A66" s="30" t="s">
        <v>85</v>
      </c>
      <c r="B66" s="31">
        <v>4286</v>
      </c>
      <c r="C66" s="32" t="s">
        <v>52</v>
      </c>
      <c r="D66" s="33" t="s">
        <v>340</v>
      </c>
      <c r="E66" s="56"/>
    </row>
    <row r="67" spans="1:5" x14ac:dyDescent="0.3">
      <c r="A67" s="30" t="s">
        <v>344</v>
      </c>
      <c r="B67" s="31">
        <v>9424</v>
      </c>
      <c r="C67" s="32" t="s">
        <v>52</v>
      </c>
      <c r="D67" s="33" t="s">
        <v>340</v>
      </c>
      <c r="E67" s="56"/>
    </row>
    <row r="68" spans="1:5" x14ac:dyDescent="0.3">
      <c r="A68" s="30" t="s">
        <v>75</v>
      </c>
      <c r="B68" s="31">
        <v>1416</v>
      </c>
      <c r="C68" s="32" t="s">
        <v>52</v>
      </c>
      <c r="D68" s="33" t="s">
        <v>340</v>
      </c>
      <c r="E68" s="56"/>
    </row>
    <row r="69" spans="1:5" x14ac:dyDescent="0.3">
      <c r="A69" s="30" t="s">
        <v>667</v>
      </c>
      <c r="B69" s="31">
        <v>2520</v>
      </c>
      <c r="C69" s="32" t="s">
        <v>52</v>
      </c>
      <c r="D69" s="33" t="s">
        <v>340</v>
      </c>
      <c r="E69" s="56"/>
    </row>
    <row r="70" spans="1:5" x14ac:dyDescent="0.3">
      <c r="A70" s="30" t="s">
        <v>128</v>
      </c>
      <c r="B70" s="31">
        <v>2501</v>
      </c>
      <c r="C70" s="32" t="s">
        <v>52</v>
      </c>
      <c r="D70" s="33" t="s">
        <v>340</v>
      </c>
      <c r="E70" s="56"/>
    </row>
    <row r="71" spans="1:5" x14ac:dyDescent="0.3">
      <c r="A71" s="30" t="s">
        <v>110</v>
      </c>
      <c r="B71" s="31">
        <v>423</v>
      </c>
      <c r="C71" s="32" t="s">
        <v>52</v>
      </c>
      <c r="D71" s="33" t="s">
        <v>340</v>
      </c>
      <c r="E71" s="56"/>
    </row>
    <row r="72" spans="1:5" x14ac:dyDescent="0.3">
      <c r="A72" s="30" t="s">
        <v>652</v>
      </c>
      <c r="B72" s="31">
        <v>2005</v>
      </c>
      <c r="C72" s="32" t="s">
        <v>52</v>
      </c>
      <c r="D72" s="33" t="s">
        <v>340</v>
      </c>
      <c r="E72" s="56"/>
    </row>
    <row r="73" spans="1:5" x14ac:dyDescent="0.3">
      <c r="A73" s="30" t="s">
        <v>58</v>
      </c>
      <c r="B73" s="31">
        <v>707</v>
      </c>
      <c r="C73" s="32" t="s">
        <v>52</v>
      </c>
      <c r="D73" s="33" t="s">
        <v>340</v>
      </c>
      <c r="E73" s="56"/>
    </row>
    <row r="74" spans="1:5" x14ac:dyDescent="0.3">
      <c r="A74" s="30" t="s">
        <v>68</v>
      </c>
      <c r="B74" s="31">
        <v>846</v>
      </c>
      <c r="C74" s="32" t="s">
        <v>52</v>
      </c>
      <c r="D74" s="33" t="s">
        <v>340</v>
      </c>
      <c r="E74" s="56"/>
    </row>
    <row r="75" spans="1:5" x14ac:dyDescent="0.3">
      <c r="A75" s="30" t="s">
        <v>1174</v>
      </c>
      <c r="B75" s="31">
        <v>7116</v>
      </c>
      <c r="C75" s="32" t="s">
        <v>52</v>
      </c>
      <c r="D75" s="33" t="s">
        <v>340</v>
      </c>
      <c r="E75" s="56"/>
    </row>
    <row r="76" spans="1:5" x14ac:dyDescent="0.3">
      <c r="A76" s="30" t="s">
        <v>225</v>
      </c>
      <c r="B76" s="31">
        <v>1594</v>
      </c>
      <c r="C76" s="32" t="s">
        <v>52</v>
      </c>
      <c r="D76" s="33" t="s">
        <v>340</v>
      </c>
      <c r="E76" s="56"/>
    </row>
    <row r="77" spans="1:5" x14ac:dyDescent="0.3">
      <c r="A77" s="30" t="s">
        <v>94</v>
      </c>
      <c r="B77" s="31">
        <v>3047</v>
      </c>
      <c r="C77" s="32" t="s">
        <v>52</v>
      </c>
      <c r="D77" s="33" t="s">
        <v>340</v>
      </c>
      <c r="E77" s="56"/>
    </row>
    <row r="78" spans="1:5" x14ac:dyDescent="0.3">
      <c r="A78" s="30" t="s">
        <v>345</v>
      </c>
      <c r="B78" s="31">
        <v>2051</v>
      </c>
      <c r="C78" s="32" t="s">
        <v>52</v>
      </c>
      <c r="D78" s="33" t="s">
        <v>340</v>
      </c>
      <c r="E78" s="56"/>
    </row>
    <row r="79" spans="1:5" x14ac:dyDescent="0.3">
      <c r="A79" s="30" t="s">
        <v>252</v>
      </c>
      <c r="B79" s="31">
        <v>9744</v>
      </c>
      <c r="C79" s="32" t="s">
        <v>52</v>
      </c>
      <c r="D79" s="33" t="s">
        <v>340</v>
      </c>
      <c r="E79" s="56"/>
    </row>
    <row r="80" spans="1:5" x14ac:dyDescent="0.3">
      <c r="A80" s="30" t="s">
        <v>287</v>
      </c>
      <c r="B80" s="31">
        <v>899</v>
      </c>
      <c r="C80" s="32" t="s">
        <v>52</v>
      </c>
      <c r="D80" s="33" t="s">
        <v>340</v>
      </c>
      <c r="E80" s="56"/>
    </row>
    <row r="81" spans="1:5" x14ac:dyDescent="0.3">
      <c r="A81" s="30" t="s">
        <v>111</v>
      </c>
      <c r="B81" s="31">
        <v>467</v>
      </c>
      <c r="C81" s="32" t="s">
        <v>52</v>
      </c>
      <c r="D81" s="33" t="s">
        <v>340</v>
      </c>
      <c r="E81" s="56"/>
    </row>
    <row r="82" spans="1:5" x14ac:dyDescent="0.3">
      <c r="A82" s="30" t="s">
        <v>146</v>
      </c>
      <c r="B82" s="31">
        <v>9154</v>
      </c>
      <c r="C82" s="32" t="s">
        <v>52</v>
      </c>
      <c r="D82" s="33" t="s">
        <v>340</v>
      </c>
      <c r="E82" s="56"/>
    </row>
    <row r="83" spans="1:5" x14ac:dyDescent="0.3">
      <c r="A83" s="30" t="s">
        <v>74</v>
      </c>
      <c r="B83" s="31">
        <v>1411</v>
      </c>
      <c r="C83" s="32" t="s">
        <v>52</v>
      </c>
      <c r="D83" s="33" t="s">
        <v>340</v>
      </c>
      <c r="E83" s="56"/>
    </row>
    <row r="84" spans="1:5" x14ac:dyDescent="0.3">
      <c r="A84" s="30" t="s">
        <v>95</v>
      </c>
      <c r="B84" s="31">
        <v>3102</v>
      </c>
      <c r="C84" s="32" t="s">
        <v>52</v>
      </c>
      <c r="D84" s="33" t="s">
        <v>340</v>
      </c>
      <c r="E84" s="56"/>
    </row>
    <row r="85" spans="1:5" x14ac:dyDescent="0.3">
      <c r="A85" s="30" t="s">
        <v>89</v>
      </c>
      <c r="B85" s="31">
        <v>9017</v>
      </c>
      <c r="C85" s="32" t="s">
        <v>52</v>
      </c>
      <c r="D85" s="33" t="s">
        <v>340</v>
      </c>
      <c r="E85" s="56"/>
    </row>
    <row r="86" spans="1:5" x14ac:dyDescent="0.3">
      <c r="A86" s="30" t="s">
        <v>346</v>
      </c>
      <c r="B86" s="51">
        <v>1466</v>
      </c>
      <c r="C86" s="32" t="s">
        <v>52</v>
      </c>
      <c r="D86" s="33" t="s">
        <v>340</v>
      </c>
      <c r="E86" s="56"/>
    </row>
    <row r="87" spans="1:5" x14ac:dyDescent="0.3">
      <c r="A87" s="30" t="s">
        <v>347</v>
      </c>
      <c r="B87" s="51">
        <v>659</v>
      </c>
      <c r="C87" s="32" t="s">
        <v>52</v>
      </c>
      <c r="D87" s="33" t="s">
        <v>340</v>
      </c>
      <c r="E87" s="56"/>
    </row>
    <row r="88" spans="1:5" x14ac:dyDescent="0.3">
      <c r="A88" s="30" t="s">
        <v>189</v>
      </c>
      <c r="B88" s="31">
        <v>2275</v>
      </c>
      <c r="C88" s="32" t="s">
        <v>52</v>
      </c>
      <c r="D88" s="33" t="s">
        <v>340</v>
      </c>
      <c r="E88" s="56"/>
    </row>
    <row r="89" spans="1:5" x14ac:dyDescent="0.3">
      <c r="A89" s="30" t="s">
        <v>79</v>
      </c>
      <c r="B89" s="31">
        <v>1468</v>
      </c>
      <c r="C89" s="32" t="s">
        <v>52</v>
      </c>
      <c r="D89" s="33" t="s">
        <v>340</v>
      </c>
      <c r="E89" s="56"/>
    </row>
    <row r="90" spans="1:5" x14ac:dyDescent="0.3">
      <c r="A90" s="30" t="s">
        <v>202</v>
      </c>
      <c r="B90" s="31">
        <v>9575</v>
      </c>
      <c r="C90" s="32" t="s">
        <v>52</v>
      </c>
      <c r="D90" s="33" t="s">
        <v>340</v>
      </c>
      <c r="E90" s="56"/>
    </row>
    <row r="91" spans="1:5" x14ac:dyDescent="0.3">
      <c r="A91" s="30" t="s">
        <v>213</v>
      </c>
      <c r="B91" s="31">
        <v>1410</v>
      </c>
      <c r="C91" s="32" t="s">
        <v>52</v>
      </c>
      <c r="D91" s="33" t="s">
        <v>340</v>
      </c>
      <c r="E91" s="56"/>
    </row>
    <row r="92" spans="1:5" x14ac:dyDescent="0.3">
      <c r="A92" s="30" t="s">
        <v>348</v>
      </c>
      <c r="B92" s="31">
        <v>1420</v>
      </c>
      <c r="C92" s="32" t="s">
        <v>52</v>
      </c>
      <c r="D92" s="33" t="s">
        <v>340</v>
      </c>
      <c r="E92" s="56"/>
    </row>
    <row r="93" spans="1:5" x14ac:dyDescent="0.3">
      <c r="A93" s="30" t="s">
        <v>88</v>
      </c>
      <c r="B93" s="31">
        <v>7628</v>
      </c>
      <c r="C93" s="32" t="s">
        <v>52</v>
      </c>
      <c r="D93" s="33" t="s">
        <v>340</v>
      </c>
      <c r="E93" s="56"/>
    </row>
    <row r="94" spans="1:5" x14ac:dyDescent="0.3">
      <c r="A94" s="30" t="s">
        <v>290</v>
      </c>
      <c r="B94" s="51">
        <v>3664</v>
      </c>
      <c r="C94" s="32" t="s">
        <v>52</v>
      </c>
      <c r="D94" s="33" t="s">
        <v>340</v>
      </c>
      <c r="E94" s="56"/>
    </row>
    <row r="95" spans="1:5" x14ac:dyDescent="0.3">
      <c r="A95" s="30" t="s">
        <v>349</v>
      </c>
      <c r="B95" s="51">
        <v>3357</v>
      </c>
      <c r="C95" s="32" t="s">
        <v>52</v>
      </c>
      <c r="D95" s="33" t="s">
        <v>340</v>
      </c>
      <c r="E95" s="56"/>
    </row>
    <row r="96" spans="1:5" x14ac:dyDescent="0.3">
      <c r="A96" s="30" t="s">
        <v>102</v>
      </c>
      <c r="B96" s="31">
        <v>3309</v>
      </c>
      <c r="C96" s="32" t="s">
        <v>52</v>
      </c>
      <c r="D96" s="33" t="s">
        <v>340</v>
      </c>
      <c r="E96" s="56"/>
    </row>
    <row r="97" spans="1:5" x14ac:dyDescent="0.3">
      <c r="A97" s="30" t="s">
        <v>97</v>
      </c>
      <c r="B97" s="51">
        <v>3118</v>
      </c>
      <c r="C97" s="32" t="s">
        <v>52</v>
      </c>
      <c r="D97" s="33" t="s">
        <v>340</v>
      </c>
      <c r="E97" s="56"/>
    </row>
    <row r="98" spans="1:5" x14ac:dyDescent="0.3">
      <c r="A98" s="30" t="s">
        <v>73</v>
      </c>
      <c r="B98" s="31">
        <v>1401</v>
      </c>
      <c r="C98" s="32" t="s">
        <v>52</v>
      </c>
      <c r="D98" s="33" t="s">
        <v>340</v>
      </c>
      <c r="E98" s="56"/>
    </row>
    <row r="99" spans="1:5" x14ac:dyDescent="0.3">
      <c r="A99" s="30" t="s">
        <v>658</v>
      </c>
      <c r="B99" s="31">
        <v>2186</v>
      </c>
      <c r="C99" s="32" t="s">
        <v>52</v>
      </c>
      <c r="D99" s="33" t="s">
        <v>340</v>
      </c>
      <c r="E99" s="56"/>
    </row>
    <row r="100" spans="1:5" x14ac:dyDescent="0.3">
      <c r="A100" s="30" t="s">
        <v>80</v>
      </c>
      <c r="B100" s="31">
        <v>1470</v>
      </c>
      <c r="C100" s="32" t="s">
        <v>52</v>
      </c>
      <c r="D100" s="33" t="s">
        <v>340</v>
      </c>
      <c r="E100" s="56"/>
    </row>
    <row r="101" spans="1:5" x14ac:dyDescent="0.3">
      <c r="A101" s="30" t="s">
        <v>53</v>
      </c>
      <c r="B101" s="31">
        <v>213</v>
      </c>
      <c r="C101" s="32" t="s">
        <v>52</v>
      </c>
      <c r="D101" s="33" t="s">
        <v>340</v>
      </c>
      <c r="E101" s="56"/>
    </row>
    <row r="102" spans="1:5" x14ac:dyDescent="0.3">
      <c r="A102" s="30" t="s">
        <v>167</v>
      </c>
      <c r="B102" s="31">
        <v>9084</v>
      </c>
      <c r="C102" s="32" t="s">
        <v>52</v>
      </c>
      <c r="D102" s="33" t="s">
        <v>340</v>
      </c>
      <c r="E102" s="56"/>
    </row>
    <row r="103" spans="1:5" x14ac:dyDescent="0.3">
      <c r="A103" s="30" t="s">
        <v>100</v>
      </c>
      <c r="B103" s="31">
        <v>3159</v>
      </c>
      <c r="C103" s="32" t="s">
        <v>52</v>
      </c>
      <c r="D103" s="33" t="s">
        <v>340</v>
      </c>
      <c r="E103" s="56"/>
    </row>
    <row r="104" spans="1:5" x14ac:dyDescent="0.3">
      <c r="A104" s="30" t="s">
        <v>121</v>
      </c>
      <c r="B104" s="31">
        <v>2030</v>
      </c>
      <c r="C104" s="32" t="s">
        <v>52</v>
      </c>
      <c r="D104" s="33" t="s">
        <v>340</v>
      </c>
      <c r="E104" s="56"/>
    </row>
    <row r="105" spans="1:5" x14ac:dyDescent="0.3">
      <c r="A105" s="30" t="s">
        <v>62</v>
      </c>
      <c r="B105" s="31">
        <v>794</v>
      </c>
      <c r="C105" s="32" t="s">
        <v>52</v>
      </c>
      <c r="D105" s="33" t="s">
        <v>340</v>
      </c>
      <c r="E105" s="56"/>
    </row>
    <row r="106" spans="1:5" x14ac:dyDescent="0.3">
      <c r="A106" s="30" t="s">
        <v>303</v>
      </c>
      <c r="B106" s="31">
        <v>3809</v>
      </c>
      <c r="C106" s="32" t="s">
        <v>52</v>
      </c>
      <c r="D106" s="33" t="s">
        <v>340</v>
      </c>
      <c r="E106" s="56"/>
    </row>
    <row r="107" spans="1:5" x14ac:dyDescent="0.3">
      <c r="A107" s="30" t="s">
        <v>224</v>
      </c>
      <c r="B107" s="31">
        <v>9685</v>
      </c>
      <c r="C107" s="32" t="s">
        <v>52</v>
      </c>
      <c r="D107" s="33" t="s">
        <v>340</v>
      </c>
      <c r="E107" s="56"/>
    </row>
    <row r="108" spans="1:5" x14ac:dyDescent="0.3">
      <c r="A108" s="30" t="s">
        <v>165</v>
      </c>
      <c r="B108" s="31">
        <v>3424</v>
      </c>
      <c r="C108" s="32" t="s">
        <v>52</v>
      </c>
      <c r="D108" s="33" t="s">
        <v>340</v>
      </c>
      <c r="E108" s="56"/>
    </row>
    <row r="109" spans="1:5" x14ac:dyDescent="0.3">
      <c r="A109" s="30" t="s">
        <v>93</v>
      </c>
      <c r="B109" s="31">
        <v>3038</v>
      </c>
      <c r="C109" s="32" t="s">
        <v>52</v>
      </c>
      <c r="D109" s="33" t="s">
        <v>340</v>
      </c>
      <c r="E109" s="56"/>
    </row>
    <row r="110" spans="1:5" x14ac:dyDescent="0.3">
      <c r="A110" s="30" t="s">
        <v>304</v>
      </c>
      <c r="B110" s="31">
        <v>3565</v>
      </c>
      <c r="C110" s="32" t="s">
        <v>52</v>
      </c>
      <c r="D110" s="33" t="s">
        <v>340</v>
      </c>
      <c r="E110" s="56"/>
    </row>
    <row r="111" spans="1:5" x14ac:dyDescent="0.3">
      <c r="A111" s="30" t="s">
        <v>457</v>
      </c>
      <c r="B111" s="31">
        <v>596</v>
      </c>
      <c r="C111" s="32" t="s">
        <v>52</v>
      </c>
      <c r="D111" s="33" t="s">
        <v>340</v>
      </c>
      <c r="E111" s="56"/>
    </row>
    <row r="112" spans="1:5" x14ac:dyDescent="0.3">
      <c r="A112" s="30" t="s">
        <v>77</v>
      </c>
      <c r="B112" s="31">
        <v>1443</v>
      </c>
      <c r="C112" s="32" t="s">
        <v>52</v>
      </c>
      <c r="D112" s="33" t="s">
        <v>340</v>
      </c>
      <c r="E112" s="56"/>
    </row>
    <row r="113" spans="1:5" x14ac:dyDescent="0.3">
      <c r="A113" s="30" t="s">
        <v>305</v>
      </c>
      <c r="B113" s="31">
        <v>9665</v>
      </c>
      <c r="C113" s="32" t="s">
        <v>52</v>
      </c>
      <c r="D113" s="33" t="s">
        <v>340</v>
      </c>
      <c r="E113" s="56"/>
    </row>
    <row r="114" spans="1:5" x14ac:dyDescent="0.3">
      <c r="A114" s="30" t="s">
        <v>143</v>
      </c>
      <c r="B114" s="31">
        <v>643</v>
      </c>
      <c r="C114" s="32" t="s">
        <v>52</v>
      </c>
      <c r="D114" s="33" t="s">
        <v>340</v>
      </c>
      <c r="E114" s="56"/>
    </row>
    <row r="115" spans="1:5" x14ac:dyDescent="0.3">
      <c r="A115" s="30" t="s">
        <v>65</v>
      </c>
      <c r="B115" s="31">
        <v>830</v>
      </c>
      <c r="C115" s="32" t="s">
        <v>52</v>
      </c>
      <c r="D115" s="33" t="s">
        <v>340</v>
      </c>
      <c r="E115" s="56"/>
    </row>
    <row r="116" spans="1:5" x14ac:dyDescent="0.3">
      <c r="A116" s="30" t="s">
        <v>123</v>
      </c>
      <c r="B116" s="31">
        <v>2168</v>
      </c>
      <c r="C116" s="32" t="s">
        <v>52</v>
      </c>
      <c r="D116" s="33" t="s">
        <v>340</v>
      </c>
      <c r="E116" s="56"/>
    </row>
    <row r="117" spans="1:5" x14ac:dyDescent="0.3">
      <c r="A117" s="30" t="s">
        <v>104</v>
      </c>
      <c r="B117" s="31">
        <v>3411</v>
      </c>
      <c r="C117" s="32" t="s">
        <v>52</v>
      </c>
      <c r="D117" s="33" t="s">
        <v>340</v>
      </c>
      <c r="E117" s="56"/>
    </row>
    <row r="118" spans="1:5" x14ac:dyDescent="0.3">
      <c r="A118" s="30" t="s">
        <v>232</v>
      </c>
      <c r="B118" s="31">
        <v>9883</v>
      </c>
      <c r="C118" s="32" t="s">
        <v>52</v>
      </c>
      <c r="D118" s="33" t="s">
        <v>340</v>
      </c>
      <c r="E118" s="56"/>
    </row>
    <row r="119" spans="1:5" x14ac:dyDescent="0.3">
      <c r="A119" s="30" t="s">
        <v>124</v>
      </c>
      <c r="B119" s="31">
        <v>2220</v>
      </c>
      <c r="C119" s="32" t="s">
        <v>52</v>
      </c>
      <c r="D119" s="33" t="s">
        <v>340</v>
      </c>
      <c r="E119" s="56"/>
    </row>
    <row r="120" spans="1:5" x14ac:dyDescent="0.3">
      <c r="A120" s="30" t="s">
        <v>99</v>
      </c>
      <c r="B120" s="31">
        <v>3153</v>
      </c>
      <c r="C120" s="32" t="s">
        <v>52</v>
      </c>
      <c r="D120" s="33" t="s">
        <v>340</v>
      </c>
      <c r="E120" s="56"/>
    </row>
    <row r="121" spans="1:5" x14ac:dyDescent="0.3">
      <c r="A121" s="30" t="s">
        <v>350</v>
      </c>
      <c r="B121" s="31">
        <v>2210</v>
      </c>
      <c r="C121" s="32" t="s">
        <v>52</v>
      </c>
      <c r="D121" s="33" t="s">
        <v>340</v>
      </c>
      <c r="E121" s="56"/>
    </row>
    <row r="122" spans="1:5" x14ac:dyDescent="0.3">
      <c r="A122" s="30" t="s">
        <v>306</v>
      </c>
      <c r="B122" s="31">
        <v>1774</v>
      </c>
      <c r="C122" s="32" t="s">
        <v>52</v>
      </c>
      <c r="D122" s="33" t="s">
        <v>340</v>
      </c>
      <c r="E122" s="56"/>
    </row>
    <row r="123" spans="1:5" x14ac:dyDescent="0.3">
      <c r="A123" s="30" t="s">
        <v>67</v>
      </c>
      <c r="B123" s="31">
        <v>837</v>
      </c>
      <c r="C123" s="32" t="s">
        <v>52</v>
      </c>
      <c r="D123" s="33" t="s">
        <v>340</v>
      </c>
      <c r="E123" s="56"/>
    </row>
    <row r="124" spans="1:5" x14ac:dyDescent="0.3">
      <c r="A124" s="30" t="s">
        <v>267</v>
      </c>
      <c r="B124" s="31">
        <v>9470</v>
      </c>
      <c r="C124" s="32" t="s">
        <v>52</v>
      </c>
      <c r="D124" s="33" t="s">
        <v>340</v>
      </c>
      <c r="E124" s="56"/>
    </row>
    <row r="125" spans="1:5" x14ac:dyDescent="0.3">
      <c r="A125" s="30" t="s">
        <v>86</v>
      </c>
      <c r="B125" s="31">
        <v>3236</v>
      </c>
      <c r="C125" s="32" t="s">
        <v>52</v>
      </c>
      <c r="D125" s="33" t="s">
        <v>340</v>
      </c>
      <c r="E125" s="56"/>
    </row>
    <row r="126" spans="1:5" x14ac:dyDescent="0.3">
      <c r="A126" s="30" t="s">
        <v>268</v>
      </c>
      <c r="B126" s="31">
        <v>760</v>
      </c>
      <c r="C126" s="32" t="s">
        <v>52</v>
      </c>
      <c r="D126" s="33" t="s">
        <v>340</v>
      </c>
      <c r="E126" s="56"/>
    </row>
    <row r="127" spans="1:5" x14ac:dyDescent="0.3">
      <c r="A127" s="30" t="s">
        <v>281</v>
      </c>
      <c r="B127" s="31">
        <v>3662</v>
      </c>
      <c r="C127" s="32" t="s">
        <v>52</v>
      </c>
      <c r="D127" s="33" t="s">
        <v>340</v>
      </c>
      <c r="E127" s="56"/>
    </row>
    <row r="128" spans="1:5" x14ac:dyDescent="0.3">
      <c r="A128" s="30" t="s">
        <v>971</v>
      </c>
      <c r="B128" s="31">
        <v>3786</v>
      </c>
      <c r="C128" s="32" t="s">
        <v>52</v>
      </c>
      <c r="D128" s="33" t="s">
        <v>340</v>
      </c>
      <c r="E128" s="56"/>
    </row>
    <row r="129" spans="1:5" x14ac:dyDescent="0.3">
      <c r="A129" s="30" t="s">
        <v>188</v>
      </c>
      <c r="B129" s="31">
        <v>7635</v>
      </c>
      <c r="C129" s="32" t="s">
        <v>52</v>
      </c>
      <c r="D129" s="33" t="s">
        <v>340</v>
      </c>
      <c r="E129" s="56"/>
    </row>
    <row r="130" spans="1:5" x14ac:dyDescent="0.3">
      <c r="A130" s="30" t="s">
        <v>82</v>
      </c>
      <c r="B130" s="31">
        <v>1553</v>
      </c>
      <c r="C130" s="32" t="s">
        <v>52</v>
      </c>
      <c r="D130" s="33" t="s">
        <v>340</v>
      </c>
      <c r="E130" s="56"/>
    </row>
    <row r="131" spans="1:5" x14ac:dyDescent="0.3">
      <c r="A131" s="30" t="s">
        <v>84</v>
      </c>
      <c r="B131" s="31">
        <v>1584</v>
      </c>
      <c r="C131" s="32" t="s">
        <v>52</v>
      </c>
      <c r="D131" s="33" t="s">
        <v>340</v>
      </c>
      <c r="E131" s="56"/>
    </row>
    <row r="132" spans="1:5" x14ac:dyDescent="0.3">
      <c r="A132" s="30" t="s">
        <v>664</v>
      </c>
      <c r="B132" s="31">
        <v>2446</v>
      </c>
      <c r="C132" s="32" t="s">
        <v>52</v>
      </c>
      <c r="D132" s="33" t="s">
        <v>340</v>
      </c>
      <c r="E132" s="56"/>
    </row>
    <row r="133" spans="1:5" x14ac:dyDescent="0.3">
      <c r="A133" s="30" t="s">
        <v>142</v>
      </c>
      <c r="B133" s="31">
        <v>870</v>
      </c>
      <c r="C133" s="32" t="s">
        <v>52</v>
      </c>
      <c r="D133" s="33" t="s">
        <v>340</v>
      </c>
      <c r="E133" s="56"/>
    </row>
    <row r="134" spans="1:5" x14ac:dyDescent="0.3">
      <c r="A134" s="30" t="s">
        <v>173</v>
      </c>
      <c r="B134" s="31">
        <v>9434</v>
      </c>
      <c r="C134" s="32" t="s">
        <v>52</v>
      </c>
      <c r="D134" s="33" t="s">
        <v>340</v>
      </c>
      <c r="E134" s="56"/>
    </row>
    <row r="135" spans="1:5" x14ac:dyDescent="0.3">
      <c r="A135" s="30" t="s">
        <v>307</v>
      </c>
      <c r="B135" s="31">
        <v>926</v>
      </c>
      <c r="C135" s="32" t="s">
        <v>52</v>
      </c>
      <c r="D135" s="33" t="s">
        <v>340</v>
      </c>
      <c r="E135" s="56"/>
    </row>
    <row r="136" spans="1:5" x14ac:dyDescent="0.3">
      <c r="A136" s="30" t="s">
        <v>83</v>
      </c>
      <c r="B136" s="31">
        <v>1603</v>
      </c>
      <c r="C136" s="32" t="s">
        <v>52</v>
      </c>
      <c r="D136" s="33" t="s">
        <v>340</v>
      </c>
      <c r="E136" s="56"/>
    </row>
    <row r="137" spans="1:5" x14ac:dyDescent="0.3">
      <c r="A137" s="30" t="s">
        <v>71</v>
      </c>
      <c r="B137" s="31">
        <v>985</v>
      </c>
      <c r="C137" s="32" t="s">
        <v>52</v>
      </c>
      <c r="D137" s="33" t="s">
        <v>340</v>
      </c>
      <c r="E137" s="56"/>
    </row>
    <row r="138" spans="1:5" x14ac:dyDescent="0.3">
      <c r="A138" s="30" t="s">
        <v>103</v>
      </c>
      <c r="B138" s="31">
        <v>3378</v>
      </c>
      <c r="C138" s="32" t="s">
        <v>52</v>
      </c>
      <c r="D138" s="33" t="s">
        <v>340</v>
      </c>
      <c r="E138" s="56"/>
    </row>
    <row r="139" spans="1:5" x14ac:dyDescent="0.3">
      <c r="A139" s="30" t="s">
        <v>352</v>
      </c>
      <c r="B139" s="31">
        <v>2755</v>
      </c>
      <c r="C139" s="32" t="s">
        <v>52</v>
      </c>
      <c r="D139" s="33" t="s">
        <v>340</v>
      </c>
      <c r="E139" s="56"/>
    </row>
    <row r="140" spans="1:5" x14ac:dyDescent="0.3">
      <c r="A140" s="30" t="s">
        <v>243</v>
      </c>
      <c r="B140" s="31">
        <v>283</v>
      </c>
      <c r="C140" s="32" t="s">
        <v>52</v>
      </c>
      <c r="D140" s="33" t="s">
        <v>340</v>
      </c>
      <c r="E140" s="56"/>
    </row>
    <row r="141" spans="1:5" x14ac:dyDescent="0.3">
      <c r="A141" s="30" t="s">
        <v>112</v>
      </c>
      <c r="B141" s="31">
        <v>507</v>
      </c>
      <c r="C141" s="32" t="s">
        <v>52</v>
      </c>
      <c r="D141" s="33" t="s">
        <v>340</v>
      </c>
      <c r="E141" s="56"/>
    </row>
    <row r="142" spans="1:5" x14ac:dyDescent="0.3">
      <c r="A142" s="30" t="s">
        <v>70</v>
      </c>
      <c r="B142" s="31">
        <v>923</v>
      </c>
      <c r="C142" s="32" t="s">
        <v>52</v>
      </c>
      <c r="D142" s="33" t="s">
        <v>340</v>
      </c>
      <c r="E142" s="56"/>
    </row>
    <row r="143" spans="1:5" x14ac:dyDescent="0.3">
      <c r="A143" s="30" t="s">
        <v>286</v>
      </c>
      <c r="B143" s="31">
        <v>1472</v>
      </c>
      <c r="C143" s="32" t="s">
        <v>52</v>
      </c>
      <c r="D143" s="33" t="s">
        <v>340</v>
      </c>
      <c r="E143" s="56"/>
    </row>
    <row r="144" spans="1:5" x14ac:dyDescent="0.3">
      <c r="A144" s="30" t="s">
        <v>122</v>
      </c>
      <c r="B144" s="31">
        <v>2039</v>
      </c>
      <c r="C144" s="32" t="s">
        <v>52</v>
      </c>
      <c r="D144" s="33" t="s">
        <v>340</v>
      </c>
      <c r="E144" s="56"/>
    </row>
    <row r="145" spans="1:5" x14ac:dyDescent="0.3">
      <c r="A145" s="30" t="s">
        <v>266</v>
      </c>
      <c r="B145" s="31">
        <v>952</v>
      </c>
      <c r="C145" s="32" t="s">
        <v>52</v>
      </c>
      <c r="D145" s="33" t="s">
        <v>340</v>
      </c>
      <c r="E145" s="56"/>
    </row>
    <row r="146" spans="1:5" x14ac:dyDescent="0.3">
      <c r="A146" s="30" t="s">
        <v>216</v>
      </c>
      <c r="B146" s="31">
        <v>3517</v>
      </c>
      <c r="C146" s="32" t="s">
        <v>52</v>
      </c>
      <c r="D146" s="33" t="s">
        <v>340</v>
      </c>
      <c r="E146" s="56"/>
    </row>
    <row r="147" spans="1:5" x14ac:dyDescent="0.3">
      <c r="A147" s="30" t="s">
        <v>76</v>
      </c>
      <c r="B147" s="31">
        <v>1429</v>
      </c>
      <c r="C147" s="32" t="s">
        <v>52</v>
      </c>
      <c r="D147" s="33" t="s">
        <v>340</v>
      </c>
      <c r="E147" s="56"/>
    </row>
    <row r="148" spans="1:5" x14ac:dyDescent="0.3">
      <c r="A148" s="30" t="s">
        <v>180</v>
      </c>
      <c r="B148" s="31">
        <v>917</v>
      </c>
      <c r="C148" s="32" t="s">
        <v>52</v>
      </c>
      <c r="D148" s="33" t="s">
        <v>340</v>
      </c>
      <c r="E148" s="56"/>
    </row>
    <row r="149" spans="1:5" x14ac:dyDescent="0.3">
      <c r="A149" s="30" t="s">
        <v>1267</v>
      </c>
      <c r="B149" s="31">
        <v>9844</v>
      </c>
      <c r="C149" s="32" t="s">
        <v>52</v>
      </c>
      <c r="D149" s="33" t="s">
        <v>340</v>
      </c>
      <c r="E149" s="56"/>
    </row>
    <row r="150" spans="1:5" x14ac:dyDescent="0.3">
      <c r="A150" s="30" t="s">
        <v>198</v>
      </c>
      <c r="B150" s="31">
        <v>7606</v>
      </c>
      <c r="C150" s="32" t="s">
        <v>52</v>
      </c>
      <c r="D150" s="33" t="s">
        <v>340</v>
      </c>
      <c r="E150" s="56"/>
    </row>
    <row r="151" spans="1:5" x14ac:dyDescent="0.3">
      <c r="A151" s="30" t="s">
        <v>194</v>
      </c>
      <c r="B151" s="31">
        <v>9195</v>
      </c>
      <c r="C151" s="32" t="s">
        <v>52</v>
      </c>
      <c r="D151" s="33" t="s">
        <v>340</v>
      </c>
      <c r="E151" s="56"/>
    </row>
    <row r="152" spans="1:5" x14ac:dyDescent="0.3">
      <c r="A152" s="30" t="s">
        <v>158</v>
      </c>
      <c r="B152" s="31">
        <v>3621</v>
      </c>
      <c r="C152" s="32" t="s">
        <v>52</v>
      </c>
      <c r="D152" s="33" t="s">
        <v>340</v>
      </c>
      <c r="E152" s="56"/>
    </row>
    <row r="153" spans="1:5" x14ac:dyDescent="0.3">
      <c r="A153" s="30" t="s">
        <v>135</v>
      </c>
      <c r="B153" s="31">
        <v>1458</v>
      </c>
      <c r="C153" s="32" t="s">
        <v>52</v>
      </c>
      <c r="D153" s="33" t="s">
        <v>340</v>
      </c>
      <c r="E153" s="56"/>
    </row>
    <row r="154" spans="1:5" x14ac:dyDescent="0.3">
      <c r="A154" s="30" t="s">
        <v>282</v>
      </c>
      <c r="B154" s="31">
        <v>3661</v>
      </c>
      <c r="C154" s="32" t="s">
        <v>52</v>
      </c>
      <c r="D154" s="33" t="s">
        <v>340</v>
      </c>
      <c r="E154" s="56"/>
    </row>
    <row r="155" spans="1:5" x14ac:dyDescent="0.3">
      <c r="A155" s="30" t="s">
        <v>199</v>
      </c>
      <c r="B155" s="31">
        <v>2810</v>
      </c>
      <c r="C155" s="32" t="s">
        <v>52</v>
      </c>
      <c r="D155" s="33" t="s">
        <v>340</v>
      </c>
      <c r="E155" s="56"/>
    </row>
    <row r="156" spans="1:5" x14ac:dyDescent="0.3">
      <c r="A156" s="30" t="s">
        <v>136</v>
      </c>
      <c r="B156" s="31">
        <v>2549</v>
      </c>
      <c r="C156" s="32" t="s">
        <v>52</v>
      </c>
      <c r="D156" s="33" t="s">
        <v>340</v>
      </c>
      <c r="E156" s="56"/>
    </row>
    <row r="157" spans="1:5" x14ac:dyDescent="0.3">
      <c r="A157" s="30" t="s">
        <v>141</v>
      </c>
      <c r="B157" s="31">
        <v>9063</v>
      </c>
      <c r="C157" s="32" t="s">
        <v>52</v>
      </c>
      <c r="D157" s="33" t="s">
        <v>340</v>
      </c>
      <c r="E157" s="56"/>
    </row>
    <row r="158" spans="1:5" x14ac:dyDescent="0.3">
      <c r="A158" s="30" t="s">
        <v>153</v>
      </c>
      <c r="B158" s="31">
        <v>1699</v>
      </c>
      <c r="C158" s="32" t="s">
        <v>52</v>
      </c>
      <c r="D158" s="33" t="s">
        <v>340</v>
      </c>
      <c r="E158" s="56"/>
    </row>
    <row r="159" spans="1:5" x14ac:dyDescent="0.3">
      <c r="A159" s="30" t="s">
        <v>145</v>
      </c>
      <c r="B159" s="31">
        <v>248</v>
      </c>
      <c r="C159" s="32" t="s">
        <v>52</v>
      </c>
      <c r="D159" s="33" t="s">
        <v>340</v>
      </c>
      <c r="E159" s="56"/>
    </row>
    <row r="160" spans="1:5" x14ac:dyDescent="0.3">
      <c r="A160" s="30" t="s">
        <v>851</v>
      </c>
      <c r="B160" s="31">
        <v>3368</v>
      </c>
      <c r="C160" s="32" t="s">
        <v>52</v>
      </c>
      <c r="D160" s="33" t="s">
        <v>340</v>
      </c>
      <c r="E160" s="56"/>
    </row>
    <row r="161" spans="1:5" x14ac:dyDescent="0.3">
      <c r="A161" s="30" t="s">
        <v>144</v>
      </c>
      <c r="B161" s="31">
        <v>879</v>
      </c>
      <c r="C161" s="32" t="s">
        <v>52</v>
      </c>
      <c r="D161" s="33" t="s">
        <v>340</v>
      </c>
      <c r="E161" s="56"/>
    </row>
    <row r="162" spans="1:5" x14ac:dyDescent="0.3">
      <c r="A162" s="30" t="s">
        <v>138</v>
      </c>
      <c r="B162" s="31">
        <v>9035</v>
      </c>
      <c r="C162" s="32" t="s">
        <v>52</v>
      </c>
      <c r="D162" s="33" t="s">
        <v>340</v>
      </c>
      <c r="E162" s="56"/>
    </row>
    <row r="163" spans="1:5" x14ac:dyDescent="0.3">
      <c r="A163" s="30" t="s">
        <v>147</v>
      </c>
      <c r="B163" s="31">
        <v>847</v>
      </c>
      <c r="C163" s="32" t="s">
        <v>52</v>
      </c>
      <c r="D163" s="33" t="s">
        <v>340</v>
      </c>
      <c r="E163" s="56"/>
    </row>
    <row r="164" spans="1:5" x14ac:dyDescent="0.3">
      <c r="A164" s="30" t="s">
        <v>248</v>
      </c>
      <c r="B164" s="31">
        <v>9527</v>
      </c>
      <c r="C164" s="32" t="s">
        <v>52</v>
      </c>
      <c r="D164" s="33" t="s">
        <v>340</v>
      </c>
      <c r="E164" s="56"/>
    </row>
    <row r="165" spans="1:5" x14ac:dyDescent="0.3">
      <c r="A165" s="30" t="s">
        <v>154</v>
      </c>
      <c r="B165" s="31">
        <v>9152</v>
      </c>
      <c r="C165" s="32" t="s">
        <v>52</v>
      </c>
      <c r="D165" s="33" t="s">
        <v>340</v>
      </c>
      <c r="E165" s="56"/>
    </row>
    <row r="166" spans="1:5" x14ac:dyDescent="0.3">
      <c r="A166" s="30" t="s">
        <v>277</v>
      </c>
      <c r="B166" s="31">
        <v>2913</v>
      </c>
      <c r="C166" s="32" t="s">
        <v>52</v>
      </c>
      <c r="D166" s="33" t="s">
        <v>340</v>
      </c>
      <c r="E166" s="56"/>
    </row>
    <row r="167" spans="1:5" x14ac:dyDescent="0.3">
      <c r="A167" s="30" t="s">
        <v>140</v>
      </c>
      <c r="B167" s="31">
        <v>243</v>
      </c>
      <c r="C167" s="32" t="s">
        <v>52</v>
      </c>
      <c r="D167" s="33" t="s">
        <v>340</v>
      </c>
      <c r="E167" s="56"/>
    </row>
    <row r="168" spans="1:5" x14ac:dyDescent="0.3">
      <c r="A168" s="30" t="s">
        <v>187</v>
      </c>
      <c r="B168" s="31">
        <v>838</v>
      </c>
      <c r="C168" s="32" t="s">
        <v>52</v>
      </c>
      <c r="D168" s="33" t="s">
        <v>340</v>
      </c>
      <c r="E168" s="56"/>
    </row>
    <row r="169" spans="1:5" x14ac:dyDescent="0.3">
      <c r="A169" s="30" t="s">
        <v>229</v>
      </c>
      <c r="B169" s="31">
        <v>9720</v>
      </c>
      <c r="C169" s="32" t="s">
        <v>52</v>
      </c>
      <c r="D169" s="33" t="s">
        <v>340</v>
      </c>
      <c r="E169" s="56"/>
    </row>
    <row r="170" spans="1:5" x14ac:dyDescent="0.3">
      <c r="A170" s="30" t="s">
        <v>150</v>
      </c>
      <c r="B170" s="31">
        <v>222</v>
      </c>
      <c r="C170" s="32" t="s">
        <v>52</v>
      </c>
      <c r="D170" s="33" t="s">
        <v>340</v>
      </c>
      <c r="E170" s="56"/>
    </row>
    <row r="171" spans="1:5" x14ac:dyDescent="0.3">
      <c r="A171" s="30" t="s">
        <v>156</v>
      </c>
      <c r="B171" s="31">
        <v>9112</v>
      </c>
      <c r="C171" s="32" t="s">
        <v>52</v>
      </c>
      <c r="D171" s="33" t="s">
        <v>340</v>
      </c>
      <c r="E171" s="56"/>
    </row>
    <row r="172" spans="1:5" x14ac:dyDescent="0.3">
      <c r="A172" s="30" t="s">
        <v>149</v>
      </c>
      <c r="B172" s="31">
        <v>220</v>
      </c>
      <c r="C172" s="32" t="s">
        <v>52</v>
      </c>
      <c r="D172" s="33" t="s">
        <v>340</v>
      </c>
      <c r="E172" s="56"/>
    </row>
    <row r="173" spans="1:5" x14ac:dyDescent="0.3">
      <c r="A173" s="30" t="s">
        <v>152</v>
      </c>
      <c r="B173" s="31">
        <v>9132</v>
      </c>
      <c r="C173" s="32" t="s">
        <v>52</v>
      </c>
      <c r="D173" s="33" t="s">
        <v>340</v>
      </c>
      <c r="E173" s="56"/>
    </row>
    <row r="174" spans="1:5" x14ac:dyDescent="0.3">
      <c r="A174" s="30" t="s">
        <v>296</v>
      </c>
      <c r="B174" s="31">
        <v>9376</v>
      </c>
      <c r="C174" s="32" t="s">
        <v>52</v>
      </c>
      <c r="D174" s="33" t="s">
        <v>340</v>
      </c>
      <c r="E174" s="56"/>
    </row>
    <row r="175" spans="1:5" x14ac:dyDescent="0.3">
      <c r="A175" s="30" t="s">
        <v>164</v>
      </c>
      <c r="B175" s="31">
        <v>9333</v>
      </c>
      <c r="C175" s="32" t="s">
        <v>52</v>
      </c>
      <c r="D175" s="33" t="s">
        <v>340</v>
      </c>
      <c r="E175" s="56"/>
    </row>
    <row r="176" spans="1:5" x14ac:dyDescent="0.3">
      <c r="A176" s="30" t="s">
        <v>231</v>
      </c>
      <c r="B176" s="31">
        <v>1541</v>
      </c>
      <c r="C176" s="32" t="s">
        <v>52</v>
      </c>
      <c r="D176" s="33" t="s">
        <v>340</v>
      </c>
      <c r="E176" s="56"/>
    </row>
    <row r="177" spans="1:5" x14ac:dyDescent="0.3">
      <c r="A177" s="30" t="s">
        <v>168</v>
      </c>
      <c r="B177" s="31">
        <v>9204</v>
      </c>
      <c r="C177" s="32" t="s">
        <v>52</v>
      </c>
      <c r="D177" s="33" t="s">
        <v>340</v>
      </c>
      <c r="E177" s="56"/>
    </row>
    <row r="178" spans="1:5" x14ac:dyDescent="0.3">
      <c r="A178" s="30" t="s">
        <v>162</v>
      </c>
      <c r="B178" s="31">
        <v>1224</v>
      </c>
      <c r="C178" s="32" t="s">
        <v>52</v>
      </c>
      <c r="D178" s="33" t="s">
        <v>340</v>
      </c>
      <c r="E178" s="56"/>
    </row>
    <row r="179" spans="1:5" x14ac:dyDescent="0.3">
      <c r="A179" s="30" t="s">
        <v>353</v>
      </c>
      <c r="B179" s="31">
        <v>3917</v>
      </c>
      <c r="C179" s="32" t="s">
        <v>52</v>
      </c>
      <c r="D179" s="33" t="s">
        <v>340</v>
      </c>
      <c r="E179" s="56"/>
    </row>
    <row r="180" spans="1:5" x14ac:dyDescent="0.3">
      <c r="A180" s="30" t="s">
        <v>177</v>
      </c>
      <c r="B180" s="31">
        <v>9617</v>
      </c>
      <c r="C180" s="32" t="s">
        <v>52</v>
      </c>
      <c r="D180" s="33" t="s">
        <v>340</v>
      </c>
      <c r="E180" s="56"/>
    </row>
    <row r="181" spans="1:5" x14ac:dyDescent="0.3">
      <c r="A181" s="30" t="s">
        <v>299</v>
      </c>
      <c r="B181" s="31">
        <v>3180</v>
      </c>
      <c r="C181" s="32" t="s">
        <v>52</v>
      </c>
      <c r="D181" s="33" t="s">
        <v>340</v>
      </c>
      <c r="E181" s="56"/>
    </row>
    <row r="182" spans="1:5" x14ac:dyDescent="0.3">
      <c r="A182" s="30" t="s">
        <v>276</v>
      </c>
      <c r="B182" s="31">
        <v>3812</v>
      </c>
      <c r="C182" s="32" t="s">
        <v>52</v>
      </c>
      <c r="D182" s="33" t="s">
        <v>340</v>
      </c>
      <c r="E182" s="56"/>
    </row>
    <row r="183" spans="1:5" x14ac:dyDescent="0.3">
      <c r="A183" s="30" t="s">
        <v>195</v>
      </c>
      <c r="B183" s="31">
        <v>3607</v>
      </c>
      <c r="C183" s="32" t="s">
        <v>52</v>
      </c>
      <c r="D183" s="33" t="s">
        <v>340</v>
      </c>
      <c r="E183" s="56"/>
    </row>
    <row r="184" spans="1:5" x14ac:dyDescent="0.3">
      <c r="A184" s="30" t="s">
        <v>262</v>
      </c>
      <c r="B184" s="50">
        <v>9658</v>
      </c>
      <c r="C184" s="32" t="s">
        <v>52</v>
      </c>
      <c r="D184" s="33" t="s">
        <v>340</v>
      </c>
      <c r="E184" s="56"/>
    </row>
    <row r="185" spans="1:5" x14ac:dyDescent="0.3">
      <c r="A185" s="30" t="s">
        <v>174</v>
      </c>
      <c r="B185" s="31">
        <v>9490</v>
      </c>
      <c r="C185" s="32" t="s">
        <v>52</v>
      </c>
      <c r="D185" s="33" t="s">
        <v>340</v>
      </c>
      <c r="E185" s="56"/>
    </row>
    <row r="186" spans="1:5" x14ac:dyDescent="0.3">
      <c r="A186" s="30" t="s">
        <v>185</v>
      </c>
      <c r="B186" s="31">
        <v>9624</v>
      </c>
      <c r="C186" s="32" t="s">
        <v>52</v>
      </c>
      <c r="D186" s="33" t="s">
        <v>340</v>
      </c>
      <c r="E186" s="56"/>
    </row>
    <row r="187" spans="1:5" x14ac:dyDescent="0.3">
      <c r="A187" s="30" t="s">
        <v>209</v>
      </c>
      <c r="B187" s="31">
        <v>9950</v>
      </c>
      <c r="C187" s="32" t="s">
        <v>52</v>
      </c>
      <c r="D187" s="33" t="s">
        <v>340</v>
      </c>
      <c r="E187" s="56"/>
    </row>
    <row r="188" spans="1:5" x14ac:dyDescent="0.3">
      <c r="A188" s="30" t="s">
        <v>175</v>
      </c>
      <c r="B188" s="31">
        <v>927</v>
      </c>
      <c r="C188" s="32" t="s">
        <v>52</v>
      </c>
      <c r="D188" s="33" t="s">
        <v>340</v>
      </c>
      <c r="E188" s="56"/>
    </row>
    <row r="189" spans="1:5" x14ac:dyDescent="0.3">
      <c r="A189" s="30" t="s">
        <v>210</v>
      </c>
      <c r="B189" s="31">
        <v>9953</v>
      </c>
      <c r="C189" s="32" t="s">
        <v>52</v>
      </c>
      <c r="D189" s="33" t="s">
        <v>340</v>
      </c>
      <c r="E189" s="56"/>
    </row>
    <row r="190" spans="1:5" x14ac:dyDescent="0.3">
      <c r="A190" s="30" t="s">
        <v>272</v>
      </c>
      <c r="B190" s="31">
        <v>9837</v>
      </c>
      <c r="C190" s="32" t="s">
        <v>52</v>
      </c>
      <c r="D190" s="33" t="s">
        <v>340</v>
      </c>
      <c r="E190" s="56"/>
    </row>
    <row r="191" spans="1:5" x14ac:dyDescent="0.3">
      <c r="A191" s="30" t="s">
        <v>193</v>
      </c>
      <c r="B191" s="31">
        <v>9795</v>
      </c>
      <c r="C191" s="32" t="s">
        <v>52</v>
      </c>
      <c r="D191" s="33" t="s">
        <v>340</v>
      </c>
      <c r="E191" s="56"/>
    </row>
    <row r="192" spans="1:5" x14ac:dyDescent="0.3">
      <c r="A192" s="30" t="s">
        <v>186</v>
      </c>
      <c r="B192" s="31">
        <v>9672</v>
      </c>
      <c r="C192" s="32" t="s">
        <v>52</v>
      </c>
      <c r="D192" s="33" t="s">
        <v>340</v>
      </c>
      <c r="E192" s="56"/>
    </row>
    <row r="193" spans="1:5" x14ac:dyDescent="0.3">
      <c r="A193" s="30" t="s">
        <v>200</v>
      </c>
      <c r="B193" s="31">
        <v>9921</v>
      </c>
      <c r="C193" s="32" t="s">
        <v>52</v>
      </c>
      <c r="D193" s="33" t="s">
        <v>340</v>
      </c>
      <c r="E193" s="56"/>
    </row>
    <row r="194" spans="1:5" x14ac:dyDescent="0.3">
      <c r="A194" s="30" t="s">
        <v>182</v>
      </c>
      <c r="B194" s="31">
        <v>292</v>
      </c>
      <c r="C194" s="32" t="s">
        <v>52</v>
      </c>
      <c r="D194" s="33" t="s">
        <v>340</v>
      </c>
      <c r="E194" s="56"/>
    </row>
    <row r="195" spans="1:5" x14ac:dyDescent="0.3">
      <c r="A195" s="30" t="s">
        <v>191</v>
      </c>
      <c r="B195" s="31">
        <v>9769</v>
      </c>
      <c r="C195" s="32" t="s">
        <v>52</v>
      </c>
      <c r="D195" s="33" t="s">
        <v>340</v>
      </c>
      <c r="E195" s="56"/>
    </row>
    <row r="196" spans="1:5" x14ac:dyDescent="0.3">
      <c r="A196" s="30" t="s">
        <v>183</v>
      </c>
      <c r="B196" s="31">
        <v>821</v>
      </c>
      <c r="C196" s="32" t="s">
        <v>52</v>
      </c>
      <c r="D196" s="33" t="s">
        <v>340</v>
      </c>
      <c r="E196" s="56"/>
    </row>
    <row r="197" spans="1:5" x14ac:dyDescent="0.3">
      <c r="A197" s="30" t="s">
        <v>309</v>
      </c>
      <c r="B197" s="31">
        <v>3815</v>
      </c>
      <c r="C197" s="32" t="s">
        <v>52</v>
      </c>
      <c r="D197" s="33" t="s">
        <v>340</v>
      </c>
      <c r="E197" s="56"/>
    </row>
    <row r="198" spans="1:5" x14ac:dyDescent="0.3">
      <c r="A198" s="30" t="s">
        <v>184</v>
      </c>
      <c r="B198" s="31">
        <v>2349</v>
      </c>
      <c r="C198" s="32" t="s">
        <v>52</v>
      </c>
      <c r="D198" s="33" t="s">
        <v>340</v>
      </c>
      <c r="E198" s="56"/>
    </row>
    <row r="199" spans="1:5" x14ac:dyDescent="0.3">
      <c r="A199" s="30" t="s">
        <v>676</v>
      </c>
      <c r="B199" s="31">
        <v>2609</v>
      </c>
      <c r="C199" s="32" t="s">
        <v>52</v>
      </c>
      <c r="D199" s="33" t="s">
        <v>340</v>
      </c>
      <c r="E199" s="56"/>
    </row>
    <row r="200" spans="1:5" x14ac:dyDescent="0.3">
      <c r="A200" s="30" t="s">
        <v>259</v>
      </c>
      <c r="B200" s="31">
        <v>2722</v>
      </c>
      <c r="C200" s="32" t="s">
        <v>52</v>
      </c>
      <c r="D200" s="33" t="s">
        <v>340</v>
      </c>
      <c r="E200" s="56"/>
    </row>
    <row r="201" spans="1:5" x14ac:dyDescent="0.3">
      <c r="A201" s="30" t="s">
        <v>211</v>
      </c>
      <c r="B201" s="31">
        <v>9980</v>
      </c>
      <c r="C201" s="32" t="s">
        <v>52</v>
      </c>
      <c r="D201" s="33" t="s">
        <v>340</v>
      </c>
      <c r="E201" s="56"/>
    </row>
    <row r="202" spans="1:5" x14ac:dyDescent="0.3">
      <c r="A202" s="30" t="s">
        <v>201</v>
      </c>
      <c r="B202" s="31">
        <v>9645</v>
      </c>
      <c r="C202" s="32" t="s">
        <v>52</v>
      </c>
      <c r="D202" s="33" t="s">
        <v>340</v>
      </c>
      <c r="E202" s="56"/>
    </row>
    <row r="203" spans="1:5" x14ac:dyDescent="0.3">
      <c r="A203" s="30" t="s">
        <v>203</v>
      </c>
      <c r="B203" s="31">
        <v>9938</v>
      </c>
      <c r="C203" s="32" t="s">
        <v>52</v>
      </c>
      <c r="D203" s="33" t="s">
        <v>340</v>
      </c>
      <c r="E203" s="56"/>
    </row>
    <row r="204" spans="1:5" x14ac:dyDescent="0.3">
      <c r="A204" s="30" t="s">
        <v>257</v>
      </c>
      <c r="B204" s="31">
        <v>9630</v>
      </c>
      <c r="C204" s="32" t="s">
        <v>52</v>
      </c>
      <c r="D204" s="33" t="s">
        <v>340</v>
      </c>
      <c r="E204" s="56"/>
    </row>
    <row r="205" spans="1:5" x14ac:dyDescent="0.3">
      <c r="A205" s="30" t="s">
        <v>283</v>
      </c>
      <c r="B205" s="31">
        <v>3643</v>
      </c>
      <c r="C205" s="32" t="s">
        <v>52</v>
      </c>
      <c r="D205" s="33" t="s">
        <v>340</v>
      </c>
      <c r="E205" s="56"/>
    </row>
    <row r="206" spans="1:5" x14ac:dyDescent="0.3">
      <c r="A206" s="30" t="s">
        <v>204</v>
      </c>
      <c r="B206" s="31">
        <v>3079</v>
      </c>
      <c r="C206" s="32" t="s">
        <v>52</v>
      </c>
      <c r="D206" s="33" t="s">
        <v>340</v>
      </c>
      <c r="E206" s="56"/>
    </row>
    <row r="207" spans="1:5" x14ac:dyDescent="0.3">
      <c r="A207" s="30" t="s">
        <v>217</v>
      </c>
      <c r="B207" s="50">
        <v>1713</v>
      </c>
      <c r="C207" s="32" t="s">
        <v>52</v>
      </c>
      <c r="D207" s="33" t="s">
        <v>340</v>
      </c>
      <c r="E207" s="56"/>
    </row>
    <row r="208" spans="1:5" x14ac:dyDescent="0.3">
      <c r="A208" s="30" t="s">
        <v>253</v>
      </c>
      <c r="B208" s="31">
        <v>9172</v>
      </c>
      <c r="C208" s="32" t="s">
        <v>52</v>
      </c>
      <c r="D208" s="33" t="s">
        <v>340</v>
      </c>
      <c r="E208" s="56"/>
    </row>
    <row r="209" spans="1:5" x14ac:dyDescent="0.3">
      <c r="A209" s="30" t="s">
        <v>223</v>
      </c>
      <c r="B209" s="50">
        <v>688</v>
      </c>
      <c r="C209" s="32" t="s">
        <v>52</v>
      </c>
      <c r="D209" s="33" t="s">
        <v>340</v>
      </c>
      <c r="E209" s="56"/>
    </row>
    <row r="210" spans="1:5" x14ac:dyDescent="0.3">
      <c r="A210" s="30" t="s">
        <v>310</v>
      </c>
      <c r="B210" s="31">
        <v>9120</v>
      </c>
      <c r="C210" s="32" t="s">
        <v>52</v>
      </c>
      <c r="D210" s="33" t="s">
        <v>340</v>
      </c>
      <c r="E210" s="56"/>
    </row>
    <row r="211" spans="1:5" x14ac:dyDescent="0.3">
      <c r="A211" s="30" t="s">
        <v>215</v>
      </c>
      <c r="B211" s="31">
        <v>9922</v>
      </c>
      <c r="C211" s="32" t="s">
        <v>52</v>
      </c>
      <c r="D211" s="33" t="s">
        <v>340</v>
      </c>
      <c r="E211" s="56"/>
    </row>
    <row r="212" spans="1:5" x14ac:dyDescent="0.3">
      <c r="A212" s="30" t="s">
        <v>207</v>
      </c>
      <c r="B212" s="31">
        <v>3006</v>
      </c>
      <c r="C212" s="32" t="s">
        <v>52</v>
      </c>
      <c r="D212" s="33" t="s">
        <v>340</v>
      </c>
      <c r="E212" s="56"/>
    </row>
    <row r="213" spans="1:5" x14ac:dyDescent="0.3">
      <c r="A213" s="30" t="s">
        <v>220</v>
      </c>
      <c r="B213" s="31">
        <v>5023</v>
      </c>
      <c r="C213" s="32" t="s">
        <v>52</v>
      </c>
      <c r="D213" s="33" t="s">
        <v>340</v>
      </c>
      <c r="E213" s="56"/>
    </row>
    <row r="214" spans="1:5" x14ac:dyDescent="0.3">
      <c r="A214" s="30" t="s">
        <v>311</v>
      </c>
      <c r="B214" s="31">
        <v>3730</v>
      </c>
      <c r="C214" s="32" t="s">
        <v>52</v>
      </c>
      <c r="D214" s="33" t="s">
        <v>340</v>
      </c>
      <c r="E214" s="56"/>
    </row>
    <row r="215" spans="1:5" x14ac:dyDescent="0.3">
      <c r="A215" s="30" t="s">
        <v>294</v>
      </c>
      <c r="B215" s="31">
        <v>1549</v>
      </c>
      <c r="C215" s="32" t="s">
        <v>52</v>
      </c>
      <c r="D215" s="33" t="s">
        <v>340</v>
      </c>
      <c r="E215" s="56"/>
    </row>
    <row r="216" spans="1:5" x14ac:dyDescent="0.3">
      <c r="A216" s="30" t="s">
        <v>230</v>
      </c>
      <c r="B216" s="31">
        <v>793</v>
      </c>
      <c r="C216" s="32" t="s">
        <v>52</v>
      </c>
      <c r="D216" s="33" t="s">
        <v>340</v>
      </c>
      <c r="E216" s="56"/>
    </row>
    <row r="217" spans="1:5" x14ac:dyDescent="0.3">
      <c r="A217" s="30" t="s">
        <v>222</v>
      </c>
      <c r="B217" s="31">
        <v>1792</v>
      </c>
      <c r="C217" s="32" t="s">
        <v>52</v>
      </c>
      <c r="D217" s="33" t="s">
        <v>340</v>
      </c>
      <c r="E217" s="56"/>
    </row>
    <row r="218" spans="1:5" x14ac:dyDescent="0.3">
      <c r="A218" s="30" t="s">
        <v>256</v>
      </c>
      <c r="B218" s="31">
        <v>1891</v>
      </c>
      <c r="C218" s="32" t="s">
        <v>52</v>
      </c>
      <c r="D218" s="33" t="s">
        <v>340</v>
      </c>
      <c r="E218" s="56"/>
    </row>
    <row r="219" spans="1:5" x14ac:dyDescent="0.3">
      <c r="A219" s="30" t="s">
        <v>354</v>
      </c>
      <c r="B219" s="31">
        <v>1847</v>
      </c>
      <c r="C219" s="32" t="s">
        <v>52</v>
      </c>
      <c r="D219" s="33" t="s">
        <v>340</v>
      </c>
      <c r="E219" s="56"/>
    </row>
    <row r="220" spans="1:5" x14ac:dyDescent="0.3">
      <c r="A220" s="30" t="s">
        <v>969</v>
      </c>
      <c r="B220" s="31">
        <v>3744</v>
      </c>
      <c r="C220" s="32" t="s">
        <v>52</v>
      </c>
      <c r="D220" s="33" t="s">
        <v>340</v>
      </c>
      <c r="E220" s="56"/>
    </row>
    <row r="221" spans="1:5" x14ac:dyDescent="0.3">
      <c r="A221" s="30" t="s">
        <v>312</v>
      </c>
      <c r="B221" s="31">
        <v>3806</v>
      </c>
      <c r="C221" s="32" t="s">
        <v>52</v>
      </c>
      <c r="D221" s="33" t="s">
        <v>340</v>
      </c>
      <c r="E221" s="56"/>
    </row>
    <row r="222" spans="1:5" x14ac:dyDescent="0.3">
      <c r="A222" s="30" t="s">
        <v>244</v>
      </c>
      <c r="B222" s="31">
        <v>1698</v>
      </c>
      <c r="C222" s="32" t="s">
        <v>52</v>
      </c>
      <c r="D222" s="33" t="s">
        <v>340</v>
      </c>
      <c r="E222" s="56"/>
    </row>
    <row r="223" spans="1:5" x14ac:dyDescent="0.3">
      <c r="A223" s="30" t="s">
        <v>695</v>
      </c>
      <c r="B223" s="31">
        <v>2852</v>
      </c>
      <c r="C223" s="32" t="s">
        <v>52</v>
      </c>
      <c r="D223" s="33" t="s">
        <v>340</v>
      </c>
      <c r="E223" s="56"/>
    </row>
    <row r="224" spans="1:5" x14ac:dyDescent="0.3">
      <c r="A224" s="30" t="s">
        <v>291</v>
      </c>
      <c r="B224" s="31">
        <v>1675</v>
      </c>
      <c r="C224" s="32" t="s">
        <v>52</v>
      </c>
      <c r="D224" s="33" t="s">
        <v>340</v>
      </c>
      <c r="E224" s="56"/>
    </row>
    <row r="225" spans="1:5" x14ac:dyDescent="0.3">
      <c r="A225" s="30" t="s">
        <v>285</v>
      </c>
      <c r="B225" s="31">
        <v>3663</v>
      </c>
      <c r="C225" s="32" t="s">
        <v>52</v>
      </c>
      <c r="D225" s="33" t="s">
        <v>340</v>
      </c>
      <c r="E225" s="56"/>
    </row>
    <row r="226" spans="1:5" x14ac:dyDescent="0.3">
      <c r="A226" s="30" t="s">
        <v>265</v>
      </c>
      <c r="B226" s="31">
        <v>709</v>
      </c>
      <c r="C226" s="32" t="s">
        <v>52</v>
      </c>
      <c r="D226" s="33" t="s">
        <v>340</v>
      </c>
      <c r="E226" s="56"/>
    </row>
    <row r="227" spans="1:5" x14ac:dyDescent="0.3">
      <c r="A227" s="30" t="s">
        <v>274</v>
      </c>
      <c r="B227" s="31">
        <v>3575</v>
      </c>
      <c r="C227" s="32" t="s">
        <v>52</v>
      </c>
      <c r="D227" s="33" t="s">
        <v>340</v>
      </c>
      <c r="E227" s="56"/>
    </row>
    <row r="228" spans="1:5" x14ac:dyDescent="0.3">
      <c r="A228" s="30" t="s">
        <v>313</v>
      </c>
      <c r="B228" s="31">
        <v>9377</v>
      </c>
      <c r="C228" s="32" t="s">
        <v>52</v>
      </c>
      <c r="D228" s="33" t="s">
        <v>340</v>
      </c>
      <c r="E228" s="56"/>
    </row>
    <row r="229" spans="1:5" x14ac:dyDescent="0.3">
      <c r="A229" s="30" t="s">
        <v>314</v>
      </c>
      <c r="B229" s="31">
        <v>3594</v>
      </c>
      <c r="C229" s="32" t="s">
        <v>52</v>
      </c>
      <c r="D229" s="33" t="s">
        <v>340</v>
      </c>
      <c r="E229" s="56"/>
    </row>
    <row r="230" spans="1:5" x14ac:dyDescent="0.3">
      <c r="A230" s="30" t="s">
        <v>273</v>
      </c>
      <c r="B230" s="31">
        <v>1878</v>
      </c>
      <c r="C230" s="32" t="s">
        <v>52</v>
      </c>
      <c r="D230" s="33" t="s">
        <v>340</v>
      </c>
      <c r="E230" s="56"/>
    </row>
    <row r="231" spans="1:5" x14ac:dyDescent="0.3">
      <c r="A231" s="30" t="s">
        <v>278</v>
      </c>
      <c r="B231" s="31">
        <v>9110</v>
      </c>
      <c r="C231" s="32" t="s">
        <v>52</v>
      </c>
      <c r="D231" s="33" t="s">
        <v>340</v>
      </c>
      <c r="E231" s="56"/>
    </row>
    <row r="232" spans="1:5" x14ac:dyDescent="0.3">
      <c r="A232" s="30" t="s">
        <v>315</v>
      </c>
      <c r="B232" s="31">
        <v>1550</v>
      </c>
      <c r="C232" s="32" t="s">
        <v>52</v>
      </c>
      <c r="D232" s="33" t="s">
        <v>340</v>
      </c>
      <c r="E232" s="56"/>
    </row>
    <row r="233" spans="1:5" x14ac:dyDescent="0.3">
      <c r="A233" s="30" t="s">
        <v>293</v>
      </c>
      <c r="B233" s="31">
        <v>411</v>
      </c>
      <c r="C233" s="32" t="s">
        <v>52</v>
      </c>
      <c r="D233" s="33" t="s">
        <v>340</v>
      </c>
      <c r="E233" s="56"/>
    </row>
    <row r="234" spans="1:5" x14ac:dyDescent="0.3">
      <c r="A234" s="30" t="s">
        <v>292</v>
      </c>
      <c r="B234" s="31">
        <v>205</v>
      </c>
      <c r="C234" s="32" t="s">
        <v>52</v>
      </c>
      <c r="D234" s="33" t="s">
        <v>340</v>
      </c>
      <c r="E234" s="56"/>
    </row>
    <row r="235" spans="1:5" x14ac:dyDescent="0.3">
      <c r="A235" s="30" t="s">
        <v>284</v>
      </c>
      <c r="B235" s="31">
        <v>858</v>
      </c>
      <c r="C235" s="32" t="s">
        <v>52</v>
      </c>
      <c r="D235" s="33" t="s">
        <v>340</v>
      </c>
      <c r="E235" s="56"/>
    </row>
    <row r="236" spans="1:5" x14ac:dyDescent="0.3">
      <c r="A236" s="30" t="s">
        <v>288</v>
      </c>
      <c r="B236" s="31">
        <v>9742</v>
      </c>
      <c r="C236" s="32" t="s">
        <v>52</v>
      </c>
      <c r="D236" s="33" t="s">
        <v>340</v>
      </c>
      <c r="E236" s="56"/>
    </row>
    <row r="237" spans="1:5" x14ac:dyDescent="0.3">
      <c r="A237" s="30" t="s">
        <v>280</v>
      </c>
      <c r="B237" s="31">
        <v>3061</v>
      </c>
      <c r="C237" s="32" t="s">
        <v>52</v>
      </c>
      <c r="D237" s="33" t="s">
        <v>340</v>
      </c>
      <c r="E237" s="56"/>
    </row>
    <row r="238" spans="1:5" x14ac:dyDescent="0.3">
      <c r="A238" s="30" t="s">
        <v>316</v>
      </c>
      <c r="B238" s="31">
        <v>3833</v>
      </c>
      <c r="C238" s="32" t="s">
        <v>52</v>
      </c>
      <c r="D238" s="33" t="s">
        <v>340</v>
      </c>
      <c r="E238" s="56"/>
    </row>
    <row r="239" spans="1:5" x14ac:dyDescent="0.3">
      <c r="A239" s="55" t="s">
        <v>318</v>
      </c>
      <c r="B239" s="31">
        <v>3799</v>
      </c>
      <c r="C239" s="32" t="s">
        <v>52</v>
      </c>
      <c r="D239" s="33" t="s">
        <v>340</v>
      </c>
      <c r="E239" s="56"/>
    </row>
    <row r="240" spans="1:5" x14ac:dyDescent="0.3">
      <c r="A240" s="30" t="s">
        <v>319</v>
      </c>
      <c r="B240" s="31">
        <v>1146</v>
      </c>
      <c r="C240" s="32" t="s">
        <v>52</v>
      </c>
      <c r="D240" s="33" t="s">
        <v>340</v>
      </c>
      <c r="E240" s="56"/>
    </row>
    <row r="241" spans="1:5" x14ac:dyDescent="0.3">
      <c r="A241" s="30" t="s">
        <v>320</v>
      </c>
      <c r="B241" s="31">
        <v>3816</v>
      </c>
      <c r="C241" s="32" t="s">
        <v>52</v>
      </c>
      <c r="D241" s="33" t="s">
        <v>340</v>
      </c>
      <c r="E241" s="56"/>
    </row>
    <row r="242" spans="1:5" x14ac:dyDescent="0.3">
      <c r="A242" s="30" t="s">
        <v>321</v>
      </c>
      <c r="B242" s="31">
        <v>3842</v>
      </c>
      <c r="C242" s="32" t="s">
        <v>52</v>
      </c>
      <c r="D242" s="33" t="s">
        <v>340</v>
      </c>
      <c r="E242" s="56"/>
    </row>
    <row r="243" spans="1:5" x14ac:dyDescent="0.3">
      <c r="A243" s="30" t="s">
        <v>322</v>
      </c>
      <c r="B243" s="31">
        <v>3855</v>
      </c>
      <c r="C243" s="32" t="s">
        <v>52</v>
      </c>
      <c r="D243" s="33" t="s">
        <v>340</v>
      </c>
      <c r="E243" s="56"/>
    </row>
    <row r="244" spans="1:5" x14ac:dyDescent="0.3">
      <c r="A244" s="30" t="s">
        <v>470</v>
      </c>
      <c r="B244" s="31">
        <v>747</v>
      </c>
      <c r="C244" s="32" t="s">
        <v>52</v>
      </c>
      <c r="D244" s="33" t="s">
        <v>340</v>
      </c>
      <c r="E244" s="56"/>
    </row>
    <row r="245" spans="1:5" x14ac:dyDescent="0.3">
      <c r="A245" s="30" t="s">
        <v>323</v>
      </c>
      <c r="B245" s="31">
        <v>785</v>
      </c>
      <c r="C245" s="32" t="s">
        <v>52</v>
      </c>
      <c r="D245" s="33" t="s">
        <v>340</v>
      </c>
      <c r="E245" s="56"/>
    </row>
    <row r="246" spans="1:5" x14ac:dyDescent="0.3">
      <c r="A246" s="30" t="s">
        <v>324</v>
      </c>
      <c r="B246" s="31">
        <v>2653</v>
      </c>
      <c r="C246" s="32" t="s">
        <v>52</v>
      </c>
      <c r="D246" s="33" t="s">
        <v>340</v>
      </c>
      <c r="E246" s="56"/>
    </row>
    <row r="247" spans="1:5" x14ac:dyDescent="0.3">
      <c r="A247" s="57" t="s">
        <v>355</v>
      </c>
      <c r="B247" s="58">
        <v>2597</v>
      </c>
      <c r="C247" s="32" t="s">
        <v>52</v>
      </c>
      <c r="D247" s="33" t="s">
        <v>340</v>
      </c>
      <c r="E247" s="56"/>
    </row>
    <row r="248" spans="1:5" x14ac:dyDescent="0.3">
      <c r="A248" s="57" t="s">
        <v>454</v>
      </c>
      <c r="B248" s="58">
        <v>319</v>
      </c>
      <c r="C248" s="32" t="s">
        <v>52</v>
      </c>
      <c r="D248" s="33" t="s">
        <v>340</v>
      </c>
      <c r="E248" s="56"/>
    </row>
    <row r="249" spans="1:5" x14ac:dyDescent="0.3">
      <c r="A249" s="57" t="s">
        <v>325</v>
      </c>
      <c r="B249" s="58">
        <v>684</v>
      </c>
      <c r="C249" s="32" t="s">
        <v>52</v>
      </c>
      <c r="D249" s="33" t="s">
        <v>340</v>
      </c>
      <c r="E249" s="56"/>
    </row>
    <row r="250" spans="1:5" x14ac:dyDescent="0.3">
      <c r="A250" s="57" t="s">
        <v>326</v>
      </c>
      <c r="B250" s="58">
        <v>3938</v>
      </c>
      <c r="C250" s="32" t="s">
        <v>52</v>
      </c>
      <c r="D250" s="33" t="s">
        <v>340</v>
      </c>
      <c r="E250" s="56"/>
    </row>
    <row r="251" spans="1:5" x14ac:dyDescent="0.3">
      <c r="A251" s="57" t="s">
        <v>137</v>
      </c>
      <c r="B251" s="58">
        <v>2020</v>
      </c>
      <c r="C251" s="32" t="s">
        <v>52</v>
      </c>
      <c r="D251" s="33" t="s">
        <v>340</v>
      </c>
      <c r="E251" s="56"/>
    </row>
    <row r="252" spans="1:5" x14ac:dyDescent="0.3">
      <c r="A252" s="57" t="s">
        <v>208</v>
      </c>
      <c r="B252" s="58">
        <v>9480</v>
      </c>
      <c r="C252" s="32" t="s">
        <v>52</v>
      </c>
      <c r="D252" s="33" t="s">
        <v>340</v>
      </c>
      <c r="E252" s="56"/>
    </row>
    <row r="253" spans="1:5" x14ac:dyDescent="0.3">
      <c r="A253" s="57" t="s">
        <v>148</v>
      </c>
      <c r="B253" s="58">
        <v>3460</v>
      </c>
      <c r="C253" s="32" t="s">
        <v>52</v>
      </c>
      <c r="D253" s="33" t="s">
        <v>340</v>
      </c>
      <c r="E253" s="56"/>
    </row>
    <row r="254" spans="1:5" x14ac:dyDescent="0.3">
      <c r="A254" s="57" t="s">
        <v>255</v>
      </c>
      <c r="B254" s="58">
        <v>7581</v>
      </c>
      <c r="C254" s="32" t="s">
        <v>52</v>
      </c>
      <c r="D254" s="33" t="s">
        <v>340</v>
      </c>
      <c r="E254" s="56"/>
    </row>
    <row r="255" spans="1:5" x14ac:dyDescent="0.3">
      <c r="A255" s="57" t="s">
        <v>327</v>
      </c>
      <c r="B255" s="58">
        <v>217</v>
      </c>
      <c r="C255" s="32" t="s">
        <v>52</v>
      </c>
      <c r="D255" s="33" t="s">
        <v>340</v>
      </c>
      <c r="E255" s="56"/>
    </row>
    <row r="256" spans="1:5" x14ac:dyDescent="0.3">
      <c r="A256" s="57" t="s">
        <v>69</v>
      </c>
      <c r="B256" s="58">
        <v>865</v>
      </c>
      <c r="C256" s="32" t="s">
        <v>52</v>
      </c>
      <c r="D256" s="33" t="s">
        <v>340</v>
      </c>
      <c r="E256" s="56"/>
    </row>
    <row r="257" spans="1:5" x14ac:dyDescent="0.3">
      <c r="A257" s="57" t="s">
        <v>328</v>
      </c>
      <c r="B257" s="58">
        <v>3740</v>
      </c>
      <c r="C257" s="32" t="s">
        <v>52</v>
      </c>
      <c r="D257" s="33" t="s">
        <v>340</v>
      </c>
      <c r="E257" s="56"/>
    </row>
    <row r="258" spans="1:5" x14ac:dyDescent="0.3">
      <c r="A258" s="57" t="s">
        <v>171</v>
      </c>
      <c r="B258" s="58">
        <v>3398</v>
      </c>
      <c r="C258" s="32" t="s">
        <v>52</v>
      </c>
      <c r="D258" s="33" t="s">
        <v>340</v>
      </c>
      <c r="E258" s="56"/>
    </row>
    <row r="259" spans="1:5" x14ac:dyDescent="0.3">
      <c r="A259" s="57" t="s">
        <v>218</v>
      </c>
      <c r="B259" s="58">
        <v>223</v>
      </c>
      <c r="C259" s="32" t="s">
        <v>52</v>
      </c>
      <c r="D259" s="33" t="s">
        <v>340</v>
      </c>
      <c r="E259" s="56"/>
    </row>
    <row r="260" spans="1:5" x14ac:dyDescent="0.3">
      <c r="A260" s="57" t="s">
        <v>279</v>
      </c>
      <c r="B260" s="58">
        <v>561</v>
      </c>
      <c r="C260" s="32" t="s">
        <v>52</v>
      </c>
      <c r="D260" s="33" t="s">
        <v>340</v>
      </c>
      <c r="E260" s="56"/>
    </row>
    <row r="261" spans="1:5" x14ac:dyDescent="0.3">
      <c r="A261" s="57" t="s">
        <v>249</v>
      </c>
      <c r="B261" s="58">
        <v>9684</v>
      </c>
      <c r="C261" s="32" t="s">
        <v>52</v>
      </c>
      <c r="D261" s="33" t="s">
        <v>340</v>
      </c>
      <c r="E261" s="56"/>
    </row>
    <row r="262" spans="1:5" x14ac:dyDescent="0.3">
      <c r="A262" s="57" t="s">
        <v>356</v>
      </c>
      <c r="B262" s="58">
        <v>679</v>
      </c>
      <c r="C262" s="32" t="s">
        <v>52</v>
      </c>
      <c r="D262" s="33" t="s">
        <v>340</v>
      </c>
      <c r="E262" s="56"/>
    </row>
    <row r="263" spans="1:5" x14ac:dyDescent="0.3">
      <c r="A263" s="57" t="s">
        <v>151</v>
      </c>
      <c r="B263" s="58">
        <v>9134</v>
      </c>
      <c r="C263" s="32" t="s">
        <v>52</v>
      </c>
      <c r="D263" s="33" t="s">
        <v>340</v>
      </c>
      <c r="E263" s="56"/>
    </row>
    <row r="264" spans="1:5" x14ac:dyDescent="0.3">
      <c r="A264" s="57" t="s">
        <v>170</v>
      </c>
      <c r="B264" s="58">
        <v>1424</v>
      </c>
      <c r="C264" s="32" t="s">
        <v>52</v>
      </c>
      <c r="D264" s="33" t="s">
        <v>340</v>
      </c>
      <c r="E264" s="56"/>
    </row>
    <row r="265" spans="1:5" x14ac:dyDescent="0.3">
      <c r="A265" s="57" t="s">
        <v>1250</v>
      </c>
      <c r="B265" s="58">
        <v>9701</v>
      </c>
      <c r="C265" s="32" t="s">
        <v>52</v>
      </c>
      <c r="D265" s="33" t="s">
        <v>340</v>
      </c>
      <c r="E265" s="56"/>
    </row>
    <row r="266" spans="1:5" x14ac:dyDescent="0.3">
      <c r="A266" s="57" t="s">
        <v>258</v>
      </c>
      <c r="B266" s="58">
        <v>2118</v>
      </c>
      <c r="C266" s="32" t="s">
        <v>52</v>
      </c>
      <c r="D266" s="33" t="s">
        <v>340</v>
      </c>
      <c r="E266" s="56"/>
    </row>
    <row r="267" spans="1:5" x14ac:dyDescent="0.3">
      <c r="A267" s="57" t="s">
        <v>176</v>
      </c>
      <c r="B267" s="58">
        <v>735</v>
      </c>
      <c r="C267" s="32" t="s">
        <v>52</v>
      </c>
      <c r="D267" s="33" t="s">
        <v>340</v>
      </c>
      <c r="E267" s="56"/>
    </row>
    <row r="268" spans="1:5" x14ac:dyDescent="0.3">
      <c r="A268" s="57" t="s">
        <v>72</v>
      </c>
      <c r="B268" s="58">
        <v>988</v>
      </c>
      <c r="C268" s="32" t="s">
        <v>52</v>
      </c>
      <c r="D268" s="33" t="s">
        <v>340</v>
      </c>
      <c r="E268" s="56"/>
    </row>
    <row r="269" spans="1:5" x14ac:dyDescent="0.3">
      <c r="A269" s="57" t="s">
        <v>159</v>
      </c>
      <c r="B269" s="58">
        <v>9190</v>
      </c>
      <c r="C269" s="32" t="s">
        <v>52</v>
      </c>
      <c r="D269" s="33" t="s">
        <v>340</v>
      </c>
      <c r="E269" s="56"/>
    </row>
    <row r="270" spans="1:5" x14ac:dyDescent="0.3">
      <c r="A270" s="57" t="s">
        <v>181</v>
      </c>
      <c r="B270" s="58">
        <v>3708</v>
      </c>
      <c r="C270" s="32" t="s">
        <v>52</v>
      </c>
      <c r="D270" s="33" t="s">
        <v>340</v>
      </c>
      <c r="E270" s="56"/>
    </row>
    <row r="271" spans="1:5" x14ac:dyDescent="0.3">
      <c r="A271" s="57" t="s">
        <v>329</v>
      </c>
      <c r="B271" s="58">
        <v>3788</v>
      </c>
      <c r="C271" s="32" t="s">
        <v>52</v>
      </c>
      <c r="D271" s="33" t="s">
        <v>340</v>
      </c>
      <c r="E271" s="56"/>
    </row>
    <row r="272" spans="1:5" x14ac:dyDescent="0.3">
      <c r="A272" s="57" t="s">
        <v>331</v>
      </c>
      <c r="B272" s="58">
        <v>3818</v>
      </c>
      <c r="C272" s="32" t="s">
        <v>52</v>
      </c>
      <c r="D272" s="33" t="s">
        <v>340</v>
      </c>
      <c r="E272" s="56"/>
    </row>
    <row r="273" spans="1:5" x14ac:dyDescent="0.3">
      <c r="A273" s="57" t="s">
        <v>332</v>
      </c>
      <c r="B273" s="58">
        <v>3956</v>
      </c>
      <c r="C273" s="32" t="s">
        <v>52</v>
      </c>
      <c r="D273" s="33" t="s">
        <v>340</v>
      </c>
      <c r="E273" s="56"/>
    </row>
    <row r="274" spans="1:5" x14ac:dyDescent="0.3">
      <c r="A274" s="57" t="s">
        <v>333</v>
      </c>
      <c r="B274" s="58">
        <v>3934</v>
      </c>
      <c r="C274" s="32" t="s">
        <v>52</v>
      </c>
      <c r="D274" s="33" t="s">
        <v>340</v>
      </c>
      <c r="E274" s="56"/>
    </row>
    <row r="275" spans="1:5" x14ac:dyDescent="0.3">
      <c r="A275" s="57" t="s">
        <v>334</v>
      </c>
      <c r="B275" s="58">
        <v>3829</v>
      </c>
      <c r="C275" s="32" t="s">
        <v>52</v>
      </c>
      <c r="D275" s="33" t="s">
        <v>340</v>
      </c>
      <c r="E275" s="56"/>
    </row>
    <row r="276" spans="1:5" x14ac:dyDescent="0.3">
      <c r="A276" s="57" t="s">
        <v>336</v>
      </c>
      <c r="B276" s="58">
        <v>3685</v>
      </c>
      <c r="C276" s="32" t="s">
        <v>52</v>
      </c>
      <c r="D276" s="33" t="s">
        <v>340</v>
      </c>
      <c r="E276" s="56"/>
    </row>
    <row r="277" spans="1:5" x14ac:dyDescent="0.3">
      <c r="A277" s="57" t="s">
        <v>337</v>
      </c>
      <c r="B277" s="58">
        <v>3070</v>
      </c>
      <c r="C277" s="32" t="s">
        <v>52</v>
      </c>
      <c r="D277" s="33" t="s">
        <v>340</v>
      </c>
      <c r="E277" s="56"/>
    </row>
    <row r="278" spans="1:5" x14ac:dyDescent="0.3">
      <c r="A278" s="57" t="s">
        <v>338</v>
      </c>
      <c r="B278" s="58">
        <v>3948</v>
      </c>
      <c r="C278" s="32" t="s">
        <v>52</v>
      </c>
      <c r="D278" s="33" t="s">
        <v>340</v>
      </c>
      <c r="E278" s="56"/>
    </row>
    <row r="279" spans="1:5" x14ac:dyDescent="0.3">
      <c r="A279" s="57" t="s">
        <v>442</v>
      </c>
      <c r="B279" s="58">
        <v>245</v>
      </c>
      <c r="C279" s="32" t="s">
        <v>52</v>
      </c>
      <c r="D279" s="33" t="s">
        <v>340</v>
      </c>
      <c r="E279" s="56"/>
    </row>
    <row r="280" spans="1:5" x14ac:dyDescent="0.3">
      <c r="A280" s="57" t="s">
        <v>339</v>
      </c>
      <c r="B280" s="58">
        <v>818</v>
      </c>
      <c r="C280" s="32" t="s">
        <v>52</v>
      </c>
      <c r="D280" s="33" t="s">
        <v>340</v>
      </c>
      <c r="E280" s="56"/>
    </row>
    <row r="281" spans="1:5" x14ac:dyDescent="0.3">
      <c r="A281" s="57" t="s">
        <v>363</v>
      </c>
      <c r="B281" s="58">
        <v>9510</v>
      </c>
      <c r="C281" s="32" t="s">
        <v>52</v>
      </c>
      <c r="D281" s="33" t="s">
        <v>340</v>
      </c>
      <c r="E281" s="56"/>
    </row>
    <row r="282" spans="1:5" x14ac:dyDescent="0.3">
      <c r="A282" s="57" t="s">
        <v>364</v>
      </c>
      <c r="B282" s="58">
        <v>219</v>
      </c>
      <c r="C282" s="32" t="s">
        <v>52</v>
      </c>
      <c r="D282" s="33" t="s">
        <v>340</v>
      </c>
      <c r="E282" s="56"/>
    </row>
    <row r="283" spans="1:5" x14ac:dyDescent="0.3">
      <c r="A283" s="57" t="s">
        <v>365</v>
      </c>
      <c r="B283" s="58">
        <v>3449</v>
      </c>
      <c r="C283" s="32" t="s">
        <v>52</v>
      </c>
      <c r="D283" s="33" t="s">
        <v>340</v>
      </c>
      <c r="E283" s="56"/>
    </row>
    <row r="284" spans="1:5" x14ac:dyDescent="0.3">
      <c r="A284" s="57" t="s">
        <v>366</v>
      </c>
      <c r="B284" s="58">
        <v>207</v>
      </c>
      <c r="C284" s="32" t="s">
        <v>52</v>
      </c>
      <c r="D284" s="33" t="s">
        <v>340</v>
      </c>
      <c r="E284" s="56"/>
    </row>
    <row r="285" spans="1:5" x14ac:dyDescent="0.3">
      <c r="A285" s="57" t="s">
        <v>367</v>
      </c>
      <c r="B285" s="58">
        <v>4055</v>
      </c>
      <c r="C285" s="32" t="s">
        <v>52</v>
      </c>
      <c r="D285" s="33" t="s">
        <v>340</v>
      </c>
      <c r="E285" s="56"/>
    </row>
    <row r="286" spans="1:5" x14ac:dyDescent="0.3">
      <c r="A286" s="60" t="s">
        <v>368</v>
      </c>
      <c r="B286" s="61">
        <v>774</v>
      </c>
      <c r="C286" s="32" t="s">
        <v>52</v>
      </c>
      <c r="D286" s="62" t="s">
        <v>340</v>
      </c>
      <c r="E286" s="63"/>
    </row>
    <row r="287" spans="1:5" x14ac:dyDescent="0.3">
      <c r="A287" s="57" t="s">
        <v>369</v>
      </c>
      <c r="B287" s="58">
        <v>9935</v>
      </c>
      <c r="C287" s="32" t="s">
        <v>52</v>
      </c>
      <c r="D287" s="33" t="s">
        <v>340</v>
      </c>
      <c r="E287" s="56"/>
    </row>
    <row r="288" spans="1:5" x14ac:dyDescent="0.3">
      <c r="A288" s="57" t="s">
        <v>370</v>
      </c>
      <c r="B288" s="58">
        <v>4042</v>
      </c>
      <c r="C288" s="32" t="s">
        <v>52</v>
      </c>
      <c r="D288" s="33" t="s">
        <v>340</v>
      </c>
      <c r="E288" s="56"/>
    </row>
    <row r="289" spans="1:5" x14ac:dyDescent="0.3">
      <c r="A289" s="57" t="s">
        <v>372</v>
      </c>
      <c r="B289" s="58">
        <v>226</v>
      </c>
      <c r="C289" s="32" t="s">
        <v>52</v>
      </c>
      <c r="D289" s="33" t="s">
        <v>340</v>
      </c>
      <c r="E289" s="56"/>
    </row>
    <row r="290" spans="1:5" x14ac:dyDescent="0.3">
      <c r="A290" s="57" t="s">
        <v>373</v>
      </c>
      <c r="B290" s="58">
        <v>3278</v>
      </c>
      <c r="C290" s="32" t="s">
        <v>52</v>
      </c>
      <c r="D290" s="33" t="s">
        <v>340</v>
      </c>
      <c r="E290" s="56"/>
    </row>
    <row r="291" spans="1:5" x14ac:dyDescent="0.3">
      <c r="A291" s="57" t="s">
        <v>374</v>
      </c>
      <c r="B291" s="58">
        <v>3959</v>
      </c>
      <c r="C291" s="32" t="s">
        <v>52</v>
      </c>
      <c r="D291" s="33" t="s">
        <v>340</v>
      </c>
      <c r="E291" s="56"/>
    </row>
    <row r="292" spans="1:5" x14ac:dyDescent="0.3">
      <c r="A292" s="57" t="s">
        <v>375</v>
      </c>
      <c r="B292" s="58">
        <v>7038</v>
      </c>
      <c r="C292" s="32" t="s">
        <v>52</v>
      </c>
      <c r="D292" s="33" t="s">
        <v>340</v>
      </c>
      <c r="E292" s="56"/>
    </row>
    <row r="293" spans="1:5" x14ac:dyDescent="0.3">
      <c r="A293" s="57" t="s">
        <v>376</v>
      </c>
      <c r="B293" s="58">
        <v>2777</v>
      </c>
      <c r="C293" s="32" t="s">
        <v>52</v>
      </c>
      <c r="D293" s="33" t="s">
        <v>340</v>
      </c>
      <c r="E293" s="56"/>
    </row>
    <row r="294" spans="1:5" x14ac:dyDescent="0.3">
      <c r="A294" s="57" t="s">
        <v>377</v>
      </c>
      <c r="B294" s="58">
        <v>2746</v>
      </c>
      <c r="C294" s="32" t="s">
        <v>52</v>
      </c>
      <c r="D294" s="33" t="s">
        <v>340</v>
      </c>
      <c r="E294" s="56"/>
    </row>
    <row r="295" spans="1:5" x14ac:dyDescent="0.3">
      <c r="A295" s="57" t="s">
        <v>378</v>
      </c>
      <c r="B295" s="58">
        <v>1786</v>
      </c>
      <c r="C295" s="32" t="s">
        <v>52</v>
      </c>
      <c r="D295" s="33" t="s">
        <v>340</v>
      </c>
      <c r="E295" s="56"/>
    </row>
    <row r="296" spans="1:5" x14ac:dyDescent="0.3">
      <c r="A296" s="57" t="s">
        <v>379</v>
      </c>
      <c r="B296" s="58">
        <v>3198</v>
      </c>
      <c r="C296" s="32" t="s">
        <v>52</v>
      </c>
      <c r="D296" s="33" t="s">
        <v>340</v>
      </c>
      <c r="E296" s="56"/>
    </row>
    <row r="297" spans="1:5" x14ac:dyDescent="0.3">
      <c r="A297" s="57" t="s">
        <v>380</v>
      </c>
      <c r="B297" s="58">
        <v>9740</v>
      </c>
      <c r="C297" s="32" t="s">
        <v>52</v>
      </c>
      <c r="D297" s="33" t="s">
        <v>340</v>
      </c>
      <c r="E297" s="56"/>
    </row>
    <row r="298" spans="1:5" x14ac:dyDescent="0.3">
      <c r="A298" s="57" t="s">
        <v>381</v>
      </c>
      <c r="B298" s="58">
        <v>2394</v>
      </c>
      <c r="C298" s="32" t="s">
        <v>52</v>
      </c>
      <c r="D298" s="33" t="s">
        <v>340</v>
      </c>
      <c r="E298" s="56"/>
    </row>
    <row r="299" spans="1:5" x14ac:dyDescent="0.3">
      <c r="A299" s="57" t="s">
        <v>382</v>
      </c>
      <c r="B299" s="58">
        <v>4029</v>
      </c>
      <c r="C299" s="32" t="s">
        <v>52</v>
      </c>
      <c r="D299" s="33" t="s">
        <v>340</v>
      </c>
      <c r="E299" s="56"/>
    </row>
    <row r="300" spans="1:5" x14ac:dyDescent="0.3">
      <c r="A300" s="57" t="s">
        <v>383</v>
      </c>
      <c r="B300" s="58">
        <v>3787</v>
      </c>
      <c r="C300" s="32" t="s">
        <v>52</v>
      </c>
      <c r="D300" s="33" t="s">
        <v>340</v>
      </c>
      <c r="E300" s="56"/>
    </row>
    <row r="301" spans="1:5" x14ac:dyDescent="0.3">
      <c r="A301" s="57" t="s">
        <v>384</v>
      </c>
      <c r="B301" s="58">
        <v>2849</v>
      </c>
      <c r="C301" s="32" t="s">
        <v>52</v>
      </c>
      <c r="D301" s="33" t="s">
        <v>340</v>
      </c>
      <c r="E301" s="56"/>
    </row>
    <row r="302" spans="1:5" x14ac:dyDescent="0.3">
      <c r="A302" s="57" t="s">
        <v>385</v>
      </c>
      <c r="B302" s="58">
        <v>2218</v>
      </c>
      <c r="C302" s="32" t="s">
        <v>52</v>
      </c>
      <c r="D302" s="33" t="s">
        <v>340</v>
      </c>
      <c r="E302" s="56"/>
    </row>
    <row r="303" spans="1:5" x14ac:dyDescent="0.3">
      <c r="A303" s="57" t="s">
        <v>386</v>
      </c>
      <c r="B303" s="58">
        <v>1615</v>
      </c>
      <c r="C303" s="32" t="s">
        <v>52</v>
      </c>
      <c r="D303" s="33" t="s">
        <v>340</v>
      </c>
      <c r="E303" s="56"/>
    </row>
    <row r="304" spans="1:5" x14ac:dyDescent="0.3">
      <c r="A304" s="57" t="s">
        <v>388</v>
      </c>
      <c r="B304" s="58">
        <v>3242</v>
      </c>
      <c r="C304" s="32" t="s">
        <v>52</v>
      </c>
      <c r="D304" s="33" t="s">
        <v>340</v>
      </c>
      <c r="E304" s="56"/>
    </row>
    <row r="305" spans="1:5" x14ac:dyDescent="0.3">
      <c r="A305" s="57" t="s">
        <v>389</v>
      </c>
      <c r="B305" s="58">
        <v>1422</v>
      </c>
      <c r="C305" s="32" t="s">
        <v>52</v>
      </c>
      <c r="D305" s="33" t="s">
        <v>340</v>
      </c>
      <c r="E305" s="56"/>
    </row>
    <row r="306" spans="1:5" x14ac:dyDescent="0.3">
      <c r="A306" s="57" t="s">
        <v>390</v>
      </c>
      <c r="B306" s="58">
        <v>1453</v>
      </c>
      <c r="C306" s="32" t="s">
        <v>52</v>
      </c>
      <c r="D306" s="33" t="s">
        <v>340</v>
      </c>
      <c r="E306" s="56"/>
    </row>
    <row r="307" spans="1:5" x14ac:dyDescent="0.3">
      <c r="A307" s="57" t="s">
        <v>391</v>
      </c>
      <c r="B307" s="58">
        <v>3960</v>
      </c>
      <c r="C307" s="32" t="s">
        <v>52</v>
      </c>
      <c r="D307" s="33" t="s">
        <v>340</v>
      </c>
      <c r="E307" s="56"/>
    </row>
    <row r="308" spans="1:5" x14ac:dyDescent="0.3">
      <c r="A308" s="57" t="s">
        <v>392</v>
      </c>
      <c r="B308" s="58">
        <v>4072</v>
      </c>
      <c r="C308" s="32" t="s">
        <v>52</v>
      </c>
      <c r="D308" s="33" t="s">
        <v>340</v>
      </c>
      <c r="E308" s="56"/>
    </row>
    <row r="309" spans="1:5" x14ac:dyDescent="0.3">
      <c r="A309" s="57" t="s">
        <v>393</v>
      </c>
      <c r="B309" s="58">
        <v>127</v>
      </c>
      <c r="C309" s="32" t="s">
        <v>52</v>
      </c>
      <c r="D309" s="33" t="s">
        <v>340</v>
      </c>
      <c r="E309" s="56"/>
    </row>
    <row r="310" spans="1:5" x14ac:dyDescent="0.3">
      <c r="A310" s="57" t="s">
        <v>394</v>
      </c>
      <c r="B310" s="58">
        <v>4070</v>
      </c>
      <c r="C310" s="32" t="s">
        <v>52</v>
      </c>
      <c r="D310" s="33" t="s">
        <v>340</v>
      </c>
      <c r="E310" s="56"/>
    </row>
    <row r="311" spans="1:5" x14ac:dyDescent="0.3">
      <c r="A311" s="57" t="s">
        <v>395</v>
      </c>
      <c r="B311" s="58">
        <v>515</v>
      </c>
      <c r="C311" s="32" t="s">
        <v>52</v>
      </c>
      <c r="D311" s="33" t="s">
        <v>340</v>
      </c>
      <c r="E311" s="56"/>
    </row>
    <row r="312" spans="1:5" x14ac:dyDescent="0.3">
      <c r="A312" s="57" t="s">
        <v>396</v>
      </c>
      <c r="B312" s="58">
        <v>412</v>
      </c>
      <c r="C312" s="32" t="s">
        <v>52</v>
      </c>
      <c r="D312" s="33" t="s">
        <v>340</v>
      </c>
      <c r="E312" s="56"/>
    </row>
    <row r="313" spans="1:5" x14ac:dyDescent="0.3">
      <c r="A313" s="57" t="s">
        <v>397</v>
      </c>
      <c r="B313" s="58">
        <v>2467</v>
      </c>
      <c r="C313" s="32" t="s">
        <v>52</v>
      </c>
      <c r="D313" s="33" t="s">
        <v>340</v>
      </c>
      <c r="E313" s="56"/>
    </row>
    <row r="314" spans="1:5" x14ac:dyDescent="0.3">
      <c r="A314" s="57" t="s">
        <v>96</v>
      </c>
      <c r="B314" s="58">
        <v>3113</v>
      </c>
      <c r="C314" s="32" t="s">
        <v>52</v>
      </c>
      <c r="D314" s="33" t="s">
        <v>340</v>
      </c>
      <c r="E314" s="56"/>
    </row>
    <row r="315" spans="1:5" x14ac:dyDescent="0.3">
      <c r="A315" s="57" t="s">
        <v>398</v>
      </c>
      <c r="B315" s="58">
        <v>3638</v>
      </c>
      <c r="C315" s="32" t="s">
        <v>52</v>
      </c>
      <c r="D315" s="33" t="s">
        <v>340</v>
      </c>
      <c r="E315" s="56"/>
    </row>
    <row r="316" spans="1:5" x14ac:dyDescent="0.3">
      <c r="A316" s="57" t="s">
        <v>706</v>
      </c>
      <c r="B316" s="58">
        <v>3014</v>
      </c>
      <c r="C316" s="32" t="s">
        <v>52</v>
      </c>
      <c r="D316" s="33" t="s">
        <v>340</v>
      </c>
      <c r="E316" s="56"/>
    </row>
    <row r="317" spans="1:5" x14ac:dyDescent="0.3">
      <c r="A317" s="57" t="s">
        <v>92</v>
      </c>
      <c r="B317" s="58">
        <v>2674</v>
      </c>
      <c r="C317" s="32" t="s">
        <v>52</v>
      </c>
      <c r="D317" s="33" t="s">
        <v>340</v>
      </c>
      <c r="E317" s="56"/>
    </row>
    <row r="318" spans="1:5" x14ac:dyDescent="0.3">
      <c r="A318" s="57" t="s">
        <v>92</v>
      </c>
      <c r="B318" s="58">
        <v>9045</v>
      </c>
      <c r="C318" s="32" t="s">
        <v>52</v>
      </c>
      <c r="D318" s="33" t="s">
        <v>340</v>
      </c>
      <c r="E318" s="56"/>
    </row>
    <row r="319" spans="1:5" x14ac:dyDescent="0.3">
      <c r="A319" s="57" t="s">
        <v>139</v>
      </c>
      <c r="B319" s="58">
        <v>3381</v>
      </c>
      <c r="C319" s="32" t="s">
        <v>52</v>
      </c>
      <c r="D319" s="33" t="s">
        <v>340</v>
      </c>
      <c r="E319" s="56"/>
    </row>
    <row r="320" spans="1:5" x14ac:dyDescent="0.3">
      <c r="A320" s="57" t="s">
        <v>653</v>
      </c>
      <c r="B320" s="58">
        <v>2014</v>
      </c>
      <c r="C320" s="32" t="s">
        <v>52</v>
      </c>
      <c r="D320" s="33" t="s">
        <v>340</v>
      </c>
      <c r="E320" s="56"/>
    </row>
    <row r="321" spans="1:5" x14ac:dyDescent="0.3">
      <c r="A321" s="57" t="s">
        <v>400</v>
      </c>
      <c r="B321" s="58">
        <v>3954</v>
      </c>
      <c r="C321" s="32" t="s">
        <v>52</v>
      </c>
      <c r="D321" s="33" t="s">
        <v>340</v>
      </c>
      <c r="E321" s="56"/>
    </row>
    <row r="322" spans="1:5" x14ac:dyDescent="0.3">
      <c r="A322" s="57" t="s">
        <v>401</v>
      </c>
      <c r="B322" s="58">
        <v>4073</v>
      </c>
      <c r="C322" s="32" t="s">
        <v>52</v>
      </c>
      <c r="D322" s="33" t="s">
        <v>340</v>
      </c>
      <c r="E322" s="56"/>
    </row>
    <row r="323" spans="1:5" x14ac:dyDescent="0.3">
      <c r="A323" s="57" t="s">
        <v>402</v>
      </c>
      <c r="B323" s="58">
        <v>1844</v>
      </c>
      <c r="C323" s="32" t="s">
        <v>52</v>
      </c>
      <c r="D323" s="33" t="s">
        <v>340</v>
      </c>
      <c r="E323" s="56"/>
    </row>
    <row r="324" spans="1:5" x14ac:dyDescent="0.3">
      <c r="A324" s="57" t="s">
        <v>250</v>
      </c>
      <c r="B324" s="58">
        <v>2416</v>
      </c>
      <c r="C324" s="32" t="s">
        <v>52</v>
      </c>
      <c r="D324" s="33" t="s">
        <v>340</v>
      </c>
      <c r="E324" s="56"/>
    </row>
    <row r="325" spans="1:5" x14ac:dyDescent="0.3">
      <c r="A325" s="57" t="s">
        <v>403</v>
      </c>
      <c r="B325" s="58">
        <v>7106</v>
      </c>
      <c r="C325" s="32" t="s">
        <v>52</v>
      </c>
      <c r="D325" s="33" t="s">
        <v>340</v>
      </c>
      <c r="E325" s="56"/>
    </row>
    <row r="326" spans="1:5" x14ac:dyDescent="0.3">
      <c r="A326" s="57" t="s">
        <v>404</v>
      </c>
      <c r="B326" s="58">
        <v>3924</v>
      </c>
      <c r="C326" s="32" t="s">
        <v>52</v>
      </c>
      <c r="D326" s="33" t="s">
        <v>340</v>
      </c>
      <c r="E326" s="56"/>
    </row>
    <row r="327" spans="1:5" x14ac:dyDescent="0.3">
      <c r="A327" s="57" t="s">
        <v>254</v>
      </c>
      <c r="B327" s="58">
        <v>2189</v>
      </c>
      <c r="C327" s="32" t="s">
        <v>52</v>
      </c>
      <c r="D327" s="33" t="s">
        <v>340</v>
      </c>
      <c r="E327" s="56"/>
    </row>
    <row r="328" spans="1:5" x14ac:dyDescent="0.3">
      <c r="A328" s="57" t="s">
        <v>405</v>
      </c>
      <c r="B328" s="58">
        <v>4145</v>
      </c>
      <c r="C328" s="32" t="s">
        <v>52</v>
      </c>
      <c r="D328" s="33" t="s">
        <v>340</v>
      </c>
      <c r="E328" s="56"/>
    </row>
    <row r="329" spans="1:5" x14ac:dyDescent="0.3">
      <c r="A329" s="57" t="s">
        <v>407</v>
      </c>
      <c r="B329" s="58">
        <v>4026</v>
      </c>
      <c r="C329" s="32" t="s">
        <v>52</v>
      </c>
      <c r="D329" s="33" t="s">
        <v>340</v>
      </c>
      <c r="E329" s="56"/>
    </row>
    <row r="330" spans="1:5" x14ac:dyDescent="0.3">
      <c r="A330" s="57" t="s">
        <v>408</v>
      </c>
      <c r="B330" s="58">
        <v>3912</v>
      </c>
      <c r="C330" s="32" t="s">
        <v>52</v>
      </c>
      <c r="D330" s="33" t="s">
        <v>340</v>
      </c>
      <c r="E330" s="56"/>
    </row>
    <row r="331" spans="1:5" x14ac:dyDescent="0.3">
      <c r="A331" s="57" t="s">
        <v>409</v>
      </c>
      <c r="B331" s="58">
        <v>3939</v>
      </c>
      <c r="C331" s="32" t="s">
        <v>52</v>
      </c>
      <c r="D331" s="33" t="s">
        <v>340</v>
      </c>
      <c r="E331" s="56"/>
    </row>
    <row r="332" spans="1:5" x14ac:dyDescent="0.3">
      <c r="A332" s="57" t="s">
        <v>410</v>
      </c>
      <c r="B332" s="58">
        <v>3691</v>
      </c>
      <c r="C332" s="32" t="s">
        <v>52</v>
      </c>
      <c r="D332" s="33" t="s">
        <v>340</v>
      </c>
      <c r="E332" s="56"/>
    </row>
    <row r="333" spans="1:5" x14ac:dyDescent="0.3">
      <c r="A333" s="57" t="s">
        <v>411</v>
      </c>
      <c r="B333" s="58">
        <v>1591</v>
      </c>
      <c r="C333" s="32" t="s">
        <v>52</v>
      </c>
      <c r="D333" s="33" t="s">
        <v>340</v>
      </c>
      <c r="E333" s="56"/>
    </row>
    <row r="334" spans="1:5" x14ac:dyDescent="0.3">
      <c r="A334" s="57" t="s">
        <v>178</v>
      </c>
      <c r="B334" s="58">
        <v>9637</v>
      </c>
      <c r="C334" s="32" t="s">
        <v>52</v>
      </c>
      <c r="D334" s="33" t="s">
        <v>340</v>
      </c>
      <c r="E334" s="56"/>
    </row>
    <row r="335" spans="1:5" x14ac:dyDescent="0.3">
      <c r="A335" s="57" t="s">
        <v>298</v>
      </c>
      <c r="B335" s="58">
        <v>3768</v>
      </c>
      <c r="C335" s="32" t="s">
        <v>52</v>
      </c>
      <c r="D335" s="33" t="s">
        <v>340</v>
      </c>
      <c r="E335" s="56"/>
    </row>
    <row r="336" spans="1:5" x14ac:dyDescent="0.3">
      <c r="A336" s="57" t="s">
        <v>269</v>
      </c>
      <c r="B336" s="58">
        <v>3509</v>
      </c>
      <c r="C336" s="32" t="s">
        <v>52</v>
      </c>
      <c r="D336" s="33" t="s">
        <v>340</v>
      </c>
      <c r="E336" s="56"/>
    </row>
    <row r="337" spans="1:5" x14ac:dyDescent="0.3">
      <c r="A337" s="57" t="s">
        <v>412</v>
      </c>
      <c r="B337" s="58">
        <v>3568</v>
      </c>
      <c r="C337" s="32" t="s">
        <v>52</v>
      </c>
      <c r="D337" s="33" t="s">
        <v>340</v>
      </c>
      <c r="E337" s="56"/>
    </row>
    <row r="338" spans="1:5" x14ac:dyDescent="0.3">
      <c r="A338" s="57" t="s">
        <v>114</v>
      </c>
      <c r="B338" s="58">
        <v>541</v>
      </c>
      <c r="C338" s="32" t="s">
        <v>52</v>
      </c>
      <c r="D338" s="33" t="s">
        <v>340</v>
      </c>
      <c r="E338" s="56"/>
    </row>
    <row r="339" spans="1:5" x14ac:dyDescent="0.3">
      <c r="A339" s="57" t="s">
        <v>413</v>
      </c>
      <c r="B339" s="58">
        <v>9177</v>
      </c>
      <c r="C339" s="32" t="s">
        <v>52</v>
      </c>
      <c r="D339" s="33" t="s">
        <v>340</v>
      </c>
      <c r="E339" s="56"/>
    </row>
    <row r="340" spans="1:5" x14ac:dyDescent="0.3">
      <c r="A340" s="57" t="s">
        <v>414</v>
      </c>
      <c r="B340" s="58">
        <v>3840</v>
      </c>
      <c r="C340" s="32" t="s">
        <v>52</v>
      </c>
      <c r="D340" s="33" t="s">
        <v>340</v>
      </c>
      <c r="E340" s="56"/>
    </row>
    <row r="341" spans="1:5" x14ac:dyDescent="0.3">
      <c r="A341" s="57" t="s">
        <v>90</v>
      </c>
      <c r="B341" s="58">
        <v>224</v>
      </c>
      <c r="C341" s="32" t="s">
        <v>52</v>
      </c>
      <c r="D341" s="33" t="s">
        <v>340</v>
      </c>
      <c r="E341" s="56"/>
    </row>
    <row r="342" spans="1:5" x14ac:dyDescent="0.3">
      <c r="A342" s="57" t="s">
        <v>295</v>
      </c>
      <c r="B342" s="58">
        <v>3695</v>
      </c>
      <c r="C342" s="32" t="s">
        <v>52</v>
      </c>
      <c r="D342" s="33" t="s">
        <v>340</v>
      </c>
      <c r="E342" s="56"/>
    </row>
    <row r="343" spans="1:5" x14ac:dyDescent="0.3">
      <c r="A343" s="57" t="s">
        <v>161</v>
      </c>
      <c r="B343" s="58">
        <v>677</v>
      </c>
      <c r="C343" s="32" t="s">
        <v>52</v>
      </c>
      <c r="D343" s="33" t="s">
        <v>340</v>
      </c>
      <c r="E343" s="56"/>
    </row>
    <row r="344" spans="1:5" x14ac:dyDescent="0.3">
      <c r="A344" s="57" t="s">
        <v>415</v>
      </c>
      <c r="B344" s="58">
        <v>233</v>
      </c>
      <c r="C344" s="32" t="s">
        <v>52</v>
      </c>
      <c r="D344" s="33" t="s">
        <v>340</v>
      </c>
      <c r="E344" s="56"/>
    </row>
    <row r="345" spans="1:5" x14ac:dyDescent="0.3">
      <c r="A345" s="57" t="s">
        <v>1076</v>
      </c>
      <c r="B345" s="58">
        <v>4100</v>
      </c>
      <c r="C345" s="32" t="s">
        <v>52</v>
      </c>
      <c r="D345" s="33" t="s">
        <v>340</v>
      </c>
      <c r="E345" s="56"/>
    </row>
    <row r="346" spans="1:5" x14ac:dyDescent="0.3">
      <c r="A346" s="57" t="s">
        <v>1079</v>
      </c>
      <c r="B346" s="58">
        <v>4119</v>
      </c>
      <c r="C346" s="32" t="s">
        <v>52</v>
      </c>
      <c r="D346" s="33" t="s">
        <v>340</v>
      </c>
      <c r="E346" s="56"/>
    </row>
    <row r="347" spans="1:5" x14ac:dyDescent="0.3">
      <c r="A347" s="57" t="s">
        <v>566</v>
      </c>
      <c r="B347" s="58">
        <v>1480</v>
      </c>
      <c r="C347" s="32" t="s">
        <v>52</v>
      </c>
      <c r="D347" s="33" t="s">
        <v>340</v>
      </c>
      <c r="E347" s="56"/>
    </row>
    <row r="348" spans="1:5" x14ac:dyDescent="0.3">
      <c r="A348" s="57" t="s">
        <v>691</v>
      </c>
      <c r="B348" s="58">
        <v>2850</v>
      </c>
      <c r="C348" s="32" t="s">
        <v>52</v>
      </c>
      <c r="D348" s="33" t="s">
        <v>340</v>
      </c>
      <c r="E348" s="56"/>
    </row>
    <row r="349" spans="1:5" x14ac:dyDescent="0.3">
      <c r="A349" s="57" t="s">
        <v>831</v>
      </c>
      <c r="B349" s="58">
        <v>3335</v>
      </c>
      <c r="C349" s="32" t="s">
        <v>52</v>
      </c>
      <c r="D349" s="33" t="s">
        <v>340</v>
      </c>
      <c r="E349" s="56"/>
    </row>
    <row r="350" spans="1:5" x14ac:dyDescent="0.3">
      <c r="A350" s="57" t="s">
        <v>964</v>
      </c>
      <c r="B350" s="58">
        <v>3719</v>
      </c>
      <c r="C350" s="32" t="s">
        <v>52</v>
      </c>
      <c r="D350" s="33" t="s">
        <v>340</v>
      </c>
      <c r="E350" s="56"/>
    </row>
    <row r="351" spans="1:5" x14ac:dyDescent="0.3">
      <c r="A351" s="57" t="s">
        <v>760</v>
      </c>
      <c r="B351" s="58">
        <v>3127</v>
      </c>
      <c r="C351" s="32" t="s">
        <v>52</v>
      </c>
      <c r="D351" s="33" t="s">
        <v>340</v>
      </c>
      <c r="E351" s="56"/>
    </row>
    <row r="352" spans="1:5" x14ac:dyDescent="0.3">
      <c r="A352" s="57" t="s">
        <v>687</v>
      </c>
      <c r="B352" s="58">
        <v>2784</v>
      </c>
      <c r="C352" s="32" t="s">
        <v>52</v>
      </c>
      <c r="D352" s="33" t="s">
        <v>340</v>
      </c>
      <c r="E352" s="56"/>
    </row>
    <row r="353" spans="1:5" x14ac:dyDescent="0.3">
      <c r="A353" s="57" t="s">
        <v>1086</v>
      </c>
      <c r="B353" s="58">
        <v>4181</v>
      </c>
      <c r="C353" s="32" t="s">
        <v>52</v>
      </c>
      <c r="D353" s="33" t="s">
        <v>340</v>
      </c>
      <c r="E353" s="56"/>
    </row>
    <row r="354" spans="1:5" x14ac:dyDescent="0.3">
      <c r="A354" s="57" t="s">
        <v>1183</v>
      </c>
      <c r="B354" s="58">
        <v>7629</v>
      </c>
      <c r="C354" s="32" t="s">
        <v>52</v>
      </c>
      <c r="D354" s="33" t="s">
        <v>340</v>
      </c>
      <c r="E354" s="56"/>
    </row>
    <row r="355" spans="1:5" x14ac:dyDescent="0.3">
      <c r="A355" s="57" t="s">
        <v>858</v>
      </c>
      <c r="B355" s="58">
        <v>3399</v>
      </c>
      <c r="C355" s="32" t="s">
        <v>52</v>
      </c>
      <c r="D355" s="33" t="s">
        <v>340</v>
      </c>
      <c r="E355" s="56"/>
    </row>
    <row r="356" spans="1:5" x14ac:dyDescent="0.3">
      <c r="A356" s="57" t="s">
        <v>455</v>
      </c>
      <c r="B356" s="58">
        <v>446</v>
      </c>
      <c r="C356" s="32" t="s">
        <v>52</v>
      </c>
      <c r="D356" s="33" t="s">
        <v>340</v>
      </c>
      <c r="E356" s="56"/>
    </row>
    <row r="357" spans="1:5" x14ac:dyDescent="0.3">
      <c r="A357" s="57" t="s">
        <v>1095</v>
      </c>
      <c r="B357" s="58">
        <v>4251</v>
      </c>
      <c r="C357" s="32" t="s">
        <v>52</v>
      </c>
      <c r="D357" s="33" t="s">
        <v>340</v>
      </c>
      <c r="E357" s="56"/>
    </row>
    <row r="358" spans="1:5" x14ac:dyDescent="0.3">
      <c r="A358" s="57" t="s">
        <v>631</v>
      </c>
      <c r="B358" s="58">
        <v>1874</v>
      </c>
      <c r="C358" s="32" t="s">
        <v>52</v>
      </c>
      <c r="D358" s="33" t="s">
        <v>340</v>
      </c>
      <c r="E358" s="56"/>
    </row>
    <row r="359" spans="1:5" x14ac:dyDescent="0.3">
      <c r="A359" s="57" t="s">
        <v>518</v>
      </c>
      <c r="B359" s="58">
        <v>957</v>
      </c>
      <c r="C359" s="32" t="s">
        <v>52</v>
      </c>
      <c r="D359" s="33" t="s">
        <v>340</v>
      </c>
      <c r="E359" s="56"/>
    </row>
    <row r="360" spans="1:5" x14ac:dyDescent="0.3">
      <c r="A360" s="57" t="s">
        <v>1083</v>
      </c>
      <c r="B360" s="58">
        <v>4154</v>
      </c>
      <c r="C360" s="32" t="s">
        <v>52</v>
      </c>
      <c r="D360" s="33" t="s">
        <v>340</v>
      </c>
      <c r="E360" s="56"/>
    </row>
    <row r="361" spans="1:5" x14ac:dyDescent="0.3">
      <c r="A361" s="57" t="s">
        <v>1075</v>
      </c>
      <c r="B361" s="58">
        <v>4099</v>
      </c>
      <c r="C361" s="32" t="s">
        <v>52</v>
      </c>
      <c r="D361" s="33" t="s">
        <v>340</v>
      </c>
      <c r="E361" s="56"/>
    </row>
    <row r="362" spans="1:5" x14ac:dyDescent="0.3">
      <c r="A362" s="57" t="s">
        <v>1173</v>
      </c>
      <c r="B362" s="58">
        <v>7109</v>
      </c>
      <c r="C362" s="32" t="s">
        <v>52</v>
      </c>
      <c r="D362" s="33" t="s">
        <v>340</v>
      </c>
      <c r="E362" s="56"/>
    </row>
    <row r="363" spans="1:5" x14ac:dyDescent="0.3">
      <c r="A363" s="57" t="s">
        <v>1195</v>
      </c>
      <c r="B363" s="58">
        <v>9102</v>
      </c>
      <c r="C363" s="32" t="s">
        <v>52</v>
      </c>
      <c r="D363" s="33" t="s">
        <v>340</v>
      </c>
      <c r="E363" s="56"/>
    </row>
    <row r="364" spans="1:5" x14ac:dyDescent="0.3">
      <c r="A364" s="57" t="s">
        <v>1111</v>
      </c>
      <c r="B364" s="58">
        <v>4268</v>
      </c>
      <c r="C364" s="32" t="s">
        <v>52</v>
      </c>
      <c r="D364" s="33" t="s">
        <v>340</v>
      </c>
      <c r="E364" s="56"/>
    </row>
    <row r="365" spans="1:5" x14ac:dyDescent="0.3">
      <c r="A365" s="57" t="s">
        <v>1271</v>
      </c>
      <c r="B365" s="58">
        <v>9891</v>
      </c>
      <c r="C365" s="32" t="s">
        <v>52</v>
      </c>
      <c r="D365" s="33" t="s">
        <v>340</v>
      </c>
      <c r="E365" s="56"/>
    </row>
    <row r="366" spans="1:5" x14ac:dyDescent="0.3">
      <c r="A366" s="57" t="s">
        <v>1105</v>
      </c>
      <c r="B366" s="58">
        <v>4260</v>
      </c>
      <c r="C366" s="32" t="s">
        <v>52</v>
      </c>
      <c r="D366" s="33" t="s">
        <v>340</v>
      </c>
      <c r="E366" s="56"/>
    </row>
    <row r="367" spans="1:5" x14ac:dyDescent="0.3">
      <c r="A367" s="57" t="s">
        <v>1264</v>
      </c>
      <c r="B367" s="58">
        <v>9834</v>
      </c>
      <c r="C367" s="32" t="s">
        <v>52</v>
      </c>
      <c r="D367" s="33" t="s">
        <v>340</v>
      </c>
      <c r="E367" s="56"/>
    </row>
    <row r="368" spans="1:5" x14ac:dyDescent="0.3">
      <c r="A368" s="57" t="s">
        <v>105</v>
      </c>
      <c r="B368" s="58">
        <v>3504</v>
      </c>
      <c r="C368" s="32" t="s">
        <v>52</v>
      </c>
      <c r="D368" s="33" t="s">
        <v>340</v>
      </c>
      <c r="E368" s="56"/>
    </row>
    <row r="369" spans="1:5" x14ac:dyDescent="0.3">
      <c r="A369" s="57" t="s">
        <v>1084</v>
      </c>
      <c r="B369" s="58">
        <v>4163</v>
      </c>
      <c r="C369" s="32" t="s">
        <v>52</v>
      </c>
      <c r="D369" s="33" t="s">
        <v>340</v>
      </c>
      <c r="E369" s="56"/>
    </row>
    <row r="370" spans="1:5" x14ac:dyDescent="0.3">
      <c r="A370" s="57" t="s">
        <v>1136</v>
      </c>
      <c r="B370" s="58">
        <v>4297</v>
      </c>
      <c r="C370" s="32" t="s">
        <v>52</v>
      </c>
      <c r="D370" s="33" t="s">
        <v>340</v>
      </c>
      <c r="E370" s="56"/>
    </row>
    <row r="371" spans="1:5" x14ac:dyDescent="0.3">
      <c r="A371" s="57" t="s">
        <v>1089</v>
      </c>
      <c r="B371" s="58">
        <v>4183</v>
      </c>
      <c r="C371" s="32" t="s">
        <v>52</v>
      </c>
      <c r="D371" s="33" t="s">
        <v>340</v>
      </c>
      <c r="E371" s="56"/>
    </row>
    <row r="372" spans="1:5" x14ac:dyDescent="0.3">
      <c r="A372" s="57" t="s">
        <v>836</v>
      </c>
      <c r="B372" s="58">
        <v>3348</v>
      </c>
      <c r="C372" s="32" t="s">
        <v>52</v>
      </c>
      <c r="D372" s="33" t="s">
        <v>340</v>
      </c>
      <c r="E372" s="56"/>
    </row>
    <row r="373" spans="1:5" x14ac:dyDescent="0.3">
      <c r="A373" s="57" t="s">
        <v>630</v>
      </c>
      <c r="B373" s="58">
        <v>1868</v>
      </c>
      <c r="C373" s="32" t="s">
        <v>52</v>
      </c>
      <c r="D373" s="33" t="s">
        <v>340</v>
      </c>
      <c r="E373" s="56"/>
    </row>
    <row r="374" spans="1:5" x14ac:dyDescent="0.3">
      <c r="A374" s="57" t="s">
        <v>476</v>
      </c>
      <c r="B374" s="58">
        <v>781</v>
      </c>
      <c r="C374" s="32" t="s">
        <v>52</v>
      </c>
      <c r="D374" s="33" t="s">
        <v>340</v>
      </c>
      <c r="E374" s="56"/>
    </row>
    <row r="375" spans="1:5" x14ac:dyDescent="0.3">
      <c r="A375" s="57" t="s">
        <v>934</v>
      </c>
      <c r="B375" s="58">
        <v>3666</v>
      </c>
      <c r="C375" s="32" t="s">
        <v>52</v>
      </c>
      <c r="D375" s="33" t="s">
        <v>340</v>
      </c>
      <c r="E375" s="56"/>
    </row>
    <row r="376" spans="1:5" x14ac:dyDescent="0.3">
      <c r="A376" s="57" t="s">
        <v>517</v>
      </c>
      <c r="B376" s="58">
        <v>951</v>
      </c>
      <c r="C376" s="32" t="s">
        <v>52</v>
      </c>
      <c r="D376" s="33" t="s">
        <v>340</v>
      </c>
      <c r="E376" s="56"/>
    </row>
    <row r="377" spans="1:5" x14ac:dyDescent="0.3">
      <c r="A377" s="57" t="s">
        <v>996</v>
      </c>
      <c r="B377" s="58">
        <v>3905</v>
      </c>
      <c r="C377" s="32" t="s">
        <v>52</v>
      </c>
      <c r="D377" s="33" t="s">
        <v>340</v>
      </c>
      <c r="E377" s="56"/>
    </row>
    <row r="378" spans="1:5" x14ac:dyDescent="0.3">
      <c r="A378" s="57" t="s">
        <v>1112</v>
      </c>
      <c r="B378" s="58">
        <v>4278</v>
      </c>
      <c r="C378" s="32" t="s">
        <v>52</v>
      </c>
      <c r="D378" s="33" t="s">
        <v>340</v>
      </c>
      <c r="E378" s="56"/>
    </row>
    <row r="379" spans="1:5" x14ac:dyDescent="0.3">
      <c r="A379" s="57" t="s">
        <v>696</v>
      </c>
      <c r="B379" s="58">
        <v>2961</v>
      </c>
      <c r="C379" s="32" t="s">
        <v>52</v>
      </c>
      <c r="D379" s="33" t="s">
        <v>340</v>
      </c>
      <c r="E379" s="56"/>
    </row>
    <row r="380" spans="1:5" x14ac:dyDescent="0.3">
      <c r="A380" s="57" t="s">
        <v>1139</v>
      </c>
      <c r="B380" s="58">
        <v>4300</v>
      </c>
      <c r="C380" s="32" t="s">
        <v>52</v>
      </c>
      <c r="D380" s="33" t="s">
        <v>340</v>
      </c>
      <c r="E380" s="56"/>
    </row>
    <row r="381" spans="1:5" x14ac:dyDescent="0.3">
      <c r="A381" s="57" t="s">
        <v>488</v>
      </c>
      <c r="B381" s="58">
        <v>803</v>
      </c>
      <c r="C381" s="32" t="s">
        <v>52</v>
      </c>
      <c r="D381" s="33" t="s">
        <v>340</v>
      </c>
      <c r="E381" s="56"/>
    </row>
    <row r="382" spans="1:5" x14ac:dyDescent="0.3">
      <c r="A382" s="57" t="s">
        <v>179</v>
      </c>
      <c r="B382" s="58">
        <v>1425</v>
      </c>
      <c r="C382" s="32" t="s">
        <v>52</v>
      </c>
      <c r="D382" s="33" t="s">
        <v>340</v>
      </c>
      <c r="E382" s="56"/>
    </row>
    <row r="383" spans="1:5" x14ac:dyDescent="0.3">
      <c r="A383" s="57" t="s">
        <v>1221</v>
      </c>
      <c r="B383" s="58">
        <v>9354</v>
      </c>
      <c r="C383" s="32" t="s">
        <v>52</v>
      </c>
      <c r="D383" s="33" t="s">
        <v>340</v>
      </c>
      <c r="E383" s="56"/>
    </row>
    <row r="384" spans="1:5" x14ac:dyDescent="0.3">
      <c r="A384" s="57" t="s">
        <v>118</v>
      </c>
      <c r="B384" s="58">
        <v>722</v>
      </c>
      <c r="C384" s="32" t="s">
        <v>52</v>
      </c>
      <c r="D384" s="33" t="s">
        <v>340</v>
      </c>
      <c r="E384" s="56"/>
    </row>
    <row r="385" spans="1:5" x14ac:dyDescent="0.3">
      <c r="A385" s="57" t="s">
        <v>221</v>
      </c>
      <c r="B385" s="58">
        <v>9099</v>
      </c>
      <c r="C385" s="32" t="s">
        <v>52</v>
      </c>
      <c r="D385" s="33" t="s">
        <v>340</v>
      </c>
      <c r="E385" s="56"/>
    </row>
    <row r="386" spans="1:5" x14ac:dyDescent="0.3">
      <c r="A386" s="57" t="s">
        <v>98</v>
      </c>
      <c r="B386" s="58">
        <v>3138</v>
      </c>
      <c r="C386" s="32" t="s">
        <v>52</v>
      </c>
      <c r="D386" s="33" t="s">
        <v>340</v>
      </c>
      <c r="E386" s="56"/>
    </row>
    <row r="387" spans="1:5" x14ac:dyDescent="0.3">
      <c r="A387" s="57" t="s">
        <v>1074</v>
      </c>
      <c r="B387" s="58">
        <v>4078</v>
      </c>
      <c r="C387" s="32" t="s">
        <v>52</v>
      </c>
      <c r="D387" s="33" t="s">
        <v>340</v>
      </c>
      <c r="E387" s="56"/>
    </row>
    <row r="388" spans="1:5" x14ac:dyDescent="0.3">
      <c r="A388" s="57" t="s">
        <v>669</v>
      </c>
      <c r="B388" s="58">
        <v>2583</v>
      </c>
      <c r="C388" s="32" t="s">
        <v>52</v>
      </c>
      <c r="D388" s="33" t="s">
        <v>340</v>
      </c>
      <c r="E388" s="56"/>
    </row>
    <row r="389" spans="1:5" x14ac:dyDescent="0.3">
      <c r="A389" s="57" t="s">
        <v>251</v>
      </c>
      <c r="B389" s="58">
        <v>3613</v>
      </c>
      <c r="C389" s="32" t="s">
        <v>52</v>
      </c>
      <c r="D389" s="33" t="s">
        <v>340</v>
      </c>
      <c r="E389" s="56"/>
    </row>
    <row r="390" spans="1:5" x14ac:dyDescent="0.3">
      <c r="A390" s="57" t="s">
        <v>1153</v>
      </c>
      <c r="B390" s="58">
        <v>4311</v>
      </c>
      <c r="C390" s="32" t="s">
        <v>52</v>
      </c>
      <c r="D390" s="33" t="s">
        <v>341</v>
      </c>
      <c r="E390" s="56"/>
    </row>
    <row r="391" spans="1:5" x14ac:dyDescent="0.3">
      <c r="A391" s="60" t="s">
        <v>613</v>
      </c>
      <c r="B391" s="61">
        <v>1798</v>
      </c>
      <c r="C391" s="32" t="s">
        <v>52</v>
      </c>
      <c r="D391" s="62" t="s">
        <v>340</v>
      </c>
      <c r="E391" s="63"/>
    </row>
    <row r="392" spans="1:5" x14ac:dyDescent="0.3">
      <c r="A392" s="57" t="s">
        <v>697</v>
      </c>
      <c r="B392" s="58">
        <v>3003</v>
      </c>
      <c r="C392" s="32" t="s">
        <v>52</v>
      </c>
      <c r="D392" s="33" t="s">
        <v>340</v>
      </c>
      <c r="E392" s="56"/>
    </row>
    <row r="393" spans="1:5" x14ac:dyDescent="0.3">
      <c r="A393" s="57" t="s">
        <v>1038</v>
      </c>
      <c r="B393" s="58">
        <v>3951</v>
      </c>
      <c r="C393" s="32" t="s">
        <v>52</v>
      </c>
      <c r="D393" s="33" t="s">
        <v>340</v>
      </c>
      <c r="E393" s="56"/>
    </row>
    <row r="394" spans="1:5" x14ac:dyDescent="0.3">
      <c r="A394" s="57" t="s">
        <v>212</v>
      </c>
      <c r="B394" s="58">
        <v>1595</v>
      </c>
      <c r="C394" s="32" t="s">
        <v>52</v>
      </c>
      <c r="D394" s="33" t="s">
        <v>340</v>
      </c>
      <c r="E394" s="56"/>
    </row>
    <row r="395" spans="1:5" x14ac:dyDescent="0.3">
      <c r="A395" s="57" t="s">
        <v>450</v>
      </c>
      <c r="B395" s="58">
        <v>291</v>
      </c>
      <c r="C395" s="32" t="s">
        <v>52</v>
      </c>
      <c r="D395" s="33" t="s">
        <v>340</v>
      </c>
      <c r="E395" s="56"/>
    </row>
    <row r="396" spans="1:5" x14ac:dyDescent="0.3">
      <c r="A396" s="57" t="s">
        <v>416</v>
      </c>
      <c r="B396" s="58">
        <v>9821</v>
      </c>
      <c r="C396" s="32" t="s">
        <v>52</v>
      </c>
      <c r="D396" s="33" t="s">
        <v>340</v>
      </c>
      <c r="E396" s="56"/>
    </row>
    <row r="397" spans="1:5" x14ac:dyDescent="0.3">
      <c r="A397" s="57" t="s">
        <v>387</v>
      </c>
      <c r="B397" s="58">
        <v>4103</v>
      </c>
      <c r="C397" s="32" t="s">
        <v>52</v>
      </c>
      <c r="D397" s="33" t="s">
        <v>340</v>
      </c>
      <c r="E397" s="56"/>
    </row>
    <row r="398" spans="1:5" x14ac:dyDescent="0.3">
      <c r="A398" s="57" t="s">
        <v>1135</v>
      </c>
      <c r="B398" s="58">
        <v>4295</v>
      </c>
      <c r="C398" s="32" t="s">
        <v>52</v>
      </c>
      <c r="D398" s="33" t="s">
        <v>340</v>
      </c>
      <c r="E398" s="56"/>
    </row>
    <row r="399" spans="1:5" x14ac:dyDescent="0.3">
      <c r="A399" s="57" t="s">
        <v>926</v>
      </c>
      <c r="B399" s="58">
        <v>3646</v>
      </c>
      <c r="C399" s="32" t="s">
        <v>52</v>
      </c>
      <c r="D399" s="33" t="s">
        <v>341</v>
      </c>
      <c r="E399" s="56"/>
    </row>
    <row r="400" spans="1:5" x14ac:dyDescent="0.3">
      <c r="A400" s="57" t="s">
        <v>1214</v>
      </c>
      <c r="B400" s="58">
        <v>9158</v>
      </c>
      <c r="C400" s="32" t="s">
        <v>52</v>
      </c>
      <c r="D400" s="33" t="s">
        <v>340</v>
      </c>
      <c r="E400" s="56"/>
    </row>
    <row r="401" spans="1:5" x14ac:dyDescent="0.3">
      <c r="A401" s="57" t="s">
        <v>1159</v>
      </c>
      <c r="B401" s="58">
        <v>4331</v>
      </c>
      <c r="C401" s="32" t="s">
        <v>52</v>
      </c>
      <c r="D401" s="33" t="s">
        <v>340</v>
      </c>
      <c r="E401" s="56"/>
    </row>
    <row r="402" spans="1:5" x14ac:dyDescent="0.3">
      <c r="A402" s="57" t="s">
        <v>989</v>
      </c>
      <c r="B402" s="58">
        <v>3838</v>
      </c>
      <c r="C402" s="32" t="s">
        <v>52</v>
      </c>
      <c r="D402" s="33" t="s">
        <v>340</v>
      </c>
      <c r="E402" s="56"/>
    </row>
    <row r="403" spans="1:5" x14ac:dyDescent="0.3">
      <c r="A403" s="57" t="s">
        <v>399</v>
      </c>
      <c r="B403" s="58">
        <v>3386</v>
      </c>
      <c r="C403" s="32" t="s">
        <v>52</v>
      </c>
      <c r="D403" s="33" t="s">
        <v>340</v>
      </c>
      <c r="E403" s="56"/>
    </row>
    <row r="404" spans="1:5" x14ac:dyDescent="0.3">
      <c r="A404" s="57" t="s">
        <v>1122</v>
      </c>
      <c r="B404" s="58">
        <v>4294</v>
      </c>
      <c r="C404" s="32" t="s">
        <v>52</v>
      </c>
      <c r="D404" s="33" t="s">
        <v>340</v>
      </c>
      <c r="E404" s="56"/>
    </row>
    <row r="405" spans="1:5" x14ac:dyDescent="0.3">
      <c r="A405" s="57" t="s">
        <v>552</v>
      </c>
      <c r="B405" s="58">
        <v>1441</v>
      </c>
      <c r="C405" s="32" t="s">
        <v>52</v>
      </c>
      <c r="D405" s="33" t="s">
        <v>340</v>
      </c>
      <c r="E405" s="56"/>
    </row>
    <row r="406" spans="1:5" x14ac:dyDescent="0.3">
      <c r="A406" s="57" t="s">
        <v>302</v>
      </c>
      <c r="B406" s="58">
        <v>1894</v>
      </c>
      <c r="C406" s="32" t="s">
        <v>52</v>
      </c>
      <c r="D406" s="33" t="s">
        <v>340</v>
      </c>
      <c r="E406" s="56"/>
    </row>
    <row r="407" spans="1:5" x14ac:dyDescent="0.3">
      <c r="A407" s="57" t="s">
        <v>1092</v>
      </c>
      <c r="B407" s="58">
        <v>4196</v>
      </c>
      <c r="C407" s="32" t="s">
        <v>52</v>
      </c>
      <c r="D407" s="33" t="s">
        <v>340</v>
      </c>
      <c r="E407" s="56"/>
    </row>
    <row r="408" spans="1:5" x14ac:dyDescent="0.3">
      <c r="A408" s="57" t="s">
        <v>1162</v>
      </c>
      <c r="B408" s="58">
        <v>4337</v>
      </c>
      <c r="C408" s="32" t="s">
        <v>52</v>
      </c>
      <c r="D408" s="33" t="s">
        <v>340</v>
      </c>
      <c r="E408" s="56"/>
    </row>
    <row r="409" spans="1:5" x14ac:dyDescent="0.3">
      <c r="A409" s="57" t="s">
        <v>516</v>
      </c>
      <c r="B409" s="58">
        <v>950</v>
      </c>
      <c r="C409" s="32" t="s">
        <v>52</v>
      </c>
      <c r="D409" s="33" t="s">
        <v>340</v>
      </c>
      <c r="E409" s="56"/>
    </row>
    <row r="410" spans="1:5" x14ac:dyDescent="0.3">
      <c r="A410" s="57" t="s">
        <v>1273</v>
      </c>
      <c r="B410" s="58">
        <v>9896</v>
      </c>
      <c r="C410" s="32" t="s">
        <v>52</v>
      </c>
      <c r="D410" s="33" t="s">
        <v>340</v>
      </c>
      <c r="E410" s="56"/>
    </row>
    <row r="411" spans="1:5" x14ac:dyDescent="0.3">
      <c r="A411" s="57" t="s">
        <v>351</v>
      </c>
      <c r="B411" s="58">
        <v>2356</v>
      </c>
      <c r="C411" s="32" t="s">
        <v>52</v>
      </c>
      <c r="D411" s="33" t="s">
        <v>340</v>
      </c>
      <c r="E411" s="56"/>
    </row>
    <row r="412" spans="1:5" x14ac:dyDescent="0.3">
      <c r="A412" s="57" t="s">
        <v>1151</v>
      </c>
      <c r="B412" s="58">
        <v>4306</v>
      </c>
      <c r="C412" s="32" t="s">
        <v>52</v>
      </c>
      <c r="D412" s="33" t="s">
        <v>340</v>
      </c>
      <c r="E412" s="56"/>
    </row>
    <row r="413" spans="1:5" x14ac:dyDescent="0.3">
      <c r="A413" s="57" t="s">
        <v>795</v>
      </c>
      <c r="B413" s="58">
        <v>3206</v>
      </c>
      <c r="C413" s="32" t="s">
        <v>52</v>
      </c>
      <c r="D413" s="33" t="s">
        <v>340</v>
      </c>
      <c r="E413" s="56"/>
    </row>
    <row r="414" spans="1:5" x14ac:dyDescent="0.3">
      <c r="A414" s="57" t="s">
        <v>1107</v>
      </c>
      <c r="B414" s="58">
        <v>4266</v>
      </c>
      <c r="C414" s="32" t="s">
        <v>52</v>
      </c>
      <c r="D414" s="33" t="s">
        <v>340</v>
      </c>
      <c r="E414" s="56"/>
    </row>
    <row r="415" spans="1:5" x14ac:dyDescent="0.3">
      <c r="A415" s="57" t="s">
        <v>330</v>
      </c>
      <c r="B415" s="58">
        <v>3950</v>
      </c>
      <c r="C415" s="32" t="s">
        <v>52</v>
      </c>
      <c r="D415" s="33" t="s">
        <v>340</v>
      </c>
      <c r="E415" s="56"/>
    </row>
    <row r="416" spans="1:5" x14ac:dyDescent="0.3">
      <c r="A416" s="57" t="s">
        <v>1268</v>
      </c>
      <c r="B416" s="58">
        <v>9887</v>
      </c>
      <c r="C416" s="32" t="s">
        <v>52</v>
      </c>
      <c r="D416" s="33" t="s">
        <v>340</v>
      </c>
      <c r="E416" s="56"/>
    </row>
    <row r="417" spans="1:5" x14ac:dyDescent="0.3">
      <c r="A417" s="57" t="s">
        <v>1262</v>
      </c>
      <c r="B417" s="58">
        <v>9820</v>
      </c>
      <c r="C417" s="32" t="s">
        <v>52</v>
      </c>
      <c r="D417" s="33" t="s">
        <v>340</v>
      </c>
      <c r="E417" s="56"/>
    </row>
    <row r="418" spans="1:5" x14ac:dyDescent="0.3">
      <c r="A418" s="57" t="s">
        <v>525</v>
      </c>
      <c r="B418" s="58">
        <v>1209</v>
      </c>
      <c r="C418" s="32" t="s">
        <v>52</v>
      </c>
      <c r="D418" s="33" t="s">
        <v>340</v>
      </c>
      <c r="E418" s="56"/>
    </row>
    <row r="419" spans="1:5" x14ac:dyDescent="0.3">
      <c r="A419" s="57" t="s">
        <v>586</v>
      </c>
      <c r="B419" s="58">
        <v>1543</v>
      </c>
      <c r="C419" s="32" t="s">
        <v>52</v>
      </c>
      <c r="D419" s="33" t="s">
        <v>340</v>
      </c>
      <c r="E419" s="56"/>
    </row>
    <row r="420" spans="1:5" x14ac:dyDescent="0.3">
      <c r="A420" s="57" t="s">
        <v>81</v>
      </c>
      <c r="B420" s="58">
        <v>1485</v>
      </c>
      <c r="C420" s="32" t="s">
        <v>52</v>
      </c>
      <c r="D420" s="33" t="s">
        <v>340</v>
      </c>
      <c r="E420" s="56"/>
    </row>
    <row r="421" spans="1:5" x14ac:dyDescent="0.3">
      <c r="A421" s="57" t="s">
        <v>87</v>
      </c>
      <c r="B421" s="58">
        <v>7028</v>
      </c>
      <c r="C421" s="32" t="s">
        <v>52</v>
      </c>
      <c r="D421" s="33" t="s">
        <v>340</v>
      </c>
      <c r="E421" s="56"/>
    </row>
    <row r="422" spans="1:5" x14ac:dyDescent="0.3">
      <c r="A422" s="57" t="s">
        <v>733</v>
      </c>
      <c r="B422" s="58">
        <v>3049</v>
      </c>
      <c r="C422" s="32" t="s">
        <v>52</v>
      </c>
      <c r="D422" s="33" t="s">
        <v>340</v>
      </c>
      <c r="E422" s="56"/>
    </row>
    <row r="423" spans="1:5" x14ac:dyDescent="0.3">
      <c r="A423" s="57" t="s">
        <v>656</v>
      </c>
      <c r="B423" s="58">
        <v>2060</v>
      </c>
      <c r="C423" s="32" t="s">
        <v>52</v>
      </c>
      <c r="D423" s="33" t="s">
        <v>341</v>
      </c>
      <c r="E423" s="56"/>
    </row>
    <row r="424" spans="1:5" x14ac:dyDescent="0.3">
      <c r="A424" s="57" t="s">
        <v>735</v>
      </c>
      <c r="B424" s="58">
        <v>3095</v>
      </c>
      <c r="C424" s="32" t="s">
        <v>52</v>
      </c>
      <c r="D424" s="33" t="s">
        <v>340</v>
      </c>
      <c r="E424" s="56"/>
    </row>
    <row r="425" spans="1:5" x14ac:dyDescent="0.3">
      <c r="A425" s="57" t="s">
        <v>1118</v>
      </c>
      <c r="B425" s="58">
        <v>4280</v>
      </c>
      <c r="C425" s="32" t="s">
        <v>52</v>
      </c>
      <c r="D425" s="33" t="s">
        <v>341</v>
      </c>
      <c r="E425" s="56"/>
    </row>
    <row r="426" spans="1:5" x14ac:dyDescent="0.3">
      <c r="A426" s="57" t="s">
        <v>1140</v>
      </c>
      <c r="B426" s="58">
        <v>4302</v>
      </c>
      <c r="C426" s="32" t="s">
        <v>52</v>
      </c>
      <c r="D426" s="33" t="s">
        <v>340</v>
      </c>
      <c r="E426" s="56"/>
    </row>
    <row r="427" spans="1:5" x14ac:dyDescent="0.3">
      <c r="A427" s="57" t="s">
        <v>1169</v>
      </c>
      <c r="B427" s="58">
        <v>4357</v>
      </c>
      <c r="C427" s="32" t="s">
        <v>52</v>
      </c>
      <c r="D427" s="33" t="s">
        <v>340</v>
      </c>
      <c r="E427" s="56"/>
    </row>
    <row r="428" spans="1:5" x14ac:dyDescent="0.3">
      <c r="A428" s="57" t="s">
        <v>1120</v>
      </c>
      <c r="B428" s="58">
        <v>4290</v>
      </c>
      <c r="C428" s="32" t="s">
        <v>52</v>
      </c>
      <c r="D428" s="33" t="s">
        <v>340</v>
      </c>
      <c r="E428" s="56"/>
    </row>
    <row r="429" spans="1:5" x14ac:dyDescent="0.3">
      <c r="A429" s="57" t="s">
        <v>308</v>
      </c>
      <c r="B429" s="58">
        <v>3810</v>
      </c>
      <c r="C429" s="32" t="s">
        <v>52</v>
      </c>
      <c r="D429" s="33" t="s">
        <v>340</v>
      </c>
      <c r="E429" s="56"/>
    </row>
    <row r="430" spans="1:5" x14ac:dyDescent="0.3">
      <c r="A430" s="57" t="s">
        <v>1240</v>
      </c>
      <c r="B430" s="58">
        <v>9599</v>
      </c>
      <c r="C430" s="32" t="s">
        <v>52</v>
      </c>
      <c r="D430" s="33" t="s">
        <v>340</v>
      </c>
      <c r="E430" s="56"/>
    </row>
    <row r="431" spans="1:5" x14ac:dyDescent="0.3">
      <c r="A431" s="57" t="s">
        <v>463</v>
      </c>
      <c r="B431" s="58">
        <v>715</v>
      </c>
      <c r="C431" s="32" t="s">
        <v>52</v>
      </c>
      <c r="D431" s="33" t="s">
        <v>340</v>
      </c>
      <c r="E431" s="56"/>
    </row>
    <row r="432" spans="1:5" x14ac:dyDescent="0.3">
      <c r="A432" s="57" t="s">
        <v>317</v>
      </c>
      <c r="B432" s="58">
        <v>9234</v>
      </c>
      <c r="C432" s="32" t="s">
        <v>52</v>
      </c>
      <c r="D432" s="33" t="s">
        <v>340</v>
      </c>
      <c r="E432" s="56"/>
    </row>
    <row r="433" spans="1:5" x14ac:dyDescent="0.3">
      <c r="A433" s="60" t="s">
        <v>612</v>
      </c>
      <c r="B433" s="61">
        <v>1793</v>
      </c>
      <c r="C433" s="32" t="s">
        <v>52</v>
      </c>
      <c r="D433" s="62" t="s">
        <v>340</v>
      </c>
      <c r="E433" s="63"/>
    </row>
    <row r="434" spans="1:5" x14ac:dyDescent="0.3">
      <c r="A434" s="57" t="s">
        <v>1166</v>
      </c>
      <c r="B434" s="58">
        <v>4354</v>
      </c>
      <c r="C434" s="59" t="s">
        <v>406</v>
      </c>
      <c r="D434" s="33" t="s">
        <v>340</v>
      </c>
      <c r="E434" s="56">
        <v>20</v>
      </c>
    </row>
    <row r="435" spans="1:5" x14ac:dyDescent="0.3">
      <c r="A435" s="57" t="s">
        <v>1283</v>
      </c>
      <c r="B435" s="58">
        <v>4364</v>
      </c>
      <c r="C435" s="59" t="s">
        <v>406</v>
      </c>
      <c r="D435" s="33" t="s">
        <v>340</v>
      </c>
      <c r="E435" s="56">
        <v>20</v>
      </c>
    </row>
    <row r="436" spans="1:5" x14ac:dyDescent="0.3">
      <c r="A436" s="57" t="s">
        <v>1154</v>
      </c>
      <c r="B436" s="58">
        <v>4312</v>
      </c>
      <c r="C436" s="59" t="s">
        <v>406</v>
      </c>
      <c r="D436" s="33" t="s">
        <v>340</v>
      </c>
      <c r="E436" s="56">
        <v>20</v>
      </c>
    </row>
    <row r="437" spans="1:5" x14ac:dyDescent="0.3">
      <c r="A437" s="57" t="s">
        <v>614</v>
      </c>
      <c r="B437" s="58">
        <v>1828</v>
      </c>
      <c r="C437" s="59" t="s">
        <v>406</v>
      </c>
      <c r="D437" s="33" t="s">
        <v>340</v>
      </c>
      <c r="E437" s="56">
        <v>20</v>
      </c>
    </row>
    <row r="438" spans="1:5" x14ac:dyDescent="0.3">
      <c r="A438" s="57" t="s">
        <v>1161</v>
      </c>
      <c r="B438" s="58">
        <v>4334</v>
      </c>
      <c r="C438" s="59" t="s">
        <v>406</v>
      </c>
      <c r="D438" s="33" t="s">
        <v>340</v>
      </c>
      <c r="E438" s="56">
        <v>20</v>
      </c>
    </row>
    <row r="439" spans="1:5" x14ac:dyDescent="0.3">
      <c r="A439" s="57" t="s">
        <v>903</v>
      </c>
      <c r="B439" s="58">
        <v>3572</v>
      </c>
      <c r="C439" s="59" t="s">
        <v>406</v>
      </c>
      <c r="D439" s="33" t="s">
        <v>340</v>
      </c>
      <c r="E439" s="56">
        <v>20</v>
      </c>
    </row>
    <row r="440" spans="1:5" x14ac:dyDescent="0.3">
      <c r="A440" s="57" t="s">
        <v>1053</v>
      </c>
      <c r="B440" s="58">
        <v>4041</v>
      </c>
      <c r="C440" s="59" t="s">
        <v>406</v>
      </c>
      <c r="D440" s="33" t="s">
        <v>340</v>
      </c>
      <c r="E440" s="56">
        <v>20</v>
      </c>
    </row>
    <row r="441" spans="1:5" x14ac:dyDescent="0.3">
      <c r="A441" s="57" t="s">
        <v>1284</v>
      </c>
      <c r="B441" s="58">
        <v>4186</v>
      </c>
      <c r="C441" s="59" t="s">
        <v>406</v>
      </c>
      <c r="D441" s="33" t="s">
        <v>340</v>
      </c>
      <c r="E441" s="56">
        <v>20</v>
      </c>
    </row>
    <row r="442" spans="1:5" x14ac:dyDescent="0.3">
      <c r="A442" s="57" t="s">
        <v>1116</v>
      </c>
      <c r="B442" s="58">
        <v>4279</v>
      </c>
      <c r="C442" s="59" t="s">
        <v>406</v>
      </c>
      <c r="D442" s="33" t="s">
        <v>340</v>
      </c>
      <c r="E442" s="56">
        <v>20</v>
      </c>
    </row>
    <row r="443" spans="1:5" x14ac:dyDescent="0.3">
      <c r="A443" s="57" t="s">
        <v>247</v>
      </c>
      <c r="B443" s="58">
        <v>2980</v>
      </c>
      <c r="C443" s="32" t="s">
        <v>52</v>
      </c>
      <c r="D443" s="33" t="s">
        <v>340</v>
      </c>
      <c r="E443" s="56"/>
    </row>
    <row r="444" spans="1:5" x14ac:dyDescent="0.3">
      <c r="A444" s="57" t="s">
        <v>1094</v>
      </c>
      <c r="B444" s="58">
        <v>4203</v>
      </c>
      <c r="C444" s="32" t="s">
        <v>52</v>
      </c>
      <c r="D444" s="33" t="s">
        <v>340</v>
      </c>
      <c r="E444" s="56"/>
    </row>
    <row r="445" spans="1:5" x14ac:dyDescent="0.3">
      <c r="A445" s="57" t="s">
        <v>1094</v>
      </c>
      <c r="B445" s="58">
        <v>4218</v>
      </c>
      <c r="C445" s="32" t="s">
        <v>52</v>
      </c>
      <c r="D445" s="33" t="s">
        <v>340</v>
      </c>
      <c r="E445" s="56"/>
    </row>
    <row r="446" spans="1:5" x14ac:dyDescent="0.3">
      <c r="A446" s="57" t="s">
        <v>246</v>
      </c>
      <c r="B446" s="58">
        <v>2983</v>
      </c>
      <c r="C446" s="32" t="s">
        <v>52</v>
      </c>
      <c r="D446" s="33" t="s">
        <v>340</v>
      </c>
      <c r="E446" s="56"/>
    </row>
    <row r="447" spans="1:5" x14ac:dyDescent="0.3">
      <c r="A447" s="57" t="s">
        <v>246</v>
      </c>
      <c r="B447" s="58">
        <v>4217</v>
      </c>
      <c r="C447" s="32" t="s">
        <v>52</v>
      </c>
      <c r="D447" s="33" t="s">
        <v>340</v>
      </c>
      <c r="E447" s="56"/>
    </row>
    <row r="448" spans="1:5" x14ac:dyDescent="0.3">
      <c r="A448" s="57" t="s">
        <v>245</v>
      </c>
      <c r="B448" s="58">
        <v>4206</v>
      </c>
      <c r="C448" s="32" t="s">
        <v>52</v>
      </c>
      <c r="D448" s="33" t="s">
        <v>340</v>
      </c>
      <c r="E448" s="56"/>
    </row>
    <row r="449" spans="1:5" x14ac:dyDescent="0.3">
      <c r="A449" s="57" t="s">
        <v>245</v>
      </c>
      <c r="B449" s="58">
        <v>4210</v>
      </c>
      <c r="C449" s="32" t="s">
        <v>52</v>
      </c>
      <c r="D449" s="33" t="s">
        <v>340</v>
      </c>
      <c r="E449" s="56"/>
    </row>
    <row r="450" spans="1:5" x14ac:dyDescent="0.3">
      <c r="A450" s="57" t="s">
        <v>261</v>
      </c>
      <c r="B450" s="58">
        <v>4175</v>
      </c>
      <c r="C450" s="32" t="s">
        <v>52</v>
      </c>
      <c r="D450" s="33" t="s">
        <v>340</v>
      </c>
      <c r="E450" s="56"/>
    </row>
    <row r="451" spans="1:5" x14ac:dyDescent="0.3">
      <c r="A451" s="57" t="s">
        <v>261</v>
      </c>
      <c r="B451" s="58">
        <v>4323</v>
      </c>
      <c r="C451" s="32" t="s">
        <v>52</v>
      </c>
      <c r="D451" s="33" t="s">
        <v>340</v>
      </c>
      <c r="E451" s="56"/>
    </row>
    <row r="452" spans="1:5" x14ac:dyDescent="0.3">
      <c r="A452" s="57" t="s">
        <v>260</v>
      </c>
      <c r="B452" s="58">
        <v>4208</v>
      </c>
      <c r="C452" s="32" t="s">
        <v>52</v>
      </c>
      <c r="D452" s="33" t="s">
        <v>340</v>
      </c>
      <c r="E452" s="56"/>
    </row>
    <row r="453" spans="1:5" x14ac:dyDescent="0.3">
      <c r="A453" s="57" t="s">
        <v>260</v>
      </c>
      <c r="B453" s="58">
        <v>2997</v>
      </c>
      <c r="C453" s="32" t="s">
        <v>52</v>
      </c>
      <c r="D453" s="33" t="s">
        <v>340</v>
      </c>
      <c r="E453" s="56"/>
    </row>
    <row r="454" spans="1:5" x14ac:dyDescent="0.3">
      <c r="A454" s="57" t="s">
        <v>260</v>
      </c>
      <c r="B454" s="58">
        <v>4211</v>
      </c>
      <c r="C454" s="32" t="s">
        <v>52</v>
      </c>
      <c r="D454" s="33" t="s">
        <v>340</v>
      </c>
      <c r="E454" s="56"/>
    </row>
    <row r="455" spans="1:5" x14ac:dyDescent="0.3">
      <c r="A455" s="57" t="s">
        <v>361</v>
      </c>
      <c r="B455" s="58">
        <v>4205</v>
      </c>
      <c r="C455" s="32" t="s">
        <v>52</v>
      </c>
      <c r="D455" s="33" t="s">
        <v>340</v>
      </c>
      <c r="E455" s="56"/>
    </row>
    <row r="456" spans="1:5" x14ac:dyDescent="0.3">
      <c r="A456" s="57" t="s">
        <v>361</v>
      </c>
      <c r="B456" s="58">
        <v>2984</v>
      </c>
      <c r="C456" s="32" t="s">
        <v>52</v>
      </c>
      <c r="D456" s="33" t="s">
        <v>340</v>
      </c>
      <c r="E456" s="56"/>
    </row>
    <row r="457" spans="1:5" x14ac:dyDescent="0.3">
      <c r="A457" s="57" t="s">
        <v>357</v>
      </c>
      <c r="B457" s="58">
        <v>2987</v>
      </c>
      <c r="C457" s="32" t="s">
        <v>52</v>
      </c>
      <c r="D457" s="33" t="s">
        <v>340</v>
      </c>
      <c r="E457" s="56"/>
    </row>
    <row r="458" spans="1:5" x14ac:dyDescent="0.3">
      <c r="A458" s="57" t="s">
        <v>357</v>
      </c>
      <c r="B458" s="58">
        <v>4215</v>
      </c>
      <c r="C458" s="32" t="s">
        <v>52</v>
      </c>
      <c r="D458" s="33" t="s">
        <v>340</v>
      </c>
      <c r="E458" s="56"/>
    </row>
    <row r="459" spans="1:5" x14ac:dyDescent="0.3">
      <c r="A459" s="57" t="s">
        <v>335</v>
      </c>
      <c r="B459" s="58">
        <v>2979</v>
      </c>
      <c r="C459" s="32" t="s">
        <v>52</v>
      </c>
      <c r="D459" s="33" t="s">
        <v>340</v>
      </c>
      <c r="E459" s="56"/>
    </row>
    <row r="460" spans="1:5" x14ac:dyDescent="0.3">
      <c r="A460" s="57" t="s">
        <v>358</v>
      </c>
      <c r="B460" s="58">
        <v>2974</v>
      </c>
      <c r="C460" s="32" t="s">
        <v>52</v>
      </c>
      <c r="D460" s="33" t="s">
        <v>340</v>
      </c>
      <c r="E460" s="56"/>
    </row>
    <row r="461" spans="1:5" x14ac:dyDescent="0.3">
      <c r="A461" s="57" t="s">
        <v>358</v>
      </c>
      <c r="B461" s="58">
        <v>2976</v>
      </c>
      <c r="C461" s="32" t="s">
        <v>52</v>
      </c>
      <c r="D461" s="33" t="s">
        <v>340</v>
      </c>
      <c r="E461" s="56"/>
    </row>
    <row r="462" spans="1:5" x14ac:dyDescent="0.3">
      <c r="A462" s="57" t="s">
        <v>359</v>
      </c>
      <c r="B462" s="58">
        <v>4201</v>
      </c>
      <c r="C462" s="32" t="s">
        <v>52</v>
      </c>
      <c r="D462" s="33" t="s">
        <v>340</v>
      </c>
      <c r="E462" s="56"/>
    </row>
    <row r="463" spans="1:5" x14ac:dyDescent="0.3">
      <c r="A463" s="57" t="s">
        <v>359</v>
      </c>
      <c r="B463" s="58">
        <v>4202</v>
      </c>
      <c r="C463" s="32" t="s">
        <v>52</v>
      </c>
      <c r="D463" s="33" t="s">
        <v>340</v>
      </c>
      <c r="E463" s="56"/>
    </row>
    <row r="464" spans="1:5" x14ac:dyDescent="0.3">
      <c r="A464" s="57" t="s">
        <v>360</v>
      </c>
      <c r="B464" s="58">
        <v>4172</v>
      </c>
      <c r="C464" s="32" t="s">
        <v>52</v>
      </c>
      <c r="D464" s="33" t="s">
        <v>340</v>
      </c>
      <c r="E464" s="56"/>
    </row>
    <row r="465" spans="1:5" x14ac:dyDescent="0.3">
      <c r="A465" s="57" t="s">
        <v>362</v>
      </c>
      <c r="B465" s="58">
        <v>4176</v>
      </c>
      <c r="C465" s="32" t="s">
        <v>52</v>
      </c>
      <c r="D465" s="33" t="s">
        <v>340</v>
      </c>
      <c r="E465" s="56"/>
    </row>
    <row r="466" spans="1:5" x14ac:dyDescent="0.3">
      <c r="A466" s="57" t="s">
        <v>362</v>
      </c>
      <c r="B466" s="58">
        <v>4200</v>
      </c>
      <c r="C466" s="32" t="s">
        <v>52</v>
      </c>
      <c r="D466" s="33" t="s">
        <v>340</v>
      </c>
      <c r="E466" s="56"/>
    </row>
  </sheetData>
  <conditionalFormatting sqref="A1">
    <cfRule type="duplicateValues" dxfId="35707" priority="265034"/>
    <cfRule type="duplicateValues" dxfId="35706" priority="265033"/>
  </conditionalFormatting>
  <conditionalFormatting sqref="A2:A415">
    <cfRule type="duplicateValues" dxfId="35705" priority="35708"/>
  </conditionalFormatting>
  <conditionalFormatting sqref="A2:A440">
    <cfRule type="duplicateValues" dxfId="35704" priority="35707"/>
  </conditionalFormatting>
  <conditionalFormatting sqref="A416:A440">
    <cfRule type="duplicateValues" dxfId="35703" priority="1091"/>
  </conditionalFormatting>
  <conditionalFormatting sqref="A441:A466">
    <cfRule type="duplicateValues" dxfId="35702" priority="265036"/>
    <cfRule type="duplicateValues" dxfId="35701" priority="265035"/>
  </conditionalFormatting>
  <conditionalFormatting sqref="B1">
    <cfRule type="duplicateValues" dxfId="35700" priority="265030"/>
    <cfRule type="duplicateValues" dxfId="35699" priority="265032"/>
    <cfRule type="duplicateValues" dxfId="35698" priority="265031"/>
  </conditionalFormatting>
  <conditionalFormatting sqref="B2:B3">
    <cfRule type="duplicateValues" dxfId="35697" priority="35593"/>
    <cfRule type="duplicateValues" dxfId="35696" priority="35511"/>
    <cfRule type="duplicateValues" dxfId="35695" priority="35510"/>
    <cfRule type="duplicateValues" dxfId="35694" priority="35706"/>
    <cfRule type="duplicateValues" dxfId="35693" priority="35705"/>
    <cfRule type="duplicateValues" dxfId="35692" priority="35704"/>
    <cfRule type="duplicateValues" dxfId="35691" priority="35703"/>
    <cfRule type="duplicateValues" dxfId="35690" priority="35702"/>
    <cfRule type="duplicateValues" dxfId="35689" priority="35701"/>
    <cfRule type="duplicateValues" dxfId="35688" priority="35700"/>
    <cfRule type="duplicateValues" dxfId="35687" priority="35699"/>
    <cfRule type="duplicateValues" dxfId="35686" priority="35698"/>
    <cfRule type="duplicateValues" dxfId="35685" priority="35697"/>
    <cfRule type="duplicateValues" dxfId="35684" priority="35696"/>
    <cfRule type="duplicateValues" dxfId="35683" priority="35695"/>
    <cfRule type="duplicateValues" dxfId="35682" priority="35694"/>
    <cfRule type="duplicateValues" dxfId="35681" priority="35693"/>
    <cfRule type="duplicateValues" dxfId="35680" priority="35692"/>
    <cfRule type="duplicateValues" dxfId="35679" priority="35691"/>
    <cfRule type="duplicateValues" dxfId="35678" priority="35690"/>
    <cfRule type="duplicateValues" dxfId="35677" priority="35689"/>
    <cfRule type="duplicateValues" dxfId="35676" priority="35688"/>
    <cfRule type="duplicateValues" dxfId="35675" priority="35687"/>
    <cfRule type="duplicateValues" dxfId="35674" priority="35686"/>
    <cfRule type="duplicateValues" dxfId="35673" priority="35685"/>
    <cfRule type="duplicateValues" dxfId="35672" priority="35684"/>
    <cfRule type="duplicateValues" dxfId="35671" priority="35683"/>
    <cfRule type="duplicateValues" dxfId="35670" priority="35682"/>
    <cfRule type="duplicateValues" dxfId="35669" priority="35681"/>
    <cfRule type="duplicateValues" dxfId="35668" priority="35680"/>
    <cfRule type="duplicateValues" dxfId="35667" priority="35679"/>
    <cfRule type="duplicateValues" dxfId="35666" priority="35678"/>
    <cfRule type="duplicateValues" dxfId="35665" priority="35677"/>
    <cfRule type="duplicateValues" dxfId="35664" priority="35676"/>
    <cfRule type="duplicateValues" dxfId="35663" priority="35675"/>
    <cfRule type="duplicateValues" dxfId="35662" priority="35674"/>
    <cfRule type="duplicateValues" dxfId="35661" priority="35673"/>
    <cfRule type="duplicateValues" dxfId="35660" priority="35672"/>
    <cfRule type="duplicateValues" dxfId="35659" priority="35671"/>
    <cfRule type="duplicateValues" dxfId="35658" priority="35670"/>
    <cfRule type="duplicateValues" dxfId="35657" priority="35669"/>
    <cfRule type="duplicateValues" dxfId="35656" priority="35668"/>
    <cfRule type="duplicateValues" dxfId="35655" priority="35667"/>
    <cfRule type="duplicateValues" dxfId="35654" priority="35666"/>
    <cfRule type="duplicateValues" dxfId="35653" priority="35665"/>
    <cfRule type="duplicateValues" dxfId="35652" priority="35664"/>
    <cfRule type="duplicateValues" dxfId="35651" priority="35663"/>
    <cfRule type="duplicateValues" dxfId="35650" priority="35662"/>
    <cfRule type="duplicateValues" dxfId="35649" priority="35661"/>
    <cfRule type="duplicateValues" dxfId="35648" priority="35660"/>
    <cfRule type="duplicateValues" dxfId="35647" priority="35659"/>
    <cfRule type="duplicateValues" dxfId="35646" priority="35658"/>
    <cfRule type="duplicateValues" dxfId="35645" priority="35657"/>
    <cfRule type="duplicateValues" dxfId="35644" priority="35656"/>
    <cfRule type="duplicateValues" dxfId="35643" priority="35655"/>
    <cfRule type="duplicateValues" dxfId="35642" priority="35654"/>
    <cfRule type="duplicateValues" dxfId="35641" priority="35653"/>
    <cfRule type="duplicateValues" dxfId="35640" priority="35652"/>
    <cfRule type="duplicateValues" dxfId="35639" priority="35651"/>
    <cfRule type="duplicateValues" dxfId="35638" priority="35650"/>
    <cfRule type="duplicateValues" dxfId="35637" priority="35649"/>
    <cfRule type="duplicateValues" dxfId="35636" priority="35648"/>
    <cfRule type="duplicateValues" dxfId="35635" priority="35647"/>
    <cfRule type="duplicateValues" dxfId="35634" priority="35646"/>
    <cfRule type="duplicateValues" dxfId="35633" priority="35645"/>
    <cfRule type="duplicateValues" dxfId="35632" priority="35644"/>
    <cfRule type="duplicateValues" dxfId="35631" priority="35643"/>
    <cfRule type="duplicateValues" dxfId="35630" priority="35642"/>
    <cfRule type="duplicateValues" dxfId="35629" priority="35641"/>
    <cfRule type="duplicateValues" dxfId="35628" priority="35640"/>
    <cfRule type="duplicateValues" dxfId="35627" priority="35639"/>
    <cfRule type="duplicateValues" dxfId="35626" priority="35638"/>
    <cfRule type="duplicateValues" dxfId="35625" priority="35637"/>
    <cfRule type="duplicateValues" dxfId="35624" priority="35636"/>
    <cfRule type="duplicateValues" dxfId="35623" priority="35635"/>
    <cfRule type="duplicateValues" dxfId="35622" priority="35634"/>
    <cfRule type="duplicateValues" dxfId="35621" priority="35633"/>
    <cfRule type="duplicateValues" dxfId="35620" priority="35632"/>
    <cfRule type="duplicateValues" dxfId="35619" priority="35631"/>
    <cfRule type="duplicateValues" dxfId="35618" priority="35630"/>
    <cfRule type="duplicateValues" dxfId="35617" priority="35629"/>
    <cfRule type="duplicateValues" dxfId="35616" priority="35628"/>
    <cfRule type="duplicateValues" dxfId="35615" priority="35627"/>
    <cfRule type="duplicateValues" dxfId="35614" priority="35626"/>
    <cfRule type="duplicateValues" dxfId="35613" priority="35625"/>
    <cfRule type="duplicateValues" dxfId="35612" priority="35624"/>
    <cfRule type="duplicateValues" dxfId="35611" priority="35623"/>
    <cfRule type="duplicateValues" dxfId="35610" priority="35622"/>
    <cfRule type="duplicateValues" dxfId="35609" priority="35621"/>
    <cfRule type="duplicateValues" dxfId="35608" priority="35620"/>
    <cfRule type="duplicateValues" dxfId="35607" priority="35619"/>
    <cfRule type="duplicateValues" dxfId="35606" priority="35618"/>
    <cfRule type="duplicateValues" dxfId="35605" priority="35617"/>
    <cfRule type="duplicateValues" dxfId="35604" priority="35616"/>
    <cfRule type="duplicateValues" dxfId="35603" priority="35615"/>
    <cfRule type="duplicateValues" dxfId="35602" priority="35614"/>
    <cfRule type="duplicateValues" dxfId="35601" priority="35613"/>
    <cfRule type="duplicateValues" dxfId="35600" priority="35612"/>
    <cfRule type="duplicateValues" dxfId="35599" priority="35611"/>
    <cfRule type="duplicateValues" dxfId="35598" priority="35610"/>
    <cfRule type="duplicateValues" dxfId="35597" priority="35609"/>
    <cfRule type="duplicateValues" dxfId="35596" priority="35608"/>
    <cfRule type="duplicateValues" dxfId="35595" priority="35607"/>
    <cfRule type="duplicateValues" dxfId="35594" priority="35606"/>
    <cfRule type="duplicateValues" dxfId="35593" priority="35605"/>
    <cfRule type="duplicateValues" dxfId="35592" priority="35604"/>
    <cfRule type="duplicateValues" dxfId="35591" priority="35603"/>
    <cfRule type="duplicateValues" dxfId="35590" priority="35602"/>
    <cfRule type="duplicateValues" dxfId="35589" priority="35601"/>
    <cfRule type="duplicateValues" dxfId="35588" priority="35600"/>
    <cfRule type="duplicateValues" dxfId="35587" priority="35599"/>
    <cfRule type="duplicateValues" dxfId="35586" priority="35598"/>
    <cfRule type="duplicateValues" dxfId="35585" priority="35597"/>
    <cfRule type="duplicateValues" dxfId="35584" priority="35596"/>
    <cfRule type="duplicateValues" dxfId="35583" priority="35595"/>
    <cfRule type="duplicateValues" dxfId="35582" priority="35594"/>
    <cfRule type="duplicateValues" dxfId="35581" priority="35592"/>
    <cfRule type="duplicateValues" dxfId="35580" priority="35591"/>
    <cfRule type="duplicateValues" dxfId="35579" priority="35590"/>
    <cfRule type="duplicateValues" dxfId="35578" priority="35589"/>
    <cfRule type="duplicateValues" dxfId="35577" priority="35588"/>
    <cfRule type="duplicateValues" dxfId="35576" priority="35587"/>
    <cfRule type="duplicateValues" dxfId="35575" priority="35586"/>
    <cfRule type="duplicateValues" dxfId="35574" priority="35585"/>
    <cfRule type="duplicateValues" dxfId="35573" priority="35584"/>
    <cfRule type="duplicateValues" dxfId="35572" priority="35583"/>
    <cfRule type="duplicateValues" dxfId="35571" priority="35582"/>
    <cfRule type="duplicateValues" dxfId="35570" priority="35581"/>
    <cfRule type="duplicateValues" dxfId="35569" priority="35580"/>
    <cfRule type="duplicateValues" dxfId="35568" priority="35579"/>
    <cfRule type="duplicateValues" dxfId="35567" priority="35578"/>
    <cfRule type="duplicateValues" dxfId="35566" priority="35577"/>
    <cfRule type="duplicateValues" dxfId="35565" priority="35576"/>
    <cfRule type="duplicateValues" dxfId="35564" priority="35575"/>
    <cfRule type="duplicateValues" dxfId="35563" priority="35574"/>
    <cfRule type="duplicateValues" dxfId="35562" priority="35573"/>
    <cfRule type="duplicateValues" dxfId="35561" priority="35572"/>
    <cfRule type="duplicateValues" dxfId="35560" priority="35571"/>
    <cfRule type="duplicateValues" dxfId="35559" priority="35570"/>
    <cfRule type="duplicateValues" dxfId="35558" priority="35569"/>
    <cfRule type="duplicateValues" dxfId="35557" priority="35568"/>
    <cfRule type="duplicateValues" dxfId="35556" priority="35567"/>
    <cfRule type="duplicateValues" dxfId="35555" priority="35566"/>
    <cfRule type="duplicateValues" dxfId="35554" priority="35565"/>
    <cfRule type="duplicateValues" dxfId="35553" priority="35564"/>
    <cfRule type="duplicateValues" dxfId="35552" priority="35563"/>
    <cfRule type="duplicateValues" dxfId="35551" priority="35562"/>
    <cfRule type="duplicateValues" dxfId="35550" priority="35561"/>
    <cfRule type="duplicateValues" dxfId="35549" priority="35560"/>
    <cfRule type="duplicateValues" dxfId="35548" priority="35559"/>
    <cfRule type="duplicateValues" dxfId="35547" priority="35558"/>
    <cfRule type="duplicateValues" dxfId="35546" priority="35557"/>
    <cfRule type="duplicateValues" dxfId="35545" priority="35556"/>
    <cfRule type="duplicateValues" dxfId="35544" priority="35555"/>
    <cfRule type="duplicateValues" dxfId="35543" priority="35554"/>
    <cfRule type="duplicateValues" dxfId="35542" priority="35553"/>
    <cfRule type="duplicateValues" dxfId="35541" priority="35552"/>
    <cfRule type="duplicateValues" dxfId="35540" priority="35551"/>
    <cfRule type="duplicateValues" dxfId="35539" priority="35550"/>
    <cfRule type="duplicateValues" dxfId="35538" priority="35549"/>
    <cfRule type="duplicateValues" dxfId="35537" priority="35548"/>
    <cfRule type="duplicateValues" dxfId="35536" priority="35547"/>
    <cfRule type="duplicateValues" dxfId="35535" priority="35546"/>
    <cfRule type="duplicateValues" dxfId="35534" priority="35545"/>
    <cfRule type="duplicateValues" dxfId="35533" priority="35544"/>
    <cfRule type="duplicateValues" dxfId="35532" priority="35543"/>
    <cfRule type="duplicateValues" dxfId="35531" priority="35542"/>
    <cfRule type="duplicateValues" dxfId="35530" priority="35541"/>
    <cfRule type="duplicateValues" dxfId="35529" priority="35540"/>
    <cfRule type="duplicateValues" dxfId="35528" priority="35539"/>
    <cfRule type="duplicateValues" dxfId="35527" priority="35538"/>
    <cfRule type="duplicateValues" dxfId="35526" priority="35537"/>
    <cfRule type="duplicateValues" dxfId="35525" priority="35536"/>
    <cfRule type="duplicateValues" dxfId="35524" priority="35535"/>
    <cfRule type="duplicateValues" dxfId="35523" priority="35534"/>
    <cfRule type="duplicateValues" dxfId="35522" priority="35533"/>
    <cfRule type="duplicateValues" dxfId="35521" priority="35532"/>
    <cfRule type="duplicateValues" dxfId="35520" priority="35531"/>
    <cfRule type="duplicateValues" dxfId="35519" priority="35530"/>
    <cfRule type="duplicateValues" dxfId="35518" priority="35529"/>
    <cfRule type="duplicateValues" dxfId="35517" priority="35528"/>
    <cfRule type="duplicateValues" dxfId="35516" priority="35527"/>
    <cfRule type="duplicateValues" dxfId="35515" priority="35526"/>
    <cfRule type="duplicateValues" dxfId="35514" priority="35525"/>
    <cfRule type="duplicateValues" dxfId="35513" priority="35524"/>
    <cfRule type="duplicateValues" dxfId="35512" priority="35523"/>
    <cfRule type="duplicateValues" dxfId="35511" priority="35522"/>
    <cfRule type="duplicateValues" dxfId="35510" priority="35521"/>
    <cfRule type="duplicateValues" dxfId="35509" priority="35520"/>
    <cfRule type="duplicateValues" dxfId="35508" priority="35519"/>
    <cfRule type="duplicateValues" dxfId="35507" priority="35518"/>
    <cfRule type="duplicateValues" dxfId="35506" priority="35517"/>
    <cfRule type="duplicateValues" dxfId="35505" priority="35516"/>
    <cfRule type="duplicateValues" dxfId="35504" priority="35515"/>
    <cfRule type="duplicateValues" dxfId="35503" priority="35514"/>
    <cfRule type="duplicateValues" dxfId="35502" priority="35513"/>
    <cfRule type="duplicateValues" dxfId="35501" priority="35512"/>
  </conditionalFormatting>
  <conditionalFormatting sqref="B2:B174">
    <cfRule type="duplicateValues" dxfId="35500" priority="35509"/>
    <cfRule type="duplicateValues" dxfId="35499" priority="35508"/>
    <cfRule type="duplicateValues" dxfId="35498" priority="35507"/>
    <cfRule type="duplicateValues" dxfId="35497" priority="35506"/>
  </conditionalFormatting>
  <conditionalFormatting sqref="B2:B238">
    <cfRule type="duplicateValues" dxfId="35496" priority="35505"/>
  </conditionalFormatting>
  <conditionalFormatting sqref="B2:B415">
    <cfRule type="duplicateValues" dxfId="35495" priority="35504"/>
  </conditionalFormatting>
  <conditionalFormatting sqref="B24">
    <cfRule type="duplicateValues" dxfId="35494" priority="35503"/>
  </conditionalFormatting>
  <conditionalFormatting sqref="B28">
    <cfRule type="duplicateValues" dxfId="35493" priority="35502"/>
    <cfRule type="duplicateValues" dxfId="35492" priority="35501"/>
  </conditionalFormatting>
  <conditionalFormatting sqref="B43:B46">
    <cfRule type="duplicateValues" dxfId="35491" priority="35500"/>
    <cfRule type="duplicateValues" dxfId="35490" priority="35499"/>
  </conditionalFormatting>
  <conditionalFormatting sqref="B47">
    <cfRule type="duplicateValues" dxfId="35489" priority="35498"/>
    <cfRule type="duplicateValues" dxfId="35488" priority="35497"/>
    <cfRule type="duplicateValues" dxfId="35487" priority="35496"/>
    <cfRule type="duplicateValues" dxfId="35486" priority="35495"/>
  </conditionalFormatting>
  <conditionalFormatting sqref="B48">
    <cfRule type="duplicateValues" dxfId="35485" priority="35494"/>
  </conditionalFormatting>
  <conditionalFormatting sqref="B48:B49">
    <cfRule type="duplicateValues" dxfId="35484" priority="35493"/>
    <cfRule type="duplicateValues" dxfId="35483" priority="35492"/>
    <cfRule type="duplicateValues" dxfId="35482" priority="35491"/>
    <cfRule type="duplicateValues" dxfId="35481" priority="35490"/>
  </conditionalFormatting>
  <conditionalFormatting sqref="B50">
    <cfRule type="duplicateValues" dxfId="35480" priority="35489"/>
    <cfRule type="duplicateValues" dxfId="35479" priority="35488"/>
  </conditionalFormatting>
  <conditionalFormatting sqref="B63">
    <cfRule type="duplicateValues" dxfId="35478" priority="35487"/>
  </conditionalFormatting>
  <conditionalFormatting sqref="B67:B70">
    <cfRule type="duplicateValues" dxfId="35477" priority="35486"/>
  </conditionalFormatting>
  <conditionalFormatting sqref="B71:B82">
    <cfRule type="duplicateValues" dxfId="35476" priority="35485"/>
  </conditionalFormatting>
  <conditionalFormatting sqref="B93">
    <cfRule type="duplicateValues" dxfId="35475" priority="35484"/>
  </conditionalFormatting>
  <conditionalFormatting sqref="B105:B174 B96 B91:B93 B2:B85">
    <cfRule type="duplicateValues" dxfId="35474" priority="35480"/>
    <cfRule type="duplicateValues" dxfId="35473" priority="35479"/>
    <cfRule type="duplicateValues" dxfId="35472" priority="35478"/>
    <cfRule type="duplicateValues" dxfId="35471" priority="35483"/>
    <cfRule type="duplicateValues" dxfId="35470" priority="35482"/>
    <cfRule type="duplicateValues" dxfId="35469" priority="35481"/>
  </conditionalFormatting>
  <conditionalFormatting sqref="B106 B94:B95 B97:B104 B86:B90">
    <cfRule type="duplicateValues" dxfId="35468" priority="35477"/>
    <cfRule type="duplicateValues" dxfId="35467" priority="35476"/>
    <cfRule type="duplicateValues" dxfId="35466" priority="35475"/>
    <cfRule type="duplicateValues" dxfId="35465" priority="35474"/>
    <cfRule type="duplicateValues" dxfId="35464" priority="35473"/>
    <cfRule type="duplicateValues" dxfId="35463" priority="35472"/>
    <cfRule type="duplicateValues" dxfId="35462" priority="35471"/>
    <cfRule type="duplicateValues" dxfId="35461" priority="35470"/>
  </conditionalFormatting>
  <conditionalFormatting sqref="B106 B98:B104 B88:B90">
    <cfRule type="duplicateValues" dxfId="35460" priority="35458"/>
    <cfRule type="duplicateValues" dxfId="35459" priority="35459"/>
    <cfRule type="duplicateValues" dxfId="35458" priority="35460"/>
    <cfRule type="duplicateValues" dxfId="35457" priority="35469"/>
    <cfRule type="duplicateValues" dxfId="35456" priority="35468"/>
    <cfRule type="duplicateValues" dxfId="35455" priority="35467"/>
    <cfRule type="duplicateValues" dxfId="35454" priority="35466"/>
    <cfRule type="duplicateValues" dxfId="35453" priority="35465"/>
    <cfRule type="duplicateValues" dxfId="35452" priority="35464"/>
    <cfRule type="duplicateValues" dxfId="35451" priority="35463"/>
    <cfRule type="duplicateValues" dxfId="35450" priority="35462"/>
    <cfRule type="duplicateValues" dxfId="35449" priority="35461"/>
  </conditionalFormatting>
  <conditionalFormatting sqref="B106">
    <cfRule type="duplicateValues" dxfId="35448" priority="35450"/>
    <cfRule type="duplicateValues" dxfId="35447" priority="35254"/>
    <cfRule type="duplicateValues" dxfId="35446" priority="35253"/>
    <cfRule type="duplicateValues" dxfId="35445" priority="35457"/>
    <cfRule type="duplicateValues" dxfId="35444" priority="35456"/>
    <cfRule type="duplicateValues" dxfId="35443" priority="35455"/>
    <cfRule type="duplicateValues" dxfId="35442" priority="35454"/>
    <cfRule type="duplicateValues" dxfId="35441" priority="35453"/>
    <cfRule type="duplicateValues" dxfId="35440" priority="35452"/>
    <cfRule type="duplicateValues" dxfId="35439" priority="35451"/>
    <cfRule type="duplicateValues" dxfId="35438" priority="35420"/>
    <cfRule type="duplicateValues" dxfId="35437" priority="35449"/>
    <cfRule type="duplicateValues" dxfId="35436" priority="35448"/>
    <cfRule type="duplicateValues" dxfId="35435" priority="35447"/>
    <cfRule type="duplicateValues" dxfId="35434" priority="35446"/>
    <cfRule type="duplicateValues" dxfId="35433" priority="35445"/>
    <cfRule type="duplicateValues" dxfId="35432" priority="35444"/>
    <cfRule type="duplicateValues" dxfId="35431" priority="35443"/>
    <cfRule type="duplicateValues" dxfId="35430" priority="35442"/>
    <cfRule type="duplicateValues" dxfId="35429" priority="35441"/>
    <cfRule type="duplicateValues" dxfId="35428" priority="35440"/>
    <cfRule type="duplicateValues" dxfId="35427" priority="35439"/>
    <cfRule type="duplicateValues" dxfId="35426" priority="35438"/>
    <cfRule type="duplicateValues" dxfId="35425" priority="35437"/>
    <cfRule type="duplicateValues" dxfId="35424" priority="35436"/>
    <cfRule type="duplicateValues" dxfId="35423" priority="35435"/>
    <cfRule type="duplicateValues" dxfId="35422" priority="35434"/>
    <cfRule type="duplicateValues" dxfId="35421" priority="35433"/>
    <cfRule type="duplicateValues" dxfId="35420" priority="35432"/>
    <cfRule type="duplicateValues" dxfId="35419" priority="35431"/>
    <cfRule type="duplicateValues" dxfId="35418" priority="35430"/>
    <cfRule type="duplicateValues" dxfId="35417" priority="35429"/>
    <cfRule type="duplicateValues" dxfId="35416" priority="35428"/>
    <cfRule type="duplicateValues" dxfId="35415" priority="35427"/>
    <cfRule type="duplicateValues" dxfId="35414" priority="35426"/>
    <cfRule type="duplicateValues" dxfId="35413" priority="35425"/>
    <cfRule type="duplicateValues" dxfId="35412" priority="35424"/>
    <cfRule type="duplicateValues" dxfId="35411" priority="35423"/>
    <cfRule type="duplicateValues" dxfId="35410" priority="35422"/>
    <cfRule type="duplicateValues" dxfId="35409" priority="35421"/>
    <cfRule type="duplicateValues" dxfId="35408" priority="35252"/>
    <cfRule type="duplicateValues" dxfId="35407" priority="35419"/>
    <cfRule type="duplicateValues" dxfId="35406" priority="35418"/>
    <cfRule type="duplicateValues" dxfId="35405" priority="35417"/>
    <cfRule type="duplicateValues" dxfId="35404" priority="35416"/>
    <cfRule type="duplicateValues" dxfId="35403" priority="35415"/>
    <cfRule type="duplicateValues" dxfId="35402" priority="35414"/>
    <cfRule type="duplicateValues" dxfId="35401" priority="35413"/>
    <cfRule type="duplicateValues" dxfId="35400" priority="35412"/>
    <cfRule type="duplicateValues" dxfId="35399" priority="35411"/>
    <cfRule type="duplicateValues" dxfId="35398" priority="35410"/>
    <cfRule type="duplicateValues" dxfId="35397" priority="35409"/>
    <cfRule type="duplicateValues" dxfId="35396" priority="35408"/>
    <cfRule type="duplicateValues" dxfId="35395" priority="35407"/>
    <cfRule type="duplicateValues" dxfId="35394" priority="35406"/>
    <cfRule type="duplicateValues" dxfId="35393" priority="35405"/>
    <cfRule type="duplicateValues" dxfId="35392" priority="35404"/>
    <cfRule type="duplicateValues" dxfId="35391" priority="35403"/>
    <cfRule type="duplicateValues" dxfId="35390" priority="35402"/>
    <cfRule type="duplicateValues" dxfId="35389" priority="35401"/>
    <cfRule type="duplicateValues" dxfId="35388" priority="35400"/>
    <cfRule type="duplicateValues" dxfId="35387" priority="35399"/>
    <cfRule type="duplicateValues" dxfId="35386" priority="35398"/>
    <cfRule type="duplicateValues" dxfId="35385" priority="35397"/>
    <cfRule type="duplicateValues" dxfId="35384" priority="35396"/>
    <cfRule type="duplicateValues" dxfId="35383" priority="35395"/>
    <cfRule type="duplicateValues" dxfId="35382" priority="35394"/>
    <cfRule type="duplicateValues" dxfId="35381" priority="35393"/>
    <cfRule type="duplicateValues" dxfId="35380" priority="35392"/>
    <cfRule type="duplicateValues" dxfId="35379" priority="35391"/>
    <cfRule type="duplicateValues" dxfId="35378" priority="35390"/>
    <cfRule type="duplicateValues" dxfId="35377" priority="35389"/>
    <cfRule type="duplicateValues" dxfId="35376" priority="35388"/>
    <cfRule type="duplicateValues" dxfId="35375" priority="35387"/>
    <cfRule type="duplicateValues" dxfId="35374" priority="35386"/>
    <cfRule type="duplicateValues" dxfId="35373" priority="35385"/>
    <cfRule type="duplicateValues" dxfId="35372" priority="35384"/>
    <cfRule type="duplicateValues" dxfId="35371" priority="35383"/>
    <cfRule type="duplicateValues" dxfId="35370" priority="35382"/>
    <cfRule type="duplicateValues" dxfId="35369" priority="35381"/>
    <cfRule type="duplicateValues" dxfId="35368" priority="35380"/>
    <cfRule type="duplicateValues" dxfId="35367" priority="35379"/>
    <cfRule type="duplicateValues" dxfId="35366" priority="35378"/>
    <cfRule type="duplicateValues" dxfId="35365" priority="35377"/>
    <cfRule type="duplicateValues" dxfId="35364" priority="35376"/>
    <cfRule type="duplicateValues" dxfId="35363" priority="35375"/>
    <cfRule type="duplicateValues" dxfId="35362" priority="35374"/>
    <cfRule type="duplicateValues" dxfId="35361" priority="35373"/>
    <cfRule type="duplicateValues" dxfId="35360" priority="35372"/>
    <cfRule type="duplicateValues" dxfId="35359" priority="35371"/>
    <cfRule type="duplicateValues" dxfId="35358" priority="35370"/>
    <cfRule type="duplicateValues" dxfId="35357" priority="35369"/>
    <cfRule type="duplicateValues" dxfId="35356" priority="35368"/>
    <cfRule type="duplicateValues" dxfId="35355" priority="35367"/>
    <cfRule type="duplicateValues" dxfId="35354" priority="35366"/>
    <cfRule type="duplicateValues" dxfId="35353" priority="35365"/>
    <cfRule type="duplicateValues" dxfId="35352" priority="35364"/>
    <cfRule type="duplicateValues" dxfId="35351" priority="35363"/>
    <cfRule type="duplicateValues" dxfId="35350" priority="35362"/>
    <cfRule type="duplicateValues" dxfId="35349" priority="35361"/>
    <cfRule type="duplicateValues" dxfId="35348" priority="35360"/>
    <cfRule type="duplicateValues" dxfId="35347" priority="35359"/>
    <cfRule type="duplicateValues" dxfId="35346" priority="35358"/>
    <cfRule type="duplicateValues" dxfId="35345" priority="35357"/>
    <cfRule type="duplicateValues" dxfId="35344" priority="35356"/>
    <cfRule type="duplicateValues" dxfId="35343" priority="35355"/>
    <cfRule type="duplicateValues" dxfId="35342" priority="35354"/>
    <cfRule type="duplicateValues" dxfId="35341" priority="35353"/>
    <cfRule type="duplicateValues" dxfId="35340" priority="35352"/>
    <cfRule type="duplicateValues" dxfId="35339" priority="35351"/>
    <cfRule type="duplicateValues" dxfId="35338" priority="35350"/>
    <cfRule type="duplicateValues" dxfId="35337" priority="35349"/>
    <cfRule type="duplicateValues" dxfId="35336" priority="35348"/>
    <cfRule type="duplicateValues" dxfId="35335" priority="35347"/>
    <cfRule type="duplicateValues" dxfId="35334" priority="35346"/>
    <cfRule type="duplicateValues" dxfId="35333" priority="35345"/>
    <cfRule type="duplicateValues" dxfId="35332" priority="35344"/>
    <cfRule type="duplicateValues" dxfId="35331" priority="35343"/>
    <cfRule type="duplicateValues" dxfId="35330" priority="35342"/>
    <cfRule type="duplicateValues" dxfId="35329" priority="35341"/>
    <cfRule type="duplicateValues" dxfId="35328" priority="35340"/>
    <cfRule type="duplicateValues" dxfId="35327" priority="35339"/>
    <cfRule type="duplicateValues" dxfId="35326" priority="35338"/>
    <cfRule type="duplicateValues" dxfId="35325" priority="35337"/>
    <cfRule type="duplicateValues" dxfId="35324" priority="35336"/>
    <cfRule type="duplicateValues" dxfId="35323" priority="35335"/>
    <cfRule type="duplicateValues" dxfId="35322" priority="35334"/>
    <cfRule type="duplicateValues" dxfId="35321" priority="35333"/>
    <cfRule type="duplicateValues" dxfId="35320" priority="35332"/>
    <cfRule type="duplicateValues" dxfId="35319" priority="35331"/>
    <cfRule type="duplicateValues" dxfId="35318" priority="35330"/>
    <cfRule type="duplicateValues" dxfId="35317" priority="35329"/>
    <cfRule type="duplicateValues" dxfId="35316" priority="35328"/>
    <cfRule type="duplicateValues" dxfId="35315" priority="35327"/>
    <cfRule type="duplicateValues" dxfId="35314" priority="35326"/>
    <cfRule type="duplicateValues" dxfId="35313" priority="35325"/>
    <cfRule type="duplicateValues" dxfId="35312" priority="35324"/>
    <cfRule type="duplicateValues" dxfId="35311" priority="35323"/>
    <cfRule type="duplicateValues" dxfId="35310" priority="35322"/>
    <cfRule type="duplicateValues" dxfId="35309" priority="35321"/>
    <cfRule type="duplicateValues" dxfId="35308" priority="35320"/>
    <cfRule type="duplicateValues" dxfId="35307" priority="35319"/>
    <cfRule type="duplicateValues" dxfId="35306" priority="35318"/>
    <cfRule type="duplicateValues" dxfId="35305" priority="35317"/>
    <cfRule type="duplicateValues" dxfId="35304" priority="35316"/>
    <cfRule type="duplicateValues" dxfId="35303" priority="35315"/>
    <cfRule type="duplicateValues" dxfId="35302" priority="35314"/>
    <cfRule type="duplicateValues" dxfId="35301" priority="35313"/>
    <cfRule type="duplicateValues" dxfId="35300" priority="35312"/>
    <cfRule type="duplicateValues" dxfId="35299" priority="35311"/>
    <cfRule type="duplicateValues" dxfId="35298" priority="35310"/>
    <cfRule type="duplicateValues" dxfId="35297" priority="35309"/>
    <cfRule type="duplicateValues" dxfId="35296" priority="35308"/>
    <cfRule type="duplicateValues" dxfId="35295" priority="35307"/>
    <cfRule type="duplicateValues" dxfId="35294" priority="35306"/>
    <cfRule type="duplicateValues" dxfId="35293" priority="35305"/>
    <cfRule type="duplicateValues" dxfId="35292" priority="35304"/>
    <cfRule type="duplicateValues" dxfId="35291" priority="35303"/>
    <cfRule type="duplicateValues" dxfId="35290" priority="35302"/>
    <cfRule type="duplicateValues" dxfId="35289" priority="35301"/>
    <cfRule type="duplicateValues" dxfId="35288" priority="35300"/>
    <cfRule type="duplicateValues" dxfId="35287" priority="35299"/>
    <cfRule type="duplicateValues" dxfId="35286" priority="35298"/>
    <cfRule type="duplicateValues" dxfId="35285" priority="35297"/>
    <cfRule type="duplicateValues" dxfId="35284" priority="35296"/>
    <cfRule type="duplicateValues" dxfId="35283" priority="35295"/>
    <cfRule type="duplicateValues" dxfId="35282" priority="35294"/>
    <cfRule type="duplicateValues" dxfId="35281" priority="35293"/>
    <cfRule type="duplicateValues" dxfId="35280" priority="35292"/>
    <cfRule type="duplicateValues" dxfId="35279" priority="35291"/>
    <cfRule type="duplicateValues" dxfId="35278" priority="35290"/>
    <cfRule type="duplicateValues" dxfId="35277" priority="35289"/>
    <cfRule type="duplicateValues" dxfId="35276" priority="35288"/>
    <cfRule type="duplicateValues" dxfId="35275" priority="35287"/>
    <cfRule type="duplicateValues" dxfId="35274" priority="35286"/>
    <cfRule type="duplicateValues" dxfId="35273" priority="35285"/>
    <cfRule type="duplicateValues" dxfId="35272" priority="35284"/>
    <cfRule type="duplicateValues" dxfId="35271" priority="35283"/>
    <cfRule type="duplicateValues" dxfId="35270" priority="35282"/>
    <cfRule type="duplicateValues" dxfId="35269" priority="35281"/>
    <cfRule type="duplicateValues" dxfId="35268" priority="35280"/>
    <cfRule type="duplicateValues" dxfId="35267" priority="35279"/>
    <cfRule type="duplicateValues" dxfId="35266" priority="35278"/>
    <cfRule type="duplicateValues" dxfId="35265" priority="35277"/>
    <cfRule type="duplicateValues" dxfId="35264" priority="35276"/>
    <cfRule type="duplicateValues" dxfId="35263" priority="35275"/>
    <cfRule type="duplicateValues" dxfId="35262" priority="35274"/>
    <cfRule type="duplicateValues" dxfId="35261" priority="35273"/>
    <cfRule type="duplicateValues" dxfId="35260" priority="35272"/>
    <cfRule type="duplicateValues" dxfId="35259" priority="35271"/>
    <cfRule type="duplicateValues" dxfId="35258" priority="35270"/>
    <cfRule type="duplicateValues" dxfId="35257" priority="35269"/>
    <cfRule type="duplicateValues" dxfId="35256" priority="35268"/>
    <cfRule type="duplicateValues" dxfId="35255" priority="35267"/>
    <cfRule type="duplicateValues" dxfId="35254" priority="35266"/>
    <cfRule type="duplicateValues" dxfId="35253" priority="35265"/>
    <cfRule type="duplicateValues" dxfId="35252" priority="35264"/>
    <cfRule type="duplicateValues" dxfId="35251" priority="35263"/>
    <cfRule type="duplicateValues" dxfId="35250" priority="35262"/>
    <cfRule type="duplicateValues" dxfId="35249" priority="35261"/>
    <cfRule type="duplicateValues" dxfId="35248" priority="35260"/>
    <cfRule type="duplicateValues" dxfId="35247" priority="35259"/>
    <cfRule type="duplicateValues" dxfId="35246" priority="35258"/>
    <cfRule type="duplicateValues" dxfId="35245" priority="35257"/>
    <cfRule type="duplicateValues" dxfId="35244" priority="35256"/>
    <cfRule type="duplicateValues" dxfId="35243" priority="35255"/>
  </conditionalFormatting>
  <conditionalFormatting sqref="B107">
    <cfRule type="duplicateValues" dxfId="35242" priority="35251"/>
    <cfRule type="duplicateValues" dxfId="35241" priority="35250"/>
    <cfRule type="duplicateValues" dxfId="35240" priority="35249"/>
    <cfRule type="duplicateValues" dxfId="35239" priority="35248"/>
    <cfRule type="duplicateValues" dxfId="35238" priority="35247"/>
    <cfRule type="duplicateValues" dxfId="35237" priority="35246"/>
    <cfRule type="duplicateValues" dxfId="35236" priority="35245"/>
  </conditionalFormatting>
  <conditionalFormatting sqref="B108 B105:B106 B51:B56">
    <cfRule type="duplicateValues" dxfId="35235" priority="35244"/>
  </conditionalFormatting>
  <conditionalFormatting sqref="B108 B105:B106 B96 B51:B84">
    <cfRule type="duplicateValues" dxfId="35234" priority="35243"/>
    <cfRule type="duplicateValues" dxfId="35233" priority="35242"/>
    <cfRule type="duplicateValues" dxfId="35232" priority="35241"/>
  </conditionalFormatting>
  <conditionalFormatting sqref="B108 B105:B106 B96 B51:B85">
    <cfRule type="duplicateValues" dxfId="35231" priority="35239"/>
    <cfRule type="duplicateValues" dxfId="35230" priority="35240"/>
  </conditionalFormatting>
  <conditionalFormatting sqref="B108 B105:B106 B96 B83:B84 B51:B66">
    <cfRule type="duplicateValues" dxfId="35229" priority="35238"/>
  </conditionalFormatting>
  <conditionalFormatting sqref="B109">
    <cfRule type="duplicateValues" dxfId="35228" priority="35062"/>
    <cfRule type="duplicateValues" dxfId="35227" priority="35061"/>
    <cfRule type="duplicateValues" dxfId="35226" priority="35173"/>
    <cfRule type="duplicateValues" dxfId="35225" priority="35237"/>
    <cfRule type="duplicateValues" dxfId="35224" priority="35236"/>
    <cfRule type="duplicateValues" dxfId="35223" priority="35235"/>
    <cfRule type="duplicateValues" dxfId="35222" priority="35234"/>
    <cfRule type="duplicateValues" dxfId="35221" priority="35233"/>
    <cfRule type="duplicateValues" dxfId="35220" priority="35232"/>
    <cfRule type="duplicateValues" dxfId="35219" priority="35231"/>
    <cfRule type="duplicateValues" dxfId="35218" priority="35230"/>
    <cfRule type="duplicateValues" dxfId="35217" priority="35229"/>
    <cfRule type="duplicateValues" dxfId="35216" priority="35228"/>
    <cfRule type="duplicateValues" dxfId="35215" priority="35227"/>
    <cfRule type="duplicateValues" dxfId="35214" priority="35226"/>
    <cfRule type="duplicateValues" dxfId="35213" priority="35225"/>
    <cfRule type="duplicateValues" dxfId="35212" priority="35224"/>
    <cfRule type="duplicateValues" dxfId="35211" priority="35223"/>
    <cfRule type="duplicateValues" dxfId="35210" priority="35222"/>
    <cfRule type="duplicateValues" dxfId="35209" priority="35221"/>
    <cfRule type="duplicateValues" dxfId="35208" priority="35220"/>
    <cfRule type="duplicateValues" dxfId="35207" priority="35219"/>
    <cfRule type="duplicateValues" dxfId="35206" priority="35218"/>
    <cfRule type="duplicateValues" dxfId="35205" priority="35217"/>
    <cfRule type="duplicateValues" dxfId="35204" priority="35216"/>
    <cfRule type="duplicateValues" dxfId="35203" priority="35215"/>
    <cfRule type="duplicateValues" dxfId="35202" priority="35214"/>
    <cfRule type="duplicateValues" dxfId="35201" priority="35213"/>
    <cfRule type="duplicateValues" dxfId="35200" priority="35212"/>
    <cfRule type="duplicateValues" dxfId="35199" priority="35211"/>
    <cfRule type="duplicateValues" dxfId="35198" priority="35210"/>
    <cfRule type="duplicateValues" dxfId="35197" priority="35209"/>
    <cfRule type="duplicateValues" dxfId="35196" priority="35208"/>
    <cfRule type="duplicateValues" dxfId="35195" priority="35207"/>
    <cfRule type="duplicateValues" dxfId="35194" priority="35206"/>
    <cfRule type="duplicateValues" dxfId="35193" priority="35205"/>
    <cfRule type="duplicateValues" dxfId="35192" priority="35204"/>
    <cfRule type="duplicateValues" dxfId="35191" priority="35203"/>
    <cfRule type="duplicateValues" dxfId="35190" priority="35202"/>
    <cfRule type="duplicateValues" dxfId="35189" priority="35201"/>
    <cfRule type="duplicateValues" dxfId="35188" priority="35200"/>
    <cfRule type="duplicateValues" dxfId="35187" priority="35199"/>
    <cfRule type="duplicateValues" dxfId="35186" priority="35198"/>
    <cfRule type="duplicateValues" dxfId="35185" priority="35197"/>
    <cfRule type="duplicateValues" dxfId="35184" priority="35196"/>
    <cfRule type="duplicateValues" dxfId="35183" priority="35195"/>
    <cfRule type="duplicateValues" dxfId="35182" priority="35194"/>
    <cfRule type="duplicateValues" dxfId="35181" priority="35193"/>
    <cfRule type="duplicateValues" dxfId="35180" priority="35192"/>
    <cfRule type="duplicateValues" dxfId="35179" priority="35191"/>
    <cfRule type="duplicateValues" dxfId="35178" priority="35190"/>
    <cfRule type="duplicateValues" dxfId="35177" priority="35189"/>
    <cfRule type="duplicateValues" dxfId="35176" priority="35188"/>
    <cfRule type="duplicateValues" dxfId="35175" priority="35187"/>
    <cfRule type="duplicateValues" dxfId="35174" priority="35186"/>
    <cfRule type="duplicateValues" dxfId="35173" priority="35185"/>
    <cfRule type="duplicateValues" dxfId="35172" priority="35184"/>
    <cfRule type="duplicateValues" dxfId="35171" priority="35183"/>
    <cfRule type="duplicateValues" dxfId="35170" priority="35182"/>
    <cfRule type="duplicateValues" dxfId="35169" priority="35181"/>
    <cfRule type="duplicateValues" dxfId="35168" priority="35180"/>
    <cfRule type="duplicateValues" dxfId="35167" priority="35179"/>
    <cfRule type="duplicateValues" dxfId="35166" priority="35178"/>
    <cfRule type="duplicateValues" dxfId="35165" priority="35177"/>
    <cfRule type="duplicateValues" dxfId="35164" priority="35176"/>
    <cfRule type="duplicateValues" dxfId="35163" priority="35175"/>
    <cfRule type="duplicateValues" dxfId="35162" priority="35174"/>
    <cfRule type="duplicateValues" dxfId="35161" priority="35172"/>
    <cfRule type="duplicateValues" dxfId="35160" priority="35171"/>
    <cfRule type="duplicateValues" dxfId="35159" priority="35170"/>
    <cfRule type="duplicateValues" dxfId="35158" priority="35169"/>
    <cfRule type="duplicateValues" dxfId="35157" priority="35168"/>
    <cfRule type="duplicateValues" dxfId="35156" priority="35167"/>
    <cfRule type="duplicateValues" dxfId="35155" priority="35166"/>
    <cfRule type="duplicateValues" dxfId="35154" priority="35165"/>
    <cfRule type="duplicateValues" dxfId="35153" priority="35164"/>
    <cfRule type="duplicateValues" dxfId="35152" priority="35163"/>
    <cfRule type="duplicateValues" dxfId="35151" priority="35162"/>
    <cfRule type="duplicateValues" dxfId="35150" priority="35161"/>
    <cfRule type="duplicateValues" dxfId="35149" priority="35160"/>
    <cfRule type="duplicateValues" dxfId="35148" priority="35159"/>
    <cfRule type="duplicateValues" dxfId="35147" priority="35158"/>
    <cfRule type="duplicateValues" dxfId="35146" priority="35157"/>
    <cfRule type="duplicateValues" dxfId="35145" priority="35156"/>
    <cfRule type="duplicateValues" dxfId="35144" priority="35155"/>
    <cfRule type="duplicateValues" dxfId="35143" priority="35154"/>
    <cfRule type="duplicateValues" dxfId="35142" priority="35153"/>
    <cfRule type="duplicateValues" dxfId="35141" priority="35152"/>
    <cfRule type="duplicateValues" dxfId="35140" priority="35151"/>
    <cfRule type="duplicateValues" dxfId="35139" priority="35150"/>
    <cfRule type="duplicateValues" dxfId="35138" priority="35149"/>
    <cfRule type="duplicateValues" dxfId="35137" priority="35148"/>
    <cfRule type="duplicateValues" dxfId="35136" priority="35147"/>
    <cfRule type="duplicateValues" dxfId="35135" priority="35146"/>
    <cfRule type="duplicateValues" dxfId="35134" priority="35145"/>
    <cfRule type="duplicateValues" dxfId="35133" priority="35144"/>
    <cfRule type="duplicateValues" dxfId="35132" priority="35143"/>
    <cfRule type="duplicateValues" dxfId="35131" priority="35142"/>
    <cfRule type="duplicateValues" dxfId="35130" priority="35141"/>
    <cfRule type="duplicateValues" dxfId="35129" priority="35140"/>
    <cfRule type="duplicateValues" dxfId="35128" priority="35139"/>
    <cfRule type="duplicateValues" dxfId="35127" priority="35138"/>
    <cfRule type="duplicateValues" dxfId="35126" priority="35137"/>
    <cfRule type="duplicateValues" dxfId="35125" priority="35136"/>
    <cfRule type="duplicateValues" dxfId="35124" priority="35135"/>
    <cfRule type="duplicateValues" dxfId="35123" priority="35134"/>
    <cfRule type="duplicateValues" dxfId="35122" priority="35133"/>
    <cfRule type="duplicateValues" dxfId="35121" priority="35132"/>
    <cfRule type="duplicateValues" dxfId="35120" priority="35131"/>
    <cfRule type="duplicateValues" dxfId="35119" priority="35130"/>
    <cfRule type="duplicateValues" dxfId="35118" priority="35129"/>
    <cfRule type="duplicateValues" dxfId="35117" priority="35128"/>
    <cfRule type="duplicateValues" dxfId="35116" priority="35127"/>
    <cfRule type="duplicateValues" dxfId="35115" priority="35126"/>
    <cfRule type="duplicateValues" dxfId="35114" priority="35125"/>
    <cfRule type="duplicateValues" dxfId="35113" priority="35124"/>
    <cfRule type="duplicateValues" dxfId="35112" priority="35123"/>
    <cfRule type="duplicateValues" dxfId="35111" priority="35122"/>
    <cfRule type="duplicateValues" dxfId="35110" priority="35121"/>
    <cfRule type="duplicateValues" dxfId="35109" priority="35120"/>
    <cfRule type="duplicateValues" dxfId="35108" priority="35119"/>
    <cfRule type="duplicateValues" dxfId="35107" priority="35118"/>
    <cfRule type="duplicateValues" dxfId="35106" priority="35117"/>
    <cfRule type="duplicateValues" dxfId="35105" priority="35116"/>
    <cfRule type="duplicateValues" dxfId="35104" priority="35115"/>
    <cfRule type="duplicateValues" dxfId="35103" priority="35114"/>
    <cfRule type="duplicateValues" dxfId="35102" priority="35113"/>
    <cfRule type="duplicateValues" dxfId="35101" priority="35112"/>
    <cfRule type="duplicateValues" dxfId="35100" priority="35111"/>
    <cfRule type="duplicateValues" dxfId="35099" priority="35110"/>
    <cfRule type="duplicateValues" dxfId="35098" priority="35109"/>
    <cfRule type="duplicateValues" dxfId="35097" priority="35108"/>
    <cfRule type="duplicateValues" dxfId="35096" priority="35107"/>
    <cfRule type="duplicateValues" dxfId="35095" priority="35106"/>
    <cfRule type="duplicateValues" dxfId="35094" priority="35105"/>
    <cfRule type="duplicateValues" dxfId="35093" priority="35104"/>
    <cfRule type="duplicateValues" dxfId="35092" priority="35103"/>
    <cfRule type="duplicateValues" dxfId="35091" priority="35102"/>
    <cfRule type="duplicateValues" dxfId="35090" priority="35101"/>
    <cfRule type="duplicateValues" dxfId="35089" priority="35100"/>
    <cfRule type="duplicateValues" dxfId="35088" priority="35099"/>
    <cfRule type="duplicateValues" dxfId="35087" priority="35098"/>
    <cfRule type="duplicateValues" dxfId="35086" priority="35097"/>
    <cfRule type="duplicateValues" dxfId="35085" priority="35096"/>
    <cfRule type="duplicateValues" dxfId="35084" priority="35095"/>
    <cfRule type="duplicateValues" dxfId="35083" priority="35094"/>
    <cfRule type="duplicateValues" dxfId="35082" priority="35093"/>
    <cfRule type="duplicateValues" dxfId="35081" priority="35092"/>
    <cfRule type="duplicateValues" dxfId="35080" priority="35091"/>
    <cfRule type="duplicateValues" dxfId="35079" priority="35090"/>
    <cfRule type="duplicateValues" dxfId="35078" priority="35089"/>
    <cfRule type="duplicateValues" dxfId="35077" priority="35088"/>
    <cfRule type="duplicateValues" dxfId="35076" priority="35087"/>
    <cfRule type="duplicateValues" dxfId="35075" priority="35086"/>
    <cfRule type="duplicateValues" dxfId="35074" priority="35085"/>
    <cfRule type="duplicateValues" dxfId="35073" priority="35084"/>
    <cfRule type="duplicateValues" dxfId="35072" priority="35083"/>
    <cfRule type="duplicateValues" dxfId="35071" priority="35082"/>
    <cfRule type="duplicateValues" dxfId="35070" priority="35081"/>
    <cfRule type="duplicateValues" dxfId="35069" priority="35080"/>
    <cfRule type="duplicateValues" dxfId="35068" priority="35079"/>
    <cfRule type="duplicateValues" dxfId="35067" priority="35078"/>
    <cfRule type="duplicateValues" dxfId="35066" priority="35077"/>
    <cfRule type="duplicateValues" dxfId="35065" priority="35076"/>
    <cfRule type="duplicateValues" dxfId="35064" priority="35075"/>
    <cfRule type="duplicateValues" dxfId="35063" priority="35074"/>
    <cfRule type="duplicateValues" dxfId="35062" priority="35073"/>
    <cfRule type="duplicateValues" dxfId="35061" priority="35072"/>
    <cfRule type="duplicateValues" dxfId="35060" priority="35071"/>
    <cfRule type="duplicateValues" dxfId="35059" priority="35070"/>
    <cfRule type="duplicateValues" dxfId="35058" priority="35069"/>
    <cfRule type="duplicateValues" dxfId="35057" priority="35068"/>
    <cfRule type="duplicateValues" dxfId="35056" priority="35067"/>
    <cfRule type="duplicateValues" dxfId="35055" priority="35066"/>
    <cfRule type="duplicateValues" dxfId="35054" priority="35065"/>
    <cfRule type="duplicateValues" dxfId="35053" priority="35064"/>
    <cfRule type="duplicateValues" dxfId="35052" priority="35063"/>
  </conditionalFormatting>
  <conditionalFormatting sqref="B110">
    <cfRule type="duplicateValues" dxfId="35051" priority="35019"/>
    <cfRule type="duplicateValues" dxfId="35050" priority="34886"/>
    <cfRule type="duplicateValues" dxfId="35049" priority="34885"/>
    <cfRule type="duplicateValues" dxfId="35048" priority="35060"/>
    <cfRule type="duplicateValues" dxfId="35047" priority="35059"/>
    <cfRule type="duplicateValues" dxfId="35046" priority="35058"/>
    <cfRule type="duplicateValues" dxfId="35045" priority="35057"/>
    <cfRule type="duplicateValues" dxfId="35044" priority="35056"/>
    <cfRule type="duplicateValues" dxfId="35043" priority="35055"/>
    <cfRule type="duplicateValues" dxfId="35042" priority="35054"/>
    <cfRule type="duplicateValues" dxfId="35041" priority="35053"/>
    <cfRule type="duplicateValues" dxfId="35040" priority="35052"/>
    <cfRule type="duplicateValues" dxfId="35039" priority="35051"/>
    <cfRule type="duplicateValues" dxfId="35038" priority="35050"/>
    <cfRule type="duplicateValues" dxfId="35037" priority="35049"/>
    <cfRule type="duplicateValues" dxfId="35036" priority="35048"/>
    <cfRule type="duplicateValues" dxfId="35035" priority="35047"/>
    <cfRule type="duplicateValues" dxfId="35034" priority="35046"/>
    <cfRule type="duplicateValues" dxfId="35033" priority="35045"/>
    <cfRule type="duplicateValues" dxfId="35032" priority="35044"/>
    <cfRule type="duplicateValues" dxfId="35031" priority="35043"/>
    <cfRule type="duplicateValues" dxfId="35030" priority="35042"/>
    <cfRule type="duplicateValues" dxfId="35029" priority="35041"/>
    <cfRule type="duplicateValues" dxfId="35028" priority="35040"/>
    <cfRule type="duplicateValues" dxfId="35027" priority="35039"/>
    <cfRule type="duplicateValues" dxfId="35026" priority="35038"/>
    <cfRule type="duplicateValues" dxfId="35025" priority="35037"/>
    <cfRule type="duplicateValues" dxfId="35024" priority="35036"/>
    <cfRule type="duplicateValues" dxfId="35023" priority="35035"/>
    <cfRule type="duplicateValues" dxfId="35022" priority="35034"/>
    <cfRule type="duplicateValues" dxfId="35021" priority="35033"/>
    <cfRule type="duplicateValues" dxfId="35020" priority="35032"/>
    <cfRule type="duplicateValues" dxfId="35019" priority="35031"/>
    <cfRule type="duplicateValues" dxfId="35018" priority="35030"/>
    <cfRule type="duplicateValues" dxfId="35017" priority="35029"/>
    <cfRule type="duplicateValues" dxfId="35016" priority="35028"/>
    <cfRule type="duplicateValues" dxfId="35015" priority="35027"/>
    <cfRule type="duplicateValues" dxfId="35014" priority="35026"/>
    <cfRule type="duplicateValues" dxfId="35013" priority="35025"/>
    <cfRule type="duplicateValues" dxfId="35012" priority="35024"/>
    <cfRule type="duplicateValues" dxfId="35011" priority="35023"/>
    <cfRule type="duplicateValues" dxfId="35010" priority="35022"/>
    <cfRule type="duplicateValues" dxfId="35009" priority="35021"/>
    <cfRule type="duplicateValues" dxfId="35008" priority="35020"/>
    <cfRule type="duplicateValues" dxfId="35007" priority="34975"/>
    <cfRule type="duplicateValues" dxfId="35006" priority="35018"/>
    <cfRule type="duplicateValues" dxfId="35005" priority="35017"/>
    <cfRule type="duplicateValues" dxfId="35004" priority="35016"/>
    <cfRule type="duplicateValues" dxfId="35003" priority="35015"/>
    <cfRule type="duplicateValues" dxfId="35002" priority="35014"/>
    <cfRule type="duplicateValues" dxfId="35001" priority="35013"/>
    <cfRule type="duplicateValues" dxfId="35000" priority="35012"/>
    <cfRule type="duplicateValues" dxfId="34999" priority="35011"/>
    <cfRule type="duplicateValues" dxfId="34998" priority="35010"/>
    <cfRule type="duplicateValues" dxfId="34997" priority="35009"/>
    <cfRule type="duplicateValues" dxfId="34996" priority="35008"/>
    <cfRule type="duplicateValues" dxfId="34995" priority="35007"/>
    <cfRule type="duplicateValues" dxfId="34994" priority="35006"/>
    <cfRule type="duplicateValues" dxfId="34993" priority="35005"/>
    <cfRule type="duplicateValues" dxfId="34992" priority="35004"/>
    <cfRule type="duplicateValues" dxfId="34991" priority="35003"/>
    <cfRule type="duplicateValues" dxfId="34990" priority="35002"/>
    <cfRule type="duplicateValues" dxfId="34989" priority="35001"/>
    <cfRule type="duplicateValues" dxfId="34988" priority="35000"/>
    <cfRule type="duplicateValues" dxfId="34987" priority="34999"/>
    <cfRule type="duplicateValues" dxfId="34986" priority="34998"/>
    <cfRule type="duplicateValues" dxfId="34985" priority="34997"/>
    <cfRule type="duplicateValues" dxfId="34984" priority="34996"/>
    <cfRule type="duplicateValues" dxfId="34983" priority="34995"/>
    <cfRule type="duplicateValues" dxfId="34982" priority="34994"/>
    <cfRule type="duplicateValues" dxfId="34981" priority="34993"/>
    <cfRule type="duplicateValues" dxfId="34980" priority="34992"/>
    <cfRule type="duplicateValues" dxfId="34979" priority="34991"/>
    <cfRule type="duplicateValues" dxfId="34978" priority="34990"/>
    <cfRule type="duplicateValues" dxfId="34977" priority="34989"/>
    <cfRule type="duplicateValues" dxfId="34976" priority="34988"/>
    <cfRule type="duplicateValues" dxfId="34975" priority="34987"/>
    <cfRule type="duplicateValues" dxfId="34974" priority="34986"/>
    <cfRule type="duplicateValues" dxfId="34973" priority="34985"/>
    <cfRule type="duplicateValues" dxfId="34972" priority="34984"/>
    <cfRule type="duplicateValues" dxfId="34971" priority="34983"/>
    <cfRule type="duplicateValues" dxfId="34970" priority="34982"/>
    <cfRule type="duplicateValues" dxfId="34969" priority="34981"/>
    <cfRule type="duplicateValues" dxfId="34968" priority="34980"/>
    <cfRule type="duplicateValues" dxfId="34967" priority="34979"/>
    <cfRule type="duplicateValues" dxfId="34966" priority="34978"/>
    <cfRule type="duplicateValues" dxfId="34965" priority="34977"/>
    <cfRule type="duplicateValues" dxfId="34964" priority="34976"/>
    <cfRule type="duplicateValues" dxfId="34963" priority="34884"/>
    <cfRule type="duplicateValues" dxfId="34962" priority="34974"/>
    <cfRule type="duplicateValues" dxfId="34961" priority="34973"/>
    <cfRule type="duplicateValues" dxfId="34960" priority="34972"/>
    <cfRule type="duplicateValues" dxfId="34959" priority="34971"/>
    <cfRule type="duplicateValues" dxfId="34958" priority="34970"/>
    <cfRule type="duplicateValues" dxfId="34957" priority="34969"/>
    <cfRule type="duplicateValues" dxfId="34956" priority="34968"/>
    <cfRule type="duplicateValues" dxfId="34955" priority="34967"/>
    <cfRule type="duplicateValues" dxfId="34954" priority="34966"/>
    <cfRule type="duplicateValues" dxfId="34953" priority="34965"/>
    <cfRule type="duplicateValues" dxfId="34952" priority="34964"/>
    <cfRule type="duplicateValues" dxfId="34951" priority="34963"/>
    <cfRule type="duplicateValues" dxfId="34950" priority="34962"/>
    <cfRule type="duplicateValues" dxfId="34949" priority="34961"/>
    <cfRule type="duplicateValues" dxfId="34948" priority="34960"/>
    <cfRule type="duplicateValues" dxfId="34947" priority="34959"/>
    <cfRule type="duplicateValues" dxfId="34946" priority="34958"/>
    <cfRule type="duplicateValues" dxfId="34945" priority="34957"/>
    <cfRule type="duplicateValues" dxfId="34944" priority="34956"/>
    <cfRule type="duplicateValues" dxfId="34943" priority="34955"/>
    <cfRule type="duplicateValues" dxfId="34942" priority="34954"/>
    <cfRule type="duplicateValues" dxfId="34941" priority="34953"/>
    <cfRule type="duplicateValues" dxfId="34940" priority="34952"/>
    <cfRule type="duplicateValues" dxfId="34939" priority="34951"/>
    <cfRule type="duplicateValues" dxfId="34938" priority="34950"/>
    <cfRule type="duplicateValues" dxfId="34937" priority="34949"/>
    <cfRule type="duplicateValues" dxfId="34936" priority="34948"/>
    <cfRule type="duplicateValues" dxfId="34935" priority="34947"/>
    <cfRule type="duplicateValues" dxfId="34934" priority="34946"/>
    <cfRule type="duplicateValues" dxfId="34933" priority="34945"/>
    <cfRule type="duplicateValues" dxfId="34932" priority="34944"/>
    <cfRule type="duplicateValues" dxfId="34931" priority="34943"/>
    <cfRule type="duplicateValues" dxfId="34930" priority="34942"/>
    <cfRule type="duplicateValues" dxfId="34929" priority="34941"/>
    <cfRule type="duplicateValues" dxfId="34928" priority="34940"/>
    <cfRule type="duplicateValues" dxfId="34927" priority="34939"/>
    <cfRule type="duplicateValues" dxfId="34926" priority="34938"/>
    <cfRule type="duplicateValues" dxfId="34925" priority="34937"/>
    <cfRule type="duplicateValues" dxfId="34924" priority="34936"/>
    <cfRule type="duplicateValues" dxfId="34923" priority="34935"/>
    <cfRule type="duplicateValues" dxfId="34922" priority="34934"/>
    <cfRule type="duplicateValues" dxfId="34921" priority="34933"/>
    <cfRule type="duplicateValues" dxfId="34920" priority="34932"/>
    <cfRule type="duplicateValues" dxfId="34919" priority="34931"/>
    <cfRule type="duplicateValues" dxfId="34918" priority="34930"/>
    <cfRule type="duplicateValues" dxfId="34917" priority="34929"/>
    <cfRule type="duplicateValues" dxfId="34916" priority="34928"/>
    <cfRule type="duplicateValues" dxfId="34915" priority="34927"/>
    <cfRule type="duplicateValues" dxfId="34914" priority="34926"/>
    <cfRule type="duplicateValues" dxfId="34913" priority="34925"/>
    <cfRule type="duplicateValues" dxfId="34912" priority="34924"/>
    <cfRule type="duplicateValues" dxfId="34911" priority="34923"/>
    <cfRule type="duplicateValues" dxfId="34910" priority="34922"/>
    <cfRule type="duplicateValues" dxfId="34909" priority="34921"/>
    <cfRule type="duplicateValues" dxfId="34908" priority="34920"/>
    <cfRule type="duplicateValues" dxfId="34907" priority="34919"/>
    <cfRule type="duplicateValues" dxfId="34906" priority="34918"/>
    <cfRule type="duplicateValues" dxfId="34905" priority="34917"/>
    <cfRule type="duplicateValues" dxfId="34904" priority="34916"/>
    <cfRule type="duplicateValues" dxfId="34903" priority="34915"/>
    <cfRule type="duplicateValues" dxfId="34902" priority="34914"/>
    <cfRule type="duplicateValues" dxfId="34901" priority="34913"/>
    <cfRule type="duplicateValues" dxfId="34900" priority="34912"/>
    <cfRule type="duplicateValues" dxfId="34899" priority="34911"/>
    <cfRule type="duplicateValues" dxfId="34898" priority="34910"/>
    <cfRule type="duplicateValues" dxfId="34897" priority="34909"/>
    <cfRule type="duplicateValues" dxfId="34896" priority="34908"/>
    <cfRule type="duplicateValues" dxfId="34895" priority="34907"/>
    <cfRule type="duplicateValues" dxfId="34894" priority="34906"/>
    <cfRule type="duplicateValues" dxfId="34893" priority="34905"/>
    <cfRule type="duplicateValues" dxfId="34892" priority="34904"/>
    <cfRule type="duplicateValues" dxfId="34891" priority="34903"/>
    <cfRule type="duplicateValues" dxfId="34890" priority="34902"/>
    <cfRule type="duplicateValues" dxfId="34889" priority="34901"/>
    <cfRule type="duplicateValues" dxfId="34888" priority="34900"/>
    <cfRule type="duplicateValues" dxfId="34887" priority="34899"/>
    <cfRule type="duplicateValues" dxfId="34886" priority="34898"/>
    <cfRule type="duplicateValues" dxfId="34885" priority="34897"/>
    <cfRule type="duplicateValues" dxfId="34884" priority="34896"/>
    <cfRule type="duplicateValues" dxfId="34883" priority="34895"/>
    <cfRule type="duplicateValues" dxfId="34882" priority="34894"/>
    <cfRule type="duplicateValues" dxfId="34881" priority="34893"/>
    <cfRule type="duplicateValues" dxfId="34880" priority="34892"/>
    <cfRule type="duplicateValues" dxfId="34879" priority="34891"/>
    <cfRule type="duplicateValues" dxfId="34878" priority="34890"/>
    <cfRule type="duplicateValues" dxfId="34877" priority="34889"/>
    <cfRule type="duplicateValues" dxfId="34876" priority="34888"/>
    <cfRule type="duplicateValues" dxfId="34875" priority="34887"/>
  </conditionalFormatting>
  <conditionalFormatting sqref="B111">
    <cfRule type="duplicateValues" dxfId="34874" priority="34709"/>
    <cfRule type="duplicateValues" dxfId="34873" priority="34707"/>
    <cfRule type="duplicateValues" dxfId="34872" priority="34710"/>
    <cfRule type="duplicateValues" dxfId="34871" priority="34883"/>
    <cfRule type="duplicateValues" dxfId="34870" priority="34882"/>
    <cfRule type="duplicateValues" dxfId="34869" priority="34881"/>
    <cfRule type="duplicateValues" dxfId="34868" priority="34880"/>
    <cfRule type="duplicateValues" dxfId="34867" priority="34879"/>
    <cfRule type="duplicateValues" dxfId="34866" priority="34878"/>
    <cfRule type="duplicateValues" dxfId="34865" priority="34877"/>
    <cfRule type="duplicateValues" dxfId="34864" priority="34876"/>
    <cfRule type="duplicateValues" dxfId="34863" priority="34875"/>
    <cfRule type="duplicateValues" dxfId="34862" priority="34874"/>
    <cfRule type="duplicateValues" dxfId="34861" priority="34873"/>
    <cfRule type="duplicateValues" dxfId="34860" priority="34872"/>
    <cfRule type="duplicateValues" dxfId="34859" priority="34871"/>
    <cfRule type="duplicateValues" dxfId="34858" priority="34870"/>
    <cfRule type="duplicateValues" dxfId="34857" priority="34869"/>
    <cfRule type="duplicateValues" dxfId="34856" priority="34868"/>
    <cfRule type="duplicateValues" dxfId="34855" priority="34867"/>
    <cfRule type="duplicateValues" dxfId="34854" priority="34866"/>
    <cfRule type="duplicateValues" dxfId="34853" priority="34865"/>
    <cfRule type="duplicateValues" dxfId="34852" priority="34864"/>
    <cfRule type="duplicateValues" dxfId="34851" priority="34863"/>
    <cfRule type="duplicateValues" dxfId="34850" priority="34862"/>
    <cfRule type="duplicateValues" dxfId="34849" priority="34861"/>
    <cfRule type="duplicateValues" dxfId="34848" priority="34860"/>
    <cfRule type="duplicateValues" dxfId="34847" priority="34859"/>
    <cfRule type="duplicateValues" dxfId="34846" priority="34858"/>
    <cfRule type="duplicateValues" dxfId="34845" priority="34857"/>
    <cfRule type="duplicateValues" dxfId="34844" priority="34856"/>
    <cfRule type="duplicateValues" dxfId="34843" priority="34855"/>
    <cfRule type="duplicateValues" dxfId="34842" priority="34854"/>
    <cfRule type="duplicateValues" dxfId="34841" priority="34853"/>
    <cfRule type="duplicateValues" dxfId="34840" priority="34852"/>
    <cfRule type="duplicateValues" dxfId="34839" priority="34851"/>
    <cfRule type="duplicateValues" dxfId="34838" priority="34850"/>
    <cfRule type="duplicateValues" dxfId="34837" priority="34849"/>
    <cfRule type="duplicateValues" dxfId="34836" priority="34848"/>
    <cfRule type="duplicateValues" dxfId="34835" priority="34847"/>
    <cfRule type="duplicateValues" dxfId="34834" priority="34846"/>
    <cfRule type="duplicateValues" dxfId="34833" priority="34845"/>
    <cfRule type="duplicateValues" dxfId="34832" priority="34844"/>
    <cfRule type="duplicateValues" dxfId="34831" priority="34843"/>
    <cfRule type="duplicateValues" dxfId="34830" priority="34842"/>
    <cfRule type="duplicateValues" dxfId="34829" priority="34841"/>
    <cfRule type="duplicateValues" dxfId="34828" priority="34840"/>
    <cfRule type="duplicateValues" dxfId="34827" priority="34839"/>
    <cfRule type="duplicateValues" dxfId="34826" priority="34838"/>
    <cfRule type="duplicateValues" dxfId="34825" priority="34837"/>
    <cfRule type="duplicateValues" dxfId="34824" priority="34836"/>
    <cfRule type="duplicateValues" dxfId="34823" priority="34835"/>
    <cfRule type="duplicateValues" dxfId="34822" priority="34834"/>
    <cfRule type="duplicateValues" dxfId="34821" priority="34833"/>
    <cfRule type="duplicateValues" dxfId="34820" priority="34832"/>
    <cfRule type="duplicateValues" dxfId="34819" priority="34831"/>
    <cfRule type="duplicateValues" dxfId="34818" priority="34830"/>
    <cfRule type="duplicateValues" dxfId="34817" priority="34829"/>
    <cfRule type="duplicateValues" dxfId="34816" priority="34828"/>
    <cfRule type="duplicateValues" dxfId="34815" priority="34827"/>
    <cfRule type="duplicateValues" dxfId="34814" priority="34826"/>
    <cfRule type="duplicateValues" dxfId="34813" priority="34825"/>
    <cfRule type="duplicateValues" dxfId="34812" priority="34824"/>
    <cfRule type="duplicateValues" dxfId="34811" priority="34823"/>
    <cfRule type="duplicateValues" dxfId="34810" priority="34822"/>
    <cfRule type="duplicateValues" dxfId="34809" priority="34821"/>
    <cfRule type="duplicateValues" dxfId="34808" priority="34708"/>
    <cfRule type="duplicateValues" dxfId="34807" priority="34820"/>
    <cfRule type="duplicateValues" dxfId="34806" priority="34819"/>
    <cfRule type="duplicateValues" dxfId="34805" priority="34818"/>
    <cfRule type="duplicateValues" dxfId="34804" priority="34817"/>
    <cfRule type="duplicateValues" dxfId="34803" priority="34816"/>
    <cfRule type="duplicateValues" dxfId="34802" priority="34815"/>
    <cfRule type="duplicateValues" dxfId="34801" priority="34814"/>
    <cfRule type="duplicateValues" dxfId="34800" priority="34813"/>
    <cfRule type="duplicateValues" dxfId="34799" priority="34812"/>
    <cfRule type="duplicateValues" dxfId="34798" priority="34811"/>
    <cfRule type="duplicateValues" dxfId="34797" priority="34810"/>
    <cfRule type="duplicateValues" dxfId="34796" priority="34809"/>
    <cfRule type="duplicateValues" dxfId="34795" priority="34808"/>
    <cfRule type="duplicateValues" dxfId="34794" priority="34807"/>
    <cfRule type="duplicateValues" dxfId="34793" priority="34806"/>
    <cfRule type="duplicateValues" dxfId="34792" priority="34805"/>
    <cfRule type="duplicateValues" dxfId="34791" priority="34804"/>
    <cfRule type="duplicateValues" dxfId="34790" priority="34803"/>
    <cfRule type="duplicateValues" dxfId="34789" priority="34802"/>
    <cfRule type="duplicateValues" dxfId="34788" priority="34801"/>
    <cfRule type="duplicateValues" dxfId="34787" priority="34800"/>
    <cfRule type="duplicateValues" dxfId="34786" priority="34799"/>
    <cfRule type="duplicateValues" dxfId="34785" priority="34798"/>
    <cfRule type="duplicateValues" dxfId="34784" priority="34797"/>
    <cfRule type="duplicateValues" dxfId="34783" priority="34796"/>
    <cfRule type="duplicateValues" dxfId="34782" priority="34795"/>
    <cfRule type="duplicateValues" dxfId="34781" priority="34794"/>
    <cfRule type="duplicateValues" dxfId="34780" priority="34793"/>
    <cfRule type="duplicateValues" dxfId="34779" priority="34792"/>
    <cfRule type="duplicateValues" dxfId="34778" priority="34791"/>
    <cfRule type="duplicateValues" dxfId="34777" priority="34790"/>
    <cfRule type="duplicateValues" dxfId="34776" priority="34789"/>
    <cfRule type="duplicateValues" dxfId="34775" priority="34788"/>
    <cfRule type="duplicateValues" dxfId="34774" priority="34787"/>
    <cfRule type="duplicateValues" dxfId="34773" priority="34786"/>
    <cfRule type="duplicateValues" dxfId="34772" priority="34785"/>
    <cfRule type="duplicateValues" dxfId="34771" priority="34784"/>
    <cfRule type="duplicateValues" dxfId="34770" priority="34783"/>
    <cfRule type="duplicateValues" dxfId="34769" priority="34782"/>
    <cfRule type="duplicateValues" dxfId="34768" priority="34781"/>
    <cfRule type="duplicateValues" dxfId="34767" priority="34780"/>
    <cfRule type="duplicateValues" dxfId="34766" priority="34779"/>
    <cfRule type="duplicateValues" dxfId="34765" priority="34778"/>
    <cfRule type="duplicateValues" dxfId="34764" priority="34777"/>
    <cfRule type="duplicateValues" dxfId="34763" priority="34776"/>
    <cfRule type="duplicateValues" dxfId="34762" priority="34775"/>
    <cfRule type="duplicateValues" dxfId="34761" priority="34774"/>
    <cfRule type="duplicateValues" dxfId="34760" priority="34773"/>
    <cfRule type="duplicateValues" dxfId="34759" priority="34772"/>
    <cfRule type="duplicateValues" dxfId="34758" priority="34771"/>
    <cfRule type="duplicateValues" dxfId="34757" priority="34770"/>
    <cfRule type="duplicateValues" dxfId="34756" priority="34769"/>
    <cfRule type="duplicateValues" dxfId="34755" priority="34768"/>
    <cfRule type="duplicateValues" dxfId="34754" priority="34767"/>
    <cfRule type="duplicateValues" dxfId="34753" priority="34766"/>
    <cfRule type="duplicateValues" dxfId="34752" priority="34765"/>
    <cfRule type="duplicateValues" dxfId="34751" priority="34764"/>
    <cfRule type="duplicateValues" dxfId="34750" priority="34763"/>
    <cfRule type="duplicateValues" dxfId="34749" priority="34762"/>
    <cfRule type="duplicateValues" dxfId="34748" priority="34761"/>
    <cfRule type="duplicateValues" dxfId="34747" priority="34760"/>
    <cfRule type="duplicateValues" dxfId="34746" priority="34759"/>
    <cfRule type="duplicateValues" dxfId="34745" priority="34758"/>
    <cfRule type="duplicateValues" dxfId="34744" priority="34757"/>
    <cfRule type="duplicateValues" dxfId="34743" priority="34756"/>
    <cfRule type="duplicateValues" dxfId="34742" priority="34755"/>
    <cfRule type="duplicateValues" dxfId="34741" priority="34754"/>
    <cfRule type="duplicateValues" dxfId="34740" priority="34753"/>
    <cfRule type="duplicateValues" dxfId="34739" priority="34752"/>
    <cfRule type="duplicateValues" dxfId="34738" priority="34751"/>
    <cfRule type="duplicateValues" dxfId="34737" priority="34750"/>
    <cfRule type="duplicateValues" dxfId="34736" priority="34749"/>
    <cfRule type="duplicateValues" dxfId="34735" priority="34748"/>
    <cfRule type="duplicateValues" dxfId="34734" priority="34747"/>
    <cfRule type="duplicateValues" dxfId="34733" priority="34746"/>
    <cfRule type="duplicateValues" dxfId="34732" priority="34745"/>
    <cfRule type="duplicateValues" dxfId="34731" priority="34744"/>
    <cfRule type="duplicateValues" dxfId="34730" priority="34743"/>
    <cfRule type="duplicateValues" dxfId="34729" priority="34742"/>
    <cfRule type="duplicateValues" dxfId="34728" priority="34741"/>
    <cfRule type="duplicateValues" dxfId="34727" priority="34740"/>
    <cfRule type="duplicateValues" dxfId="34726" priority="34739"/>
    <cfRule type="duplicateValues" dxfId="34725" priority="34738"/>
    <cfRule type="duplicateValues" dxfId="34724" priority="34737"/>
    <cfRule type="duplicateValues" dxfId="34723" priority="34736"/>
    <cfRule type="duplicateValues" dxfId="34722" priority="34735"/>
    <cfRule type="duplicateValues" dxfId="34721" priority="34734"/>
    <cfRule type="duplicateValues" dxfId="34720" priority="34733"/>
    <cfRule type="duplicateValues" dxfId="34719" priority="34732"/>
    <cfRule type="duplicateValues" dxfId="34718" priority="34731"/>
    <cfRule type="duplicateValues" dxfId="34717" priority="34730"/>
    <cfRule type="duplicateValues" dxfId="34716" priority="34729"/>
    <cfRule type="duplicateValues" dxfId="34715" priority="34728"/>
    <cfRule type="duplicateValues" dxfId="34714" priority="34727"/>
    <cfRule type="duplicateValues" dxfId="34713" priority="34726"/>
    <cfRule type="duplicateValues" dxfId="34712" priority="34725"/>
    <cfRule type="duplicateValues" dxfId="34711" priority="34724"/>
    <cfRule type="duplicateValues" dxfId="34710" priority="34723"/>
    <cfRule type="duplicateValues" dxfId="34709" priority="34722"/>
    <cfRule type="duplicateValues" dxfId="34708" priority="34721"/>
    <cfRule type="duplicateValues" dxfId="34707" priority="34720"/>
    <cfRule type="duplicateValues" dxfId="34706" priority="34719"/>
    <cfRule type="duplicateValues" dxfId="34705" priority="34718"/>
    <cfRule type="duplicateValues" dxfId="34704" priority="34717"/>
    <cfRule type="duplicateValues" dxfId="34703" priority="34716"/>
    <cfRule type="duplicateValues" dxfId="34702" priority="34715"/>
    <cfRule type="duplicateValues" dxfId="34701" priority="34714"/>
    <cfRule type="duplicateValues" dxfId="34700" priority="34713"/>
    <cfRule type="duplicateValues" dxfId="34699" priority="34712"/>
    <cfRule type="duplicateValues" dxfId="34698" priority="34711"/>
  </conditionalFormatting>
  <conditionalFormatting sqref="B112">
    <cfRule type="duplicateValues" dxfId="34697" priority="34532"/>
    <cfRule type="duplicateValues" dxfId="34696" priority="34531"/>
    <cfRule type="duplicateValues" dxfId="34695" priority="34530"/>
    <cfRule type="duplicateValues" dxfId="34694" priority="34621"/>
    <cfRule type="duplicateValues" dxfId="34693" priority="34706"/>
    <cfRule type="duplicateValues" dxfId="34692" priority="34705"/>
    <cfRule type="duplicateValues" dxfId="34691" priority="34704"/>
    <cfRule type="duplicateValues" dxfId="34690" priority="34703"/>
    <cfRule type="duplicateValues" dxfId="34689" priority="34702"/>
    <cfRule type="duplicateValues" dxfId="34688" priority="34701"/>
    <cfRule type="duplicateValues" dxfId="34687" priority="34700"/>
    <cfRule type="duplicateValues" dxfId="34686" priority="34699"/>
    <cfRule type="duplicateValues" dxfId="34685" priority="34698"/>
    <cfRule type="duplicateValues" dxfId="34684" priority="34697"/>
    <cfRule type="duplicateValues" dxfId="34683" priority="34696"/>
    <cfRule type="duplicateValues" dxfId="34682" priority="34695"/>
    <cfRule type="duplicateValues" dxfId="34681" priority="34694"/>
    <cfRule type="duplicateValues" dxfId="34680" priority="34693"/>
    <cfRule type="duplicateValues" dxfId="34679" priority="34692"/>
    <cfRule type="duplicateValues" dxfId="34678" priority="34691"/>
    <cfRule type="duplicateValues" dxfId="34677" priority="34690"/>
    <cfRule type="duplicateValues" dxfId="34676" priority="34689"/>
    <cfRule type="duplicateValues" dxfId="34675" priority="34688"/>
    <cfRule type="duplicateValues" dxfId="34674" priority="34687"/>
    <cfRule type="duplicateValues" dxfId="34673" priority="34686"/>
    <cfRule type="duplicateValues" dxfId="34672" priority="34685"/>
    <cfRule type="duplicateValues" dxfId="34671" priority="34684"/>
    <cfRule type="duplicateValues" dxfId="34670" priority="34683"/>
    <cfRule type="duplicateValues" dxfId="34669" priority="34682"/>
    <cfRule type="duplicateValues" dxfId="34668" priority="34681"/>
    <cfRule type="duplicateValues" dxfId="34667" priority="34680"/>
    <cfRule type="duplicateValues" dxfId="34666" priority="34679"/>
    <cfRule type="duplicateValues" dxfId="34665" priority="34678"/>
    <cfRule type="duplicateValues" dxfId="34664" priority="34677"/>
    <cfRule type="duplicateValues" dxfId="34663" priority="34676"/>
    <cfRule type="duplicateValues" dxfId="34662" priority="34675"/>
    <cfRule type="duplicateValues" dxfId="34661" priority="34674"/>
    <cfRule type="duplicateValues" dxfId="34660" priority="34673"/>
    <cfRule type="duplicateValues" dxfId="34659" priority="34672"/>
    <cfRule type="duplicateValues" dxfId="34658" priority="34671"/>
    <cfRule type="duplicateValues" dxfId="34657" priority="34670"/>
    <cfRule type="duplicateValues" dxfId="34656" priority="34669"/>
    <cfRule type="duplicateValues" dxfId="34655" priority="34668"/>
    <cfRule type="duplicateValues" dxfId="34654" priority="34667"/>
    <cfRule type="duplicateValues" dxfId="34653" priority="34666"/>
    <cfRule type="duplicateValues" dxfId="34652" priority="34665"/>
    <cfRule type="duplicateValues" dxfId="34651" priority="34664"/>
    <cfRule type="duplicateValues" dxfId="34650" priority="34663"/>
    <cfRule type="duplicateValues" dxfId="34649" priority="34662"/>
    <cfRule type="duplicateValues" dxfId="34648" priority="34661"/>
    <cfRule type="duplicateValues" dxfId="34647" priority="34660"/>
    <cfRule type="duplicateValues" dxfId="34646" priority="34659"/>
    <cfRule type="duplicateValues" dxfId="34645" priority="34658"/>
    <cfRule type="duplicateValues" dxfId="34644" priority="34657"/>
    <cfRule type="duplicateValues" dxfId="34643" priority="34656"/>
    <cfRule type="duplicateValues" dxfId="34642" priority="34655"/>
    <cfRule type="duplicateValues" dxfId="34641" priority="34654"/>
    <cfRule type="duplicateValues" dxfId="34640" priority="34653"/>
    <cfRule type="duplicateValues" dxfId="34639" priority="34652"/>
    <cfRule type="duplicateValues" dxfId="34638" priority="34651"/>
    <cfRule type="duplicateValues" dxfId="34637" priority="34650"/>
    <cfRule type="duplicateValues" dxfId="34636" priority="34649"/>
    <cfRule type="duplicateValues" dxfId="34635" priority="34648"/>
    <cfRule type="duplicateValues" dxfId="34634" priority="34647"/>
    <cfRule type="duplicateValues" dxfId="34633" priority="34646"/>
    <cfRule type="duplicateValues" dxfId="34632" priority="34645"/>
    <cfRule type="duplicateValues" dxfId="34631" priority="34644"/>
    <cfRule type="duplicateValues" dxfId="34630" priority="34643"/>
    <cfRule type="duplicateValues" dxfId="34629" priority="34642"/>
    <cfRule type="duplicateValues" dxfId="34628" priority="34641"/>
    <cfRule type="duplicateValues" dxfId="34627" priority="34640"/>
    <cfRule type="duplicateValues" dxfId="34626" priority="34639"/>
    <cfRule type="duplicateValues" dxfId="34625" priority="34638"/>
    <cfRule type="duplicateValues" dxfId="34624" priority="34637"/>
    <cfRule type="duplicateValues" dxfId="34623" priority="34636"/>
    <cfRule type="duplicateValues" dxfId="34622" priority="34635"/>
    <cfRule type="duplicateValues" dxfId="34621" priority="34634"/>
    <cfRule type="duplicateValues" dxfId="34620" priority="34633"/>
    <cfRule type="duplicateValues" dxfId="34619" priority="34632"/>
    <cfRule type="duplicateValues" dxfId="34618" priority="34631"/>
    <cfRule type="duplicateValues" dxfId="34617" priority="34630"/>
    <cfRule type="duplicateValues" dxfId="34616" priority="34629"/>
    <cfRule type="duplicateValues" dxfId="34615" priority="34628"/>
    <cfRule type="duplicateValues" dxfId="34614" priority="34627"/>
    <cfRule type="duplicateValues" dxfId="34613" priority="34626"/>
    <cfRule type="duplicateValues" dxfId="34612" priority="34625"/>
    <cfRule type="duplicateValues" dxfId="34611" priority="34624"/>
    <cfRule type="duplicateValues" dxfId="34610" priority="34623"/>
    <cfRule type="duplicateValues" dxfId="34609" priority="34622"/>
    <cfRule type="duplicateValues" dxfId="34608" priority="34620"/>
    <cfRule type="duplicateValues" dxfId="34607" priority="34619"/>
    <cfRule type="duplicateValues" dxfId="34606" priority="34618"/>
    <cfRule type="duplicateValues" dxfId="34605" priority="34617"/>
    <cfRule type="duplicateValues" dxfId="34604" priority="34616"/>
    <cfRule type="duplicateValues" dxfId="34603" priority="34615"/>
    <cfRule type="duplicateValues" dxfId="34602" priority="34614"/>
    <cfRule type="duplicateValues" dxfId="34601" priority="34613"/>
    <cfRule type="duplicateValues" dxfId="34600" priority="34612"/>
    <cfRule type="duplicateValues" dxfId="34599" priority="34611"/>
    <cfRule type="duplicateValues" dxfId="34598" priority="34610"/>
    <cfRule type="duplicateValues" dxfId="34597" priority="34609"/>
    <cfRule type="duplicateValues" dxfId="34596" priority="34608"/>
    <cfRule type="duplicateValues" dxfId="34595" priority="34607"/>
    <cfRule type="duplicateValues" dxfId="34594" priority="34606"/>
    <cfRule type="duplicateValues" dxfId="34593" priority="34605"/>
    <cfRule type="duplicateValues" dxfId="34592" priority="34604"/>
    <cfRule type="duplicateValues" dxfId="34591" priority="34603"/>
    <cfRule type="duplicateValues" dxfId="34590" priority="34602"/>
    <cfRule type="duplicateValues" dxfId="34589" priority="34601"/>
    <cfRule type="duplicateValues" dxfId="34588" priority="34600"/>
    <cfRule type="duplicateValues" dxfId="34587" priority="34599"/>
    <cfRule type="duplicateValues" dxfId="34586" priority="34598"/>
    <cfRule type="duplicateValues" dxfId="34585" priority="34597"/>
    <cfRule type="duplicateValues" dxfId="34584" priority="34596"/>
    <cfRule type="duplicateValues" dxfId="34583" priority="34595"/>
    <cfRule type="duplicateValues" dxfId="34582" priority="34594"/>
    <cfRule type="duplicateValues" dxfId="34581" priority="34593"/>
    <cfRule type="duplicateValues" dxfId="34580" priority="34592"/>
    <cfRule type="duplicateValues" dxfId="34579" priority="34591"/>
    <cfRule type="duplicateValues" dxfId="34578" priority="34590"/>
    <cfRule type="duplicateValues" dxfId="34577" priority="34589"/>
    <cfRule type="duplicateValues" dxfId="34576" priority="34588"/>
    <cfRule type="duplicateValues" dxfId="34575" priority="34587"/>
    <cfRule type="duplicateValues" dxfId="34574" priority="34586"/>
    <cfRule type="duplicateValues" dxfId="34573" priority="34585"/>
    <cfRule type="duplicateValues" dxfId="34572" priority="34584"/>
    <cfRule type="duplicateValues" dxfId="34571" priority="34583"/>
    <cfRule type="duplicateValues" dxfId="34570" priority="34582"/>
    <cfRule type="duplicateValues" dxfId="34569" priority="34581"/>
    <cfRule type="duplicateValues" dxfId="34568" priority="34580"/>
    <cfRule type="duplicateValues" dxfId="34567" priority="34579"/>
    <cfRule type="duplicateValues" dxfId="34566" priority="34578"/>
    <cfRule type="duplicateValues" dxfId="34565" priority="34577"/>
    <cfRule type="duplicateValues" dxfId="34564" priority="34576"/>
    <cfRule type="duplicateValues" dxfId="34563" priority="34575"/>
    <cfRule type="duplicateValues" dxfId="34562" priority="34574"/>
    <cfRule type="duplicateValues" dxfId="34561" priority="34573"/>
    <cfRule type="duplicateValues" dxfId="34560" priority="34572"/>
    <cfRule type="duplicateValues" dxfId="34559" priority="34571"/>
    <cfRule type="duplicateValues" dxfId="34558" priority="34570"/>
    <cfRule type="duplicateValues" dxfId="34557" priority="34569"/>
    <cfRule type="duplicateValues" dxfId="34556" priority="34568"/>
    <cfRule type="duplicateValues" dxfId="34555" priority="34567"/>
    <cfRule type="duplicateValues" dxfId="34554" priority="34566"/>
    <cfRule type="duplicateValues" dxfId="34553" priority="34565"/>
    <cfRule type="duplicateValues" dxfId="34552" priority="34564"/>
    <cfRule type="duplicateValues" dxfId="34551" priority="34563"/>
    <cfRule type="duplicateValues" dxfId="34550" priority="34562"/>
    <cfRule type="duplicateValues" dxfId="34549" priority="34561"/>
    <cfRule type="duplicateValues" dxfId="34548" priority="34560"/>
    <cfRule type="duplicateValues" dxfId="34547" priority="34559"/>
    <cfRule type="duplicateValues" dxfId="34546" priority="34558"/>
    <cfRule type="duplicateValues" dxfId="34545" priority="34557"/>
    <cfRule type="duplicateValues" dxfId="34544" priority="34556"/>
    <cfRule type="duplicateValues" dxfId="34543" priority="34555"/>
    <cfRule type="duplicateValues" dxfId="34542" priority="34554"/>
    <cfRule type="duplicateValues" dxfId="34541" priority="34553"/>
    <cfRule type="duplicateValues" dxfId="34540" priority="34552"/>
    <cfRule type="duplicateValues" dxfId="34539" priority="34551"/>
    <cfRule type="duplicateValues" dxfId="34538" priority="34550"/>
    <cfRule type="duplicateValues" dxfId="34537" priority="34549"/>
    <cfRule type="duplicateValues" dxfId="34536" priority="34548"/>
    <cfRule type="duplicateValues" dxfId="34535" priority="34547"/>
    <cfRule type="duplicateValues" dxfId="34534" priority="34546"/>
    <cfRule type="duplicateValues" dxfId="34533" priority="34545"/>
    <cfRule type="duplicateValues" dxfId="34532" priority="34544"/>
    <cfRule type="duplicateValues" dxfId="34531" priority="34543"/>
    <cfRule type="duplicateValues" dxfId="34530" priority="34542"/>
    <cfRule type="duplicateValues" dxfId="34529" priority="34541"/>
    <cfRule type="duplicateValues" dxfId="34528" priority="34540"/>
    <cfRule type="duplicateValues" dxfId="34527" priority="34539"/>
    <cfRule type="duplicateValues" dxfId="34526" priority="34538"/>
    <cfRule type="duplicateValues" dxfId="34525" priority="34537"/>
    <cfRule type="duplicateValues" dxfId="34524" priority="34536"/>
    <cfRule type="duplicateValues" dxfId="34523" priority="34535"/>
    <cfRule type="duplicateValues" dxfId="34522" priority="34534"/>
    <cfRule type="duplicateValues" dxfId="34521" priority="34533"/>
  </conditionalFormatting>
  <conditionalFormatting sqref="B113">
    <cfRule type="duplicateValues" dxfId="34520" priority="34423"/>
    <cfRule type="duplicateValues" dxfId="34519" priority="34356"/>
    <cfRule type="duplicateValues" dxfId="34518" priority="34355"/>
    <cfRule type="duplicateValues" dxfId="34517" priority="34354"/>
    <cfRule type="duplicateValues" dxfId="34516" priority="34529"/>
    <cfRule type="duplicateValues" dxfId="34515" priority="34528"/>
    <cfRule type="duplicateValues" dxfId="34514" priority="34527"/>
    <cfRule type="duplicateValues" dxfId="34513" priority="34526"/>
    <cfRule type="duplicateValues" dxfId="34512" priority="34525"/>
    <cfRule type="duplicateValues" dxfId="34511" priority="34524"/>
    <cfRule type="duplicateValues" dxfId="34510" priority="34523"/>
    <cfRule type="duplicateValues" dxfId="34509" priority="34522"/>
    <cfRule type="duplicateValues" dxfId="34508" priority="34521"/>
    <cfRule type="duplicateValues" dxfId="34507" priority="34520"/>
    <cfRule type="duplicateValues" dxfId="34506" priority="34519"/>
    <cfRule type="duplicateValues" dxfId="34505" priority="34518"/>
    <cfRule type="duplicateValues" dxfId="34504" priority="34517"/>
    <cfRule type="duplicateValues" dxfId="34503" priority="34516"/>
    <cfRule type="duplicateValues" dxfId="34502" priority="34515"/>
    <cfRule type="duplicateValues" dxfId="34501" priority="34514"/>
    <cfRule type="duplicateValues" dxfId="34500" priority="34513"/>
    <cfRule type="duplicateValues" dxfId="34499" priority="34512"/>
    <cfRule type="duplicateValues" dxfId="34498" priority="34511"/>
    <cfRule type="duplicateValues" dxfId="34497" priority="34510"/>
    <cfRule type="duplicateValues" dxfId="34496" priority="34509"/>
    <cfRule type="duplicateValues" dxfId="34495" priority="34508"/>
    <cfRule type="duplicateValues" dxfId="34494" priority="34507"/>
    <cfRule type="duplicateValues" dxfId="34493" priority="34506"/>
    <cfRule type="duplicateValues" dxfId="34492" priority="34505"/>
    <cfRule type="duplicateValues" dxfId="34491" priority="34504"/>
    <cfRule type="duplicateValues" dxfId="34490" priority="34503"/>
    <cfRule type="duplicateValues" dxfId="34489" priority="34502"/>
    <cfRule type="duplicateValues" dxfId="34488" priority="34501"/>
    <cfRule type="duplicateValues" dxfId="34487" priority="34500"/>
    <cfRule type="duplicateValues" dxfId="34486" priority="34499"/>
    <cfRule type="duplicateValues" dxfId="34485" priority="34498"/>
    <cfRule type="duplicateValues" dxfId="34484" priority="34497"/>
    <cfRule type="duplicateValues" dxfId="34483" priority="34496"/>
    <cfRule type="duplicateValues" dxfId="34482" priority="34495"/>
    <cfRule type="duplicateValues" dxfId="34481" priority="34494"/>
    <cfRule type="duplicateValues" dxfId="34480" priority="34493"/>
    <cfRule type="duplicateValues" dxfId="34479" priority="34492"/>
    <cfRule type="duplicateValues" dxfId="34478" priority="34491"/>
    <cfRule type="duplicateValues" dxfId="34477" priority="34490"/>
    <cfRule type="duplicateValues" dxfId="34476" priority="34489"/>
    <cfRule type="duplicateValues" dxfId="34475" priority="34488"/>
    <cfRule type="duplicateValues" dxfId="34474" priority="34487"/>
    <cfRule type="duplicateValues" dxfId="34473" priority="34486"/>
    <cfRule type="duplicateValues" dxfId="34472" priority="34485"/>
    <cfRule type="duplicateValues" dxfId="34471" priority="34484"/>
    <cfRule type="duplicateValues" dxfId="34470" priority="34483"/>
    <cfRule type="duplicateValues" dxfId="34469" priority="34482"/>
    <cfRule type="duplicateValues" dxfId="34468" priority="34481"/>
    <cfRule type="duplicateValues" dxfId="34467" priority="34480"/>
    <cfRule type="duplicateValues" dxfId="34466" priority="34479"/>
    <cfRule type="duplicateValues" dxfId="34465" priority="34478"/>
    <cfRule type="duplicateValues" dxfId="34464" priority="34477"/>
    <cfRule type="duplicateValues" dxfId="34463" priority="34476"/>
    <cfRule type="duplicateValues" dxfId="34462" priority="34475"/>
    <cfRule type="duplicateValues" dxfId="34461" priority="34474"/>
    <cfRule type="duplicateValues" dxfId="34460" priority="34473"/>
    <cfRule type="duplicateValues" dxfId="34459" priority="34472"/>
    <cfRule type="duplicateValues" dxfId="34458" priority="34471"/>
    <cfRule type="duplicateValues" dxfId="34457" priority="34470"/>
    <cfRule type="duplicateValues" dxfId="34456" priority="34469"/>
    <cfRule type="duplicateValues" dxfId="34455" priority="34468"/>
    <cfRule type="duplicateValues" dxfId="34454" priority="34467"/>
    <cfRule type="duplicateValues" dxfId="34453" priority="34466"/>
    <cfRule type="duplicateValues" dxfId="34452" priority="34465"/>
    <cfRule type="duplicateValues" dxfId="34451" priority="34464"/>
    <cfRule type="duplicateValues" dxfId="34450" priority="34463"/>
    <cfRule type="duplicateValues" dxfId="34449" priority="34462"/>
    <cfRule type="duplicateValues" dxfId="34448" priority="34461"/>
    <cfRule type="duplicateValues" dxfId="34447" priority="34460"/>
    <cfRule type="duplicateValues" dxfId="34446" priority="34459"/>
    <cfRule type="duplicateValues" dxfId="34445" priority="34458"/>
    <cfRule type="duplicateValues" dxfId="34444" priority="34457"/>
    <cfRule type="duplicateValues" dxfId="34443" priority="34456"/>
    <cfRule type="duplicateValues" dxfId="34442" priority="34455"/>
    <cfRule type="duplicateValues" dxfId="34441" priority="34454"/>
    <cfRule type="duplicateValues" dxfId="34440" priority="34453"/>
    <cfRule type="duplicateValues" dxfId="34439" priority="34452"/>
    <cfRule type="duplicateValues" dxfId="34438" priority="34451"/>
    <cfRule type="duplicateValues" dxfId="34437" priority="34450"/>
    <cfRule type="duplicateValues" dxfId="34436" priority="34449"/>
    <cfRule type="duplicateValues" dxfId="34435" priority="34448"/>
    <cfRule type="duplicateValues" dxfId="34434" priority="34447"/>
    <cfRule type="duplicateValues" dxfId="34433" priority="34446"/>
    <cfRule type="duplicateValues" dxfId="34432" priority="34445"/>
    <cfRule type="duplicateValues" dxfId="34431" priority="34444"/>
    <cfRule type="duplicateValues" dxfId="34430" priority="34443"/>
    <cfRule type="duplicateValues" dxfId="34429" priority="34442"/>
    <cfRule type="duplicateValues" dxfId="34428" priority="34441"/>
    <cfRule type="duplicateValues" dxfId="34427" priority="34440"/>
    <cfRule type="duplicateValues" dxfId="34426" priority="34439"/>
    <cfRule type="duplicateValues" dxfId="34425" priority="34438"/>
    <cfRule type="duplicateValues" dxfId="34424" priority="34437"/>
    <cfRule type="duplicateValues" dxfId="34423" priority="34436"/>
    <cfRule type="duplicateValues" dxfId="34422" priority="34435"/>
    <cfRule type="duplicateValues" dxfId="34421" priority="34434"/>
    <cfRule type="duplicateValues" dxfId="34420" priority="34433"/>
    <cfRule type="duplicateValues" dxfId="34419" priority="34432"/>
    <cfRule type="duplicateValues" dxfId="34418" priority="34431"/>
    <cfRule type="duplicateValues" dxfId="34417" priority="34430"/>
    <cfRule type="duplicateValues" dxfId="34416" priority="34429"/>
    <cfRule type="duplicateValues" dxfId="34415" priority="34428"/>
    <cfRule type="duplicateValues" dxfId="34414" priority="34427"/>
    <cfRule type="duplicateValues" dxfId="34413" priority="34426"/>
    <cfRule type="duplicateValues" dxfId="34412" priority="34425"/>
    <cfRule type="duplicateValues" dxfId="34411" priority="34424"/>
    <cfRule type="duplicateValues" dxfId="34410" priority="34353"/>
    <cfRule type="duplicateValues" dxfId="34409" priority="34422"/>
    <cfRule type="duplicateValues" dxfId="34408" priority="34421"/>
    <cfRule type="duplicateValues" dxfId="34407" priority="34420"/>
    <cfRule type="duplicateValues" dxfId="34406" priority="34419"/>
    <cfRule type="duplicateValues" dxfId="34405" priority="34418"/>
    <cfRule type="duplicateValues" dxfId="34404" priority="34417"/>
    <cfRule type="duplicateValues" dxfId="34403" priority="34416"/>
    <cfRule type="duplicateValues" dxfId="34402" priority="34415"/>
    <cfRule type="duplicateValues" dxfId="34401" priority="34414"/>
    <cfRule type="duplicateValues" dxfId="34400" priority="34413"/>
    <cfRule type="duplicateValues" dxfId="34399" priority="34412"/>
    <cfRule type="duplicateValues" dxfId="34398" priority="34411"/>
    <cfRule type="duplicateValues" dxfId="34397" priority="34410"/>
    <cfRule type="duplicateValues" dxfId="34396" priority="34409"/>
    <cfRule type="duplicateValues" dxfId="34395" priority="34408"/>
    <cfRule type="duplicateValues" dxfId="34394" priority="34407"/>
    <cfRule type="duplicateValues" dxfId="34393" priority="34406"/>
    <cfRule type="duplicateValues" dxfId="34392" priority="34405"/>
    <cfRule type="duplicateValues" dxfId="34391" priority="34404"/>
    <cfRule type="duplicateValues" dxfId="34390" priority="34403"/>
    <cfRule type="duplicateValues" dxfId="34389" priority="34402"/>
    <cfRule type="duplicateValues" dxfId="34388" priority="34401"/>
    <cfRule type="duplicateValues" dxfId="34387" priority="34400"/>
    <cfRule type="duplicateValues" dxfId="34386" priority="34399"/>
    <cfRule type="duplicateValues" dxfId="34385" priority="34398"/>
    <cfRule type="duplicateValues" dxfId="34384" priority="34397"/>
    <cfRule type="duplicateValues" dxfId="34383" priority="34396"/>
    <cfRule type="duplicateValues" dxfId="34382" priority="34395"/>
    <cfRule type="duplicateValues" dxfId="34381" priority="34394"/>
    <cfRule type="duplicateValues" dxfId="34380" priority="34393"/>
    <cfRule type="duplicateValues" dxfId="34379" priority="34392"/>
    <cfRule type="duplicateValues" dxfId="34378" priority="34391"/>
    <cfRule type="duplicateValues" dxfId="34377" priority="34390"/>
    <cfRule type="duplicateValues" dxfId="34376" priority="34389"/>
    <cfRule type="duplicateValues" dxfId="34375" priority="34388"/>
    <cfRule type="duplicateValues" dxfId="34374" priority="34387"/>
    <cfRule type="duplicateValues" dxfId="34373" priority="34386"/>
    <cfRule type="duplicateValues" dxfId="34372" priority="34385"/>
    <cfRule type="duplicateValues" dxfId="34371" priority="34384"/>
    <cfRule type="duplicateValues" dxfId="34370" priority="34383"/>
    <cfRule type="duplicateValues" dxfId="34369" priority="34382"/>
    <cfRule type="duplicateValues" dxfId="34368" priority="34381"/>
    <cfRule type="duplicateValues" dxfId="34367" priority="34380"/>
    <cfRule type="duplicateValues" dxfId="34366" priority="34379"/>
    <cfRule type="duplicateValues" dxfId="34365" priority="34378"/>
    <cfRule type="duplicateValues" dxfId="34364" priority="34377"/>
    <cfRule type="duplicateValues" dxfId="34363" priority="34376"/>
    <cfRule type="duplicateValues" dxfId="34362" priority="34375"/>
    <cfRule type="duplicateValues" dxfId="34361" priority="34374"/>
    <cfRule type="duplicateValues" dxfId="34360" priority="34373"/>
    <cfRule type="duplicateValues" dxfId="34359" priority="34372"/>
    <cfRule type="duplicateValues" dxfId="34358" priority="34371"/>
    <cfRule type="duplicateValues" dxfId="34357" priority="34370"/>
    <cfRule type="duplicateValues" dxfId="34356" priority="34369"/>
    <cfRule type="duplicateValues" dxfId="34355" priority="34368"/>
    <cfRule type="duplicateValues" dxfId="34354" priority="34367"/>
    <cfRule type="duplicateValues" dxfId="34353" priority="34366"/>
    <cfRule type="duplicateValues" dxfId="34352" priority="34365"/>
    <cfRule type="duplicateValues" dxfId="34351" priority="34364"/>
    <cfRule type="duplicateValues" dxfId="34350" priority="34363"/>
    <cfRule type="duplicateValues" dxfId="34349" priority="34362"/>
    <cfRule type="duplicateValues" dxfId="34348" priority="34361"/>
    <cfRule type="duplicateValues" dxfId="34347" priority="34360"/>
    <cfRule type="duplicateValues" dxfId="34346" priority="34359"/>
    <cfRule type="duplicateValues" dxfId="34345" priority="34358"/>
    <cfRule type="duplicateValues" dxfId="34344" priority="34357"/>
  </conditionalFormatting>
  <conditionalFormatting sqref="B114">
    <cfRule type="duplicateValues" dxfId="34343" priority="34179"/>
    <cfRule type="duplicateValues" dxfId="34342" priority="34178"/>
    <cfRule type="duplicateValues" dxfId="34341" priority="34177"/>
    <cfRule type="duplicateValues" dxfId="34340" priority="34313"/>
    <cfRule type="duplicateValues" dxfId="34339" priority="34352"/>
    <cfRule type="duplicateValues" dxfId="34338" priority="34351"/>
    <cfRule type="duplicateValues" dxfId="34337" priority="34350"/>
    <cfRule type="duplicateValues" dxfId="34336" priority="34349"/>
    <cfRule type="duplicateValues" dxfId="34335" priority="34348"/>
    <cfRule type="duplicateValues" dxfId="34334" priority="34347"/>
    <cfRule type="duplicateValues" dxfId="34333" priority="34346"/>
    <cfRule type="duplicateValues" dxfId="34332" priority="34345"/>
    <cfRule type="duplicateValues" dxfId="34331" priority="34344"/>
    <cfRule type="duplicateValues" dxfId="34330" priority="34343"/>
    <cfRule type="duplicateValues" dxfId="34329" priority="34342"/>
    <cfRule type="duplicateValues" dxfId="34328" priority="34341"/>
    <cfRule type="duplicateValues" dxfId="34327" priority="34340"/>
    <cfRule type="duplicateValues" dxfId="34326" priority="34339"/>
    <cfRule type="duplicateValues" dxfId="34325" priority="34338"/>
    <cfRule type="duplicateValues" dxfId="34324" priority="34337"/>
    <cfRule type="duplicateValues" dxfId="34323" priority="34336"/>
    <cfRule type="duplicateValues" dxfId="34322" priority="34335"/>
    <cfRule type="duplicateValues" dxfId="34321" priority="34334"/>
    <cfRule type="duplicateValues" dxfId="34320" priority="34333"/>
    <cfRule type="duplicateValues" dxfId="34319" priority="34332"/>
    <cfRule type="duplicateValues" dxfId="34318" priority="34331"/>
    <cfRule type="duplicateValues" dxfId="34317" priority="34330"/>
    <cfRule type="duplicateValues" dxfId="34316" priority="34329"/>
    <cfRule type="duplicateValues" dxfId="34315" priority="34328"/>
    <cfRule type="duplicateValues" dxfId="34314" priority="34327"/>
    <cfRule type="duplicateValues" dxfId="34313" priority="34326"/>
    <cfRule type="duplicateValues" dxfId="34312" priority="34325"/>
    <cfRule type="duplicateValues" dxfId="34311" priority="34324"/>
    <cfRule type="duplicateValues" dxfId="34310" priority="34323"/>
    <cfRule type="duplicateValues" dxfId="34309" priority="34322"/>
    <cfRule type="duplicateValues" dxfId="34308" priority="34321"/>
    <cfRule type="duplicateValues" dxfId="34307" priority="34320"/>
    <cfRule type="duplicateValues" dxfId="34306" priority="34319"/>
    <cfRule type="duplicateValues" dxfId="34305" priority="34318"/>
    <cfRule type="duplicateValues" dxfId="34304" priority="34317"/>
    <cfRule type="duplicateValues" dxfId="34303" priority="34316"/>
    <cfRule type="duplicateValues" dxfId="34302" priority="34315"/>
    <cfRule type="duplicateValues" dxfId="34301" priority="34314"/>
    <cfRule type="duplicateValues" dxfId="34300" priority="34176"/>
    <cfRule type="duplicateValues" dxfId="34299" priority="34312"/>
    <cfRule type="duplicateValues" dxfId="34298" priority="34311"/>
    <cfRule type="duplicateValues" dxfId="34297" priority="34310"/>
    <cfRule type="duplicateValues" dxfId="34296" priority="34309"/>
    <cfRule type="duplicateValues" dxfId="34295" priority="34308"/>
    <cfRule type="duplicateValues" dxfId="34294" priority="34307"/>
    <cfRule type="duplicateValues" dxfId="34293" priority="34306"/>
    <cfRule type="duplicateValues" dxfId="34292" priority="34305"/>
    <cfRule type="duplicateValues" dxfId="34291" priority="34304"/>
    <cfRule type="duplicateValues" dxfId="34290" priority="34303"/>
    <cfRule type="duplicateValues" dxfId="34289" priority="34302"/>
    <cfRule type="duplicateValues" dxfId="34288" priority="34301"/>
    <cfRule type="duplicateValues" dxfId="34287" priority="34300"/>
    <cfRule type="duplicateValues" dxfId="34286" priority="34299"/>
    <cfRule type="duplicateValues" dxfId="34285" priority="34298"/>
    <cfRule type="duplicateValues" dxfId="34284" priority="34297"/>
    <cfRule type="duplicateValues" dxfId="34283" priority="34296"/>
    <cfRule type="duplicateValues" dxfId="34282" priority="34295"/>
    <cfRule type="duplicateValues" dxfId="34281" priority="34294"/>
    <cfRule type="duplicateValues" dxfId="34280" priority="34293"/>
    <cfRule type="duplicateValues" dxfId="34279" priority="34292"/>
    <cfRule type="duplicateValues" dxfId="34278" priority="34291"/>
    <cfRule type="duplicateValues" dxfId="34277" priority="34290"/>
    <cfRule type="duplicateValues" dxfId="34276" priority="34289"/>
    <cfRule type="duplicateValues" dxfId="34275" priority="34288"/>
    <cfRule type="duplicateValues" dxfId="34274" priority="34287"/>
    <cfRule type="duplicateValues" dxfId="34273" priority="34286"/>
    <cfRule type="duplicateValues" dxfId="34272" priority="34285"/>
    <cfRule type="duplicateValues" dxfId="34271" priority="34284"/>
    <cfRule type="duplicateValues" dxfId="34270" priority="34283"/>
    <cfRule type="duplicateValues" dxfId="34269" priority="34282"/>
    <cfRule type="duplicateValues" dxfId="34268" priority="34281"/>
    <cfRule type="duplicateValues" dxfId="34267" priority="34280"/>
    <cfRule type="duplicateValues" dxfId="34266" priority="34279"/>
    <cfRule type="duplicateValues" dxfId="34265" priority="34278"/>
    <cfRule type="duplicateValues" dxfId="34264" priority="34277"/>
    <cfRule type="duplicateValues" dxfId="34263" priority="34276"/>
    <cfRule type="duplicateValues" dxfId="34262" priority="34275"/>
    <cfRule type="duplicateValues" dxfId="34261" priority="34274"/>
    <cfRule type="duplicateValues" dxfId="34260" priority="34273"/>
    <cfRule type="duplicateValues" dxfId="34259" priority="34272"/>
    <cfRule type="duplicateValues" dxfId="34258" priority="34271"/>
    <cfRule type="duplicateValues" dxfId="34257" priority="34270"/>
    <cfRule type="duplicateValues" dxfId="34256" priority="34269"/>
    <cfRule type="duplicateValues" dxfId="34255" priority="34268"/>
    <cfRule type="duplicateValues" dxfId="34254" priority="34267"/>
    <cfRule type="duplicateValues" dxfId="34253" priority="34266"/>
    <cfRule type="duplicateValues" dxfId="34252" priority="34265"/>
    <cfRule type="duplicateValues" dxfId="34251" priority="34264"/>
    <cfRule type="duplicateValues" dxfId="34250" priority="34263"/>
    <cfRule type="duplicateValues" dxfId="34249" priority="34262"/>
    <cfRule type="duplicateValues" dxfId="34248" priority="34261"/>
    <cfRule type="duplicateValues" dxfId="34247" priority="34260"/>
    <cfRule type="duplicateValues" dxfId="34246" priority="34259"/>
    <cfRule type="duplicateValues" dxfId="34245" priority="34258"/>
    <cfRule type="duplicateValues" dxfId="34244" priority="34257"/>
    <cfRule type="duplicateValues" dxfId="34243" priority="34256"/>
    <cfRule type="duplicateValues" dxfId="34242" priority="34255"/>
    <cfRule type="duplicateValues" dxfId="34241" priority="34254"/>
    <cfRule type="duplicateValues" dxfId="34240" priority="34253"/>
    <cfRule type="duplicateValues" dxfId="34239" priority="34252"/>
    <cfRule type="duplicateValues" dxfId="34238" priority="34251"/>
    <cfRule type="duplicateValues" dxfId="34237" priority="34250"/>
    <cfRule type="duplicateValues" dxfId="34236" priority="34249"/>
    <cfRule type="duplicateValues" dxfId="34235" priority="34248"/>
    <cfRule type="duplicateValues" dxfId="34234" priority="34247"/>
    <cfRule type="duplicateValues" dxfId="34233" priority="34246"/>
    <cfRule type="duplicateValues" dxfId="34232" priority="34245"/>
    <cfRule type="duplicateValues" dxfId="34231" priority="34244"/>
    <cfRule type="duplicateValues" dxfId="34230" priority="34243"/>
    <cfRule type="duplicateValues" dxfId="34229" priority="34242"/>
    <cfRule type="duplicateValues" dxfId="34228" priority="34241"/>
    <cfRule type="duplicateValues" dxfId="34227" priority="34240"/>
    <cfRule type="duplicateValues" dxfId="34226" priority="34239"/>
    <cfRule type="duplicateValues" dxfId="34225" priority="34238"/>
    <cfRule type="duplicateValues" dxfId="34224" priority="34237"/>
    <cfRule type="duplicateValues" dxfId="34223" priority="34236"/>
    <cfRule type="duplicateValues" dxfId="34222" priority="34235"/>
    <cfRule type="duplicateValues" dxfId="34221" priority="34234"/>
    <cfRule type="duplicateValues" dxfId="34220" priority="34233"/>
    <cfRule type="duplicateValues" dxfId="34219" priority="34232"/>
    <cfRule type="duplicateValues" dxfId="34218" priority="34231"/>
    <cfRule type="duplicateValues" dxfId="34217" priority="34230"/>
    <cfRule type="duplicateValues" dxfId="34216" priority="34229"/>
    <cfRule type="duplicateValues" dxfId="34215" priority="34228"/>
    <cfRule type="duplicateValues" dxfId="34214" priority="34227"/>
    <cfRule type="duplicateValues" dxfId="34213" priority="34226"/>
    <cfRule type="duplicateValues" dxfId="34212" priority="34225"/>
    <cfRule type="duplicateValues" dxfId="34211" priority="34224"/>
    <cfRule type="duplicateValues" dxfId="34210" priority="34223"/>
    <cfRule type="duplicateValues" dxfId="34209" priority="34222"/>
    <cfRule type="duplicateValues" dxfId="34208" priority="34221"/>
    <cfRule type="duplicateValues" dxfId="34207" priority="34220"/>
    <cfRule type="duplicateValues" dxfId="34206" priority="34219"/>
    <cfRule type="duplicateValues" dxfId="34205" priority="34218"/>
    <cfRule type="duplicateValues" dxfId="34204" priority="34217"/>
    <cfRule type="duplicateValues" dxfId="34203" priority="34216"/>
    <cfRule type="duplicateValues" dxfId="34202" priority="34215"/>
    <cfRule type="duplicateValues" dxfId="34201" priority="34214"/>
    <cfRule type="duplicateValues" dxfId="34200" priority="34213"/>
    <cfRule type="duplicateValues" dxfId="34199" priority="34212"/>
    <cfRule type="duplicateValues" dxfId="34198" priority="34211"/>
    <cfRule type="duplicateValues" dxfId="34197" priority="34210"/>
    <cfRule type="duplicateValues" dxfId="34196" priority="34209"/>
    <cfRule type="duplicateValues" dxfId="34195" priority="34208"/>
    <cfRule type="duplicateValues" dxfId="34194" priority="34207"/>
    <cfRule type="duplicateValues" dxfId="34193" priority="34206"/>
    <cfRule type="duplicateValues" dxfId="34192" priority="34205"/>
    <cfRule type="duplicateValues" dxfId="34191" priority="34204"/>
    <cfRule type="duplicateValues" dxfId="34190" priority="34203"/>
    <cfRule type="duplicateValues" dxfId="34189" priority="34202"/>
    <cfRule type="duplicateValues" dxfId="34188" priority="34201"/>
    <cfRule type="duplicateValues" dxfId="34187" priority="34200"/>
    <cfRule type="duplicateValues" dxfId="34186" priority="34199"/>
    <cfRule type="duplicateValues" dxfId="34185" priority="34198"/>
    <cfRule type="duplicateValues" dxfId="34184" priority="34197"/>
    <cfRule type="duplicateValues" dxfId="34183" priority="34196"/>
    <cfRule type="duplicateValues" dxfId="34182" priority="34195"/>
    <cfRule type="duplicateValues" dxfId="34181" priority="34194"/>
    <cfRule type="duplicateValues" dxfId="34180" priority="34193"/>
    <cfRule type="duplicateValues" dxfId="34179" priority="34192"/>
    <cfRule type="duplicateValues" dxfId="34178" priority="34191"/>
    <cfRule type="duplicateValues" dxfId="34177" priority="34190"/>
    <cfRule type="duplicateValues" dxfId="34176" priority="34189"/>
    <cfRule type="duplicateValues" dxfId="34175" priority="34188"/>
    <cfRule type="duplicateValues" dxfId="34174" priority="34187"/>
    <cfRule type="duplicateValues" dxfId="34173" priority="34186"/>
    <cfRule type="duplicateValues" dxfId="34172" priority="34185"/>
    <cfRule type="duplicateValues" dxfId="34171" priority="34184"/>
    <cfRule type="duplicateValues" dxfId="34170" priority="34183"/>
    <cfRule type="duplicateValues" dxfId="34169" priority="34182"/>
    <cfRule type="duplicateValues" dxfId="34168" priority="34181"/>
    <cfRule type="duplicateValues" dxfId="34167" priority="34180"/>
  </conditionalFormatting>
  <conditionalFormatting sqref="B115">
    <cfRule type="duplicateValues" dxfId="34166" priority="34002"/>
    <cfRule type="duplicateValues" dxfId="34165" priority="34001"/>
    <cfRule type="duplicateValues" dxfId="34164" priority="34000"/>
    <cfRule type="duplicateValues" dxfId="34163" priority="33999"/>
    <cfRule type="duplicateValues" dxfId="34162" priority="34175"/>
    <cfRule type="duplicateValues" dxfId="34161" priority="34174"/>
    <cfRule type="duplicateValues" dxfId="34160" priority="34173"/>
    <cfRule type="duplicateValues" dxfId="34159" priority="34172"/>
    <cfRule type="duplicateValues" dxfId="34158" priority="34171"/>
    <cfRule type="duplicateValues" dxfId="34157" priority="34170"/>
    <cfRule type="duplicateValues" dxfId="34156" priority="34169"/>
    <cfRule type="duplicateValues" dxfId="34155" priority="34168"/>
    <cfRule type="duplicateValues" dxfId="34154" priority="34167"/>
    <cfRule type="duplicateValues" dxfId="34153" priority="34166"/>
    <cfRule type="duplicateValues" dxfId="34152" priority="34165"/>
    <cfRule type="duplicateValues" dxfId="34151" priority="34164"/>
    <cfRule type="duplicateValues" dxfId="34150" priority="34163"/>
    <cfRule type="duplicateValues" dxfId="34149" priority="34162"/>
    <cfRule type="duplicateValues" dxfId="34148" priority="34161"/>
    <cfRule type="duplicateValues" dxfId="34147" priority="34160"/>
    <cfRule type="duplicateValues" dxfId="34146" priority="34159"/>
    <cfRule type="duplicateValues" dxfId="34145" priority="34158"/>
    <cfRule type="duplicateValues" dxfId="34144" priority="34157"/>
    <cfRule type="duplicateValues" dxfId="34143" priority="34156"/>
    <cfRule type="duplicateValues" dxfId="34142" priority="34155"/>
    <cfRule type="duplicateValues" dxfId="34141" priority="34154"/>
    <cfRule type="duplicateValues" dxfId="34140" priority="34153"/>
    <cfRule type="duplicateValues" dxfId="34139" priority="34152"/>
    <cfRule type="duplicateValues" dxfId="34138" priority="34151"/>
    <cfRule type="duplicateValues" dxfId="34137" priority="34150"/>
    <cfRule type="duplicateValues" dxfId="34136" priority="34149"/>
    <cfRule type="duplicateValues" dxfId="34135" priority="34148"/>
    <cfRule type="duplicateValues" dxfId="34134" priority="34147"/>
    <cfRule type="duplicateValues" dxfId="34133" priority="34146"/>
    <cfRule type="duplicateValues" dxfId="34132" priority="34145"/>
    <cfRule type="duplicateValues" dxfId="34131" priority="34144"/>
    <cfRule type="duplicateValues" dxfId="34130" priority="34143"/>
    <cfRule type="duplicateValues" dxfId="34129" priority="34142"/>
    <cfRule type="duplicateValues" dxfId="34128" priority="34141"/>
    <cfRule type="duplicateValues" dxfId="34127" priority="34140"/>
    <cfRule type="duplicateValues" dxfId="34126" priority="34139"/>
    <cfRule type="duplicateValues" dxfId="34125" priority="34138"/>
    <cfRule type="duplicateValues" dxfId="34124" priority="34137"/>
    <cfRule type="duplicateValues" dxfId="34123" priority="34136"/>
    <cfRule type="duplicateValues" dxfId="34122" priority="34135"/>
    <cfRule type="duplicateValues" dxfId="34121" priority="34134"/>
    <cfRule type="duplicateValues" dxfId="34120" priority="34133"/>
    <cfRule type="duplicateValues" dxfId="34119" priority="34132"/>
    <cfRule type="duplicateValues" dxfId="34118" priority="34131"/>
    <cfRule type="duplicateValues" dxfId="34117" priority="34130"/>
    <cfRule type="duplicateValues" dxfId="34116" priority="34129"/>
    <cfRule type="duplicateValues" dxfId="34115" priority="34128"/>
    <cfRule type="duplicateValues" dxfId="34114" priority="34127"/>
    <cfRule type="duplicateValues" dxfId="34113" priority="34126"/>
    <cfRule type="duplicateValues" dxfId="34112" priority="34125"/>
    <cfRule type="duplicateValues" dxfId="34111" priority="34124"/>
    <cfRule type="duplicateValues" dxfId="34110" priority="34123"/>
    <cfRule type="duplicateValues" dxfId="34109" priority="34122"/>
    <cfRule type="duplicateValues" dxfId="34108" priority="34121"/>
    <cfRule type="duplicateValues" dxfId="34107" priority="34120"/>
    <cfRule type="duplicateValues" dxfId="34106" priority="34119"/>
    <cfRule type="duplicateValues" dxfId="34105" priority="34118"/>
    <cfRule type="duplicateValues" dxfId="34104" priority="34117"/>
    <cfRule type="duplicateValues" dxfId="34103" priority="34116"/>
    <cfRule type="duplicateValues" dxfId="34102" priority="34115"/>
    <cfRule type="duplicateValues" dxfId="34101" priority="34114"/>
    <cfRule type="duplicateValues" dxfId="34100" priority="34113"/>
    <cfRule type="duplicateValues" dxfId="34099" priority="34112"/>
    <cfRule type="duplicateValues" dxfId="34098" priority="34111"/>
    <cfRule type="duplicateValues" dxfId="34097" priority="34110"/>
    <cfRule type="duplicateValues" dxfId="34096" priority="34109"/>
    <cfRule type="duplicateValues" dxfId="34095" priority="34108"/>
    <cfRule type="duplicateValues" dxfId="34094" priority="34107"/>
    <cfRule type="duplicateValues" dxfId="34093" priority="34106"/>
    <cfRule type="duplicateValues" dxfId="34092" priority="34105"/>
    <cfRule type="duplicateValues" dxfId="34091" priority="34104"/>
    <cfRule type="duplicateValues" dxfId="34090" priority="34103"/>
    <cfRule type="duplicateValues" dxfId="34089" priority="34102"/>
    <cfRule type="duplicateValues" dxfId="34088" priority="34101"/>
    <cfRule type="duplicateValues" dxfId="34087" priority="34100"/>
    <cfRule type="duplicateValues" dxfId="34086" priority="34099"/>
    <cfRule type="duplicateValues" dxfId="34085" priority="34098"/>
    <cfRule type="duplicateValues" dxfId="34084" priority="34097"/>
    <cfRule type="duplicateValues" dxfId="34083" priority="34096"/>
    <cfRule type="duplicateValues" dxfId="34082" priority="34095"/>
    <cfRule type="duplicateValues" dxfId="34081" priority="34094"/>
    <cfRule type="duplicateValues" dxfId="34080" priority="34093"/>
    <cfRule type="duplicateValues" dxfId="34079" priority="34092"/>
    <cfRule type="duplicateValues" dxfId="34078" priority="34091"/>
    <cfRule type="duplicateValues" dxfId="34077" priority="34090"/>
    <cfRule type="duplicateValues" dxfId="34076" priority="34089"/>
    <cfRule type="duplicateValues" dxfId="34075" priority="34088"/>
    <cfRule type="duplicateValues" dxfId="34074" priority="34087"/>
    <cfRule type="duplicateValues" dxfId="34073" priority="34086"/>
    <cfRule type="duplicateValues" dxfId="34072" priority="34085"/>
    <cfRule type="duplicateValues" dxfId="34071" priority="34084"/>
    <cfRule type="duplicateValues" dxfId="34070" priority="34083"/>
    <cfRule type="duplicateValues" dxfId="34069" priority="34082"/>
    <cfRule type="duplicateValues" dxfId="34068" priority="34081"/>
    <cfRule type="duplicateValues" dxfId="34067" priority="34080"/>
    <cfRule type="duplicateValues" dxfId="34066" priority="34079"/>
    <cfRule type="duplicateValues" dxfId="34065" priority="34078"/>
    <cfRule type="duplicateValues" dxfId="34064" priority="34077"/>
    <cfRule type="duplicateValues" dxfId="34063" priority="34076"/>
    <cfRule type="duplicateValues" dxfId="34062" priority="34075"/>
    <cfRule type="duplicateValues" dxfId="34061" priority="34074"/>
    <cfRule type="duplicateValues" dxfId="34060" priority="34073"/>
    <cfRule type="duplicateValues" dxfId="34059" priority="34072"/>
    <cfRule type="duplicateValues" dxfId="34058" priority="34071"/>
    <cfRule type="duplicateValues" dxfId="34057" priority="34070"/>
    <cfRule type="duplicateValues" dxfId="34056" priority="34069"/>
    <cfRule type="duplicateValues" dxfId="34055" priority="34068"/>
    <cfRule type="duplicateValues" dxfId="34054" priority="34067"/>
    <cfRule type="duplicateValues" dxfId="34053" priority="34066"/>
    <cfRule type="duplicateValues" dxfId="34052" priority="34065"/>
    <cfRule type="duplicateValues" dxfId="34051" priority="34064"/>
    <cfRule type="duplicateValues" dxfId="34050" priority="34063"/>
    <cfRule type="duplicateValues" dxfId="34049" priority="34062"/>
    <cfRule type="duplicateValues" dxfId="34048" priority="34061"/>
    <cfRule type="duplicateValues" dxfId="34047" priority="34060"/>
    <cfRule type="duplicateValues" dxfId="34046" priority="34059"/>
    <cfRule type="duplicateValues" dxfId="34045" priority="34058"/>
    <cfRule type="duplicateValues" dxfId="34044" priority="34057"/>
    <cfRule type="duplicateValues" dxfId="34043" priority="34056"/>
    <cfRule type="duplicateValues" dxfId="34042" priority="34055"/>
    <cfRule type="duplicateValues" dxfId="34041" priority="34054"/>
    <cfRule type="duplicateValues" dxfId="34040" priority="34053"/>
    <cfRule type="duplicateValues" dxfId="34039" priority="34052"/>
    <cfRule type="duplicateValues" dxfId="34038" priority="34051"/>
    <cfRule type="duplicateValues" dxfId="34037" priority="34050"/>
    <cfRule type="duplicateValues" dxfId="34036" priority="34049"/>
    <cfRule type="duplicateValues" dxfId="34035" priority="34048"/>
    <cfRule type="duplicateValues" dxfId="34034" priority="34047"/>
    <cfRule type="duplicateValues" dxfId="34033" priority="34046"/>
    <cfRule type="duplicateValues" dxfId="34032" priority="34045"/>
    <cfRule type="duplicateValues" dxfId="34031" priority="34044"/>
    <cfRule type="duplicateValues" dxfId="34030" priority="34043"/>
    <cfRule type="duplicateValues" dxfId="34029" priority="34042"/>
    <cfRule type="duplicateValues" dxfId="34028" priority="34041"/>
    <cfRule type="duplicateValues" dxfId="34027" priority="34040"/>
    <cfRule type="duplicateValues" dxfId="34026" priority="34039"/>
    <cfRule type="duplicateValues" dxfId="34025" priority="34038"/>
    <cfRule type="duplicateValues" dxfId="34024" priority="34037"/>
    <cfRule type="duplicateValues" dxfId="34023" priority="34036"/>
    <cfRule type="duplicateValues" dxfId="34022" priority="34035"/>
    <cfRule type="duplicateValues" dxfId="34021" priority="34034"/>
    <cfRule type="duplicateValues" dxfId="34020" priority="34033"/>
    <cfRule type="duplicateValues" dxfId="34019" priority="34032"/>
    <cfRule type="duplicateValues" dxfId="34018" priority="34031"/>
    <cfRule type="duplicateValues" dxfId="34017" priority="34030"/>
    <cfRule type="duplicateValues" dxfId="34016" priority="34029"/>
    <cfRule type="duplicateValues" dxfId="34015" priority="34028"/>
    <cfRule type="duplicateValues" dxfId="34014" priority="34027"/>
    <cfRule type="duplicateValues" dxfId="34013" priority="34026"/>
    <cfRule type="duplicateValues" dxfId="34012" priority="34025"/>
    <cfRule type="duplicateValues" dxfId="34011" priority="34024"/>
    <cfRule type="duplicateValues" dxfId="34010" priority="34023"/>
    <cfRule type="duplicateValues" dxfId="34009" priority="34022"/>
    <cfRule type="duplicateValues" dxfId="34008" priority="34021"/>
    <cfRule type="duplicateValues" dxfId="34007" priority="34020"/>
    <cfRule type="duplicateValues" dxfId="34006" priority="34019"/>
    <cfRule type="duplicateValues" dxfId="34005" priority="34018"/>
    <cfRule type="duplicateValues" dxfId="34004" priority="34017"/>
    <cfRule type="duplicateValues" dxfId="34003" priority="34016"/>
    <cfRule type="duplicateValues" dxfId="34002" priority="34015"/>
    <cfRule type="duplicateValues" dxfId="34001" priority="34014"/>
    <cfRule type="duplicateValues" dxfId="34000" priority="34013"/>
    <cfRule type="duplicateValues" dxfId="33999" priority="34012"/>
    <cfRule type="duplicateValues" dxfId="33998" priority="34011"/>
    <cfRule type="duplicateValues" dxfId="33997" priority="34010"/>
    <cfRule type="duplicateValues" dxfId="33996" priority="34009"/>
    <cfRule type="duplicateValues" dxfId="33995" priority="34008"/>
    <cfRule type="duplicateValues" dxfId="33994" priority="34007"/>
    <cfRule type="duplicateValues" dxfId="33993" priority="34006"/>
    <cfRule type="duplicateValues" dxfId="33992" priority="34005"/>
    <cfRule type="duplicateValues" dxfId="33991" priority="34004"/>
    <cfRule type="duplicateValues" dxfId="33990" priority="34003"/>
  </conditionalFormatting>
  <conditionalFormatting sqref="B116">
    <cfRule type="duplicateValues" dxfId="33989" priority="33958"/>
    <cfRule type="duplicateValues" dxfId="33988" priority="33825"/>
    <cfRule type="duplicateValues" dxfId="33987" priority="33824"/>
    <cfRule type="duplicateValues" dxfId="33986" priority="33823"/>
    <cfRule type="duplicateValues" dxfId="33985" priority="33998"/>
    <cfRule type="duplicateValues" dxfId="33984" priority="33997"/>
    <cfRule type="duplicateValues" dxfId="33983" priority="33996"/>
    <cfRule type="duplicateValues" dxfId="33982" priority="33995"/>
    <cfRule type="duplicateValues" dxfId="33981" priority="33994"/>
    <cfRule type="duplicateValues" dxfId="33980" priority="33993"/>
    <cfRule type="duplicateValues" dxfId="33979" priority="33992"/>
    <cfRule type="duplicateValues" dxfId="33978" priority="33991"/>
    <cfRule type="duplicateValues" dxfId="33977" priority="33990"/>
    <cfRule type="duplicateValues" dxfId="33976" priority="33989"/>
    <cfRule type="duplicateValues" dxfId="33975" priority="33988"/>
    <cfRule type="duplicateValues" dxfId="33974" priority="33987"/>
    <cfRule type="duplicateValues" dxfId="33973" priority="33986"/>
    <cfRule type="duplicateValues" dxfId="33972" priority="33985"/>
    <cfRule type="duplicateValues" dxfId="33971" priority="33984"/>
    <cfRule type="duplicateValues" dxfId="33970" priority="33983"/>
    <cfRule type="duplicateValues" dxfId="33969" priority="33982"/>
    <cfRule type="duplicateValues" dxfId="33968" priority="33981"/>
    <cfRule type="duplicateValues" dxfId="33967" priority="33980"/>
    <cfRule type="duplicateValues" dxfId="33966" priority="33979"/>
    <cfRule type="duplicateValues" dxfId="33965" priority="33978"/>
    <cfRule type="duplicateValues" dxfId="33964" priority="33977"/>
    <cfRule type="duplicateValues" dxfId="33963" priority="33976"/>
    <cfRule type="duplicateValues" dxfId="33962" priority="33975"/>
    <cfRule type="duplicateValues" dxfId="33961" priority="33974"/>
    <cfRule type="duplicateValues" dxfId="33960" priority="33973"/>
    <cfRule type="duplicateValues" dxfId="33959" priority="33972"/>
    <cfRule type="duplicateValues" dxfId="33958" priority="33971"/>
    <cfRule type="duplicateValues" dxfId="33957" priority="33970"/>
    <cfRule type="duplicateValues" dxfId="33956" priority="33969"/>
    <cfRule type="duplicateValues" dxfId="33955" priority="33968"/>
    <cfRule type="duplicateValues" dxfId="33954" priority="33967"/>
    <cfRule type="duplicateValues" dxfId="33953" priority="33966"/>
    <cfRule type="duplicateValues" dxfId="33952" priority="33965"/>
    <cfRule type="duplicateValues" dxfId="33951" priority="33964"/>
    <cfRule type="duplicateValues" dxfId="33950" priority="33963"/>
    <cfRule type="duplicateValues" dxfId="33949" priority="33962"/>
    <cfRule type="duplicateValues" dxfId="33948" priority="33961"/>
    <cfRule type="duplicateValues" dxfId="33947" priority="33960"/>
    <cfRule type="duplicateValues" dxfId="33946" priority="33959"/>
    <cfRule type="duplicateValues" dxfId="33945" priority="33914"/>
    <cfRule type="duplicateValues" dxfId="33944" priority="33957"/>
    <cfRule type="duplicateValues" dxfId="33943" priority="33956"/>
    <cfRule type="duplicateValues" dxfId="33942" priority="33955"/>
    <cfRule type="duplicateValues" dxfId="33941" priority="33954"/>
    <cfRule type="duplicateValues" dxfId="33940" priority="33953"/>
    <cfRule type="duplicateValues" dxfId="33939" priority="33952"/>
    <cfRule type="duplicateValues" dxfId="33938" priority="33951"/>
    <cfRule type="duplicateValues" dxfId="33937" priority="33950"/>
    <cfRule type="duplicateValues" dxfId="33936" priority="33949"/>
    <cfRule type="duplicateValues" dxfId="33935" priority="33948"/>
    <cfRule type="duplicateValues" dxfId="33934" priority="33947"/>
    <cfRule type="duplicateValues" dxfId="33933" priority="33946"/>
    <cfRule type="duplicateValues" dxfId="33932" priority="33945"/>
    <cfRule type="duplicateValues" dxfId="33931" priority="33944"/>
    <cfRule type="duplicateValues" dxfId="33930" priority="33943"/>
    <cfRule type="duplicateValues" dxfId="33929" priority="33942"/>
    <cfRule type="duplicateValues" dxfId="33928" priority="33941"/>
    <cfRule type="duplicateValues" dxfId="33927" priority="33940"/>
    <cfRule type="duplicateValues" dxfId="33926" priority="33939"/>
    <cfRule type="duplicateValues" dxfId="33925" priority="33938"/>
    <cfRule type="duplicateValues" dxfId="33924" priority="33937"/>
    <cfRule type="duplicateValues" dxfId="33923" priority="33936"/>
    <cfRule type="duplicateValues" dxfId="33922" priority="33935"/>
    <cfRule type="duplicateValues" dxfId="33921" priority="33934"/>
    <cfRule type="duplicateValues" dxfId="33920" priority="33933"/>
    <cfRule type="duplicateValues" dxfId="33919" priority="33932"/>
    <cfRule type="duplicateValues" dxfId="33918" priority="33931"/>
    <cfRule type="duplicateValues" dxfId="33917" priority="33930"/>
    <cfRule type="duplicateValues" dxfId="33916" priority="33929"/>
    <cfRule type="duplicateValues" dxfId="33915" priority="33928"/>
    <cfRule type="duplicateValues" dxfId="33914" priority="33927"/>
    <cfRule type="duplicateValues" dxfId="33913" priority="33926"/>
    <cfRule type="duplicateValues" dxfId="33912" priority="33925"/>
    <cfRule type="duplicateValues" dxfId="33911" priority="33924"/>
    <cfRule type="duplicateValues" dxfId="33910" priority="33923"/>
    <cfRule type="duplicateValues" dxfId="33909" priority="33922"/>
    <cfRule type="duplicateValues" dxfId="33908" priority="33921"/>
    <cfRule type="duplicateValues" dxfId="33907" priority="33920"/>
    <cfRule type="duplicateValues" dxfId="33906" priority="33919"/>
    <cfRule type="duplicateValues" dxfId="33905" priority="33918"/>
    <cfRule type="duplicateValues" dxfId="33904" priority="33917"/>
    <cfRule type="duplicateValues" dxfId="33903" priority="33916"/>
    <cfRule type="duplicateValues" dxfId="33902" priority="33915"/>
    <cfRule type="duplicateValues" dxfId="33901" priority="33822"/>
    <cfRule type="duplicateValues" dxfId="33900" priority="33913"/>
    <cfRule type="duplicateValues" dxfId="33899" priority="33912"/>
    <cfRule type="duplicateValues" dxfId="33898" priority="33911"/>
    <cfRule type="duplicateValues" dxfId="33897" priority="33910"/>
    <cfRule type="duplicateValues" dxfId="33896" priority="33909"/>
    <cfRule type="duplicateValues" dxfId="33895" priority="33908"/>
    <cfRule type="duplicateValues" dxfId="33894" priority="33907"/>
    <cfRule type="duplicateValues" dxfId="33893" priority="33906"/>
    <cfRule type="duplicateValues" dxfId="33892" priority="33905"/>
    <cfRule type="duplicateValues" dxfId="33891" priority="33904"/>
    <cfRule type="duplicateValues" dxfId="33890" priority="33903"/>
    <cfRule type="duplicateValues" dxfId="33889" priority="33902"/>
    <cfRule type="duplicateValues" dxfId="33888" priority="33901"/>
    <cfRule type="duplicateValues" dxfId="33887" priority="33900"/>
    <cfRule type="duplicateValues" dxfId="33886" priority="33899"/>
    <cfRule type="duplicateValues" dxfId="33885" priority="33898"/>
    <cfRule type="duplicateValues" dxfId="33884" priority="33897"/>
    <cfRule type="duplicateValues" dxfId="33883" priority="33896"/>
    <cfRule type="duplicateValues" dxfId="33882" priority="33895"/>
    <cfRule type="duplicateValues" dxfId="33881" priority="33894"/>
    <cfRule type="duplicateValues" dxfId="33880" priority="33893"/>
    <cfRule type="duplicateValues" dxfId="33879" priority="33892"/>
    <cfRule type="duplicateValues" dxfId="33878" priority="33891"/>
    <cfRule type="duplicateValues" dxfId="33877" priority="33890"/>
    <cfRule type="duplicateValues" dxfId="33876" priority="33889"/>
    <cfRule type="duplicateValues" dxfId="33875" priority="33888"/>
    <cfRule type="duplicateValues" dxfId="33874" priority="33887"/>
    <cfRule type="duplicateValues" dxfId="33873" priority="33886"/>
    <cfRule type="duplicateValues" dxfId="33872" priority="33885"/>
    <cfRule type="duplicateValues" dxfId="33871" priority="33884"/>
    <cfRule type="duplicateValues" dxfId="33870" priority="33883"/>
    <cfRule type="duplicateValues" dxfId="33869" priority="33882"/>
    <cfRule type="duplicateValues" dxfId="33868" priority="33881"/>
    <cfRule type="duplicateValues" dxfId="33867" priority="33880"/>
    <cfRule type="duplicateValues" dxfId="33866" priority="33879"/>
    <cfRule type="duplicateValues" dxfId="33865" priority="33878"/>
    <cfRule type="duplicateValues" dxfId="33864" priority="33877"/>
    <cfRule type="duplicateValues" dxfId="33863" priority="33876"/>
    <cfRule type="duplicateValues" dxfId="33862" priority="33875"/>
    <cfRule type="duplicateValues" dxfId="33861" priority="33874"/>
    <cfRule type="duplicateValues" dxfId="33860" priority="33873"/>
    <cfRule type="duplicateValues" dxfId="33859" priority="33872"/>
    <cfRule type="duplicateValues" dxfId="33858" priority="33871"/>
    <cfRule type="duplicateValues" dxfId="33857" priority="33870"/>
    <cfRule type="duplicateValues" dxfId="33856" priority="33869"/>
    <cfRule type="duplicateValues" dxfId="33855" priority="33868"/>
    <cfRule type="duplicateValues" dxfId="33854" priority="33867"/>
    <cfRule type="duplicateValues" dxfId="33853" priority="33866"/>
    <cfRule type="duplicateValues" dxfId="33852" priority="33865"/>
    <cfRule type="duplicateValues" dxfId="33851" priority="33864"/>
    <cfRule type="duplicateValues" dxfId="33850" priority="33863"/>
    <cfRule type="duplicateValues" dxfId="33849" priority="33862"/>
    <cfRule type="duplicateValues" dxfId="33848" priority="33861"/>
    <cfRule type="duplicateValues" dxfId="33847" priority="33860"/>
    <cfRule type="duplicateValues" dxfId="33846" priority="33859"/>
    <cfRule type="duplicateValues" dxfId="33845" priority="33858"/>
    <cfRule type="duplicateValues" dxfId="33844" priority="33857"/>
    <cfRule type="duplicateValues" dxfId="33843" priority="33856"/>
    <cfRule type="duplicateValues" dxfId="33842" priority="33855"/>
    <cfRule type="duplicateValues" dxfId="33841" priority="33854"/>
    <cfRule type="duplicateValues" dxfId="33840" priority="33853"/>
    <cfRule type="duplicateValues" dxfId="33839" priority="33852"/>
    <cfRule type="duplicateValues" dxfId="33838" priority="33851"/>
    <cfRule type="duplicateValues" dxfId="33837" priority="33850"/>
    <cfRule type="duplicateValues" dxfId="33836" priority="33849"/>
    <cfRule type="duplicateValues" dxfId="33835" priority="33848"/>
    <cfRule type="duplicateValues" dxfId="33834" priority="33847"/>
    <cfRule type="duplicateValues" dxfId="33833" priority="33846"/>
    <cfRule type="duplicateValues" dxfId="33832" priority="33845"/>
    <cfRule type="duplicateValues" dxfId="33831" priority="33844"/>
    <cfRule type="duplicateValues" dxfId="33830" priority="33843"/>
    <cfRule type="duplicateValues" dxfId="33829" priority="33842"/>
    <cfRule type="duplicateValues" dxfId="33828" priority="33841"/>
    <cfRule type="duplicateValues" dxfId="33827" priority="33840"/>
    <cfRule type="duplicateValues" dxfId="33826" priority="33839"/>
    <cfRule type="duplicateValues" dxfId="33825" priority="33838"/>
    <cfRule type="duplicateValues" dxfId="33824" priority="33837"/>
    <cfRule type="duplicateValues" dxfId="33823" priority="33836"/>
    <cfRule type="duplicateValues" dxfId="33822" priority="33835"/>
    <cfRule type="duplicateValues" dxfId="33821" priority="33834"/>
    <cfRule type="duplicateValues" dxfId="33820" priority="33833"/>
    <cfRule type="duplicateValues" dxfId="33819" priority="33832"/>
    <cfRule type="duplicateValues" dxfId="33818" priority="33831"/>
    <cfRule type="duplicateValues" dxfId="33817" priority="33830"/>
    <cfRule type="duplicateValues" dxfId="33816" priority="33829"/>
    <cfRule type="duplicateValues" dxfId="33815" priority="33828"/>
    <cfRule type="duplicateValues" dxfId="33814" priority="33827"/>
    <cfRule type="duplicateValues" dxfId="33813" priority="33826"/>
  </conditionalFormatting>
  <conditionalFormatting sqref="B117">
    <cfRule type="duplicateValues" dxfId="33812" priority="33646"/>
    <cfRule type="duplicateValues" dxfId="33811" priority="33645"/>
    <cfRule type="duplicateValues" dxfId="33810" priority="33648"/>
    <cfRule type="duplicateValues" dxfId="33809" priority="33647"/>
    <cfRule type="duplicateValues" dxfId="33808" priority="33821"/>
    <cfRule type="duplicateValues" dxfId="33807" priority="33820"/>
    <cfRule type="duplicateValues" dxfId="33806" priority="33819"/>
    <cfRule type="duplicateValues" dxfId="33805" priority="33818"/>
    <cfRule type="duplicateValues" dxfId="33804" priority="33817"/>
    <cfRule type="duplicateValues" dxfId="33803" priority="33816"/>
    <cfRule type="duplicateValues" dxfId="33802" priority="33815"/>
    <cfRule type="duplicateValues" dxfId="33801" priority="33814"/>
    <cfRule type="duplicateValues" dxfId="33800" priority="33813"/>
    <cfRule type="duplicateValues" dxfId="33799" priority="33812"/>
    <cfRule type="duplicateValues" dxfId="33798" priority="33811"/>
    <cfRule type="duplicateValues" dxfId="33797" priority="33810"/>
    <cfRule type="duplicateValues" dxfId="33796" priority="33809"/>
    <cfRule type="duplicateValues" dxfId="33795" priority="33808"/>
    <cfRule type="duplicateValues" dxfId="33794" priority="33807"/>
    <cfRule type="duplicateValues" dxfId="33793" priority="33806"/>
    <cfRule type="duplicateValues" dxfId="33792" priority="33805"/>
    <cfRule type="duplicateValues" dxfId="33791" priority="33804"/>
    <cfRule type="duplicateValues" dxfId="33790" priority="33803"/>
    <cfRule type="duplicateValues" dxfId="33789" priority="33802"/>
    <cfRule type="duplicateValues" dxfId="33788" priority="33801"/>
    <cfRule type="duplicateValues" dxfId="33787" priority="33800"/>
    <cfRule type="duplicateValues" dxfId="33786" priority="33799"/>
    <cfRule type="duplicateValues" dxfId="33785" priority="33798"/>
    <cfRule type="duplicateValues" dxfId="33784" priority="33797"/>
    <cfRule type="duplicateValues" dxfId="33783" priority="33796"/>
    <cfRule type="duplicateValues" dxfId="33782" priority="33795"/>
    <cfRule type="duplicateValues" dxfId="33781" priority="33794"/>
    <cfRule type="duplicateValues" dxfId="33780" priority="33793"/>
    <cfRule type="duplicateValues" dxfId="33779" priority="33792"/>
    <cfRule type="duplicateValues" dxfId="33778" priority="33791"/>
    <cfRule type="duplicateValues" dxfId="33777" priority="33790"/>
    <cfRule type="duplicateValues" dxfId="33776" priority="33789"/>
    <cfRule type="duplicateValues" dxfId="33775" priority="33788"/>
    <cfRule type="duplicateValues" dxfId="33774" priority="33787"/>
    <cfRule type="duplicateValues" dxfId="33773" priority="33786"/>
    <cfRule type="duplicateValues" dxfId="33772" priority="33785"/>
    <cfRule type="duplicateValues" dxfId="33771" priority="33784"/>
    <cfRule type="duplicateValues" dxfId="33770" priority="33783"/>
    <cfRule type="duplicateValues" dxfId="33769" priority="33782"/>
    <cfRule type="duplicateValues" dxfId="33768" priority="33781"/>
    <cfRule type="duplicateValues" dxfId="33767" priority="33780"/>
    <cfRule type="duplicateValues" dxfId="33766" priority="33779"/>
    <cfRule type="duplicateValues" dxfId="33765" priority="33778"/>
    <cfRule type="duplicateValues" dxfId="33764" priority="33777"/>
    <cfRule type="duplicateValues" dxfId="33763" priority="33776"/>
    <cfRule type="duplicateValues" dxfId="33762" priority="33775"/>
    <cfRule type="duplicateValues" dxfId="33761" priority="33774"/>
    <cfRule type="duplicateValues" dxfId="33760" priority="33773"/>
    <cfRule type="duplicateValues" dxfId="33759" priority="33772"/>
    <cfRule type="duplicateValues" dxfId="33758" priority="33771"/>
    <cfRule type="duplicateValues" dxfId="33757" priority="33770"/>
    <cfRule type="duplicateValues" dxfId="33756" priority="33769"/>
    <cfRule type="duplicateValues" dxfId="33755" priority="33768"/>
    <cfRule type="duplicateValues" dxfId="33754" priority="33767"/>
    <cfRule type="duplicateValues" dxfId="33753" priority="33766"/>
    <cfRule type="duplicateValues" dxfId="33752" priority="33765"/>
    <cfRule type="duplicateValues" dxfId="33751" priority="33764"/>
    <cfRule type="duplicateValues" dxfId="33750" priority="33763"/>
    <cfRule type="duplicateValues" dxfId="33749" priority="33762"/>
    <cfRule type="duplicateValues" dxfId="33748" priority="33761"/>
    <cfRule type="duplicateValues" dxfId="33747" priority="33760"/>
    <cfRule type="duplicateValues" dxfId="33746" priority="33759"/>
    <cfRule type="duplicateValues" dxfId="33745" priority="33758"/>
    <cfRule type="duplicateValues" dxfId="33744" priority="33757"/>
    <cfRule type="duplicateValues" dxfId="33743" priority="33756"/>
    <cfRule type="duplicateValues" dxfId="33742" priority="33755"/>
    <cfRule type="duplicateValues" dxfId="33741" priority="33754"/>
    <cfRule type="duplicateValues" dxfId="33740" priority="33753"/>
    <cfRule type="duplicateValues" dxfId="33739" priority="33752"/>
    <cfRule type="duplicateValues" dxfId="33738" priority="33751"/>
    <cfRule type="duplicateValues" dxfId="33737" priority="33750"/>
    <cfRule type="duplicateValues" dxfId="33736" priority="33749"/>
    <cfRule type="duplicateValues" dxfId="33735" priority="33748"/>
    <cfRule type="duplicateValues" dxfId="33734" priority="33747"/>
    <cfRule type="duplicateValues" dxfId="33733" priority="33746"/>
    <cfRule type="duplicateValues" dxfId="33732" priority="33745"/>
    <cfRule type="duplicateValues" dxfId="33731" priority="33744"/>
    <cfRule type="duplicateValues" dxfId="33730" priority="33743"/>
    <cfRule type="duplicateValues" dxfId="33729" priority="33742"/>
    <cfRule type="duplicateValues" dxfId="33728" priority="33741"/>
    <cfRule type="duplicateValues" dxfId="33727" priority="33740"/>
    <cfRule type="duplicateValues" dxfId="33726" priority="33739"/>
    <cfRule type="duplicateValues" dxfId="33725" priority="33738"/>
    <cfRule type="duplicateValues" dxfId="33724" priority="33737"/>
    <cfRule type="duplicateValues" dxfId="33723" priority="33736"/>
    <cfRule type="duplicateValues" dxfId="33722" priority="33735"/>
    <cfRule type="duplicateValues" dxfId="33721" priority="33734"/>
    <cfRule type="duplicateValues" dxfId="33720" priority="33733"/>
    <cfRule type="duplicateValues" dxfId="33719" priority="33732"/>
    <cfRule type="duplicateValues" dxfId="33718" priority="33731"/>
    <cfRule type="duplicateValues" dxfId="33717" priority="33730"/>
    <cfRule type="duplicateValues" dxfId="33716" priority="33729"/>
    <cfRule type="duplicateValues" dxfId="33715" priority="33728"/>
    <cfRule type="duplicateValues" dxfId="33714" priority="33727"/>
    <cfRule type="duplicateValues" dxfId="33713" priority="33726"/>
    <cfRule type="duplicateValues" dxfId="33712" priority="33725"/>
    <cfRule type="duplicateValues" dxfId="33711" priority="33724"/>
    <cfRule type="duplicateValues" dxfId="33710" priority="33723"/>
    <cfRule type="duplicateValues" dxfId="33709" priority="33722"/>
    <cfRule type="duplicateValues" dxfId="33708" priority="33721"/>
    <cfRule type="duplicateValues" dxfId="33707" priority="33720"/>
    <cfRule type="duplicateValues" dxfId="33706" priority="33719"/>
    <cfRule type="duplicateValues" dxfId="33705" priority="33718"/>
    <cfRule type="duplicateValues" dxfId="33704" priority="33717"/>
    <cfRule type="duplicateValues" dxfId="33703" priority="33716"/>
    <cfRule type="duplicateValues" dxfId="33702" priority="33715"/>
    <cfRule type="duplicateValues" dxfId="33701" priority="33714"/>
    <cfRule type="duplicateValues" dxfId="33700" priority="33713"/>
    <cfRule type="duplicateValues" dxfId="33699" priority="33712"/>
    <cfRule type="duplicateValues" dxfId="33698" priority="33711"/>
    <cfRule type="duplicateValues" dxfId="33697" priority="33710"/>
    <cfRule type="duplicateValues" dxfId="33696" priority="33709"/>
    <cfRule type="duplicateValues" dxfId="33695" priority="33708"/>
    <cfRule type="duplicateValues" dxfId="33694" priority="33707"/>
    <cfRule type="duplicateValues" dxfId="33693" priority="33706"/>
    <cfRule type="duplicateValues" dxfId="33692" priority="33705"/>
    <cfRule type="duplicateValues" dxfId="33691" priority="33704"/>
    <cfRule type="duplicateValues" dxfId="33690" priority="33703"/>
    <cfRule type="duplicateValues" dxfId="33689" priority="33702"/>
    <cfRule type="duplicateValues" dxfId="33688" priority="33701"/>
    <cfRule type="duplicateValues" dxfId="33687" priority="33700"/>
    <cfRule type="duplicateValues" dxfId="33686" priority="33699"/>
    <cfRule type="duplicateValues" dxfId="33685" priority="33698"/>
    <cfRule type="duplicateValues" dxfId="33684" priority="33697"/>
    <cfRule type="duplicateValues" dxfId="33683" priority="33696"/>
    <cfRule type="duplicateValues" dxfId="33682" priority="33695"/>
    <cfRule type="duplicateValues" dxfId="33681" priority="33694"/>
    <cfRule type="duplicateValues" dxfId="33680" priority="33693"/>
    <cfRule type="duplicateValues" dxfId="33679" priority="33692"/>
    <cfRule type="duplicateValues" dxfId="33678" priority="33691"/>
    <cfRule type="duplicateValues" dxfId="33677" priority="33690"/>
    <cfRule type="duplicateValues" dxfId="33676" priority="33689"/>
    <cfRule type="duplicateValues" dxfId="33675" priority="33688"/>
    <cfRule type="duplicateValues" dxfId="33674" priority="33687"/>
    <cfRule type="duplicateValues" dxfId="33673" priority="33686"/>
    <cfRule type="duplicateValues" dxfId="33672" priority="33685"/>
    <cfRule type="duplicateValues" dxfId="33671" priority="33684"/>
    <cfRule type="duplicateValues" dxfId="33670" priority="33683"/>
    <cfRule type="duplicateValues" dxfId="33669" priority="33682"/>
    <cfRule type="duplicateValues" dxfId="33668" priority="33681"/>
    <cfRule type="duplicateValues" dxfId="33667" priority="33680"/>
    <cfRule type="duplicateValues" dxfId="33666" priority="33679"/>
    <cfRule type="duplicateValues" dxfId="33665" priority="33678"/>
    <cfRule type="duplicateValues" dxfId="33664" priority="33677"/>
    <cfRule type="duplicateValues" dxfId="33663" priority="33676"/>
    <cfRule type="duplicateValues" dxfId="33662" priority="33675"/>
    <cfRule type="duplicateValues" dxfId="33661" priority="33674"/>
    <cfRule type="duplicateValues" dxfId="33660" priority="33673"/>
    <cfRule type="duplicateValues" dxfId="33659" priority="33672"/>
    <cfRule type="duplicateValues" dxfId="33658" priority="33671"/>
    <cfRule type="duplicateValues" dxfId="33657" priority="33670"/>
    <cfRule type="duplicateValues" dxfId="33656" priority="33669"/>
    <cfRule type="duplicateValues" dxfId="33655" priority="33668"/>
    <cfRule type="duplicateValues" dxfId="33654" priority="33667"/>
    <cfRule type="duplicateValues" dxfId="33653" priority="33666"/>
    <cfRule type="duplicateValues" dxfId="33652" priority="33665"/>
    <cfRule type="duplicateValues" dxfId="33651" priority="33664"/>
    <cfRule type="duplicateValues" dxfId="33650" priority="33663"/>
    <cfRule type="duplicateValues" dxfId="33649" priority="33662"/>
    <cfRule type="duplicateValues" dxfId="33648" priority="33661"/>
    <cfRule type="duplicateValues" dxfId="33647" priority="33660"/>
    <cfRule type="duplicateValues" dxfId="33646" priority="33659"/>
    <cfRule type="duplicateValues" dxfId="33645" priority="33658"/>
    <cfRule type="duplicateValues" dxfId="33644" priority="33657"/>
    <cfRule type="duplicateValues" dxfId="33643" priority="33656"/>
    <cfRule type="duplicateValues" dxfId="33642" priority="33655"/>
    <cfRule type="duplicateValues" dxfId="33641" priority="33654"/>
    <cfRule type="duplicateValues" dxfId="33640" priority="33653"/>
    <cfRule type="duplicateValues" dxfId="33639" priority="33652"/>
    <cfRule type="duplicateValues" dxfId="33638" priority="33651"/>
    <cfRule type="duplicateValues" dxfId="33637" priority="33650"/>
    <cfRule type="duplicateValues" dxfId="33636" priority="33649"/>
  </conditionalFormatting>
  <conditionalFormatting sqref="B118">
    <cfRule type="duplicateValues" dxfId="33635" priority="33470"/>
    <cfRule type="duplicateValues" dxfId="33634" priority="33469"/>
    <cfRule type="duplicateValues" dxfId="33633" priority="33468"/>
    <cfRule type="duplicateValues" dxfId="33632" priority="33512"/>
    <cfRule type="duplicateValues" dxfId="33631" priority="33644"/>
    <cfRule type="duplicateValues" dxfId="33630" priority="33643"/>
    <cfRule type="duplicateValues" dxfId="33629" priority="33642"/>
    <cfRule type="duplicateValues" dxfId="33628" priority="33641"/>
    <cfRule type="duplicateValues" dxfId="33627" priority="33640"/>
    <cfRule type="duplicateValues" dxfId="33626" priority="33639"/>
    <cfRule type="duplicateValues" dxfId="33625" priority="33638"/>
    <cfRule type="duplicateValues" dxfId="33624" priority="33637"/>
    <cfRule type="duplicateValues" dxfId="33623" priority="33636"/>
    <cfRule type="duplicateValues" dxfId="33622" priority="33635"/>
    <cfRule type="duplicateValues" dxfId="33621" priority="33634"/>
    <cfRule type="duplicateValues" dxfId="33620" priority="33633"/>
    <cfRule type="duplicateValues" dxfId="33619" priority="33632"/>
    <cfRule type="duplicateValues" dxfId="33618" priority="33631"/>
    <cfRule type="duplicateValues" dxfId="33617" priority="33630"/>
    <cfRule type="duplicateValues" dxfId="33616" priority="33629"/>
    <cfRule type="duplicateValues" dxfId="33615" priority="33628"/>
    <cfRule type="duplicateValues" dxfId="33614" priority="33627"/>
    <cfRule type="duplicateValues" dxfId="33613" priority="33626"/>
    <cfRule type="duplicateValues" dxfId="33612" priority="33625"/>
    <cfRule type="duplicateValues" dxfId="33611" priority="33624"/>
    <cfRule type="duplicateValues" dxfId="33610" priority="33623"/>
    <cfRule type="duplicateValues" dxfId="33609" priority="33622"/>
    <cfRule type="duplicateValues" dxfId="33608" priority="33621"/>
    <cfRule type="duplicateValues" dxfId="33607" priority="33620"/>
    <cfRule type="duplicateValues" dxfId="33606" priority="33619"/>
    <cfRule type="duplicateValues" dxfId="33605" priority="33618"/>
    <cfRule type="duplicateValues" dxfId="33604" priority="33617"/>
    <cfRule type="duplicateValues" dxfId="33603" priority="33616"/>
    <cfRule type="duplicateValues" dxfId="33602" priority="33615"/>
    <cfRule type="duplicateValues" dxfId="33601" priority="33614"/>
    <cfRule type="duplicateValues" dxfId="33600" priority="33613"/>
    <cfRule type="duplicateValues" dxfId="33599" priority="33612"/>
    <cfRule type="duplicateValues" dxfId="33598" priority="33611"/>
    <cfRule type="duplicateValues" dxfId="33597" priority="33610"/>
    <cfRule type="duplicateValues" dxfId="33596" priority="33609"/>
    <cfRule type="duplicateValues" dxfId="33595" priority="33608"/>
    <cfRule type="duplicateValues" dxfId="33594" priority="33607"/>
    <cfRule type="duplicateValues" dxfId="33593" priority="33606"/>
    <cfRule type="duplicateValues" dxfId="33592" priority="33605"/>
    <cfRule type="duplicateValues" dxfId="33591" priority="33604"/>
    <cfRule type="duplicateValues" dxfId="33590" priority="33603"/>
    <cfRule type="duplicateValues" dxfId="33589" priority="33602"/>
    <cfRule type="duplicateValues" dxfId="33588" priority="33601"/>
    <cfRule type="duplicateValues" dxfId="33587" priority="33600"/>
    <cfRule type="duplicateValues" dxfId="33586" priority="33599"/>
    <cfRule type="duplicateValues" dxfId="33585" priority="33598"/>
    <cfRule type="duplicateValues" dxfId="33584" priority="33597"/>
    <cfRule type="duplicateValues" dxfId="33583" priority="33596"/>
    <cfRule type="duplicateValues" dxfId="33582" priority="33595"/>
    <cfRule type="duplicateValues" dxfId="33581" priority="33594"/>
    <cfRule type="duplicateValues" dxfId="33580" priority="33593"/>
    <cfRule type="duplicateValues" dxfId="33579" priority="33592"/>
    <cfRule type="duplicateValues" dxfId="33578" priority="33591"/>
    <cfRule type="duplicateValues" dxfId="33577" priority="33590"/>
    <cfRule type="duplicateValues" dxfId="33576" priority="33589"/>
    <cfRule type="duplicateValues" dxfId="33575" priority="33588"/>
    <cfRule type="duplicateValues" dxfId="33574" priority="33587"/>
    <cfRule type="duplicateValues" dxfId="33573" priority="33586"/>
    <cfRule type="duplicateValues" dxfId="33572" priority="33585"/>
    <cfRule type="duplicateValues" dxfId="33571" priority="33584"/>
    <cfRule type="duplicateValues" dxfId="33570" priority="33583"/>
    <cfRule type="duplicateValues" dxfId="33569" priority="33582"/>
    <cfRule type="duplicateValues" dxfId="33568" priority="33581"/>
    <cfRule type="duplicateValues" dxfId="33567" priority="33580"/>
    <cfRule type="duplicateValues" dxfId="33566" priority="33579"/>
    <cfRule type="duplicateValues" dxfId="33565" priority="33578"/>
    <cfRule type="duplicateValues" dxfId="33564" priority="33577"/>
    <cfRule type="duplicateValues" dxfId="33563" priority="33576"/>
    <cfRule type="duplicateValues" dxfId="33562" priority="33575"/>
    <cfRule type="duplicateValues" dxfId="33561" priority="33574"/>
    <cfRule type="duplicateValues" dxfId="33560" priority="33573"/>
    <cfRule type="duplicateValues" dxfId="33559" priority="33572"/>
    <cfRule type="duplicateValues" dxfId="33558" priority="33571"/>
    <cfRule type="duplicateValues" dxfId="33557" priority="33570"/>
    <cfRule type="duplicateValues" dxfId="33556" priority="33569"/>
    <cfRule type="duplicateValues" dxfId="33555" priority="33568"/>
    <cfRule type="duplicateValues" dxfId="33554" priority="33567"/>
    <cfRule type="duplicateValues" dxfId="33553" priority="33566"/>
    <cfRule type="duplicateValues" dxfId="33552" priority="33565"/>
    <cfRule type="duplicateValues" dxfId="33551" priority="33564"/>
    <cfRule type="duplicateValues" dxfId="33550" priority="33563"/>
    <cfRule type="duplicateValues" dxfId="33549" priority="33562"/>
    <cfRule type="duplicateValues" dxfId="33548" priority="33561"/>
    <cfRule type="duplicateValues" dxfId="33547" priority="33560"/>
    <cfRule type="duplicateValues" dxfId="33546" priority="33559"/>
    <cfRule type="duplicateValues" dxfId="33545" priority="33558"/>
    <cfRule type="duplicateValues" dxfId="33544" priority="33557"/>
    <cfRule type="duplicateValues" dxfId="33543" priority="33556"/>
    <cfRule type="duplicateValues" dxfId="33542" priority="33555"/>
    <cfRule type="duplicateValues" dxfId="33541" priority="33554"/>
    <cfRule type="duplicateValues" dxfId="33540" priority="33553"/>
    <cfRule type="duplicateValues" dxfId="33539" priority="33552"/>
    <cfRule type="duplicateValues" dxfId="33538" priority="33551"/>
    <cfRule type="duplicateValues" dxfId="33537" priority="33550"/>
    <cfRule type="duplicateValues" dxfId="33536" priority="33549"/>
    <cfRule type="duplicateValues" dxfId="33535" priority="33548"/>
    <cfRule type="duplicateValues" dxfId="33534" priority="33547"/>
    <cfRule type="duplicateValues" dxfId="33533" priority="33546"/>
    <cfRule type="duplicateValues" dxfId="33532" priority="33545"/>
    <cfRule type="duplicateValues" dxfId="33531" priority="33544"/>
    <cfRule type="duplicateValues" dxfId="33530" priority="33543"/>
    <cfRule type="duplicateValues" dxfId="33529" priority="33542"/>
    <cfRule type="duplicateValues" dxfId="33528" priority="33541"/>
    <cfRule type="duplicateValues" dxfId="33527" priority="33540"/>
    <cfRule type="duplicateValues" dxfId="33526" priority="33539"/>
    <cfRule type="duplicateValues" dxfId="33525" priority="33538"/>
    <cfRule type="duplicateValues" dxfId="33524" priority="33537"/>
    <cfRule type="duplicateValues" dxfId="33523" priority="33536"/>
    <cfRule type="duplicateValues" dxfId="33522" priority="33535"/>
    <cfRule type="duplicateValues" dxfId="33521" priority="33534"/>
    <cfRule type="duplicateValues" dxfId="33520" priority="33533"/>
    <cfRule type="duplicateValues" dxfId="33519" priority="33532"/>
    <cfRule type="duplicateValues" dxfId="33518" priority="33531"/>
    <cfRule type="duplicateValues" dxfId="33517" priority="33530"/>
    <cfRule type="duplicateValues" dxfId="33516" priority="33529"/>
    <cfRule type="duplicateValues" dxfId="33515" priority="33528"/>
    <cfRule type="duplicateValues" dxfId="33514" priority="33527"/>
    <cfRule type="duplicateValues" dxfId="33513" priority="33526"/>
    <cfRule type="duplicateValues" dxfId="33512" priority="33525"/>
    <cfRule type="duplicateValues" dxfId="33511" priority="33524"/>
    <cfRule type="duplicateValues" dxfId="33510" priority="33523"/>
    <cfRule type="duplicateValues" dxfId="33509" priority="33522"/>
    <cfRule type="duplicateValues" dxfId="33508" priority="33521"/>
    <cfRule type="duplicateValues" dxfId="33507" priority="33520"/>
    <cfRule type="duplicateValues" dxfId="33506" priority="33519"/>
    <cfRule type="duplicateValues" dxfId="33505" priority="33518"/>
    <cfRule type="duplicateValues" dxfId="33504" priority="33517"/>
    <cfRule type="duplicateValues" dxfId="33503" priority="33516"/>
    <cfRule type="duplicateValues" dxfId="33502" priority="33515"/>
    <cfRule type="duplicateValues" dxfId="33501" priority="33514"/>
    <cfRule type="duplicateValues" dxfId="33500" priority="33513"/>
    <cfRule type="duplicateValues" dxfId="33499" priority="33511"/>
    <cfRule type="duplicateValues" dxfId="33498" priority="33510"/>
    <cfRule type="duplicateValues" dxfId="33497" priority="33509"/>
    <cfRule type="duplicateValues" dxfId="33496" priority="33508"/>
    <cfRule type="duplicateValues" dxfId="33495" priority="33507"/>
    <cfRule type="duplicateValues" dxfId="33494" priority="33506"/>
    <cfRule type="duplicateValues" dxfId="33493" priority="33505"/>
    <cfRule type="duplicateValues" dxfId="33492" priority="33504"/>
    <cfRule type="duplicateValues" dxfId="33491" priority="33503"/>
    <cfRule type="duplicateValues" dxfId="33490" priority="33502"/>
    <cfRule type="duplicateValues" dxfId="33489" priority="33501"/>
    <cfRule type="duplicateValues" dxfId="33488" priority="33500"/>
    <cfRule type="duplicateValues" dxfId="33487" priority="33499"/>
    <cfRule type="duplicateValues" dxfId="33486" priority="33498"/>
    <cfRule type="duplicateValues" dxfId="33485" priority="33497"/>
    <cfRule type="duplicateValues" dxfId="33484" priority="33496"/>
    <cfRule type="duplicateValues" dxfId="33483" priority="33495"/>
    <cfRule type="duplicateValues" dxfId="33482" priority="33494"/>
    <cfRule type="duplicateValues" dxfId="33481" priority="33493"/>
    <cfRule type="duplicateValues" dxfId="33480" priority="33492"/>
    <cfRule type="duplicateValues" dxfId="33479" priority="33491"/>
    <cfRule type="duplicateValues" dxfId="33478" priority="33490"/>
    <cfRule type="duplicateValues" dxfId="33477" priority="33489"/>
    <cfRule type="duplicateValues" dxfId="33476" priority="33488"/>
    <cfRule type="duplicateValues" dxfId="33475" priority="33487"/>
    <cfRule type="duplicateValues" dxfId="33474" priority="33486"/>
    <cfRule type="duplicateValues" dxfId="33473" priority="33485"/>
    <cfRule type="duplicateValues" dxfId="33472" priority="33484"/>
    <cfRule type="duplicateValues" dxfId="33471" priority="33483"/>
    <cfRule type="duplicateValues" dxfId="33470" priority="33482"/>
    <cfRule type="duplicateValues" dxfId="33469" priority="33481"/>
    <cfRule type="duplicateValues" dxfId="33468" priority="33480"/>
    <cfRule type="duplicateValues" dxfId="33467" priority="33479"/>
    <cfRule type="duplicateValues" dxfId="33466" priority="33478"/>
    <cfRule type="duplicateValues" dxfId="33465" priority="33477"/>
    <cfRule type="duplicateValues" dxfId="33464" priority="33476"/>
    <cfRule type="duplicateValues" dxfId="33463" priority="33475"/>
    <cfRule type="duplicateValues" dxfId="33462" priority="33474"/>
    <cfRule type="duplicateValues" dxfId="33461" priority="33473"/>
    <cfRule type="duplicateValues" dxfId="33460" priority="33472"/>
    <cfRule type="duplicateValues" dxfId="33459" priority="33471"/>
  </conditionalFormatting>
  <conditionalFormatting sqref="B119">
    <cfRule type="duplicateValues" dxfId="33458" priority="33361"/>
    <cfRule type="duplicateValues" dxfId="33457" priority="33294"/>
    <cfRule type="duplicateValues" dxfId="33456" priority="33293"/>
    <cfRule type="duplicateValues" dxfId="33455" priority="33292"/>
    <cfRule type="duplicateValues" dxfId="33454" priority="33467"/>
    <cfRule type="duplicateValues" dxfId="33453" priority="33466"/>
    <cfRule type="duplicateValues" dxfId="33452" priority="33465"/>
    <cfRule type="duplicateValues" dxfId="33451" priority="33464"/>
    <cfRule type="duplicateValues" dxfId="33450" priority="33463"/>
    <cfRule type="duplicateValues" dxfId="33449" priority="33462"/>
    <cfRule type="duplicateValues" dxfId="33448" priority="33461"/>
    <cfRule type="duplicateValues" dxfId="33447" priority="33460"/>
    <cfRule type="duplicateValues" dxfId="33446" priority="33459"/>
    <cfRule type="duplicateValues" dxfId="33445" priority="33458"/>
    <cfRule type="duplicateValues" dxfId="33444" priority="33457"/>
    <cfRule type="duplicateValues" dxfId="33443" priority="33456"/>
    <cfRule type="duplicateValues" dxfId="33442" priority="33455"/>
    <cfRule type="duplicateValues" dxfId="33441" priority="33454"/>
    <cfRule type="duplicateValues" dxfId="33440" priority="33453"/>
    <cfRule type="duplicateValues" dxfId="33439" priority="33452"/>
    <cfRule type="duplicateValues" dxfId="33438" priority="33451"/>
    <cfRule type="duplicateValues" dxfId="33437" priority="33450"/>
    <cfRule type="duplicateValues" dxfId="33436" priority="33449"/>
    <cfRule type="duplicateValues" dxfId="33435" priority="33448"/>
    <cfRule type="duplicateValues" dxfId="33434" priority="33447"/>
    <cfRule type="duplicateValues" dxfId="33433" priority="33446"/>
    <cfRule type="duplicateValues" dxfId="33432" priority="33445"/>
    <cfRule type="duplicateValues" dxfId="33431" priority="33444"/>
    <cfRule type="duplicateValues" dxfId="33430" priority="33443"/>
    <cfRule type="duplicateValues" dxfId="33429" priority="33442"/>
    <cfRule type="duplicateValues" dxfId="33428" priority="33441"/>
    <cfRule type="duplicateValues" dxfId="33427" priority="33440"/>
    <cfRule type="duplicateValues" dxfId="33426" priority="33439"/>
    <cfRule type="duplicateValues" dxfId="33425" priority="33438"/>
    <cfRule type="duplicateValues" dxfId="33424" priority="33437"/>
    <cfRule type="duplicateValues" dxfId="33423" priority="33436"/>
    <cfRule type="duplicateValues" dxfId="33422" priority="33435"/>
    <cfRule type="duplicateValues" dxfId="33421" priority="33434"/>
    <cfRule type="duplicateValues" dxfId="33420" priority="33433"/>
    <cfRule type="duplicateValues" dxfId="33419" priority="33432"/>
    <cfRule type="duplicateValues" dxfId="33418" priority="33431"/>
    <cfRule type="duplicateValues" dxfId="33417" priority="33430"/>
    <cfRule type="duplicateValues" dxfId="33416" priority="33429"/>
    <cfRule type="duplicateValues" dxfId="33415" priority="33428"/>
    <cfRule type="duplicateValues" dxfId="33414" priority="33427"/>
    <cfRule type="duplicateValues" dxfId="33413" priority="33426"/>
    <cfRule type="duplicateValues" dxfId="33412" priority="33425"/>
    <cfRule type="duplicateValues" dxfId="33411" priority="33424"/>
    <cfRule type="duplicateValues" dxfId="33410" priority="33423"/>
    <cfRule type="duplicateValues" dxfId="33409" priority="33422"/>
    <cfRule type="duplicateValues" dxfId="33408" priority="33421"/>
    <cfRule type="duplicateValues" dxfId="33407" priority="33420"/>
    <cfRule type="duplicateValues" dxfId="33406" priority="33419"/>
    <cfRule type="duplicateValues" dxfId="33405" priority="33418"/>
    <cfRule type="duplicateValues" dxfId="33404" priority="33417"/>
    <cfRule type="duplicateValues" dxfId="33403" priority="33416"/>
    <cfRule type="duplicateValues" dxfId="33402" priority="33415"/>
    <cfRule type="duplicateValues" dxfId="33401" priority="33414"/>
    <cfRule type="duplicateValues" dxfId="33400" priority="33413"/>
    <cfRule type="duplicateValues" dxfId="33399" priority="33412"/>
    <cfRule type="duplicateValues" dxfId="33398" priority="33411"/>
    <cfRule type="duplicateValues" dxfId="33397" priority="33410"/>
    <cfRule type="duplicateValues" dxfId="33396" priority="33409"/>
    <cfRule type="duplicateValues" dxfId="33395" priority="33408"/>
    <cfRule type="duplicateValues" dxfId="33394" priority="33407"/>
    <cfRule type="duplicateValues" dxfId="33393" priority="33406"/>
    <cfRule type="duplicateValues" dxfId="33392" priority="33405"/>
    <cfRule type="duplicateValues" dxfId="33391" priority="33404"/>
    <cfRule type="duplicateValues" dxfId="33390" priority="33403"/>
    <cfRule type="duplicateValues" dxfId="33389" priority="33402"/>
    <cfRule type="duplicateValues" dxfId="33388" priority="33401"/>
    <cfRule type="duplicateValues" dxfId="33387" priority="33400"/>
    <cfRule type="duplicateValues" dxfId="33386" priority="33399"/>
    <cfRule type="duplicateValues" dxfId="33385" priority="33398"/>
    <cfRule type="duplicateValues" dxfId="33384" priority="33397"/>
    <cfRule type="duplicateValues" dxfId="33383" priority="33396"/>
    <cfRule type="duplicateValues" dxfId="33382" priority="33395"/>
    <cfRule type="duplicateValues" dxfId="33381" priority="33394"/>
    <cfRule type="duplicateValues" dxfId="33380" priority="33393"/>
    <cfRule type="duplicateValues" dxfId="33379" priority="33392"/>
    <cfRule type="duplicateValues" dxfId="33378" priority="33391"/>
    <cfRule type="duplicateValues" dxfId="33377" priority="33390"/>
    <cfRule type="duplicateValues" dxfId="33376" priority="33389"/>
    <cfRule type="duplicateValues" dxfId="33375" priority="33388"/>
    <cfRule type="duplicateValues" dxfId="33374" priority="33387"/>
    <cfRule type="duplicateValues" dxfId="33373" priority="33386"/>
    <cfRule type="duplicateValues" dxfId="33372" priority="33385"/>
    <cfRule type="duplicateValues" dxfId="33371" priority="33384"/>
    <cfRule type="duplicateValues" dxfId="33370" priority="33383"/>
    <cfRule type="duplicateValues" dxfId="33369" priority="33382"/>
    <cfRule type="duplicateValues" dxfId="33368" priority="33381"/>
    <cfRule type="duplicateValues" dxfId="33367" priority="33380"/>
    <cfRule type="duplicateValues" dxfId="33366" priority="33379"/>
    <cfRule type="duplicateValues" dxfId="33365" priority="33378"/>
    <cfRule type="duplicateValues" dxfId="33364" priority="33377"/>
    <cfRule type="duplicateValues" dxfId="33363" priority="33376"/>
    <cfRule type="duplicateValues" dxfId="33362" priority="33375"/>
    <cfRule type="duplicateValues" dxfId="33361" priority="33374"/>
    <cfRule type="duplicateValues" dxfId="33360" priority="33373"/>
    <cfRule type="duplicateValues" dxfId="33359" priority="33372"/>
    <cfRule type="duplicateValues" dxfId="33358" priority="33371"/>
    <cfRule type="duplicateValues" dxfId="33357" priority="33370"/>
    <cfRule type="duplicateValues" dxfId="33356" priority="33369"/>
    <cfRule type="duplicateValues" dxfId="33355" priority="33368"/>
    <cfRule type="duplicateValues" dxfId="33354" priority="33367"/>
    <cfRule type="duplicateValues" dxfId="33353" priority="33366"/>
    <cfRule type="duplicateValues" dxfId="33352" priority="33365"/>
    <cfRule type="duplicateValues" dxfId="33351" priority="33364"/>
    <cfRule type="duplicateValues" dxfId="33350" priority="33363"/>
    <cfRule type="duplicateValues" dxfId="33349" priority="33362"/>
    <cfRule type="duplicateValues" dxfId="33348" priority="33291"/>
    <cfRule type="duplicateValues" dxfId="33347" priority="33360"/>
    <cfRule type="duplicateValues" dxfId="33346" priority="33359"/>
    <cfRule type="duplicateValues" dxfId="33345" priority="33358"/>
    <cfRule type="duplicateValues" dxfId="33344" priority="33357"/>
    <cfRule type="duplicateValues" dxfId="33343" priority="33356"/>
    <cfRule type="duplicateValues" dxfId="33342" priority="33355"/>
    <cfRule type="duplicateValues" dxfId="33341" priority="33354"/>
    <cfRule type="duplicateValues" dxfId="33340" priority="33353"/>
    <cfRule type="duplicateValues" dxfId="33339" priority="33352"/>
    <cfRule type="duplicateValues" dxfId="33338" priority="33351"/>
    <cfRule type="duplicateValues" dxfId="33337" priority="33350"/>
    <cfRule type="duplicateValues" dxfId="33336" priority="33349"/>
    <cfRule type="duplicateValues" dxfId="33335" priority="33348"/>
    <cfRule type="duplicateValues" dxfId="33334" priority="33347"/>
    <cfRule type="duplicateValues" dxfId="33333" priority="33346"/>
    <cfRule type="duplicateValues" dxfId="33332" priority="33345"/>
    <cfRule type="duplicateValues" dxfId="33331" priority="33344"/>
    <cfRule type="duplicateValues" dxfId="33330" priority="33343"/>
    <cfRule type="duplicateValues" dxfId="33329" priority="33342"/>
    <cfRule type="duplicateValues" dxfId="33328" priority="33341"/>
    <cfRule type="duplicateValues" dxfId="33327" priority="33340"/>
    <cfRule type="duplicateValues" dxfId="33326" priority="33339"/>
    <cfRule type="duplicateValues" dxfId="33325" priority="33338"/>
    <cfRule type="duplicateValues" dxfId="33324" priority="33337"/>
    <cfRule type="duplicateValues" dxfId="33323" priority="33336"/>
    <cfRule type="duplicateValues" dxfId="33322" priority="33335"/>
    <cfRule type="duplicateValues" dxfId="33321" priority="33334"/>
    <cfRule type="duplicateValues" dxfId="33320" priority="33333"/>
    <cfRule type="duplicateValues" dxfId="33319" priority="33332"/>
    <cfRule type="duplicateValues" dxfId="33318" priority="33331"/>
    <cfRule type="duplicateValues" dxfId="33317" priority="33330"/>
    <cfRule type="duplicateValues" dxfId="33316" priority="33329"/>
    <cfRule type="duplicateValues" dxfId="33315" priority="33328"/>
    <cfRule type="duplicateValues" dxfId="33314" priority="33327"/>
    <cfRule type="duplicateValues" dxfId="33313" priority="33326"/>
    <cfRule type="duplicateValues" dxfId="33312" priority="33325"/>
    <cfRule type="duplicateValues" dxfId="33311" priority="33324"/>
    <cfRule type="duplicateValues" dxfId="33310" priority="33323"/>
    <cfRule type="duplicateValues" dxfId="33309" priority="33322"/>
    <cfRule type="duplicateValues" dxfId="33308" priority="33321"/>
    <cfRule type="duplicateValues" dxfId="33307" priority="33320"/>
    <cfRule type="duplicateValues" dxfId="33306" priority="33319"/>
    <cfRule type="duplicateValues" dxfId="33305" priority="33318"/>
    <cfRule type="duplicateValues" dxfId="33304" priority="33317"/>
    <cfRule type="duplicateValues" dxfId="33303" priority="33316"/>
    <cfRule type="duplicateValues" dxfId="33302" priority="33315"/>
    <cfRule type="duplicateValues" dxfId="33301" priority="33314"/>
    <cfRule type="duplicateValues" dxfId="33300" priority="33313"/>
    <cfRule type="duplicateValues" dxfId="33299" priority="33312"/>
    <cfRule type="duplicateValues" dxfId="33298" priority="33311"/>
    <cfRule type="duplicateValues" dxfId="33297" priority="33310"/>
    <cfRule type="duplicateValues" dxfId="33296" priority="33309"/>
    <cfRule type="duplicateValues" dxfId="33295" priority="33308"/>
    <cfRule type="duplicateValues" dxfId="33294" priority="33307"/>
    <cfRule type="duplicateValues" dxfId="33293" priority="33306"/>
    <cfRule type="duplicateValues" dxfId="33292" priority="33305"/>
    <cfRule type="duplicateValues" dxfId="33291" priority="33304"/>
    <cfRule type="duplicateValues" dxfId="33290" priority="33303"/>
    <cfRule type="duplicateValues" dxfId="33289" priority="33302"/>
    <cfRule type="duplicateValues" dxfId="33288" priority="33301"/>
    <cfRule type="duplicateValues" dxfId="33287" priority="33300"/>
    <cfRule type="duplicateValues" dxfId="33286" priority="33299"/>
    <cfRule type="duplicateValues" dxfId="33285" priority="33298"/>
    <cfRule type="duplicateValues" dxfId="33284" priority="33297"/>
    <cfRule type="duplicateValues" dxfId="33283" priority="33296"/>
    <cfRule type="duplicateValues" dxfId="33282" priority="33295"/>
  </conditionalFormatting>
  <conditionalFormatting sqref="B120">
    <cfRule type="duplicateValues" dxfId="33281" priority="33117"/>
    <cfRule type="duplicateValues" dxfId="33280" priority="33116"/>
    <cfRule type="duplicateValues" dxfId="33279" priority="33115"/>
    <cfRule type="duplicateValues" dxfId="33278" priority="33206"/>
    <cfRule type="duplicateValues" dxfId="33277" priority="33290"/>
    <cfRule type="duplicateValues" dxfId="33276" priority="33289"/>
    <cfRule type="duplicateValues" dxfId="33275" priority="33288"/>
    <cfRule type="duplicateValues" dxfId="33274" priority="33287"/>
    <cfRule type="duplicateValues" dxfId="33273" priority="33286"/>
    <cfRule type="duplicateValues" dxfId="33272" priority="33285"/>
    <cfRule type="duplicateValues" dxfId="33271" priority="33284"/>
    <cfRule type="duplicateValues" dxfId="33270" priority="33283"/>
    <cfRule type="duplicateValues" dxfId="33269" priority="33282"/>
    <cfRule type="duplicateValues" dxfId="33268" priority="33281"/>
    <cfRule type="duplicateValues" dxfId="33267" priority="33280"/>
    <cfRule type="duplicateValues" dxfId="33266" priority="33279"/>
    <cfRule type="duplicateValues" dxfId="33265" priority="33278"/>
    <cfRule type="duplicateValues" dxfId="33264" priority="33277"/>
    <cfRule type="duplicateValues" dxfId="33263" priority="33276"/>
    <cfRule type="duplicateValues" dxfId="33262" priority="33275"/>
    <cfRule type="duplicateValues" dxfId="33261" priority="33274"/>
    <cfRule type="duplicateValues" dxfId="33260" priority="33273"/>
    <cfRule type="duplicateValues" dxfId="33259" priority="33272"/>
    <cfRule type="duplicateValues" dxfId="33258" priority="33271"/>
    <cfRule type="duplicateValues" dxfId="33257" priority="33270"/>
    <cfRule type="duplicateValues" dxfId="33256" priority="33269"/>
    <cfRule type="duplicateValues" dxfId="33255" priority="33268"/>
    <cfRule type="duplicateValues" dxfId="33254" priority="33267"/>
    <cfRule type="duplicateValues" dxfId="33253" priority="33266"/>
    <cfRule type="duplicateValues" dxfId="33252" priority="33265"/>
    <cfRule type="duplicateValues" dxfId="33251" priority="33264"/>
    <cfRule type="duplicateValues" dxfId="33250" priority="33263"/>
    <cfRule type="duplicateValues" dxfId="33249" priority="33262"/>
    <cfRule type="duplicateValues" dxfId="33248" priority="33261"/>
    <cfRule type="duplicateValues" dxfId="33247" priority="33260"/>
    <cfRule type="duplicateValues" dxfId="33246" priority="33259"/>
    <cfRule type="duplicateValues" dxfId="33245" priority="33258"/>
    <cfRule type="duplicateValues" dxfId="33244" priority="33257"/>
    <cfRule type="duplicateValues" dxfId="33243" priority="33256"/>
    <cfRule type="duplicateValues" dxfId="33242" priority="33255"/>
    <cfRule type="duplicateValues" dxfId="33241" priority="33254"/>
    <cfRule type="duplicateValues" dxfId="33240" priority="33253"/>
    <cfRule type="duplicateValues" dxfId="33239" priority="33252"/>
    <cfRule type="duplicateValues" dxfId="33238" priority="33251"/>
    <cfRule type="duplicateValues" dxfId="33237" priority="33250"/>
    <cfRule type="duplicateValues" dxfId="33236" priority="33249"/>
    <cfRule type="duplicateValues" dxfId="33235" priority="33248"/>
    <cfRule type="duplicateValues" dxfId="33234" priority="33247"/>
    <cfRule type="duplicateValues" dxfId="33233" priority="33246"/>
    <cfRule type="duplicateValues" dxfId="33232" priority="33245"/>
    <cfRule type="duplicateValues" dxfId="33231" priority="33244"/>
    <cfRule type="duplicateValues" dxfId="33230" priority="33243"/>
    <cfRule type="duplicateValues" dxfId="33229" priority="33242"/>
    <cfRule type="duplicateValues" dxfId="33228" priority="33241"/>
    <cfRule type="duplicateValues" dxfId="33227" priority="33240"/>
    <cfRule type="duplicateValues" dxfId="33226" priority="33239"/>
    <cfRule type="duplicateValues" dxfId="33225" priority="33238"/>
    <cfRule type="duplicateValues" dxfId="33224" priority="33237"/>
    <cfRule type="duplicateValues" dxfId="33223" priority="33236"/>
    <cfRule type="duplicateValues" dxfId="33222" priority="33235"/>
    <cfRule type="duplicateValues" dxfId="33221" priority="33234"/>
    <cfRule type="duplicateValues" dxfId="33220" priority="33233"/>
    <cfRule type="duplicateValues" dxfId="33219" priority="33232"/>
    <cfRule type="duplicateValues" dxfId="33218" priority="33231"/>
    <cfRule type="duplicateValues" dxfId="33217" priority="33230"/>
    <cfRule type="duplicateValues" dxfId="33216" priority="33229"/>
    <cfRule type="duplicateValues" dxfId="33215" priority="33228"/>
    <cfRule type="duplicateValues" dxfId="33214" priority="33227"/>
    <cfRule type="duplicateValues" dxfId="33213" priority="33226"/>
    <cfRule type="duplicateValues" dxfId="33212" priority="33225"/>
    <cfRule type="duplicateValues" dxfId="33211" priority="33224"/>
    <cfRule type="duplicateValues" dxfId="33210" priority="33223"/>
    <cfRule type="duplicateValues" dxfId="33209" priority="33222"/>
    <cfRule type="duplicateValues" dxfId="33208" priority="33221"/>
    <cfRule type="duplicateValues" dxfId="33207" priority="33220"/>
    <cfRule type="duplicateValues" dxfId="33206" priority="33219"/>
    <cfRule type="duplicateValues" dxfId="33205" priority="33218"/>
    <cfRule type="duplicateValues" dxfId="33204" priority="33217"/>
    <cfRule type="duplicateValues" dxfId="33203" priority="33216"/>
    <cfRule type="duplicateValues" dxfId="33202" priority="33215"/>
    <cfRule type="duplicateValues" dxfId="33201" priority="33214"/>
    <cfRule type="duplicateValues" dxfId="33200" priority="33213"/>
    <cfRule type="duplicateValues" dxfId="33199" priority="33212"/>
    <cfRule type="duplicateValues" dxfId="33198" priority="33211"/>
    <cfRule type="duplicateValues" dxfId="33197" priority="33210"/>
    <cfRule type="duplicateValues" dxfId="33196" priority="33209"/>
    <cfRule type="duplicateValues" dxfId="33195" priority="33208"/>
    <cfRule type="duplicateValues" dxfId="33194" priority="33207"/>
    <cfRule type="duplicateValues" dxfId="33193" priority="33114"/>
    <cfRule type="duplicateValues" dxfId="33192" priority="33205"/>
    <cfRule type="duplicateValues" dxfId="33191" priority="33204"/>
    <cfRule type="duplicateValues" dxfId="33190" priority="33203"/>
    <cfRule type="duplicateValues" dxfId="33189" priority="33202"/>
    <cfRule type="duplicateValues" dxfId="33188" priority="33201"/>
    <cfRule type="duplicateValues" dxfId="33187" priority="33200"/>
    <cfRule type="duplicateValues" dxfId="33186" priority="33199"/>
    <cfRule type="duplicateValues" dxfId="33185" priority="33198"/>
    <cfRule type="duplicateValues" dxfId="33184" priority="33197"/>
    <cfRule type="duplicateValues" dxfId="33183" priority="33196"/>
    <cfRule type="duplicateValues" dxfId="33182" priority="33195"/>
    <cfRule type="duplicateValues" dxfId="33181" priority="33194"/>
    <cfRule type="duplicateValues" dxfId="33180" priority="33193"/>
    <cfRule type="duplicateValues" dxfId="33179" priority="33192"/>
    <cfRule type="duplicateValues" dxfId="33178" priority="33191"/>
    <cfRule type="duplicateValues" dxfId="33177" priority="33190"/>
    <cfRule type="duplicateValues" dxfId="33176" priority="33189"/>
    <cfRule type="duplicateValues" dxfId="33175" priority="33188"/>
    <cfRule type="duplicateValues" dxfId="33174" priority="33187"/>
    <cfRule type="duplicateValues" dxfId="33173" priority="33186"/>
    <cfRule type="duplicateValues" dxfId="33172" priority="33185"/>
    <cfRule type="duplicateValues" dxfId="33171" priority="33184"/>
    <cfRule type="duplicateValues" dxfId="33170" priority="33183"/>
    <cfRule type="duplicateValues" dxfId="33169" priority="33182"/>
    <cfRule type="duplicateValues" dxfId="33168" priority="33181"/>
    <cfRule type="duplicateValues" dxfId="33167" priority="33180"/>
    <cfRule type="duplicateValues" dxfId="33166" priority="33179"/>
    <cfRule type="duplicateValues" dxfId="33165" priority="33178"/>
    <cfRule type="duplicateValues" dxfId="33164" priority="33177"/>
    <cfRule type="duplicateValues" dxfId="33163" priority="33176"/>
    <cfRule type="duplicateValues" dxfId="33162" priority="33175"/>
    <cfRule type="duplicateValues" dxfId="33161" priority="33174"/>
    <cfRule type="duplicateValues" dxfId="33160" priority="33173"/>
    <cfRule type="duplicateValues" dxfId="33159" priority="33172"/>
    <cfRule type="duplicateValues" dxfId="33158" priority="33171"/>
    <cfRule type="duplicateValues" dxfId="33157" priority="33170"/>
    <cfRule type="duplicateValues" dxfId="33156" priority="33169"/>
    <cfRule type="duplicateValues" dxfId="33155" priority="33168"/>
    <cfRule type="duplicateValues" dxfId="33154" priority="33167"/>
    <cfRule type="duplicateValues" dxfId="33153" priority="33166"/>
    <cfRule type="duplicateValues" dxfId="33152" priority="33165"/>
    <cfRule type="duplicateValues" dxfId="33151" priority="33164"/>
    <cfRule type="duplicateValues" dxfId="33150" priority="33163"/>
    <cfRule type="duplicateValues" dxfId="33149" priority="33162"/>
    <cfRule type="duplicateValues" dxfId="33148" priority="33161"/>
    <cfRule type="duplicateValues" dxfId="33147" priority="33160"/>
    <cfRule type="duplicateValues" dxfId="33146" priority="33159"/>
    <cfRule type="duplicateValues" dxfId="33145" priority="33158"/>
    <cfRule type="duplicateValues" dxfId="33144" priority="33157"/>
    <cfRule type="duplicateValues" dxfId="33143" priority="33156"/>
    <cfRule type="duplicateValues" dxfId="33142" priority="33155"/>
    <cfRule type="duplicateValues" dxfId="33141" priority="33154"/>
    <cfRule type="duplicateValues" dxfId="33140" priority="33153"/>
    <cfRule type="duplicateValues" dxfId="33139" priority="33152"/>
    <cfRule type="duplicateValues" dxfId="33138" priority="33151"/>
    <cfRule type="duplicateValues" dxfId="33137" priority="33150"/>
    <cfRule type="duplicateValues" dxfId="33136" priority="33149"/>
    <cfRule type="duplicateValues" dxfId="33135" priority="33148"/>
    <cfRule type="duplicateValues" dxfId="33134" priority="33147"/>
    <cfRule type="duplicateValues" dxfId="33133" priority="33146"/>
    <cfRule type="duplicateValues" dxfId="33132" priority="33145"/>
    <cfRule type="duplicateValues" dxfId="33131" priority="33144"/>
    <cfRule type="duplicateValues" dxfId="33130" priority="33143"/>
    <cfRule type="duplicateValues" dxfId="33129" priority="33142"/>
    <cfRule type="duplicateValues" dxfId="33128" priority="33141"/>
    <cfRule type="duplicateValues" dxfId="33127" priority="33140"/>
    <cfRule type="duplicateValues" dxfId="33126" priority="33139"/>
    <cfRule type="duplicateValues" dxfId="33125" priority="33138"/>
    <cfRule type="duplicateValues" dxfId="33124" priority="33137"/>
    <cfRule type="duplicateValues" dxfId="33123" priority="33136"/>
    <cfRule type="duplicateValues" dxfId="33122" priority="33135"/>
    <cfRule type="duplicateValues" dxfId="33121" priority="33134"/>
    <cfRule type="duplicateValues" dxfId="33120" priority="33133"/>
    <cfRule type="duplicateValues" dxfId="33119" priority="33132"/>
    <cfRule type="duplicateValues" dxfId="33118" priority="33131"/>
    <cfRule type="duplicateValues" dxfId="33117" priority="33130"/>
    <cfRule type="duplicateValues" dxfId="33116" priority="33129"/>
    <cfRule type="duplicateValues" dxfId="33115" priority="33128"/>
    <cfRule type="duplicateValues" dxfId="33114" priority="33127"/>
    <cfRule type="duplicateValues" dxfId="33113" priority="33126"/>
    <cfRule type="duplicateValues" dxfId="33112" priority="33125"/>
    <cfRule type="duplicateValues" dxfId="33111" priority="33124"/>
    <cfRule type="duplicateValues" dxfId="33110" priority="33123"/>
    <cfRule type="duplicateValues" dxfId="33109" priority="33122"/>
    <cfRule type="duplicateValues" dxfId="33108" priority="33121"/>
    <cfRule type="duplicateValues" dxfId="33107" priority="33120"/>
    <cfRule type="duplicateValues" dxfId="33106" priority="33119"/>
    <cfRule type="duplicateValues" dxfId="33105" priority="33118"/>
  </conditionalFormatting>
  <conditionalFormatting sqref="B121">
    <cfRule type="duplicateValues" dxfId="33104" priority="32939"/>
    <cfRule type="duplicateValues" dxfId="33103" priority="32938"/>
    <cfRule type="duplicateValues" dxfId="33102" priority="32937"/>
    <cfRule type="duplicateValues" dxfId="33101" priority="32941"/>
    <cfRule type="duplicateValues" dxfId="33100" priority="33113"/>
    <cfRule type="duplicateValues" dxfId="33099" priority="33112"/>
    <cfRule type="duplicateValues" dxfId="33098" priority="33111"/>
    <cfRule type="duplicateValues" dxfId="33097" priority="33110"/>
    <cfRule type="duplicateValues" dxfId="33096" priority="33109"/>
    <cfRule type="duplicateValues" dxfId="33095" priority="33108"/>
    <cfRule type="duplicateValues" dxfId="33094" priority="33107"/>
    <cfRule type="duplicateValues" dxfId="33093" priority="33106"/>
    <cfRule type="duplicateValues" dxfId="33092" priority="33105"/>
    <cfRule type="duplicateValues" dxfId="33091" priority="33104"/>
    <cfRule type="duplicateValues" dxfId="33090" priority="33103"/>
    <cfRule type="duplicateValues" dxfId="33089" priority="33102"/>
    <cfRule type="duplicateValues" dxfId="33088" priority="33101"/>
    <cfRule type="duplicateValues" dxfId="33087" priority="33100"/>
    <cfRule type="duplicateValues" dxfId="33086" priority="33099"/>
    <cfRule type="duplicateValues" dxfId="33085" priority="33098"/>
    <cfRule type="duplicateValues" dxfId="33084" priority="33097"/>
    <cfRule type="duplicateValues" dxfId="33083" priority="33096"/>
    <cfRule type="duplicateValues" dxfId="33082" priority="33095"/>
    <cfRule type="duplicateValues" dxfId="33081" priority="33094"/>
    <cfRule type="duplicateValues" dxfId="33080" priority="33093"/>
    <cfRule type="duplicateValues" dxfId="33079" priority="33092"/>
    <cfRule type="duplicateValues" dxfId="33078" priority="33091"/>
    <cfRule type="duplicateValues" dxfId="33077" priority="33090"/>
    <cfRule type="duplicateValues" dxfId="33076" priority="33089"/>
    <cfRule type="duplicateValues" dxfId="33075" priority="33088"/>
    <cfRule type="duplicateValues" dxfId="33074" priority="33087"/>
    <cfRule type="duplicateValues" dxfId="33073" priority="33086"/>
    <cfRule type="duplicateValues" dxfId="33072" priority="33085"/>
    <cfRule type="duplicateValues" dxfId="33071" priority="33084"/>
    <cfRule type="duplicateValues" dxfId="33070" priority="33083"/>
    <cfRule type="duplicateValues" dxfId="33069" priority="33082"/>
    <cfRule type="duplicateValues" dxfId="33068" priority="33081"/>
    <cfRule type="duplicateValues" dxfId="33067" priority="33080"/>
    <cfRule type="duplicateValues" dxfId="33066" priority="33079"/>
    <cfRule type="duplicateValues" dxfId="33065" priority="33078"/>
    <cfRule type="duplicateValues" dxfId="33064" priority="33077"/>
    <cfRule type="duplicateValues" dxfId="33063" priority="33076"/>
    <cfRule type="duplicateValues" dxfId="33062" priority="33075"/>
    <cfRule type="duplicateValues" dxfId="33061" priority="33074"/>
    <cfRule type="duplicateValues" dxfId="33060" priority="33073"/>
    <cfRule type="duplicateValues" dxfId="33059" priority="33072"/>
    <cfRule type="duplicateValues" dxfId="33058" priority="33071"/>
    <cfRule type="duplicateValues" dxfId="33057" priority="33070"/>
    <cfRule type="duplicateValues" dxfId="33056" priority="33069"/>
    <cfRule type="duplicateValues" dxfId="33055" priority="33068"/>
    <cfRule type="duplicateValues" dxfId="33054" priority="33067"/>
    <cfRule type="duplicateValues" dxfId="33053" priority="33066"/>
    <cfRule type="duplicateValues" dxfId="33052" priority="33065"/>
    <cfRule type="duplicateValues" dxfId="33051" priority="33064"/>
    <cfRule type="duplicateValues" dxfId="33050" priority="33063"/>
    <cfRule type="duplicateValues" dxfId="33049" priority="33062"/>
    <cfRule type="duplicateValues" dxfId="33048" priority="33061"/>
    <cfRule type="duplicateValues" dxfId="33047" priority="33060"/>
    <cfRule type="duplicateValues" dxfId="33046" priority="33059"/>
    <cfRule type="duplicateValues" dxfId="33045" priority="33058"/>
    <cfRule type="duplicateValues" dxfId="33044" priority="33057"/>
    <cfRule type="duplicateValues" dxfId="33043" priority="33056"/>
    <cfRule type="duplicateValues" dxfId="33042" priority="33055"/>
    <cfRule type="duplicateValues" dxfId="33041" priority="33054"/>
    <cfRule type="duplicateValues" dxfId="33040" priority="33053"/>
    <cfRule type="duplicateValues" dxfId="33039" priority="33052"/>
    <cfRule type="duplicateValues" dxfId="33038" priority="33051"/>
    <cfRule type="duplicateValues" dxfId="33037" priority="33050"/>
    <cfRule type="duplicateValues" dxfId="33036" priority="33049"/>
    <cfRule type="duplicateValues" dxfId="33035" priority="33048"/>
    <cfRule type="duplicateValues" dxfId="33034" priority="33047"/>
    <cfRule type="duplicateValues" dxfId="33033" priority="33046"/>
    <cfRule type="duplicateValues" dxfId="33032" priority="33045"/>
    <cfRule type="duplicateValues" dxfId="33031" priority="33044"/>
    <cfRule type="duplicateValues" dxfId="33030" priority="33043"/>
    <cfRule type="duplicateValues" dxfId="33029" priority="33042"/>
    <cfRule type="duplicateValues" dxfId="33028" priority="33041"/>
    <cfRule type="duplicateValues" dxfId="33027" priority="33040"/>
    <cfRule type="duplicateValues" dxfId="33026" priority="33039"/>
    <cfRule type="duplicateValues" dxfId="33025" priority="33038"/>
    <cfRule type="duplicateValues" dxfId="33024" priority="33037"/>
    <cfRule type="duplicateValues" dxfId="33023" priority="33036"/>
    <cfRule type="duplicateValues" dxfId="33022" priority="33035"/>
    <cfRule type="duplicateValues" dxfId="33021" priority="33034"/>
    <cfRule type="duplicateValues" dxfId="33020" priority="33033"/>
    <cfRule type="duplicateValues" dxfId="33019" priority="33032"/>
    <cfRule type="duplicateValues" dxfId="33018" priority="33031"/>
    <cfRule type="duplicateValues" dxfId="33017" priority="33030"/>
    <cfRule type="duplicateValues" dxfId="33016" priority="33029"/>
    <cfRule type="duplicateValues" dxfId="33015" priority="33028"/>
    <cfRule type="duplicateValues" dxfId="33014" priority="33027"/>
    <cfRule type="duplicateValues" dxfId="33013" priority="33026"/>
    <cfRule type="duplicateValues" dxfId="33012" priority="33025"/>
    <cfRule type="duplicateValues" dxfId="33011" priority="33024"/>
    <cfRule type="duplicateValues" dxfId="33010" priority="33023"/>
    <cfRule type="duplicateValues" dxfId="33009" priority="33022"/>
    <cfRule type="duplicateValues" dxfId="33008" priority="33021"/>
    <cfRule type="duplicateValues" dxfId="33007" priority="33020"/>
    <cfRule type="duplicateValues" dxfId="33006" priority="33019"/>
    <cfRule type="duplicateValues" dxfId="33005" priority="33018"/>
    <cfRule type="duplicateValues" dxfId="33004" priority="33017"/>
    <cfRule type="duplicateValues" dxfId="33003" priority="33016"/>
    <cfRule type="duplicateValues" dxfId="33002" priority="33015"/>
    <cfRule type="duplicateValues" dxfId="33001" priority="33014"/>
    <cfRule type="duplicateValues" dxfId="33000" priority="33013"/>
    <cfRule type="duplicateValues" dxfId="32999" priority="33012"/>
    <cfRule type="duplicateValues" dxfId="32998" priority="33011"/>
    <cfRule type="duplicateValues" dxfId="32997" priority="33010"/>
    <cfRule type="duplicateValues" dxfId="32996" priority="33009"/>
    <cfRule type="duplicateValues" dxfId="32995" priority="33008"/>
    <cfRule type="duplicateValues" dxfId="32994" priority="33007"/>
    <cfRule type="duplicateValues" dxfId="32993" priority="33006"/>
    <cfRule type="duplicateValues" dxfId="32992" priority="33005"/>
    <cfRule type="duplicateValues" dxfId="32991" priority="33004"/>
    <cfRule type="duplicateValues" dxfId="32990" priority="33003"/>
    <cfRule type="duplicateValues" dxfId="32989" priority="33002"/>
    <cfRule type="duplicateValues" dxfId="32988" priority="33001"/>
    <cfRule type="duplicateValues" dxfId="32987" priority="33000"/>
    <cfRule type="duplicateValues" dxfId="32986" priority="32999"/>
    <cfRule type="duplicateValues" dxfId="32985" priority="32998"/>
    <cfRule type="duplicateValues" dxfId="32984" priority="32997"/>
    <cfRule type="duplicateValues" dxfId="32983" priority="32996"/>
    <cfRule type="duplicateValues" dxfId="32982" priority="32995"/>
    <cfRule type="duplicateValues" dxfId="32981" priority="32994"/>
    <cfRule type="duplicateValues" dxfId="32980" priority="32993"/>
    <cfRule type="duplicateValues" dxfId="32979" priority="32992"/>
    <cfRule type="duplicateValues" dxfId="32978" priority="32991"/>
    <cfRule type="duplicateValues" dxfId="32977" priority="32990"/>
    <cfRule type="duplicateValues" dxfId="32976" priority="32989"/>
    <cfRule type="duplicateValues" dxfId="32975" priority="32988"/>
    <cfRule type="duplicateValues" dxfId="32974" priority="32987"/>
    <cfRule type="duplicateValues" dxfId="32973" priority="32986"/>
    <cfRule type="duplicateValues" dxfId="32972" priority="32985"/>
    <cfRule type="duplicateValues" dxfId="32971" priority="32984"/>
    <cfRule type="duplicateValues" dxfId="32970" priority="32983"/>
    <cfRule type="duplicateValues" dxfId="32969" priority="32982"/>
    <cfRule type="duplicateValues" dxfId="32968" priority="32981"/>
    <cfRule type="duplicateValues" dxfId="32967" priority="32980"/>
    <cfRule type="duplicateValues" dxfId="32966" priority="32979"/>
    <cfRule type="duplicateValues" dxfId="32965" priority="32978"/>
    <cfRule type="duplicateValues" dxfId="32964" priority="32977"/>
    <cfRule type="duplicateValues" dxfId="32963" priority="32976"/>
    <cfRule type="duplicateValues" dxfId="32962" priority="32975"/>
    <cfRule type="duplicateValues" dxfId="32961" priority="32974"/>
    <cfRule type="duplicateValues" dxfId="32960" priority="32973"/>
    <cfRule type="duplicateValues" dxfId="32959" priority="32972"/>
    <cfRule type="duplicateValues" dxfId="32958" priority="32971"/>
    <cfRule type="duplicateValues" dxfId="32957" priority="32970"/>
    <cfRule type="duplicateValues" dxfId="32956" priority="32969"/>
    <cfRule type="duplicateValues" dxfId="32955" priority="32968"/>
    <cfRule type="duplicateValues" dxfId="32954" priority="32967"/>
    <cfRule type="duplicateValues" dxfId="32953" priority="32966"/>
    <cfRule type="duplicateValues" dxfId="32952" priority="32965"/>
    <cfRule type="duplicateValues" dxfId="32951" priority="32964"/>
    <cfRule type="duplicateValues" dxfId="32950" priority="32963"/>
    <cfRule type="duplicateValues" dxfId="32949" priority="32962"/>
    <cfRule type="duplicateValues" dxfId="32948" priority="32961"/>
    <cfRule type="duplicateValues" dxfId="32947" priority="32960"/>
    <cfRule type="duplicateValues" dxfId="32946" priority="32959"/>
    <cfRule type="duplicateValues" dxfId="32945" priority="32958"/>
    <cfRule type="duplicateValues" dxfId="32944" priority="32957"/>
    <cfRule type="duplicateValues" dxfId="32943" priority="32956"/>
    <cfRule type="duplicateValues" dxfId="32942" priority="32955"/>
    <cfRule type="duplicateValues" dxfId="32941" priority="32954"/>
    <cfRule type="duplicateValues" dxfId="32940" priority="32953"/>
    <cfRule type="duplicateValues" dxfId="32939" priority="32952"/>
    <cfRule type="duplicateValues" dxfId="32938" priority="32951"/>
    <cfRule type="duplicateValues" dxfId="32937" priority="32950"/>
    <cfRule type="duplicateValues" dxfId="32936" priority="32949"/>
    <cfRule type="duplicateValues" dxfId="32935" priority="32948"/>
    <cfRule type="duplicateValues" dxfId="32934" priority="32947"/>
    <cfRule type="duplicateValues" dxfId="32933" priority="32946"/>
    <cfRule type="duplicateValues" dxfId="32932" priority="32945"/>
    <cfRule type="duplicateValues" dxfId="32931" priority="32944"/>
    <cfRule type="duplicateValues" dxfId="32930" priority="32943"/>
    <cfRule type="duplicateValues" dxfId="32929" priority="32942"/>
    <cfRule type="duplicateValues" dxfId="32928" priority="32940"/>
  </conditionalFormatting>
  <conditionalFormatting sqref="B122">
    <cfRule type="duplicateValues" dxfId="32927" priority="32896"/>
    <cfRule type="duplicateValues" dxfId="32926" priority="32763"/>
    <cfRule type="duplicateValues" dxfId="32925" priority="32762"/>
    <cfRule type="duplicateValues" dxfId="32924" priority="32761"/>
    <cfRule type="duplicateValues" dxfId="32923" priority="32936"/>
    <cfRule type="duplicateValues" dxfId="32922" priority="32935"/>
    <cfRule type="duplicateValues" dxfId="32921" priority="32934"/>
    <cfRule type="duplicateValues" dxfId="32920" priority="32933"/>
    <cfRule type="duplicateValues" dxfId="32919" priority="32932"/>
    <cfRule type="duplicateValues" dxfId="32918" priority="32931"/>
    <cfRule type="duplicateValues" dxfId="32917" priority="32930"/>
    <cfRule type="duplicateValues" dxfId="32916" priority="32929"/>
    <cfRule type="duplicateValues" dxfId="32915" priority="32928"/>
    <cfRule type="duplicateValues" dxfId="32914" priority="32927"/>
    <cfRule type="duplicateValues" dxfId="32913" priority="32926"/>
    <cfRule type="duplicateValues" dxfId="32912" priority="32925"/>
    <cfRule type="duplicateValues" dxfId="32911" priority="32924"/>
    <cfRule type="duplicateValues" dxfId="32910" priority="32923"/>
    <cfRule type="duplicateValues" dxfId="32909" priority="32922"/>
    <cfRule type="duplicateValues" dxfId="32908" priority="32921"/>
    <cfRule type="duplicateValues" dxfId="32907" priority="32920"/>
    <cfRule type="duplicateValues" dxfId="32906" priority="32919"/>
    <cfRule type="duplicateValues" dxfId="32905" priority="32918"/>
    <cfRule type="duplicateValues" dxfId="32904" priority="32917"/>
    <cfRule type="duplicateValues" dxfId="32903" priority="32916"/>
    <cfRule type="duplicateValues" dxfId="32902" priority="32915"/>
    <cfRule type="duplicateValues" dxfId="32901" priority="32914"/>
    <cfRule type="duplicateValues" dxfId="32900" priority="32913"/>
    <cfRule type="duplicateValues" dxfId="32899" priority="32912"/>
    <cfRule type="duplicateValues" dxfId="32898" priority="32911"/>
    <cfRule type="duplicateValues" dxfId="32897" priority="32910"/>
    <cfRule type="duplicateValues" dxfId="32896" priority="32909"/>
    <cfRule type="duplicateValues" dxfId="32895" priority="32908"/>
    <cfRule type="duplicateValues" dxfId="32894" priority="32907"/>
    <cfRule type="duplicateValues" dxfId="32893" priority="32906"/>
    <cfRule type="duplicateValues" dxfId="32892" priority="32905"/>
    <cfRule type="duplicateValues" dxfId="32891" priority="32904"/>
    <cfRule type="duplicateValues" dxfId="32890" priority="32903"/>
    <cfRule type="duplicateValues" dxfId="32889" priority="32902"/>
    <cfRule type="duplicateValues" dxfId="32888" priority="32901"/>
    <cfRule type="duplicateValues" dxfId="32887" priority="32900"/>
    <cfRule type="duplicateValues" dxfId="32886" priority="32899"/>
    <cfRule type="duplicateValues" dxfId="32885" priority="32898"/>
    <cfRule type="duplicateValues" dxfId="32884" priority="32897"/>
    <cfRule type="duplicateValues" dxfId="32883" priority="32852"/>
    <cfRule type="duplicateValues" dxfId="32882" priority="32895"/>
    <cfRule type="duplicateValues" dxfId="32881" priority="32894"/>
    <cfRule type="duplicateValues" dxfId="32880" priority="32893"/>
    <cfRule type="duplicateValues" dxfId="32879" priority="32892"/>
    <cfRule type="duplicateValues" dxfId="32878" priority="32891"/>
    <cfRule type="duplicateValues" dxfId="32877" priority="32890"/>
    <cfRule type="duplicateValues" dxfId="32876" priority="32889"/>
    <cfRule type="duplicateValues" dxfId="32875" priority="32888"/>
    <cfRule type="duplicateValues" dxfId="32874" priority="32887"/>
    <cfRule type="duplicateValues" dxfId="32873" priority="32886"/>
    <cfRule type="duplicateValues" dxfId="32872" priority="32885"/>
    <cfRule type="duplicateValues" dxfId="32871" priority="32884"/>
    <cfRule type="duplicateValues" dxfId="32870" priority="32883"/>
    <cfRule type="duplicateValues" dxfId="32869" priority="32882"/>
    <cfRule type="duplicateValues" dxfId="32868" priority="32881"/>
    <cfRule type="duplicateValues" dxfId="32867" priority="32880"/>
    <cfRule type="duplicateValues" dxfId="32866" priority="32879"/>
    <cfRule type="duplicateValues" dxfId="32865" priority="32878"/>
    <cfRule type="duplicateValues" dxfId="32864" priority="32877"/>
    <cfRule type="duplicateValues" dxfId="32863" priority="32876"/>
    <cfRule type="duplicateValues" dxfId="32862" priority="32875"/>
    <cfRule type="duplicateValues" dxfId="32861" priority="32874"/>
    <cfRule type="duplicateValues" dxfId="32860" priority="32873"/>
    <cfRule type="duplicateValues" dxfId="32859" priority="32872"/>
    <cfRule type="duplicateValues" dxfId="32858" priority="32871"/>
    <cfRule type="duplicateValues" dxfId="32857" priority="32870"/>
    <cfRule type="duplicateValues" dxfId="32856" priority="32869"/>
    <cfRule type="duplicateValues" dxfId="32855" priority="32868"/>
    <cfRule type="duplicateValues" dxfId="32854" priority="32867"/>
    <cfRule type="duplicateValues" dxfId="32853" priority="32866"/>
    <cfRule type="duplicateValues" dxfId="32852" priority="32865"/>
    <cfRule type="duplicateValues" dxfId="32851" priority="32864"/>
    <cfRule type="duplicateValues" dxfId="32850" priority="32863"/>
    <cfRule type="duplicateValues" dxfId="32849" priority="32862"/>
    <cfRule type="duplicateValues" dxfId="32848" priority="32861"/>
    <cfRule type="duplicateValues" dxfId="32847" priority="32860"/>
    <cfRule type="duplicateValues" dxfId="32846" priority="32859"/>
    <cfRule type="duplicateValues" dxfId="32845" priority="32858"/>
    <cfRule type="duplicateValues" dxfId="32844" priority="32857"/>
    <cfRule type="duplicateValues" dxfId="32843" priority="32856"/>
    <cfRule type="duplicateValues" dxfId="32842" priority="32855"/>
    <cfRule type="duplicateValues" dxfId="32841" priority="32854"/>
    <cfRule type="duplicateValues" dxfId="32840" priority="32853"/>
    <cfRule type="duplicateValues" dxfId="32839" priority="32760"/>
    <cfRule type="duplicateValues" dxfId="32838" priority="32851"/>
    <cfRule type="duplicateValues" dxfId="32837" priority="32850"/>
    <cfRule type="duplicateValues" dxfId="32836" priority="32849"/>
    <cfRule type="duplicateValues" dxfId="32835" priority="32848"/>
    <cfRule type="duplicateValues" dxfId="32834" priority="32847"/>
    <cfRule type="duplicateValues" dxfId="32833" priority="32846"/>
    <cfRule type="duplicateValues" dxfId="32832" priority="32845"/>
    <cfRule type="duplicateValues" dxfId="32831" priority="32844"/>
    <cfRule type="duplicateValues" dxfId="32830" priority="32843"/>
    <cfRule type="duplicateValues" dxfId="32829" priority="32842"/>
    <cfRule type="duplicateValues" dxfId="32828" priority="32841"/>
    <cfRule type="duplicateValues" dxfId="32827" priority="32840"/>
    <cfRule type="duplicateValues" dxfId="32826" priority="32839"/>
    <cfRule type="duplicateValues" dxfId="32825" priority="32838"/>
    <cfRule type="duplicateValues" dxfId="32824" priority="32837"/>
    <cfRule type="duplicateValues" dxfId="32823" priority="32836"/>
    <cfRule type="duplicateValues" dxfId="32822" priority="32835"/>
    <cfRule type="duplicateValues" dxfId="32821" priority="32834"/>
    <cfRule type="duplicateValues" dxfId="32820" priority="32833"/>
    <cfRule type="duplicateValues" dxfId="32819" priority="32832"/>
    <cfRule type="duplicateValues" dxfId="32818" priority="32831"/>
    <cfRule type="duplicateValues" dxfId="32817" priority="32830"/>
    <cfRule type="duplicateValues" dxfId="32816" priority="32829"/>
    <cfRule type="duplicateValues" dxfId="32815" priority="32828"/>
    <cfRule type="duplicateValues" dxfId="32814" priority="32827"/>
    <cfRule type="duplicateValues" dxfId="32813" priority="32826"/>
    <cfRule type="duplicateValues" dxfId="32812" priority="32825"/>
    <cfRule type="duplicateValues" dxfId="32811" priority="32824"/>
    <cfRule type="duplicateValues" dxfId="32810" priority="32823"/>
    <cfRule type="duplicateValues" dxfId="32809" priority="32822"/>
    <cfRule type="duplicateValues" dxfId="32808" priority="32821"/>
    <cfRule type="duplicateValues" dxfId="32807" priority="32820"/>
    <cfRule type="duplicateValues" dxfId="32806" priority="32819"/>
    <cfRule type="duplicateValues" dxfId="32805" priority="32818"/>
    <cfRule type="duplicateValues" dxfId="32804" priority="32817"/>
    <cfRule type="duplicateValues" dxfId="32803" priority="32816"/>
    <cfRule type="duplicateValues" dxfId="32802" priority="32815"/>
    <cfRule type="duplicateValues" dxfId="32801" priority="32814"/>
    <cfRule type="duplicateValues" dxfId="32800" priority="32813"/>
    <cfRule type="duplicateValues" dxfId="32799" priority="32812"/>
    <cfRule type="duplicateValues" dxfId="32798" priority="32811"/>
    <cfRule type="duplicateValues" dxfId="32797" priority="32810"/>
    <cfRule type="duplicateValues" dxfId="32796" priority="32809"/>
    <cfRule type="duplicateValues" dxfId="32795" priority="32808"/>
    <cfRule type="duplicateValues" dxfId="32794" priority="32807"/>
    <cfRule type="duplicateValues" dxfId="32793" priority="32806"/>
    <cfRule type="duplicateValues" dxfId="32792" priority="32805"/>
    <cfRule type="duplicateValues" dxfId="32791" priority="32804"/>
    <cfRule type="duplicateValues" dxfId="32790" priority="32803"/>
    <cfRule type="duplicateValues" dxfId="32789" priority="32802"/>
    <cfRule type="duplicateValues" dxfId="32788" priority="32801"/>
    <cfRule type="duplicateValues" dxfId="32787" priority="32800"/>
    <cfRule type="duplicateValues" dxfId="32786" priority="32799"/>
    <cfRule type="duplicateValues" dxfId="32785" priority="32798"/>
    <cfRule type="duplicateValues" dxfId="32784" priority="32797"/>
    <cfRule type="duplicateValues" dxfId="32783" priority="32796"/>
    <cfRule type="duplicateValues" dxfId="32782" priority="32795"/>
    <cfRule type="duplicateValues" dxfId="32781" priority="32794"/>
    <cfRule type="duplicateValues" dxfId="32780" priority="32793"/>
    <cfRule type="duplicateValues" dxfId="32779" priority="32792"/>
    <cfRule type="duplicateValues" dxfId="32778" priority="32791"/>
    <cfRule type="duplicateValues" dxfId="32777" priority="32790"/>
    <cfRule type="duplicateValues" dxfId="32776" priority="32789"/>
    <cfRule type="duplicateValues" dxfId="32775" priority="32788"/>
    <cfRule type="duplicateValues" dxfId="32774" priority="32787"/>
    <cfRule type="duplicateValues" dxfId="32773" priority="32786"/>
    <cfRule type="duplicateValues" dxfId="32772" priority="32785"/>
    <cfRule type="duplicateValues" dxfId="32771" priority="32784"/>
    <cfRule type="duplicateValues" dxfId="32770" priority="32783"/>
    <cfRule type="duplicateValues" dxfId="32769" priority="32782"/>
    <cfRule type="duplicateValues" dxfId="32768" priority="32781"/>
    <cfRule type="duplicateValues" dxfId="32767" priority="32780"/>
    <cfRule type="duplicateValues" dxfId="32766" priority="32779"/>
    <cfRule type="duplicateValues" dxfId="32765" priority="32778"/>
    <cfRule type="duplicateValues" dxfId="32764" priority="32777"/>
    <cfRule type="duplicateValues" dxfId="32763" priority="32776"/>
    <cfRule type="duplicateValues" dxfId="32762" priority="32775"/>
    <cfRule type="duplicateValues" dxfId="32761" priority="32774"/>
    <cfRule type="duplicateValues" dxfId="32760" priority="32773"/>
    <cfRule type="duplicateValues" dxfId="32759" priority="32772"/>
    <cfRule type="duplicateValues" dxfId="32758" priority="32771"/>
    <cfRule type="duplicateValues" dxfId="32757" priority="32770"/>
    <cfRule type="duplicateValues" dxfId="32756" priority="32769"/>
    <cfRule type="duplicateValues" dxfId="32755" priority="32768"/>
    <cfRule type="duplicateValues" dxfId="32754" priority="32767"/>
    <cfRule type="duplicateValues" dxfId="32753" priority="32766"/>
    <cfRule type="duplicateValues" dxfId="32752" priority="32765"/>
    <cfRule type="duplicateValues" dxfId="32751" priority="32764"/>
  </conditionalFormatting>
  <conditionalFormatting sqref="B123">
    <cfRule type="duplicateValues" dxfId="32750" priority="32585"/>
    <cfRule type="duplicateValues" dxfId="32749" priority="32584"/>
    <cfRule type="duplicateValues" dxfId="32748" priority="32583"/>
    <cfRule type="duplicateValues" dxfId="32747" priority="32586"/>
    <cfRule type="duplicateValues" dxfId="32746" priority="32759"/>
    <cfRule type="duplicateValues" dxfId="32745" priority="32758"/>
    <cfRule type="duplicateValues" dxfId="32744" priority="32757"/>
    <cfRule type="duplicateValues" dxfId="32743" priority="32756"/>
    <cfRule type="duplicateValues" dxfId="32742" priority="32755"/>
    <cfRule type="duplicateValues" dxfId="32741" priority="32754"/>
    <cfRule type="duplicateValues" dxfId="32740" priority="32753"/>
    <cfRule type="duplicateValues" dxfId="32739" priority="32752"/>
    <cfRule type="duplicateValues" dxfId="32738" priority="32751"/>
    <cfRule type="duplicateValues" dxfId="32737" priority="32750"/>
    <cfRule type="duplicateValues" dxfId="32736" priority="32749"/>
    <cfRule type="duplicateValues" dxfId="32735" priority="32748"/>
    <cfRule type="duplicateValues" dxfId="32734" priority="32747"/>
    <cfRule type="duplicateValues" dxfId="32733" priority="32746"/>
    <cfRule type="duplicateValues" dxfId="32732" priority="32745"/>
    <cfRule type="duplicateValues" dxfId="32731" priority="32744"/>
    <cfRule type="duplicateValues" dxfId="32730" priority="32743"/>
    <cfRule type="duplicateValues" dxfId="32729" priority="32742"/>
    <cfRule type="duplicateValues" dxfId="32728" priority="32741"/>
    <cfRule type="duplicateValues" dxfId="32727" priority="32740"/>
    <cfRule type="duplicateValues" dxfId="32726" priority="32739"/>
    <cfRule type="duplicateValues" dxfId="32725" priority="32738"/>
    <cfRule type="duplicateValues" dxfId="32724" priority="32737"/>
    <cfRule type="duplicateValues" dxfId="32723" priority="32736"/>
    <cfRule type="duplicateValues" dxfId="32722" priority="32735"/>
    <cfRule type="duplicateValues" dxfId="32721" priority="32734"/>
    <cfRule type="duplicateValues" dxfId="32720" priority="32733"/>
    <cfRule type="duplicateValues" dxfId="32719" priority="32732"/>
    <cfRule type="duplicateValues" dxfId="32718" priority="32731"/>
    <cfRule type="duplicateValues" dxfId="32717" priority="32730"/>
    <cfRule type="duplicateValues" dxfId="32716" priority="32729"/>
    <cfRule type="duplicateValues" dxfId="32715" priority="32728"/>
    <cfRule type="duplicateValues" dxfId="32714" priority="32727"/>
    <cfRule type="duplicateValues" dxfId="32713" priority="32726"/>
    <cfRule type="duplicateValues" dxfId="32712" priority="32725"/>
    <cfRule type="duplicateValues" dxfId="32711" priority="32724"/>
    <cfRule type="duplicateValues" dxfId="32710" priority="32723"/>
    <cfRule type="duplicateValues" dxfId="32709" priority="32722"/>
    <cfRule type="duplicateValues" dxfId="32708" priority="32721"/>
    <cfRule type="duplicateValues" dxfId="32707" priority="32720"/>
    <cfRule type="duplicateValues" dxfId="32706" priority="32719"/>
    <cfRule type="duplicateValues" dxfId="32705" priority="32718"/>
    <cfRule type="duplicateValues" dxfId="32704" priority="32717"/>
    <cfRule type="duplicateValues" dxfId="32703" priority="32716"/>
    <cfRule type="duplicateValues" dxfId="32702" priority="32715"/>
    <cfRule type="duplicateValues" dxfId="32701" priority="32714"/>
    <cfRule type="duplicateValues" dxfId="32700" priority="32713"/>
    <cfRule type="duplicateValues" dxfId="32699" priority="32712"/>
    <cfRule type="duplicateValues" dxfId="32698" priority="32711"/>
    <cfRule type="duplicateValues" dxfId="32697" priority="32710"/>
    <cfRule type="duplicateValues" dxfId="32696" priority="32709"/>
    <cfRule type="duplicateValues" dxfId="32695" priority="32708"/>
    <cfRule type="duplicateValues" dxfId="32694" priority="32707"/>
    <cfRule type="duplicateValues" dxfId="32693" priority="32706"/>
    <cfRule type="duplicateValues" dxfId="32692" priority="32705"/>
    <cfRule type="duplicateValues" dxfId="32691" priority="32704"/>
    <cfRule type="duplicateValues" dxfId="32690" priority="32703"/>
    <cfRule type="duplicateValues" dxfId="32689" priority="32702"/>
    <cfRule type="duplicateValues" dxfId="32688" priority="32701"/>
    <cfRule type="duplicateValues" dxfId="32687" priority="32700"/>
    <cfRule type="duplicateValues" dxfId="32686" priority="32699"/>
    <cfRule type="duplicateValues" dxfId="32685" priority="32698"/>
    <cfRule type="duplicateValues" dxfId="32684" priority="32697"/>
    <cfRule type="duplicateValues" dxfId="32683" priority="32696"/>
    <cfRule type="duplicateValues" dxfId="32682" priority="32695"/>
    <cfRule type="duplicateValues" dxfId="32681" priority="32694"/>
    <cfRule type="duplicateValues" dxfId="32680" priority="32693"/>
    <cfRule type="duplicateValues" dxfId="32679" priority="32692"/>
    <cfRule type="duplicateValues" dxfId="32678" priority="32691"/>
    <cfRule type="duplicateValues" dxfId="32677" priority="32690"/>
    <cfRule type="duplicateValues" dxfId="32676" priority="32689"/>
    <cfRule type="duplicateValues" dxfId="32675" priority="32688"/>
    <cfRule type="duplicateValues" dxfId="32674" priority="32687"/>
    <cfRule type="duplicateValues" dxfId="32673" priority="32686"/>
    <cfRule type="duplicateValues" dxfId="32672" priority="32685"/>
    <cfRule type="duplicateValues" dxfId="32671" priority="32684"/>
    <cfRule type="duplicateValues" dxfId="32670" priority="32683"/>
    <cfRule type="duplicateValues" dxfId="32669" priority="32682"/>
    <cfRule type="duplicateValues" dxfId="32668" priority="32681"/>
    <cfRule type="duplicateValues" dxfId="32667" priority="32680"/>
    <cfRule type="duplicateValues" dxfId="32666" priority="32679"/>
    <cfRule type="duplicateValues" dxfId="32665" priority="32678"/>
    <cfRule type="duplicateValues" dxfId="32664" priority="32677"/>
    <cfRule type="duplicateValues" dxfId="32663" priority="32676"/>
    <cfRule type="duplicateValues" dxfId="32662" priority="32675"/>
    <cfRule type="duplicateValues" dxfId="32661" priority="32674"/>
    <cfRule type="duplicateValues" dxfId="32660" priority="32673"/>
    <cfRule type="duplicateValues" dxfId="32659" priority="32672"/>
    <cfRule type="duplicateValues" dxfId="32658" priority="32671"/>
    <cfRule type="duplicateValues" dxfId="32657" priority="32670"/>
    <cfRule type="duplicateValues" dxfId="32656" priority="32669"/>
    <cfRule type="duplicateValues" dxfId="32655" priority="32668"/>
    <cfRule type="duplicateValues" dxfId="32654" priority="32667"/>
    <cfRule type="duplicateValues" dxfId="32653" priority="32666"/>
    <cfRule type="duplicateValues" dxfId="32652" priority="32665"/>
    <cfRule type="duplicateValues" dxfId="32651" priority="32664"/>
    <cfRule type="duplicateValues" dxfId="32650" priority="32663"/>
    <cfRule type="duplicateValues" dxfId="32649" priority="32662"/>
    <cfRule type="duplicateValues" dxfId="32648" priority="32661"/>
    <cfRule type="duplicateValues" dxfId="32647" priority="32660"/>
    <cfRule type="duplicateValues" dxfId="32646" priority="32659"/>
    <cfRule type="duplicateValues" dxfId="32645" priority="32658"/>
    <cfRule type="duplicateValues" dxfId="32644" priority="32657"/>
    <cfRule type="duplicateValues" dxfId="32643" priority="32656"/>
    <cfRule type="duplicateValues" dxfId="32642" priority="32655"/>
    <cfRule type="duplicateValues" dxfId="32641" priority="32654"/>
    <cfRule type="duplicateValues" dxfId="32640" priority="32653"/>
    <cfRule type="duplicateValues" dxfId="32639" priority="32652"/>
    <cfRule type="duplicateValues" dxfId="32638" priority="32651"/>
    <cfRule type="duplicateValues" dxfId="32637" priority="32650"/>
    <cfRule type="duplicateValues" dxfId="32636" priority="32649"/>
    <cfRule type="duplicateValues" dxfId="32635" priority="32648"/>
    <cfRule type="duplicateValues" dxfId="32634" priority="32647"/>
    <cfRule type="duplicateValues" dxfId="32633" priority="32646"/>
    <cfRule type="duplicateValues" dxfId="32632" priority="32645"/>
    <cfRule type="duplicateValues" dxfId="32631" priority="32644"/>
    <cfRule type="duplicateValues" dxfId="32630" priority="32643"/>
    <cfRule type="duplicateValues" dxfId="32629" priority="32642"/>
    <cfRule type="duplicateValues" dxfId="32628" priority="32641"/>
    <cfRule type="duplicateValues" dxfId="32627" priority="32640"/>
    <cfRule type="duplicateValues" dxfId="32626" priority="32639"/>
    <cfRule type="duplicateValues" dxfId="32625" priority="32638"/>
    <cfRule type="duplicateValues" dxfId="32624" priority="32637"/>
    <cfRule type="duplicateValues" dxfId="32623" priority="32636"/>
    <cfRule type="duplicateValues" dxfId="32622" priority="32635"/>
    <cfRule type="duplicateValues" dxfId="32621" priority="32634"/>
    <cfRule type="duplicateValues" dxfId="32620" priority="32633"/>
    <cfRule type="duplicateValues" dxfId="32619" priority="32632"/>
    <cfRule type="duplicateValues" dxfId="32618" priority="32631"/>
    <cfRule type="duplicateValues" dxfId="32617" priority="32630"/>
    <cfRule type="duplicateValues" dxfId="32616" priority="32629"/>
    <cfRule type="duplicateValues" dxfId="32615" priority="32628"/>
    <cfRule type="duplicateValues" dxfId="32614" priority="32627"/>
    <cfRule type="duplicateValues" dxfId="32613" priority="32626"/>
    <cfRule type="duplicateValues" dxfId="32612" priority="32625"/>
    <cfRule type="duplicateValues" dxfId="32611" priority="32624"/>
    <cfRule type="duplicateValues" dxfId="32610" priority="32623"/>
    <cfRule type="duplicateValues" dxfId="32609" priority="32622"/>
    <cfRule type="duplicateValues" dxfId="32608" priority="32621"/>
    <cfRule type="duplicateValues" dxfId="32607" priority="32620"/>
    <cfRule type="duplicateValues" dxfId="32606" priority="32619"/>
    <cfRule type="duplicateValues" dxfId="32605" priority="32618"/>
    <cfRule type="duplicateValues" dxfId="32604" priority="32617"/>
    <cfRule type="duplicateValues" dxfId="32603" priority="32616"/>
    <cfRule type="duplicateValues" dxfId="32602" priority="32615"/>
    <cfRule type="duplicateValues" dxfId="32601" priority="32614"/>
    <cfRule type="duplicateValues" dxfId="32600" priority="32613"/>
    <cfRule type="duplicateValues" dxfId="32599" priority="32612"/>
    <cfRule type="duplicateValues" dxfId="32598" priority="32611"/>
    <cfRule type="duplicateValues" dxfId="32597" priority="32610"/>
    <cfRule type="duplicateValues" dxfId="32596" priority="32609"/>
    <cfRule type="duplicateValues" dxfId="32595" priority="32608"/>
    <cfRule type="duplicateValues" dxfId="32594" priority="32607"/>
    <cfRule type="duplicateValues" dxfId="32593" priority="32606"/>
    <cfRule type="duplicateValues" dxfId="32592" priority="32605"/>
    <cfRule type="duplicateValues" dxfId="32591" priority="32604"/>
    <cfRule type="duplicateValues" dxfId="32590" priority="32603"/>
    <cfRule type="duplicateValues" dxfId="32589" priority="32602"/>
    <cfRule type="duplicateValues" dxfId="32588" priority="32601"/>
    <cfRule type="duplicateValues" dxfId="32587" priority="32600"/>
    <cfRule type="duplicateValues" dxfId="32586" priority="32599"/>
    <cfRule type="duplicateValues" dxfId="32585" priority="32598"/>
    <cfRule type="duplicateValues" dxfId="32584" priority="32597"/>
    <cfRule type="duplicateValues" dxfId="32583" priority="32596"/>
    <cfRule type="duplicateValues" dxfId="32582" priority="32595"/>
    <cfRule type="duplicateValues" dxfId="32581" priority="32594"/>
    <cfRule type="duplicateValues" dxfId="32580" priority="32593"/>
    <cfRule type="duplicateValues" dxfId="32579" priority="32592"/>
    <cfRule type="duplicateValues" dxfId="32578" priority="32591"/>
    <cfRule type="duplicateValues" dxfId="32577" priority="32590"/>
    <cfRule type="duplicateValues" dxfId="32576" priority="32589"/>
    <cfRule type="duplicateValues" dxfId="32575" priority="32588"/>
    <cfRule type="duplicateValues" dxfId="32574" priority="32587"/>
  </conditionalFormatting>
  <conditionalFormatting sqref="B124">
    <cfRule type="duplicateValues" dxfId="32573" priority="32409"/>
    <cfRule type="duplicateValues" dxfId="32572" priority="32408"/>
    <cfRule type="duplicateValues" dxfId="32571" priority="32407"/>
    <cfRule type="duplicateValues" dxfId="32570" priority="32406"/>
    <cfRule type="duplicateValues" dxfId="32569" priority="32582"/>
    <cfRule type="duplicateValues" dxfId="32568" priority="32581"/>
    <cfRule type="duplicateValues" dxfId="32567" priority="32580"/>
    <cfRule type="duplicateValues" dxfId="32566" priority="32579"/>
    <cfRule type="duplicateValues" dxfId="32565" priority="32578"/>
    <cfRule type="duplicateValues" dxfId="32564" priority="32577"/>
    <cfRule type="duplicateValues" dxfId="32563" priority="32576"/>
    <cfRule type="duplicateValues" dxfId="32562" priority="32575"/>
    <cfRule type="duplicateValues" dxfId="32561" priority="32574"/>
    <cfRule type="duplicateValues" dxfId="32560" priority="32573"/>
    <cfRule type="duplicateValues" dxfId="32559" priority="32572"/>
    <cfRule type="duplicateValues" dxfId="32558" priority="32571"/>
    <cfRule type="duplicateValues" dxfId="32557" priority="32570"/>
    <cfRule type="duplicateValues" dxfId="32556" priority="32569"/>
    <cfRule type="duplicateValues" dxfId="32555" priority="32568"/>
    <cfRule type="duplicateValues" dxfId="32554" priority="32567"/>
    <cfRule type="duplicateValues" dxfId="32553" priority="32566"/>
    <cfRule type="duplicateValues" dxfId="32552" priority="32565"/>
    <cfRule type="duplicateValues" dxfId="32551" priority="32564"/>
    <cfRule type="duplicateValues" dxfId="32550" priority="32563"/>
    <cfRule type="duplicateValues" dxfId="32549" priority="32562"/>
    <cfRule type="duplicateValues" dxfId="32548" priority="32561"/>
    <cfRule type="duplicateValues" dxfId="32547" priority="32560"/>
    <cfRule type="duplicateValues" dxfId="32546" priority="32559"/>
    <cfRule type="duplicateValues" dxfId="32545" priority="32558"/>
    <cfRule type="duplicateValues" dxfId="32544" priority="32557"/>
    <cfRule type="duplicateValues" dxfId="32543" priority="32556"/>
    <cfRule type="duplicateValues" dxfId="32542" priority="32555"/>
    <cfRule type="duplicateValues" dxfId="32541" priority="32554"/>
    <cfRule type="duplicateValues" dxfId="32540" priority="32553"/>
    <cfRule type="duplicateValues" dxfId="32539" priority="32552"/>
    <cfRule type="duplicateValues" dxfId="32538" priority="32551"/>
    <cfRule type="duplicateValues" dxfId="32537" priority="32550"/>
    <cfRule type="duplicateValues" dxfId="32536" priority="32549"/>
    <cfRule type="duplicateValues" dxfId="32535" priority="32548"/>
    <cfRule type="duplicateValues" dxfId="32534" priority="32547"/>
    <cfRule type="duplicateValues" dxfId="32533" priority="32546"/>
    <cfRule type="duplicateValues" dxfId="32532" priority="32545"/>
    <cfRule type="duplicateValues" dxfId="32531" priority="32544"/>
    <cfRule type="duplicateValues" dxfId="32530" priority="32543"/>
    <cfRule type="duplicateValues" dxfId="32529" priority="32542"/>
    <cfRule type="duplicateValues" dxfId="32528" priority="32541"/>
    <cfRule type="duplicateValues" dxfId="32527" priority="32540"/>
    <cfRule type="duplicateValues" dxfId="32526" priority="32539"/>
    <cfRule type="duplicateValues" dxfId="32525" priority="32538"/>
    <cfRule type="duplicateValues" dxfId="32524" priority="32537"/>
    <cfRule type="duplicateValues" dxfId="32523" priority="32536"/>
    <cfRule type="duplicateValues" dxfId="32522" priority="32535"/>
    <cfRule type="duplicateValues" dxfId="32521" priority="32534"/>
    <cfRule type="duplicateValues" dxfId="32520" priority="32533"/>
    <cfRule type="duplicateValues" dxfId="32519" priority="32532"/>
    <cfRule type="duplicateValues" dxfId="32518" priority="32531"/>
    <cfRule type="duplicateValues" dxfId="32517" priority="32530"/>
    <cfRule type="duplicateValues" dxfId="32516" priority="32529"/>
    <cfRule type="duplicateValues" dxfId="32515" priority="32528"/>
    <cfRule type="duplicateValues" dxfId="32514" priority="32527"/>
    <cfRule type="duplicateValues" dxfId="32513" priority="32526"/>
    <cfRule type="duplicateValues" dxfId="32512" priority="32525"/>
    <cfRule type="duplicateValues" dxfId="32511" priority="32524"/>
    <cfRule type="duplicateValues" dxfId="32510" priority="32523"/>
    <cfRule type="duplicateValues" dxfId="32509" priority="32522"/>
    <cfRule type="duplicateValues" dxfId="32508" priority="32521"/>
    <cfRule type="duplicateValues" dxfId="32507" priority="32520"/>
    <cfRule type="duplicateValues" dxfId="32506" priority="32519"/>
    <cfRule type="duplicateValues" dxfId="32505" priority="32518"/>
    <cfRule type="duplicateValues" dxfId="32504" priority="32517"/>
    <cfRule type="duplicateValues" dxfId="32503" priority="32516"/>
    <cfRule type="duplicateValues" dxfId="32502" priority="32515"/>
    <cfRule type="duplicateValues" dxfId="32501" priority="32514"/>
    <cfRule type="duplicateValues" dxfId="32500" priority="32513"/>
    <cfRule type="duplicateValues" dxfId="32499" priority="32512"/>
    <cfRule type="duplicateValues" dxfId="32498" priority="32511"/>
    <cfRule type="duplicateValues" dxfId="32497" priority="32510"/>
    <cfRule type="duplicateValues" dxfId="32496" priority="32509"/>
    <cfRule type="duplicateValues" dxfId="32495" priority="32508"/>
    <cfRule type="duplicateValues" dxfId="32494" priority="32507"/>
    <cfRule type="duplicateValues" dxfId="32493" priority="32506"/>
    <cfRule type="duplicateValues" dxfId="32492" priority="32505"/>
    <cfRule type="duplicateValues" dxfId="32491" priority="32504"/>
    <cfRule type="duplicateValues" dxfId="32490" priority="32503"/>
    <cfRule type="duplicateValues" dxfId="32489" priority="32502"/>
    <cfRule type="duplicateValues" dxfId="32488" priority="32501"/>
    <cfRule type="duplicateValues" dxfId="32487" priority="32500"/>
    <cfRule type="duplicateValues" dxfId="32486" priority="32499"/>
    <cfRule type="duplicateValues" dxfId="32485" priority="32498"/>
    <cfRule type="duplicateValues" dxfId="32484" priority="32497"/>
    <cfRule type="duplicateValues" dxfId="32483" priority="32496"/>
    <cfRule type="duplicateValues" dxfId="32482" priority="32495"/>
    <cfRule type="duplicateValues" dxfId="32481" priority="32494"/>
    <cfRule type="duplicateValues" dxfId="32480" priority="32493"/>
    <cfRule type="duplicateValues" dxfId="32479" priority="32492"/>
    <cfRule type="duplicateValues" dxfId="32478" priority="32491"/>
    <cfRule type="duplicateValues" dxfId="32477" priority="32490"/>
    <cfRule type="duplicateValues" dxfId="32476" priority="32489"/>
    <cfRule type="duplicateValues" dxfId="32475" priority="32488"/>
    <cfRule type="duplicateValues" dxfId="32474" priority="32487"/>
    <cfRule type="duplicateValues" dxfId="32473" priority="32486"/>
    <cfRule type="duplicateValues" dxfId="32472" priority="32485"/>
    <cfRule type="duplicateValues" dxfId="32471" priority="32484"/>
    <cfRule type="duplicateValues" dxfId="32470" priority="32483"/>
    <cfRule type="duplicateValues" dxfId="32469" priority="32482"/>
    <cfRule type="duplicateValues" dxfId="32468" priority="32481"/>
    <cfRule type="duplicateValues" dxfId="32467" priority="32480"/>
    <cfRule type="duplicateValues" dxfId="32466" priority="32479"/>
    <cfRule type="duplicateValues" dxfId="32465" priority="32478"/>
    <cfRule type="duplicateValues" dxfId="32464" priority="32477"/>
    <cfRule type="duplicateValues" dxfId="32463" priority="32476"/>
    <cfRule type="duplicateValues" dxfId="32462" priority="32475"/>
    <cfRule type="duplicateValues" dxfId="32461" priority="32474"/>
    <cfRule type="duplicateValues" dxfId="32460" priority="32473"/>
    <cfRule type="duplicateValues" dxfId="32459" priority="32472"/>
    <cfRule type="duplicateValues" dxfId="32458" priority="32471"/>
    <cfRule type="duplicateValues" dxfId="32457" priority="32470"/>
    <cfRule type="duplicateValues" dxfId="32456" priority="32469"/>
    <cfRule type="duplicateValues" dxfId="32455" priority="32468"/>
    <cfRule type="duplicateValues" dxfId="32454" priority="32467"/>
    <cfRule type="duplicateValues" dxfId="32453" priority="32466"/>
    <cfRule type="duplicateValues" dxfId="32452" priority="32465"/>
    <cfRule type="duplicateValues" dxfId="32451" priority="32464"/>
    <cfRule type="duplicateValues" dxfId="32450" priority="32463"/>
    <cfRule type="duplicateValues" dxfId="32449" priority="32462"/>
    <cfRule type="duplicateValues" dxfId="32448" priority="32461"/>
    <cfRule type="duplicateValues" dxfId="32447" priority="32460"/>
    <cfRule type="duplicateValues" dxfId="32446" priority="32459"/>
    <cfRule type="duplicateValues" dxfId="32445" priority="32458"/>
    <cfRule type="duplicateValues" dxfId="32444" priority="32457"/>
    <cfRule type="duplicateValues" dxfId="32443" priority="32456"/>
    <cfRule type="duplicateValues" dxfId="32442" priority="32455"/>
    <cfRule type="duplicateValues" dxfId="32441" priority="32454"/>
    <cfRule type="duplicateValues" dxfId="32440" priority="32453"/>
    <cfRule type="duplicateValues" dxfId="32439" priority="32452"/>
    <cfRule type="duplicateValues" dxfId="32438" priority="32451"/>
    <cfRule type="duplicateValues" dxfId="32437" priority="32450"/>
    <cfRule type="duplicateValues" dxfId="32436" priority="32449"/>
    <cfRule type="duplicateValues" dxfId="32435" priority="32448"/>
    <cfRule type="duplicateValues" dxfId="32434" priority="32447"/>
    <cfRule type="duplicateValues" dxfId="32433" priority="32446"/>
    <cfRule type="duplicateValues" dxfId="32432" priority="32445"/>
    <cfRule type="duplicateValues" dxfId="32431" priority="32444"/>
    <cfRule type="duplicateValues" dxfId="32430" priority="32443"/>
    <cfRule type="duplicateValues" dxfId="32429" priority="32442"/>
    <cfRule type="duplicateValues" dxfId="32428" priority="32441"/>
    <cfRule type="duplicateValues" dxfId="32427" priority="32440"/>
    <cfRule type="duplicateValues" dxfId="32426" priority="32439"/>
    <cfRule type="duplicateValues" dxfId="32425" priority="32438"/>
    <cfRule type="duplicateValues" dxfId="32424" priority="32437"/>
    <cfRule type="duplicateValues" dxfId="32423" priority="32436"/>
    <cfRule type="duplicateValues" dxfId="32422" priority="32435"/>
    <cfRule type="duplicateValues" dxfId="32421" priority="32434"/>
    <cfRule type="duplicateValues" dxfId="32420" priority="32433"/>
    <cfRule type="duplicateValues" dxfId="32419" priority="32432"/>
    <cfRule type="duplicateValues" dxfId="32418" priority="32431"/>
    <cfRule type="duplicateValues" dxfId="32417" priority="32430"/>
    <cfRule type="duplicateValues" dxfId="32416" priority="32429"/>
    <cfRule type="duplicateValues" dxfId="32415" priority="32428"/>
    <cfRule type="duplicateValues" dxfId="32414" priority="32427"/>
    <cfRule type="duplicateValues" dxfId="32413" priority="32426"/>
    <cfRule type="duplicateValues" dxfId="32412" priority="32425"/>
    <cfRule type="duplicateValues" dxfId="32411" priority="32424"/>
    <cfRule type="duplicateValues" dxfId="32410" priority="32423"/>
    <cfRule type="duplicateValues" dxfId="32409" priority="32422"/>
    <cfRule type="duplicateValues" dxfId="32408" priority="32421"/>
    <cfRule type="duplicateValues" dxfId="32407" priority="32420"/>
    <cfRule type="duplicateValues" dxfId="32406" priority="32419"/>
    <cfRule type="duplicateValues" dxfId="32405" priority="32418"/>
    <cfRule type="duplicateValues" dxfId="32404" priority="32417"/>
    <cfRule type="duplicateValues" dxfId="32403" priority="32416"/>
    <cfRule type="duplicateValues" dxfId="32402" priority="32415"/>
    <cfRule type="duplicateValues" dxfId="32401" priority="32414"/>
    <cfRule type="duplicateValues" dxfId="32400" priority="32413"/>
    <cfRule type="duplicateValues" dxfId="32399" priority="32412"/>
    <cfRule type="duplicateValues" dxfId="32398" priority="32411"/>
    <cfRule type="duplicateValues" dxfId="32397" priority="32410"/>
  </conditionalFormatting>
  <conditionalFormatting sqref="B125">
    <cfRule type="duplicateValues" dxfId="32396" priority="32277"/>
    <cfRule type="duplicateValues" dxfId="32395" priority="32232"/>
    <cfRule type="duplicateValues" dxfId="32394" priority="32231"/>
    <cfRule type="duplicateValues" dxfId="32393" priority="32230"/>
    <cfRule type="duplicateValues" dxfId="32392" priority="32405"/>
    <cfRule type="duplicateValues" dxfId="32391" priority="32404"/>
    <cfRule type="duplicateValues" dxfId="32390" priority="32403"/>
    <cfRule type="duplicateValues" dxfId="32389" priority="32402"/>
    <cfRule type="duplicateValues" dxfId="32388" priority="32401"/>
    <cfRule type="duplicateValues" dxfId="32387" priority="32400"/>
    <cfRule type="duplicateValues" dxfId="32386" priority="32399"/>
    <cfRule type="duplicateValues" dxfId="32385" priority="32398"/>
    <cfRule type="duplicateValues" dxfId="32384" priority="32397"/>
    <cfRule type="duplicateValues" dxfId="32383" priority="32396"/>
    <cfRule type="duplicateValues" dxfId="32382" priority="32395"/>
    <cfRule type="duplicateValues" dxfId="32381" priority="32394"/>
    <cfRule type="duplicateValues" dxfId="32380" priority="32393"/>
    <cfRule type="duplicateValues" dxfId="32379" priority="32392"/>
    <cfRule type="duplicateValues" dxfId="32378" priority="32391"/>
    <cfRule type="duplicateValues" dxfId="32377" priority="32390"/>
    <cfRule type="duplicateValues" dxfId="32376" priority="32389"/>
    <cfRule type="duplicateValues" dxfId="32375" priority="32388"/>
    <cfRule type="duplicateValues" dxfId="32374" priority="32387"/>
    <cfRule type="duplicateValues" dxfId="32373" priority="32386"/>
    <cfRule type="duplicateValues" dxfId="32372" priority="32385"/>
    <cfRule type="duplicateValues" dxfId="32371" priority="32384"/>
    <cfRule type="duplicateValues" dxfId="32370" priority="32383"/>
    <cfRule type="duplicateValues" dxfId="32369" priority="32382"/>
    <cfRule type="duplicateValues" dxfId="32368" priority="32381"/>
    <cfRule type="duplicateValues" dxfId="32367" priority="32380"/>
    <cfRule type="duplicateValues" dxfId="32366" priority="32379"/>
    <cfRule type="duplicateValues" dxfId="32365" priority="32378"/>
    <cfRule type="duplicateValues" dxfId="32364" priority="32377"/>
    <cfRule type="duplicateValues" dxfId="32363" priority="32376"/>
    <cfRule type="duplicateValues" dxfId="32362" priority="32375"/>
    <cfRule type="duplicateValues" dxfId="32361" priority="32374"/>
    <cfRule type="duplicateValues" dxfId="32360" priority="32373"/>
    <cfRule type="duplicateValues" dxfId="32359" priority="32372"/>
    <cfRule type="duplicateValues" dxfId="32358" priority="32371"/>
    <cfRule type="duplicateValues" dxfId="32357" priority="32370"/>
    <cfRule type="duplicateValues" dxfId="32356" priority="32369"/>
    <cfRule type="duplicateValues" dxfId="32355" priority="32368"/>
    <cfRule type="duplicateValues" dxfId="32354" priority="32367"/>
    <cfRule type="duplicateValues" dxfId="32353" priority="32366"/>
    <cfRule type="duplicateValues" dxfId="32352" priority="32365"/>
    <cfRule type="duplicateValues" dxfId="32351" priority="32364"/>
    <cfRule type="duplicateValues" dxfId="32350" priority="32363"/>
    <cfRule type="duplicateValues" dxfId="32349" priority="32362"/>
    <cfRule type="duplicateValues" dxfId="32348" priority="32361"/>
    <cfRule type="duplicateValues" dxfId="32347" priority="32360"/>
    <cfRule type="duplicateValues" dxfId="32346" priority="32359"/>
    <cfRule type="duplicateValues" dxfId="32345" priority="32358"/>
    <cfRule type="duplicateValues" dxfId="32344" priority="32357"/>
    <cfRule type="duplicateValues" dxfId="32343" priority="32356"/>
    <cfRule type="duplicateValues" dxfId="32342" priority="32355"/>
    <cfRule type="duplicateValues" dxfId="32341" priority="32354"/>
    <cfRule type="duplicateValues" dxfId="32340" priority="32353"/>
    <cfRule type="duplicateValues" dxfId="32339" priority="32352"/>
    <cfRule type="duplicateValues" dxfId="32338" priority="32351"/>
    <cfRule type="duplicateValues" dxfId="32337" priority="32350"/>
    <cfRule type="duplicateValues" dxfId="32336" priority="32349"/>
    <cfRule type="duplicateValues" dxfId="32335" priority="32348"/>
    <cfRule type="duplicateValues" dxfId="32334" priority="32347"/>
    <cfRule type="duplicateValues" dxfId="32333" priority="32346"/>
    <cfRule type="duplicateValues" dxfId="32332" priority="32345"/>
    <cfRule type="duplicateValues" dxfId="32331" priority="32344"/>
    <cfRule type="duplicateValues" dxfId="32330" priority="32343"/>
    <cfRule type="duplicateValues" dxfId="32329" priority="32342"/>
    <cfRule type="duplicateValues" dxfId="32328" priority="32341"/>
    <cfRule type="duplicateValues" dxfId="32327" priority="32340"/>
    <cfRule type="duplicateValues" dxfId="32326" priority="32339"/>
    <cfRule type="duplicateValues" dxfId="32325" priority="32338"/>
    <cfRule type="duplicateValues" dxfId="32324" priority="32337"/>
    <cfRule type="duplicateValues" dxfId="32323" priority="32336"/>
    <cfRule type="duplicateValues" dxfId="32322" priority="32335"/>
    <cfRule type="duplicateValues" dxfId="32321" priority="32334"/>
    <cfRule type="duplicateValues" dxfId="32320" priority="32333"/>
    <cfRule type="duplicateValues" dxfId="32319" priority="32332"/>
    <cfRule type="duplicateValues" dxfId="32318" priority="32331"/>
    <cfRule type="duplicateValues" dxfId="32317" priority="32330"/>
    <cfRule type="duplicateValues" dxfId="32316" priority="32329"/>
    <cfRule type="duplicateValues" dxfId="32315" priority="32328"/>
    <cfRule type="duplicateValues" dxfId="32314" priority="32327"/>
    <cfRule type="duplicateValues" dxfId="32313" priority="32326"/>
    <cfRule type="duplicateValues" dxfId="32312" priority="32325"/>
    <cfRule type="duplicateValues" dxfId="32311" priority="32324"/>
    <cfRule type="duplicateValues" dxfId="32310" priority="32323"/>
    <cfRule type="duplicateValues" dxfId="32309" priority="32322"/>
    <cfRule type="duplicateValues" dxfId="32308" priority="32321"/>
    <cfRule type="duplicateValues" dxfId="32307" priority="32320"/>
    <cfRule type="duplicateValues" dxfId="32306" priority="32319"/>
    <cfRule type="duplicateValues" dxfId="32305" priority="32318"/>
    <cfRule type="duplicateValues" dxfId="32304" priority="32317"/>
    <cfRule type="duplicateValues" dxfId="32303" priority="32316"/>
    <cfRule type="duplicateValues" dxfId="32302" priority="32315"/>
    <cfRule type="duplicateValues" dxfId="32301" priority="32314"/>
    <cfRule type="duplicateValues" dxfId="32300" priority="32313"/>
    <cfRule type="duplicateValues" dxfId="32299" priority="32312"/>
    <cfRule type="duplicateValues" dxfId="32298" priority="32311"/>
    <cfRule type="duplicateValues" dxfId="32297" priority="32310"/>
    <cfRule type="duplicateValues" dxfId="32296" priority="32309"/>
    <cfRule type="duplicateValues" dxfId="32295" priority="32308"/>
    <cfRule type="duplicateValues" dxfId="32294" priority="32307"/>
    <cfRule type="duplicateValues" dxfId="32293" priority="32306"/>
    <cfRule type="duplicateValues" dxfId="32292" priority="32305"/>
    <cfRule type="duplicateValues" dxfId="32291" priority="32304"/>
    <cfRule type="duplicateValues" dxfId="32290" priority="32303"/>
    <cfRule type="duplicateValues" dxfId="32289" priority="32302"/>
    <cfRule type="duplicateValues" dxfId="32288" priority="32301"/>
    <cfRule type="duplicateValues" dxfId="32287" priority="32300"/>
    <cfRule type="duplicateValues" dxfId="32286" priority="32299"/>
    <cfRule type="duplicateValues" dxfId="32285" priority="32298"/>
    <cfRule type="duplicateValues" dxfId="32284" priority="32297"/>
    <cfRule type="duplicateValues" dxfId="32283" priority="32296"/>
    <cfRule type="duplicateValues" dxfId="32282" priority="32295"/>
    <cfRule type="duplicateValues" dxfId="32281" priority="32294"/>
    <cfRule type="duplicateValues" dxfId="32280" priority="32293"/>
    <cfRule type="duplicateValues" dxfId="32279" priority="32292"/>
    <cfRule type="duplicateValues" dxfId="32278" priority="32291"/>
    <cfRule type="duplicateValues" dxfId="32277" priority="32290"/>
    <cfRule type="duplicateValues" dxfId="32276" priority="32289"/>
    <cfRule type="duplicateValues" dxfId="32275" priority="32288"/>
    <cfRule type="duplicateValues" dxfId="32274" priority="32287"/>
    <cfRule type="duplicateValues" dxfId="32273" priority="32286"/>
    <cfRule type="duplicateValues" dxfId="32272" priority="32285"/>
    <cfRule type="duplicateValues" dxfId="32271" priority="32284"/>
    <cfRule type="duplicateValues" dxfId="32270" priority="32283"/>
    <cfRule type="duplicateValues" dxfId="32269" priority="32282"/>
    <cfRule type="duplicateValues" dxfId="32268" priority="32281"/>
    <cfRule type="duplicateValues" dxfId="32267" priority="32280"/>
    <cfRule type="duplicateValues" dxfId="32266" priority="32279"/>
    <cfRule type="duplicateValues" dxfId="32265" priority="32278"/>
    <cfRule type="duplicateValues" dxfId="32264" priority="32229"/>
    <cfRule type="duplicateValues" dxfId="32263" priority="32276"/>
    <cfRule type="duplicateValues" dxfId="32262" priority="32275"/>
    <cfRule type="duplicateValues" dxfId="32261" priority="32274"/>
    <cfRule type="duplicateValues" dxfId="32260" priority="32273"/>
    <cfRule type="duplicateValues" dxfId="32259" priority="32272"/>
    <cfRule type="duplicateValues" dxfId="32258" priority="32271"/>
    <cfRule type="duplicateValues" dxfId="32257" priority="32270"/>
    <cfRule type="duplicateValues" dxfId="32256" priority="32269"/>
    <cfRule type="duplicateValues" dxfId="32255" priority="32268"/>
    <cfRule type="duplicateValues" dxfId="32254" priority="32267"/>
    <cfRule type="duplicateValues" dxfId="32253" priority="32266"/>
    <cfRule type="duplicateValues" dxfId="32252" priority="32265"/>
    <cfRule type="duplicateValues" dxfId="32251" priority="32264"/>
    <cfRule type="duplicateValues" dxfId="32250" priority="32263"/>
    <cfRule type="duplicateValues" dxfId="32249" priority="32262"/>
    <cfRule type="duplicateValues" dxfId="32248" priority="32261"/>
    <cfRule type="duplicateValues" dxfId="32247" priority="32260"/>
    <cfRule type="duplicateValues" dxfId="32246" priority="32259"/>
    <cfRule type="duplicateValues" dxfId="32245" priority="32258"/>
    <cfRule type="duplicateValues" dxfId="32244" priority="32257"/>
    <cfRule type="duplicateValues" dxfId="32243" priority="32256"/>
    <cfRule type="duplicateValues" dxfId="32242" priority="32255"/>
    <cfRule type="duplicateValues" dxfId="32241" priority="32254"/>
    <cfRule type="duplicateValues" dxfId="32240" priority="32253"/>
    <cfRule type="duplicateValues" dxfId="32239" priority="32252"/>
    <cfRule type="duplicateValues" dxfId="32238" priority="32251"/>
    <cfRule type="duplicateValues" dxfId="32237" priority="32250"/>
    <cfRule type="duplicateValues" dxfId="32236" priority="32249"/>
    <cfRule type="duplicateValues" dxfId="32235" priority="32248"/>
    <cfRule type="duplicateValues" dxfId="32234" priority="32247"/>
    <cfRule type="duplicateValues" dxfId="32233" priority="32246"/>
    <cfRule type="duplicateValues" dxfId="32232" priority="32245"/>
    <cfRule type="duplicateValues" dxfId="32231" priority="32244"/>
    <cfRule type="duplicateValues" dxfId="32230" priority="32243"/>
    <cfRule type="duplicateValues" dxfId="32229" priority="32242"/>
    <cfRule type="duplicateValues" dxfId="32228" priority="32241"/>
    <cfRule type="duplicateValues" dxfId="32227" priority="32240"/>
    <cfRule type="duplicateValues" dxfId="32226" priority="32239"/>
    <cfRule type="duplicateValues" dxfId="32225" priority="32238"/>
    <cfRule type="duplicateValues" dxfId="32224" priority="32237"/>
    <cfRule type="duplicateValues" dxfId="32223" priority="32236"/>
    <cfRule type="duplicateValues" dxfId="32222" priority="32235"/>
    <cfRule type="duplicateValues" dxfId="32221" priority="32234"/>
    <cfRule type="duplicateValues" dxfId="32220" priority="32233"/>
  </conditionalFormatting>
  <conditionalFormatting sqref="B126">
    <cfRule type="duplicateValues" dxfId="32219" priority="32055"/>
    <cfRule type="duplicateValues" dxfId="32218" priority="32054"/>
    <cfRule type="duplicateValues" dxfId="32217" priority="32053"/>
    <cfRule type="duplicateValues" dxfId="32216" priority="32145"/>
    <cfRule type="duplicateValues" dxfId="32215" priority="32228"/>
    <cfRule type="duplicateValues" dxfId="32214" priority="32227"/>
    <cfRule type="duplicateValues" dxfId="32213" priority="32226"/>
    <cfRule type="duplicateValues" dxfId="32212" priority="32225"/>
    <cfRule type="duplicateValues" dxfId="32211" priority="32224"/>
    <cfRule type="duplicateValues" dxfId="32210" priority="32223"/>
    <cfRule type="duplicateValues" dxfId="32209" priority="32222"/>
    <cfRule type="duplicateValues" dxfId="32208" priority="32221"/>
    <cfRule type="duplicateValues" dxfId="32207" priority="32220"/>
    <cfRule type="duplicateValues" dxfId="32206" priority="32219"/>
    <cfRule type="duplicateValues" dxfId="32205" priority="32218"/>
    <cfRule type="duplicateValues" dxfId="32204" priority="32217"/>
    <cfRule type="duplicateValues" dxfId="32203" priority="32216"/>
    <cfRule type="duplicateValues" dxfId="32202" priority="32215"/>
    <cfRule type="duplicateValues" dxfId="32201" priority="32214"/>
    <cfRule type="duplicateValues" dxfId="32200" priority="32213"/>
    <cfRule type="duplicateValues" dxfId="32199" priority="32212"/>
    <cfRule type="duplicateValues" dxfId="32198" priority="32211"/>
    <cfRule type="duplicateValues" dxfId="32197" priority="32210"/>
    <cfRule type="duplicateValues" dxfId="32196" priority="32209"/>
    <cfRule type="duplicateValues" dxfId="32195" priority="32208"/>
    <cfRule type="duplicateValues" dxfId="32194" priority="32207"/>
    <cfRule type="duplicateValues" dxfId="32193" priority="32206"/>
    <cfRule type="duplicateValues" dxfId="32192" priority="32205"/>
    <cfRule type="duplicateValues" dxfId="32191" priority="32204"/>
    <cfRule type="duplicateValues" dxfId="32190" priority="32203"/>
    <cfRule type="duplicateValues" dxfId="32189" priority="32202"/>
    <cfRule type="duplicateValues" dxfId="32188" priority="32201"/>
    <cfRule type="duplicateValues" dxfId="32187" priority="32200"/>
    <cfRule type="duplicateValues" dxfId="32186" priority="32199"/>
    <cfRule type="duplicateValues" dxfId="32185" priority="32198"/>
    <cfRule type="duplicateValues" dxfId="32184" priority="32197"/>
    <cfRule type="duplicateValues" dxfId="32183" priority="32196"/>
    <cfRule type="duplicateValues" dxfId="32182" priority="32195"/>
    <cfRule type="duplicateValues" dxfId="32181" priority="32194"/>
    <cfRule type="duplicateValues" dxfId="32180" priority="32193"/>
    <cfRule type="duplicateValues" dxfId="32179" priority="32192"/>
    <cfRule type="duplicateValues" dxfId="32178" priority="32191"/>
    <cfRule type="duplicateValues" dxfId="32177" priority="32190"/>
    <cfRule type="duplicateValues" dxfId="32176" priority="32189"/>
    <cfRule type="duplicateValues" dxfId="32175" priority="32188"/>
    <cfRule type="duplicateValues" dxfId="32174" priority="32187"/>
    <cfRule type="duplicateValues" dxfId="32173" priority="32186"/>
    <cfRule type="duplicateValues" dxfId="32172" priority="32185"/>
    <cfRule type="duplicateValues" dxfId="32171" priority="32184"/>
    <cfRule type="duplicateValues" dxfId="32170" priority="32183"/>
    <cfRule type="duplicateValues" dxfId="32169" priority="32182"/>
    <cfRule type="duplicateValues" dxfId="32168" priority="32181"/>
    <cfRule type="duplicateValues" dxfId="32167" priority="32180"/>
    <cfRule type="duplicateValues" dxfId="32166" priority="32179"/>
    <cfRule type="duplicateValues" dxfId="32165" priority="32178"/>
    <cfRule type="duplicateValues" dxfId="32164" priority="32177"/>
    <cfRule type="duplicateValues" dxfId="32163" priority="32176"/>
    <cfRule type="duplicateValues" dxfId="32162" priority="32175"/>
    <cfRule type="duplicateValues" dxfId="32161" priority="32174"/>
    <cfRule type="duplicateValues" dxfId="32160" priority="32173"/>
    <cfRule type="duplicateValues" dxfId="32159" priority="32172"/>
    <cfRule type="duplicateValues" dxfId="32158" priority="32171"/>
    <cfRule type="duplicateValues" dxfId="32157" priority="32170"/>
    <cfRule type="duplicateValues" dxfId="32156" priority="32169"/>
    <cfRule type="duplicateValues" dxfId="32155" priority="32168"/>
    <cfRule type="duplicateValues" dxfId="32154" priority="32167"/>
    <cfRule type="duplicateValues" dxfId="32153" priority="32166"/>
    <cfRule type="duplicateValues" dxfId="32152" priority="32165"/>
    <cfRule type="duplicateValues" dxfId="32151" priority="32164"/>
    <cfRule type="duplicateValues" dxfId="32150" priority="32163"/>
    <cfRule type="duplicateValues" dxfId="32149" priority="32162"/>
    <cfRule type="duplicateValues" dxfId="32148" priority="32161"/>
    <cfRule type="duplicateValues" dxfId="32147" priority="32160"/>
    <cfRule type="duplicateValues" dxfId="32146" priority="32159"/>
    <cfRule type="duplicateValues" dxfId="32145" priority="32158"/>
    <cfRule type="duplicateValues" dxfId="32144" priority="32157"/>
    <cfRule type="duplicateValues" dxfId="32143" priority="32156"/>
    <cfRule type="duplicateValues" dxfId="32142" priority="32155"/>
    <cfRule type="duplicateValues" dxfId="32141" priority="32154"/>
    <cfRule type="duplicateValues" dxfId="32140" priority="32153"/>
    <cfRule type="duplicateValues" dxfId="32139" priority="32152"/>
    <cfRule type="duplicateValues" dxfId="32138" priority="32151"/>
    <cfRule type="duplicateValues" dxfId="32137" priority="32150"/>
    <cfRule type="duplicateValues" dxfId="32136" priority="32149"/>
    <cfRule type="duplicateValues" dxfId="32135" priority="32148"/>
    <cfRule type="duplicateValues" dxfId="32134" priority="32147"/>
    <cfRule type="duplicateValues" dxfId="32133" priority="32146"/>
    <cfRule type="duplicateValues" dxfId="32132" priority="32052"/>
    <cfRule type="duplicateValues" dxfId="32131" priority="32144"/>
    <cfRule type="duplicateValues" dxfId="32130" priority="32143"/>
    <cfRule type="duplicateValues" dxfId="32129" priority="32142"/>
    <cfRule type="duplicateValues" dxfId="32128" priority="32141"/>
    <cfRule type="duplicateValues" dxfId="32127" priority="32140"/>
    <cfRule type="duplicateValues" dxfId="32126" priority="32139"/>
    <cfRule type="duplicateValues" dxfId="32125" priority="32138"/>
    <cfRule type="duplicateValues" dxfId="32124" priority="32137"/>
    <cfRule type="duplicateValues" dxfId="32123" priority="32136"/>
    <cfRule type="duplicateValues" dxfId="32122" priority="32135"/>
    <cfRule type="duplicateValues" dxfId="32121" priority="32134"/>
    <cfRule type="duplicateValues" dxfId="32120" priority="32133"/>
    <cfRule type="duplicateValues" dxfId="32119" priority="32132"/>
    <cfRule type="duplicateValues" dxfId="32118" priority="32131"/>
    <cfRule type="duplicateValues" dxfId="32117" priority="32130"/>
    <cfRule type="duplicateValues" dxfId="32116" priority="32129"/>
    <cfRule type="duplicateValues" dxfId="32115" priority="32128"/>
    <cfRule type="duplicateValues" dxfId="32114" priority="32127"/>
    <cfRule type="duplicateValues" dxfId="32113" priority="32126"/>
    <cfRule type="duplicateValues" dxfId="32112" priority="32125"/>
    <cfRule type="duplicateValues" dxfId="32111" priority="32124"/>
    <cfRule type="duplicateValues" dxfId="32110" priority="32123"/>
    <cfRule type="duplicateValues" dxfId="32109" priority="32122"/>
    <cfRule type="duplicateValues" dxfId="32108" priority="32121"/>
    <cfRule type="duplicateValues" dxfId="32107" priority="32120"/>
    <cfRule type="duplicateValues" dxfId="32106" priority="32119"/>
    <cfRule type="duplicateValues" dxfId="32105" priority="32118"/>
    <cfRule type="duplicateValues" dxfId="32104" priority="32117"/>
    <cfRule type="duplicateValues" dxfId="32103" priority="32116"/>
    <cfRule type="duplicateValues" dxfId="32102" priority="32115"/>
    <cfRule type="duplicateValues" dxfId="32101" priority="32114"/>
    <cfRule type="duplicateValues" dxfId="32100" priority="32113"/>
    <cfRule type="duplicateValues" dxfId="32099" priority="32112"/>
    <cfRule type="duplicateValues" dxfId="32098" priority="32111"/>
    <cfRule type="duplicateValues" dxfId="32097" priority="32110"/>
    <cfRule type="duplicateValues" dxfId="32096" priority="32109"/>
    <cfRule type="duplicateValues" dxfId="32095" priority="32108"/>
    <cfRule type="duplicateValues" dxfId="32094" priority="32107"/>
    <cfRule type="duplicateValues" dxfId="32093" priority="32106"/>
    <cfRule type="duplicateValues" dxfId="32092" priority="32105"/>
    <cfRule type="duplicateValues" dxfId="32091" priority="32104"/>
    <cfRule type="duplicateValues" dxfId="32090" priority="32103"/>
    <cfRule type="duplicateValues" dxfId="32089" priority="32102"/>
    <cfRule type="duplicateValues" dxfId="32088" priority="32101"/>
    <cfRule type="duplicateValues" dxfId="32087" priority="32100"/>
    <cfRule type="duplicateValues" dxfId="32086" priority="32099"/>
    <cfRule type="duplicateValues" dxfId="32085" priority="32098"/>
    <cfRule type="duplicateValues" dxfId="32084" priority="32097"/>
    <cfRule type="duplicateValues" dxfId="32083" priority="32096"/>
    <cfRule type="duplicateValues" dxfId="32082" priority="32095"/>
    <cfRule type="duplicateValues" dxfId="32081" priority="32094"/>
    <cfRule type="duplicateValues" dxfId="32080" priority="32093"/>
    <cfRule type="duplicateValues" dxfId="32079" priority="32092"/>
    <cfRule type="duplicateValues" dxfId="32078" priority="32091"/>
    <cfRule type="duplicateValues" dxfId="32077" priority="32090"/>
    <cfRule type="duplicateValues" dxfId="32076" priority="32089"/>
    <cfRule type="duplicateValues" dxfId="32075" priority="32088"/>
    <cfRule type="duplicateValues" dxfId="32074" priority="32087"/>
    <cfRule type="duplicateValues" dxfId="32073" priority="32086"/>
    <cfRule type="duplicateValues" dxfId="32072" priority="32085"/>
    <cfRule type="duplicateValues" dxfId="32071" priority="32084"/>
    <cfRule type="duplicateValues" dxfId="32070" priority="32083"/>
    <cfRule type="duplicateValues" dxfId="32069" priority="32082"/>
    <cfRule type="duplicateValues" dxfId="32068" priority="32081"/>
    <cfRule type="duplicateValues" dxfId="32067" priority="32080"/>
    <cfRule type="duplicateValues" dxfId="32066" priority="32079"/>
    <cfRule type="duplicateValues" dxfId="32065" priority="32078"/>
    <cfRule type="duplicateValues" dxfId="32064" priority="32077"/>
    <cfRule type="duplicateValues" dxfId="32063" priority="32076"/>
    <cfRule type="duplicateValues" dxfId="32062" priority="32075"/>
    <cfRule type="duplicateValues" dxfId="32061" priority="32074"/>
    <cfRule type="duplicateValues" dxfId="32060" priority="32073"/>
    <cfRule type="duplicateValues" dxfId="32059" priority="32072"/>
    <cfRule type="duplicateValues" dxfId="32058" priority="32071"/>
    <cfRule type="duplicateValues" dxfId="32057" priority="32070"/>
    <cfRule type="duplicateValues" dxfId="32056" priority="32069"/>
    <cfRule type="duplicateValues" dxfId="32055" priority="32068"/>
    <cfRule type="duplicateValues" dxfId="32054" priority="32067"/>
    <cfRule type="duplicateValues" dxfId="32053" priority="32066"/>
    <cfRule type="duplicateValues" dxfId="32052" priority="32065"/>
    <cfRule type="duplicateValues" dxfId="32051" priority="32064"/>
    <cfRule type="duplicateValues" dxfId="32050" priority="32063"/>
    <cfRule type="duplicateValues" dxfId="32049" priority="32062"/>
    <cfRule type="duplicateValues" dxfId="32048" priority="32061"/>
    <cfRule type="duplicateValues" dxfId="32047" priority="32060"/>
    <cfRule type="duplicateValues" dxfId="32046" priority="32059"/>
    <cfRule type="duplicateValues" dxfId="32045" priority="32058"/>
    <cfRule type="duplicateValues" dxfId="32044" priority="32057"/>
    <cfRule type="duplicateValues" dxfId="32043" priority="32056"/>
  </conditionalFormatting>
  <conditionalFormatting sqref="B127">
    <cfRule type="duplicateValues" dxfId="32042" priority="31878"/>
    <cfRule type="duplicateValues" dxfId="32041" priority="31877"/>
    <cfRule type="duplicateValues" dxfId="32040" priority="31876"/>
    <cfRule type="duplicateValues" dxfId="32039" priority="31875"/>
    <cfRule type="duplicateValues" dxfId="32038" priority="32051"/>
    <cfRule type="duplicateValues" dxfId="32037" priority="32050"/>
    <cfRule type="duplicateValues" dxfId="32036" priority="32049"/>
    <cfRule type="duplicateValues" dxfId="32035" priority="32048"/>
    <cfRule type="duplicateValues" dxfId="32034" priority="32047"/>
    <cfRule type="duplicateValues" dxfId="32033" priority="32046"/>
    <cfRule type="duplicateValues" dxfId="32032" priority="32045"/>
    <cfRule type="duplicateValues" dxfId="32031" priority="32044"/>
    <cfRule type="duplicateValues" dxfId="32030" priority="32043"/>
    <cfRule type="duplicateValues" dxfId="32029" priority="32042"/>
    <cfRule type="duplicateValues" dxfId="32028" priority="32041"/>
    <cfRule type="duplicateValues" dxfId="32027" priority="32040"/>
    <cfRule type="duplicateValues" dxfId="32026" priority="32039"/>
    <cfRule type="duplicateValues" dxfId="32025" priority="32038"/>
    <cfRule type="duplicateValues" dxfId="32024" priority="32037"/>
    <cfRule type="duplicateValues" dxfId="32023" priority="32036"/>
    <cfRule type="duplicateValues" dxfId="32022" priority="32035"/>
    <cfRule type="duplicateValues" dxfId="32021" priority="32034"/>
    <cfRule type="duplicateValues" dxfId="32020" priority="32033"/>
    <cfRule type="duplicateValues" dxfId="32019" priority="32032"/>
    <cfRule type="duplicateValues" dxfId="32018" priority="32031"/>
    <cfRule type="duplicateValues" dxfId="32017" priority="32030"/>
    <cfRule type="duplicateValues" dxfId="32016" priority="32029"/>
    <cfRule type="duplicateValues" dxfId="32015" priority="32028"/>
    <cfRule type="duplicateValues" dxfId="32014" priority="32027"/>
    <cfRule type="duplicateValues" dxfId="32013" priority="32026"/>
    <cfRule type="duplicateValues" dxfId="32012" priority="32025"/>
    <cfRule type="duplicateValues" dxfId="32011" priority="32024"/>
    <cfRule type="duplicateValues" dxfId="32010" priority="32023"/>
    <cfRule type="duplicateValues" dxfId="32009" priority="32022"/>
    <cfRule type="duplicateValues" dxfId="32008" priority="32021"/>
    <cfRule type="duplicateValues" dxfId="32007" priority="32020"/>
    <cfRule type="duplicateValues" dxfId="32006" priority="32019"/>
    <cfRule type="duplicateValues" dxfId="32005" priority="32018"/>
    <cfRule type="duplicateValues" dxfId="32004" priority="32017"/>
    <cfRule type="duplicateValues" dxfId="32003" priority="32016"/>
    <cfRule type="duplicateValues" dxfId="32002" priority="32015"/>
    <cfRule type="duplicateValues" dxfId="32001" priority="32014"/>
    <cfRule type="duplicateValues" dxfId="32000" priority="32013"/>
    <cfRule type="duplicateValues" dxfId="31999" priority="32012"/>
    <cfRule type="duplicateValues" dxfId="31998" priority="32011"/>
    <cfRule type="duplicateValues" dxfId="31997" priority="32010"/>
    <cfRule type="duplicateValues" dxfId="31996" priority="32009"/>
    <cfRule type="duplicateValues" dxfId="31995" priority="32008"/>
    <cfRule type="duplicateValues" dxfId="31994" priority="32007"/>
    <cfRule type="duplicateValues" dxfId="31993" priority="32006"/>
    <cfRule type="duplicateValues" dxfId="31992" priority="32005"/>
    <cfRule type="duplicateValues" dxfId="31991" priority="32004"/>
    <cfRule type="duplicateValues" dxfId="31990" priority="32003"/>
    <cfRule type="duplicateValues" dxfId="31989" priority="32002"/>
    <cfRule type="duplicateValues" dxfId="31988" priority="32001"/>
    <cfRule type="duplicateValues" dxfId="31987" priority="32000"/>
    <cfRule type="duplicateValues" dxfId="31986" priority="31999"/>
    <cfRule type="duplicateValues" dxfId="31985" priority="31998"/>
    <cfRule type="duplicateValues" dxfId="31984" priority="31997"/>
    <cfRule type="duplicateValues" dxfId="31983" priority="31996"/>
    <cfRule type="duplicateValues" dxfId="31982" priority="31995"/>
    <cfRule type="duplicateValues" dxfId="31981" priority="31994"/>
    <cfRule type="duplicateValues" dxfId="31980" priority="31993"/>
    <cfRule type="duplicateValues" dxfId="31979" priority="31992"/>
    <cfRule type="duplicateValues" dxfId="31978" priority="31991"/>
    <cfRule type="duplicateValues" dxfId="31977" priority="31990"/>
    <cfRule type="duplicateValues" dxfId="31976" priority="31989"/>
    <cfRule type="duplicateValues" dxfId="31975" priority="31988"/>
    <cfRule type="duplicateValues" dxfId="31974" priority="31987"/>
    <cfRule type="duplicateValues" dxfId="31973" priority="31986"/>
    <cfRule type="duplicateValues" dxfId="31972" priority="31985"/>
    <cfRule type="duplicateValues" dxfId="31971" priority="31984"/>
    <cfRule type="duplicateValues" dxfId="31970" priority="31983"/>
    <cfRule type="duplicateValues" dxfId="31969" priority="31982"/>
    <cfRule type="duplicateValues" dxfId="31968" priority="31981"/>
    <cfRule type="duplicateValues" dxfId="31967" priority="31980"/>
    <cfRule type="duplicateValues" dxfId="31966" priority="31979"/>
    <cfRule type="duplicateValues" dxfId="31965" priority="31978"/>
    <cfRule type="duplicateValues" dxfId="31964" priority="31977"/>
    <cfRule type="duplicateValues" dxfId="31963" priority="31976"/>
    <cfRule type="duplicateValues" dxfId="31962" priority="31975"/>
    <cfRule type="duplicateValues" dxfId="31961" priority="31974"/>
    <cfRule type="duplicateValues" dxfId="31960" priority="31973"/>
    <cfRule type="duplicateValues" dxfId="31959" priority="31972"/>
    <cfRule type="duplicateValues" dxfId="31958" priority="31971"/>
    <cfRule type="duplicateValues" dxfId="31957" priority="31970"/>
    <cfRule type="duplicateValues" dxfId="31956" priority="31969"/>
    <cfRule type="duplicateValues" dxfId="31955" priority="31968"/>
    <cfRule type="duplicateValues" dxfId="31954" priority="31967"/>
    <cfRule type="duplicateValues" dxfId="31953" priority="31966"/>
    <cfRule type="duplicateValues" dxfId="31952" priority="31965"/>
    <cfRule type="duplicateValues" dxfId="31951" priority="31964"/>
    <cfRule type="duplicateValues" dxfId="31950" priority="31963"/>
    <cfRule type="duplicateValues" dxfId="31949" priority="31962"/>
    <cfRule type="duplicateValues" dxfId="31948" priority="31961"/>
    <cfRule type="duplicateValues" dxfId="31947" priority="31960"/>
    <cfRule type="duplicateValues" dxfId="31946" priority="31959"/>
    <cfRule type="duplicateValues" dxfId="31945" priority="31958"/>
    <cfRule type="duplicateValues" dxfId="31944" priority="31957"/>
    <cfRule type="duplicateValues" dxfId="31943" priority="31956"/>
    <cfRule type="duplicateValues" dxfId="31942" priority="31955"/>
    <cfRule type="duplicateValues" dxfId="31941" priority="31954"/>
    <cfRule type="duplicateValues" dxfId="31940" priority="31953"/>
    <cfRule type="duplicateValues" dxfId="31939" priority="31952"/>
    <cfRule type="duplicateValues" dxfId="31938" priority="31951"/>
    <cfRule type="duplicateValues" dxfId="31937" priority="31950"/>
    <cfRule type="duplicateValues" dxfId="31936" priority="31949"/>
    <cfRule type="duplicateValues" dxfId="31935" priority="31948"/>
    <cfRule type="duplicateValues" dxfId="31934" priority="31947"/>
    <cfRule type="duplicateValues" dxfId="31933" priority="31946"/>
    <cfRule type="duplicateValues" dxfId="31932" priority="31945"/>
    <cfRule type="duplicateValues" dxfId="31931" priority="31944"/>
    <cfRule type="duplicateValues" dxfId="31930" priority="31943"/>
    <cfRule type="duplicateValues" dxfId="31929" priority="31942"/>
    <cfRule type="duplicateValues" dxfId="31928" priority="31941"/>
    <cfRule type="duplicateValues" dxfId="31927" priority="31940"/>
    <cfRule type="duplicateValues" dxfId="31926" priority="31939"/>
    <cfRule type="duplicateValues" dxfId="31925" priority="31938"/>
    <cfRule type="duplicateValues" dxfId="31924" priority="31937"/>
    <cfRule type="duplicateValues" dxfId="31923" priority="31936"/>
    <cfRule type="duplicateValues" dxfId="31922" priority="31935"/>
    <cfRule type="duplicateValues" dxfId="31921" priority="31934"/>
    <cfRule type="duplicateValues" dxfId="31920" priority="31933"/>
    <cfRule type="duplicateValues" dxfId="31919" priority="31932"/>
    <cfRule type="duplicateValues" dxfId="31918" priority="31931"/>
    <cfRule type="duplicateValues" dxfId="31917" priority="31930"/>
    <cfRule type="duplicateValues" dxfId="31916" priority="31929"/>
    <cfRule type="duplicateValues" dxfId="31915" priority="31928"/>
    <cfRule type="duplicateValues" dxfId="31914" priority="31927"/>
    <cfRule type="duplicateValues" dxfId="31913" priority="31926"/>
    <cfRule type="duplicateValues" dxfId="31912" priority="31925"/>
    <cfRule type="duplicateValues" dxfId="31911" priority="31924"/>
    <cfRule type="duplicateValues" dxfId="31910" priority="31923"/>
    <cfRule type="duplicateValues" dxfId="31909" priority="31922"/>
    <cfRule type="duplicateValues" dxfId="31908" priority="31921"/>
    <cfRule type="duplicateValues" dxfId="31907" priority="31920"/>
    <cfRule type="duplicateValues" dxfId="31906" priority="31919"/>
    <cfRule type="duplicateValues" dxfId="31905" priority="31918"/>
    <cfRule type="duplicateValues" dxfId="31904" priority="31917"/>
    <cfRule type="duplicateValues" dxfId="31903" priority="31916"/>
    <cfRule type="duplicateValues" dxfId="31902" priority="31915"/>
    <cfRule type="duplicateValues" dxfId="31901" priority="31914"/>
    <cfRule type="duplicateValues" dxfId="31900" priority="31913"/>
    <cfRule type="duplicateValues" dxfId="31899" priority="31912"/>
    <cfRule type="duplicateValues" dxfId="31898" priority="31911"/>
    <cfRule type="duplicateValues" dxfId="31897" priority="31910"/>
    <cfRule type="duplicateValues" dxfId="31896" priority="31909"/>
    <cfRule type="duplicateValues" dxfId="31895" priority="31908"/>
    <cfRule type="duplicateValues" dxfId="31894" priority="31907"/>
    <cfRule type="duplicateValues" dxfId="31893" priority="31906"/>
    <cfRule type="duplicateValues" dxfId="31892" priority="31905"/>
    <cfRule type="duplicateValues" dxfId="31891" priority="31904"/>
    <cfRule type="duplicateValues" dxfId="31890" priority="31903"/>
    <cfRule type="duplicateValues" dxfId="31889" priority="31902"/>
    <cfRule type="duplicateValues" dxfId="31888" priority="31901"/>
    <cfRule type="duplicateValues" dxfId="31887" priority="31900"/>
    <cfRule type="duplicateValues" dxfId="31886" priority="31899"/>
    <cfRule type="duplicateValues" dxfId="31885" priority="31898"/>
    <cfRule type="duplicateValues" dxfId="31884" priority="31897"/>
    <cfRule type="duplicateValues" dxfId="31883" priority="31896"/>
    <cfRule type="duplicateValues" dxfId="31882" priority="31895"/>
    <cfRule type="duplicateValues" dxfId="31881" priority="31894"/>
    <cfRule type="duplicateValues" dxfId="31880" priority="31893"/>
    <cfRule type="duplicateValues" dxfId="31879" priority="31892"/>
    <cfRule type="duplicateValues" dxfId="31878" priority="31891"/>
    <cfRule type="duplicateValues" dxfId="31877" priority="31890"/>
    <cfRule type="duplicateValues" dxfId="31876" priority="31889"/>
    <cfRule type="duplicateValues" dxfId="31875" priority="31888"/>
    <cfRule type="duplicateValues" dxfId="31874" priority="31887"/>
    <cfRule type="duplicateValues" dxfId="31873" priority="31886"/>
    <cfRule type="duplicateValues" dxfId="31872" priority="31885"/>
    <cfRule type="duplicateValues" dxfId="31871" priority="31884"/>
    <cfRule type="duplicateValues" dxfId="31870" priority="31883"/>
    <cfRule type="duplicateValues" dxfId="31869" priority="31882"/>
    <cfRule type="duplicateValues" dxfId="31868" priority="31881"/>
    <cfRule type="duplicateValues" dxfId="31867" priority="31880"/>
    <cfRule type="duplicateValues" dxfId="31866" priority="31879"/>
  </conditionalFormatting>
  <conditionalFormatting sqref="B128">
    <cfRule type="duplicateValues" dxfId="31865" priority="31812"/>
    <cfRule type="duplicateValues" dxfId="31864" priority="31701"/>
    <cfRule type="duplicateValues" dxfId="31863" priority="31700"/>
    <cfRule type="duplicateValues" dxfId="31862" priority="31699"/>
    <cfRule type="duplicateValues" dxfId="31861" priority="31874"/>
    <cfRule type="duplicateValues" dxfId="31860" priority="31873"/>
    <cfRule type="duplicateValues" dxfId="31859" priority="31872"/>
    <cfRule type="duplicateValues" dxfId="31858" priority="31871"/>
    <cfRule type="duplicateValues" dxfId="31857" priority="31870"/>
    <cfRule type="duplicateValues" dxfId="31856" priority="31869"/>
    <cfRule type="duplicateValues" dxfId="31855" priority="31868"/>
    <cfRule type="duplicateValues" dxfId="31854" priority="31867"/>
    <cfRule type="duplicateValues" dxfId="31853" priority="31866"/>
    <cfRule type="duplicateValues" dxfId="31852" priority="31865"/>
    <cfRule type="duplicateValues" dxfId="31851" priority="31864"/>
    <cfRule type="duplicateValues" dxfId="31850" priority="31863"/>
    <cfRule type="duplicateValues" dxfId="31849" priority="31862"/>
    <cfRule type="duplicateValues" dxfId="31848" priority="31861"/>
    <cfRule type="duplicateValues" dxfId="31847" priority="31860"/>
    <cfRule type="duplicateValues" dxfId="31846" priority="31859"/>
    <cfRule type="duplicateValues" dxfId="31845" priority="31858"/>
    <cfRule type="duplicateValues" dxfId="31844" priority="31857"/>
    <cfRule type="duplicateValues" dxfId="31843" priority="31856"/>
    <cfRule type="duplicateValues" dxfId="31842" priority="31855"/>
    <cfRule type="duplicateValues" dxfId="31841" priority="31854"/>
    <cfRule type="duplicateValues" dxfId="31840" priority="31853"/>
    <cfRule type="duplicateValues" dxfId="31839" priority="31852"/>
    <cfRule type="duplicateValues" dxfId="31838" priority="31851"/>
    <cfRule type="duplicateValues" dxfId="31837" priority="31850"/>
    <cfRule type="duplicateValues" dxfId="31836" priority="31849"/>
    <cfRule type="duplicateValues" dxfId="31835" priority="31848"/>
    <cfRule type="duplicateValues" dxfId="31834" priority="31847"/>
    <cfRule type="duplicateValues" dxfId="31833" priority="31846"/>
    <cfRule type="duplicateValues" dxfId="31832" priority="31845"/>
    <cfRule type="duplicateValues" dxfId="31831" priority="31844"/>
    <cfRule type="duplicateValues" dxfId="31830" priority="31843"/>
    <cfRule type="duplicateValues" dxfId="31829" priority="31842"/>
    <cfRule type="duplicateValues" dxfId="31828" priority="31841"/>
    <cfRule type="duplicateValues" dxfId="31827" priority="31840"/>
    <cfRule type="duplicateValues" dxfId="31826" priority="31839"/>
    <cfRule type="duplicateValues" dxfId="31825" priority="31838"/>
    <cfRule type="duplicateValues" dxfId="31824" priority="31837"/>
    <cfRule type="duplicateValues" dxfId="31823" priority="31836"/>
    <cfRule type="duplicateValues" dxfId="31822" priority="31835"/>
    <cfRule type="duplicateValues" dxfId="31821" priority="31834"/>
    <cfRule type="duplicateValues" dxfId="31820" priority="31833"/>
    <cfRule type="duplicateValues" dxfId="31819" priority="31832"/>
    <cfRule type="duplicateValues" dxfId="31818" priority="31831"/>
    <cfRule type="duplicateValues" dxfId="31817" priority="31830"/>
    <cfRule type="duplicateValues" dxfId="31816" priority="31829"/>
    <cfRule type="duplicateValues" dxfId="31815" priority="31828"/>
    <cfRule type="duplicateValues" dxfId="31814" priority="31827"/>
    <cfRule type="duplicateValues" dxfId="31813" priority="31826"/>
    <cfRule type="duplicateValues" dxfId="31812" priority="31825"/>
    <cfRule type="duplicateValues" dxfId="31811" priority="31824"/>
    <cfRule type="duplicateValues" dxfId="31810" priority="31823"/>
    <cfRule type="duplicateValues" dxfId="31809" priority="31822"/>
    <cfRule type="duplicateValues" dxfId="31808" priority="31821"/>
    <cfRule type="duplicateValues" dxfId="31807" priority="31820"/>
    <cfRule type="duplicateValues" dxfId="31806" priority="31819"/>
    <cfRule type="duplicateValues" dxfId="31805" priority="31818"/>
    <cfRule type="duplicateValues" dxfId="31804" priority="31817"/>
    <cfRule type="duplicateValues" dxfId="31803" priority="31816"/>
    <cfRule type="duplicateValues" dxfId="31802" priority="31815"/>
    <cfRule type="duplicateValues" dxfId="31801" priority="31814"/>
    <cfRule type="duplicateValues" dxfId="31800" priority="31813"/>
    <cfRule type="duplicateValues" dxfId="31799" priority="31746"/>
    <cfRule type="duplicateValues" dxfId="31798" priority="31811"/>
    <cfRule type="duplicateValues" dxfId="31797" priority="31810"/>
    <cfRule type="duplicateValues" dxfId="31796" priority="31809"/>
    <cfRule type="duplicateValues" dxfId="31795" priority="31808"/>
    <cfRule type="duplicateValues" dxfId="31794" priority="31807"/>
    <cfRule type="duplicateValues" dxfId="31793" priority="31806"/>
    <cfRule type="duplicateValues" dxfId="31792" priority="31805"/>
    <cfRule type="duplicateValues" dxfId="31791" priority="31804"/>
    <cfRule type="duplicateValues" dxfId="31790" priority="31803"/>
    <cfRule type="duplicateValues" dxfId="31789" priority="31802"/>
    <cfRule type="duplicateValues" dxfId="31788" priority="31801"/>
    <cfRule type="duplicateValues" dxfId="31787" priority="31800"/>
    <cfRule type="duplicateValues" dxfId="31786" priority="31799"/>
    <cfRule type="duplicateValues" dxfId="31785" priority="31798"/>
    <cfRule type="duplicateValues" dxfId="31784" priority="31797"/>
    <cfRule type="duplicateValues" dxfId="31783" priority="31796"/>
    <cfRule type="duplicateValues" dxfId="31782" priority="31795"/>
    <cfRule type="duplicateValues" dxfId="31781" priority="31794"/>
    <cfRule type="duplicateValues" dxfId="31780" priority="31793"/>
    <cfRule type="duplicateValues" dxfId="31779" priority="31792"/>
    <cfRule type="duplicateValues" dxfId="31778" priority="31791"/>
    <cfRule type="duplicateValues" dxfId="31777" priority="31790"/>
    <cfRule type="duplicateValues" dxfId="31776" priority="31789"/>
    <cfRule type="duplicateValues" dxfId="31775" priority="31788"/>
    <cfRule type="duplicateValues" dxfId="31774" priority="31787"/>
    <cfRule type="duplicateValues" dxfId="31773" priority="31786"/>
    <cfRule type="duplicateValues" dxfId="31772" priority="31785"/>
    <cfRule type="duplicateValues" dxfId="31771" priority="31784"/>
    <cfRule type="duplicateValues" dxfId="31770" priority="31783"/>
    <cfRule type="duplicateValues" dxfId="31769" priority="31782"/>
    <cfRule type="duplicateValues" dxfId="31768" priority="31781"/>
    <cfRule type="duplicateValues" dxfId="31767" priority="31780"/>
    <cfRule type="duplicateValues" dxfId="31766" priority="31779"/>
    <cfRule type="duplicateValues" dxfId="31765" priority="31778"/>
    <cfRule type="duplicateValues" dxfId="31764" priority="31777"/>
    <cfRule type="duplicateValues" dxfId="31763" priority="31776"/>
    <cfRule type="duplicateValues" dxfId="31762" priority="31775"/>
    <cfRule type="duplicateValues" dxfId="31761" priority="31774"/>
    <cfRule type="duplicateValues" dxfId="31760" priority="31773"/>
    <cfRule type="duplicateValues" dxfId="31759" priority="31772"/>
    <cfRule type="duplicateValues" dxfId="31758" priority="31771"/>
    <cfRule type="duplicateValues" dxfId="31757" priority="31770"/>
    <cfRule type="duplicateValues" dxfId="31756" priority="31769"/>
    <cfRule type="duplicateValues" dxfId="31755" priority="31768"/>
    <cfRule type="duplicateValues" dxfId="31754" priority="31767"/>
    <cfRule type="duplicateValues" dxfId="31753" priority="31766"/>
    <cfRule type="duplicateValues" dxfId="31752" priority="31765"/>
    <cfRule type="duplicateValues" dxfId="31751" priority="31764"/>
    <cfRule type="duplicateValues" dxfId="31750" priority="31763"/>
    <cfRule type="duplicateValues" dxfId="31749" priority="31762"/>
    <cfRule type="duplicateValues" dxfId="31748" priority="31761"/>
    <cfRule type="duplicateValues" dxfId="31747" priority="31760"/>
    <cfRule type="duplicateValues" dxfId="31746" priority="31759"/>
    <cfRule type="duplicateValues" dxfId="31745" priority="31758"/>
    <cfRule type="duplicateValues" dxfId="31744" priority="31757"/>
    <cfRule type="duplicateValues" dxfId="31743" priority="31756"/>
    <cfRule type="duplicateValues" dxfId="31742" priority="31755"/>
    <cfRule type="duplicateValues" dxfId="31741" priority="31754"/>
    <cfRule type="duplicateValues" dxfId="31740" priority="31753"/>
    <cfRule type="duplicateValues" dxfId="31739" priority="31752"/>
    <cfRule type="duplicateValues" dxfId="31738" priority="31751"/>
    <cfRule type="duplicateValues" dxfId="31737" priority="31750"/>
    <cfRule type="duplicateValues" dxfId="31736" priority="31749"/>
    <cfRule type="duplicateValues" dxfId="31735" priority="31748"/>
    <cfRule type="duplicateValues" dxfId="31734" priority="31747"/>
    <cfRule type="duplicateValues" dxfId="31733" priority="31698"/>
    <cfRule type="duplicateValues" dxfId="31732" priority="31745"/>
    <cfRule type="duplicateValues" dxfId="31731" priority="31744"/>
    <cfRule type="duplicateValues" dxfId="31730" priority="31743"/>
    <cfRule type="duplicateValues" dxfId="31729" priority="31742"/>
    <cfRule type="duplicateValues" dxfId="31728" priority="31741"/>
    <cfRule type="duplicateValues" dxfId="31727" priority="31740"/>
    <cfRule type="duplicateValues" dxfId="31726" priority="31739"/>
    <cfRule type="duplicateValues" dxfId="31725" priority="31738"/>
    <cfRule type="duplicateValues" dxfId="31724" priority="31737"/>
    <cfRule type="duplicateValues" dxfId="31723" priority="31736"/>
    <cfRule type="duplicateValues" dxfId="31722" priority="31735"/>
    <cfRule type="duplicateValues" dxfId="31721" priority="31734"/>
    <cfRule type="duplicateValues" dxfId="31720" priority="31733"/>
    <cfRule type="duplicateValues" dxfId="31719" priority="31732"/>
    <cfRule type="duplicateValues" dxfId="31718" priority="31731"/>
    <cfRule type="duplicateValues" dxfId="31717" priority="31730"/>
    <cfRule type="duplicateValues" dxfId="31716" priority="31729"/>
    <cfRule type="duplicateValues" dxfId="31715" priority="31728"/>
    <cfRule type="duplicateValues" dxfId="31714" priority="31727"/>
    <cfRule type="duplicateValues" dxfId="31713" priority="31726"/>
    <cfRule type="duplicateValues" dxfId="31712" priority="31725"/>
    <cfRule type="duplicateValues" dxfId="31711" priority="31724"/>
    <cfRule type="duplicateValues" dxfId="31710" priority="31723"/>
    <cfRule type="duplicateValues" dxfId="31709" priority="31722"/>
    <cfRule type="duplicateValues" dxfId="31708" priority="31721"/>
    <cfRule type="duplicateValues" dxfId="31707" priority="31720"/>
    <cfRule type="duplicateValues" dxfId="31706" priority="31719"/>
    <cfRule type="duplicateValues" dxfId="31705" priority="31718"/>
    <cfRule type="duplicateValues" dxfId="31704" priority="31717"/>
    <cfRule type="duplicateValues" dxfId="31703" priority="31716"/>
    <cfRule type="duplicateValues" dxfId="31702" priority="31715"/>
    <cfRule type="duplicateValues" dxfId="31701" priority="31714"/>
    <cfRule type="duplicateValues" dxfId="31700" priority="31713"/>
    <cfRule type="duplicateValues" dxfId="31699" priority="31712"/>
    <cfRule type="duplicateValues" dxfId="31698" priority="31711"/>
    <cfRule type="duplicateValues" dxfId="31697" priority="31710"/>
    <cfRule type="duplicateValues" dxfId="31696" priority="31709"/>
    <cfRule type="duplicateValues" dxfId="31695" priority="31708"/>
    <cfRule type="duplicateValues" dxfId="31694" priority="31707"/>
    <cfRule type="duplicateValues" dxfId="31693" priority="31706"/>
    <cfRule type="duplicateValues" dxfId="31692" priority="31705"/>
    <cfRule type="duplicateValues" dxfId="31691" priority="31704"/>
    <cfRule type="duplicateValues" dxfId="31690" priority="31703"/>
    <cfRule type="duplicateValues" dxfId="31689" priority="31702"/>
  </conditionalFormatting>
  <conditionalFormatting sqref="B129">
    <cfRule type="duplicateValues" dxfId="31688" priority="31524"/>
    <cfRule type="duplicateValues" dxfId="31687" priority="31523"/>
    <cfRule type="duplicateValues" dxfId="31686" priority="31522"/>
    <cfRule type="duplicateValues" dxfId="31685" priority="31521"/>
    <cfRule type="duplicateValues" dxfId="31684" priority="31697"/>
    <cfRule type="duplicateValues" dxfId="31683" priority="31696"/>
    <cfRule type="duplicateValues" dxfId="31682" priority="31695"/>
    <cfRule type="duplicateValues" dxfId="31681" priority="31694"/>
    <cfRule type="duplicateValues" dxfId="31680" priority="31693"/>
    <cfRule type="duplicateValues" dxfId="31679" priority="31692"/>
    <cfRule type="duplicateValues" dxfId="31678" priority="31691"/>
    <cfRule type="duplicateValues" dxfId="31677" priority="31690"/>
    <cfRule type="duplicateValues" dxfId="31676" priority="31689"/>
    <cfRule type="duplicateValues" dxfId="31675" priority="31688"/>
    <cfRule type="duplicateValues" dxfId="31674" priority="31687"/>
    <cfRule type="duplicateValues" dxfId="31673" priority="31686"/>
    <cfRule type="duplicateValues" dxfId="31672" priority="31685"/>
    <cfRule type="duplicateValues" dxfId="31671" priority="31684"/>
    <cfRule type="duplicateValues" dxfId="31670" priority="31683"/>
    <cfRule type="duplicateValues" dxfId="31669" priority="31682"/>
    <cfRule type="duplicateValues" dxfId="31668" priority="31681"/>
    <cfRule type="duplicateValues" dxfId="31667" priority="31680"/>
    <cfRule type="duplicateValues" dxfId="31666" priority="31679"/>
    <cfRule type="duplicateValues" dxfId="31665" priority="31678"/>
    <cfRule type="duplicateValues" dxfId="31664" priority="31677"/>
    <cfRule type="duplicateValues" dxfId="31663" priority="31676"/>
    <cfRule type="duplicateValues" dxfId="31662" priority="31675"/>
    <cfRule type="duplicateValues" dxfId="31661" priority="31674"/>
    <cfRule type="duplicateValues" dxfId="31660" priority="31673"/>
    <cfRule type="duplicateValues" dxfId="31659" priority="31672"/>
    <cfRule type="duplicateValues" dxfId="31658" priority="31671"/>
    <cfRule type="duplicateValues" dxfId="31657" priority="31670"/>
    <cfRule type="duplicateValues" dxfId="31656" priority="31669"/>
    <cfRule type="duplicateValues" dxfId="31655" priority="31668"/>
    <cfRule type="duplicateValues" dxfId="31654" priority="31667"/>
    <cfRule type="duplicateValues" dxfId="31653" priority="31666"/>
    <cfRule type="duplicateValues" dxfId="31652" priority="31665"/>
    <cfRule type="duplicateValues" dxfId="31651" priority="31664"/>
    <cfRule type="duplicateValues" dxfId="31650" priority="31663"/>
    <cfRule type="duplicateValues" dxfId="31649" priority="31662"/>
    <cfRule type="duplicateValues" dxfId="31648" priority="31661"/>
    <cfRule type="duplicateValues" dxfId="31647" priority="31660"/>
    <cfRule type="duplicateValues" dxfId="31646" priority="31659"/>
    <cfRule type="duplicateValues" dxfId="31645" priority="31658"/>
    <cfRule type="duplicateValues" dxfId="31644" priority="31657"/>
    <cfRule type="duplicateValues" dxfId="31643" priority="31656"/>
    <cfRule type="duplicateValues" dxfId="31642" priority="31655"/>
    <cfRule type="duplicateValues" dxfId="31641" priority="31654"/>
    <cfRule type="duplicateValues" dxfId="31640" priority="31653"/>
    <cfRule type="duplicateValues" dxfId="31639" priority="31652"/>
    <cfRule type="duplicateValues" dxfId="31638" priority="31651"/>
    <cfRule type="duplicateValues" dxfId="31637" priority="31650"/>
    <cfRule type="duplicateValues" dxfId="31636" priority="31649"/>
    <cfRule type="duplicateValues" dxfId="31635" priority="31648"/>
    <cfRule type="duplicateValues" dxfId="31634" priority="31647"/>
    <cfRule type="duplicateValues" dxfId="31633" priority="31646"/>
    <cfRule type="duplicateValues" dxfId="31632" priority="31645"/>
    <cfRule type="duplicateValues" dxfId="31631" priority="31644"/>
    <cfRule type="duplicateValues" dxfId="31630" priority="31643"/>
    <cfRule type="duplicateValues" dxfId="31629" priority="31642"/>
    <cfRule type="duplicateValues" dxfId="31628" priority="31641"/>
    <cfRule type="duplicateValues" dxfId="31627" priority="31640"/>
    <cfRule type="duplicateValues" dxfId="31626" priority="31639"/>
    <cfRule type="duplicateValues" dxfId="31625" priority="31638"/>
    <cfRule type="duplicateValues" dxfId="31624" priority="31637"/>
    <cfRule type="duplicateValues" dxfId="31623" priority="31636"/>
    <cfRule type="duplicateValues" dxfId="31622" priority="31635"/>
    <cfRule type="duplicateValues" dxfId="31621" priority="31634"/>
    <cfRule type="duplicateValues" dxfId="31620" priority="31633"/>
    <cfRule type="duplicateValues" dxfId="31619" priority="31632"/>
    <cfRule type="duplicateValues" dxfId="31618" priority="31631"/>
    <cfRule type="duplicateValues" dxfId="31617" priority="31630"/>
    <cfRule type="duplicateValues" dxfId="31616" priority="31629"/>
    <cfRule type="duplicateValues" dxfId="31615" priority="31628"/>
    <cfRule type="duplicateValues" dxfId="31614" priority="31627"/>
    <cfRule type="duplicateValues" dxfId="31613" priority="31626"/>
    <cfRule type="duplicateValues" dxfId="31612" priority="31625"/>
    <cfRule type="duplicateValues" dxfId="31611" priority="31624"/>
    <cfRule type="duplicateValues" dxfId="31610" priority="31623"/>
    <cfRule type="duplicateValues" dxfId="31609" priority="31622"/>
    <cfRule type="duplicateValues" dxfId="31608" priority="31621"/>
    <cfRule type="duplicateValues" dxfId="31607" priority="31620"/>
    <cfRule type="duplicateValues" dxfId="31606" priority="31619"/>
    <cfRule type="duplicateValues" dxfId="31605" priority="31618"/>
    <cfRule type="duplicateValues" dxfId="31604" priority="31617"/>
    <cfRule type="duplicateValues" dxfId="31603" priority="31616"/>
    <cfRule type="duplicateValues" dxfId="31602" priority="31615"/>
    <cfRule type="duplicateValues" dxfId="31601" priority="31614"/>
    <cfRule type="duplicateValues" dxfId="31600" priority="31613"/>
    <cfRule type="duplicateValues" dxfId="31599" priority="31612"/>
    <cfRule type="duplicateValues" dxfId="31598" priority="31611"/>
    <cfRule type="duplicateValues" dxfId="31597" priority="31610"/>
    <cfRule type="duplicateValues" dxfId="31596" priority="31609"/>
    <cfRule type="duplicateValues" dxfId="31595" priority="31608"/>
    <cfRule type="duplicateValues" dxfId="31594" priority="31607"/>
    <cfRule type="duplicateValues" dxfId="31593" priority="31606"/>
    <cfRule type="duplicateValues" dxfId="31592" priority="31605"/>
    <cfRule type="duplicateValues" dxfId="31591" priority="31604"/>
    <cfRule type="duplicateValues" dxfId="31590" priority="31603"/>
    <cfRule type="duplicateValues" dxfId="31589" priority="31602"/>
    <cfRule type="duplicateValues" dxfId="31588" priority="31601"/>
    <cfRule type="duplicateValues" dxfId="31587" priority="31600"/>
    <cfRule type="duplicateValues" dxfId="31586" priority="31599"/>
    <cfRule type="duplicateValues" dxfId="31585" priority="31598"/>
    <cfRule type="duplicateValues" dxfId="31584" priority="31597"/>
    <cfRule type="duplicateValues" dxfId="31583" priority="31596"/>
    <cfRule type="duplicateValues" dxfId="31582" priority="31595"/>
    <cfRule type="duplicateValues" dxfId="31581" priority="31594"/>
    <cfRule type="duplicateValues" dxfId="31580" priority="31593"/>
    <cfRule type="duplicateValues" dxfId="31579" priority="31592"/>
    <cfRule type="duplicateValues" dxfId="31578" priority="31591"/>
    <cfRule type="duplicateValues" dxfId="31577" priority="31590"/>
    <cfRule type="duplicateValues" dxfId="31576" priority="31589"/>
    <cfRule type="duplicateValues" dxfId="31575" priority="31588"/>
    <cfRule type="duplicateValues" dxfId="31574" priority="31587"/>
    <cfRule type="duplicateValues" dxfId="31573" priority="31586"/>
    <cfRule type="duplicateValues" dxfId="31572" priority="31585"/>
    <cfRule type="duplicateValues" dxfId="31571" priority="31584"/>
    <cfRule type="duplicateValues" dxfId="31570" priority="31583"/>
    <cfRule type="duplicateValues" dxfId="31569" priority="31582"/>
    <cfRule type="duplicateValues" dxfId="31568" priority="31581"/>
    <cfRule type="duplicateValues" dxfId="31567" priority="31580"/>
    <cfRule type="duplicateValues" dxfId="31566" priority="31579"/>
    <cfRule type="duplicateValues" dxfId="31565" priority="31578"/>
    <cfRule type="duplicateValues" dxfId="31564" priority="31577"/>
    <cfRule type="duplicateValues" dxfId="31563" priority="31576"/>
    <cfRule type="duplicateValues" dxfId="31562" priority="31575"/>
    <cfRule type="duplicateValues" dxfId="31561" priority="31574"/>
    <cfRule type="duplicateValues" dxfId="31560" priority="31573"/>
    <cfRule type="duplicateValues" dxfId="31559" priority="31572"/>
    <cfRule type="duplicateValues" dxfId="31558" priority="31571"/>
    <cfRule type="duplicateValues" dxfId="31557" priority="31570"/>
    <cfRule type="duplicateValues" dxfId="31556" priority="31569"/>
    <cfRule type="duplicateValues" dxfId="31555" priority="31568"/>
    <cfRule type="duplicateValues" dxfId="31554" priority="31567"/>
    <cfRule type="duplicateValues" dxfId="31553" priority="31566"/>
    <cfRule type="duplicateValues" dxfId="31552" priority="31565"/>
    <cfRule type="duplicateValues" dxfId="31551" priority="31564"/>
    <cfRule type="duplicateValues" dxfId="31550" priority="31563"/>
    <cfRule type="duplicateValues" dxfId="31549" priority="31562"/>
    <cfRule type="duplicateValues" dxfId="31548" priority="31561"/>
    <cfRule type="duplicateValues" dxfId="31547" priority="31560"/>
    <cfRule type="duplicateValues" dxfId="31546" priority="31559"/>
    <cfRule type="duplicateValues" dxfId="31545" priority="31558"/>
    <cfRule type="duplicateValues" dxfId="31544" priority="31557"/>
    <cfRule type="duplicateValues" dxfId="31543" priority="31556"/>
    <cfRule type="duplicateValues" dxfId="31542" priority="31555"/>
    <cfRule type="duplicateValues" dxfId="31541" priority="31554"/>
    <cfRule type="duplicateValues" dxfId="31540" priority="31553"/>
    <cfRule type="duplicateValues" dxfId="31539" priority="31552"/>
    <cfRule type="duplicateValues" dxfId="31538" priority="31551"/>
    <cfRule type="duplicateValues" dxfId="31537" priority="31550"/>
    <cfRule type="duplicateValues" dxfId="31536" priority="31549"/>
    <cfRule type="duplicateValues" dxfId="31535" priority="31548"/>
    <cfRule type="duplicateValues" dxfId="31534" priority="31547"/>
    <cfRule type="duplicateValues" dxfId="31533" priority="31546"/>
    <cfRule type="duplicateValues" dxfId="31532" priority="31545"/>
    <cfRule type="duplicateValues" dxfId="31531" priority="31544"/>
    <cfRule type="duplicateValues" dxfId="31530" priority="31543"/>
    <cfRule type="duplicateValues" dxfId="31529" priority="31542"/>
    <cfRule type="duplicateValues" dxfId="31528" priority="31541"/>
    <cfRule type="duplicateValues" dxfId="31527" priority="31540"/>
    <cfRule type="duplicateValues" dxfId="31526" priority="31539"/>
    <cfRule type="duplicateValues" dxfId="31525" priority="31538"/>
    <cfRule type="duplicateValues" dxfId="31524" priority="31537"/>
    <cfRule type="duplicateValues" dxfId="31523" priority="31536"/>
    <cfRule type="duplicateValues" dxfId="31522" priority="31535"/>
    <cfRule type="duplicateValues" dxfId="31521" priority="31534"/>
    <cfRule type="duplicateValues" dxfId="31520" priority="31533"/>
    <cfRule type="duplicateValues" dxfId="31519" priority="31532"/>
    <cfRule type="duplicateValues" dxfId="31518" priority="31531"/>
    <cfRule type="duplicateValues" dxfId="31517" priority="31530"/>
    <cfRule type="duplicateValues" dxfId="31516" priority="31529"/>
    <cfRule type="duplicateValues" dxfId="31515" priority="31528"/>
    <cfRule type="duplicateValues" dxfId="31514" priority="31527"/>
    <cfRule type="duplicateValues" dxfId="31513" priority="31526"/>
    <cfRule type="duplicateValues" dxfId="31512" priority="31525"/>
  </conditionalFormatting>
  <conditionalFormatting sqref="B130">
    <cfRule type="duplicateValues" dxfId="31511" priority="31344"/>
    <cfRule type="duplicateValues" dxfId="31510" priority="31346"/>
    <cfRule type="duplicateValues" dxfId="31509" priority="31345"/>
    <cfRule type="duplicateValues" dxfId="31508" priority="31441"/>
    <cfRule type="duplicateValues" dxfId="31507" priority="31520"/>
    <cfRule type="duplicateValues" dxfId="31506" priority="31519"/>
    <cfRule type="duplicateValues" dxfId="31505" priority="31518"/>
    <cfRule type="duplicateValues" dxfId="31504" priority="31517"/>
    <cfRule type="duplicateValues" dxfId="31503" priority="31516"/>
    <cfRule type="duplicateValues" dxfId="31502" priority="31515"/>
    <cfRule type="duplicateValues" dxfId="31501" priority="31514"/>
    <cfRule type="duplicateValues" dxfId="31500" priority="31513"/>
    <cfRule type="duplicateValues" dxfId="31499" priority="31512"/>
    <cfRule type="duplicateValues" dxfId="31498" priority="31511"/>
    <cfRule type="duplicateValues" dxfId="31497" priority="31510"/>
    <cfRule type="duplicateValues" dxfId="31496" priority="31509"/>
    <cfRule type="duplicateValues" dxfId="31495" priority="31508"/>
    <cfRule type="duplicateValues" dxfId="31494" priority="31507"/>
    <cfRule type="duplicateValues" dxfId="31493" priority="31506"/>
    <cfRule type="duplicateValues" dxfId="31492" priority="31505"/>
    <cfRule type="duplicateValues" dxfId="31491" priority="31504"/>
    <cfRule type="duplicateValues" dxfId="31490" priority="31503"/>
    <cfRule type="duplicateValues" dxfId="31489" priority="31502"/>
    <cfRule type="duplicateValues" dxfId="31488" priority="31501"/>
    <cfRule type="duplicateValues" dxfId="31487" priority="31500"/>
    <cfRule type="duplicateValues" dxfId="31486" priority="31499"/>
    <cfRule type="duplicateValues" dxfId="31485" priority="31498"/>
    <cfRule type="duplicateValues" dxfId="31484" priority="31497"/>
    <cfRule type="duplicateValues" dxfId="31483" priority="31496"/>
    <cfRule type="duplicateValues" dxfId="31482" priority="31495"/>
    <cfRule type="duplicateValues" dxfId="31481" priority="31494"/>
    <cfRule type="duplicateValues" dxfId="31480" priority="31493"/>
    <cfRule type="duplicateValues" dxfId="31479" priority="31492"/>
    <cfRule type="duplicateValues" dxfId="31478" priority="31491"/>
    <cfRule type="duplicateValues" dxfId="31477" priority="31490"/>
    <cfRule type="duplicateValues" dxfId="31476" priority="31489"/>
    <cfRule type="duplicateValues" dxfId="31475" priority="31488"/>
    <cfRule type="duplicateValues" dxfId="31474" priority="31487"/>
    <cfRule type="duplicateValues" dxfId="31473" priority="31486"/>
    <cfRule type="duplicateValues" dxfId="31472" priority="31485"/>
    <cfRule type="duplicateValues" dxfId="31471" priority="31484"/>
    <cfRule type="duplicateValues" dxfId="31470" priority="31483"/>
    <cfRule type="duplicateValues" dxfId="31469" priority="31482"/>
    <cfRule type="duplicateValues" dxfId="31468" priority="31481"/>
    <cfRule type="duplicateValues" dxfId="31467" priority="31480"/>
    <cfRule type="duplicateValues" dxfId="31466" priority="31479"/>
    <cfRule type="duplicateValues" dxfId="31465" priority="31478"/>
    <cfRule type="duplicateValues" dxfId="31464" priority="31477"/>
    <cfRule type="duplicateValues" dxfId="31463" priority="31476"/>
    <cfRule type="duplicateValues" dxfId="31462" priority="31475"/>
    <cfRule type="duplicateValues" dxfId="31461" priority="31474"/>
    <cfRule type="duplicateValues" dxfId="31460" priority="31473"/>
    <cfRule type="duplicateValues" dxfId="31459" priority="31472"/>
    <cfRule type="duplicateValues" dxfId="31458" priority="31471"/>
    <cfRule type="duplicateValues" dxfId="31457" priority="31470"/>
    <cfRule type="duplicateValues" dxfId="31456" priority="31469"/>
    <cfRule type="duplicateValues" dxfId="31455" priority="31468"/>
    <cfRule type="duplicateValues" dxfId="31454" priority="31467"/>
    <cfRule type="duplicateValues" dxfId="31453" priority="31466"/>
    <cfRule type="duplicateValues" dxfId="31452" priority="31465"/>
    <cfRule type="duplicateValues" dxfId="31451" priority="31464"/>
    <cfRule type="duplicateValues" dxfId="31450" priority="31463"/>
    <cfRule type="duplicateValues" dxfId="31449" priority="31462"/>
    <cfRule type="duplicateValues" dxfId="31448" priority="31461"/>
    <cfRule type="duplicateValues" dxfId="31447" priority="31460"/>
    <cfRule type="duplicateValues" dxfId="31446" priority="31459"/>
    <cfRule type="duplicateValues" dxfId="31445" priority="31458"/>
    <cfRule type="duplicateValues" dxfId="31444" priority="31457"/>
    <cfRule type="duplicateValues" dxfId="31443" priority="31456"/>
    <cfRule type="duplicateValues" dxfId="31442" priority="31455"/>
    <cfRule type="duplicateValues" dxfId="31441" priority="31454"/>
    <cfRule type="duplicateValues" dxfId="31440" priority="31453"/>
    <cfRule type="duplicateValues" dxfId="31439" priority="31452"/>
    <cfRule type="duplicateValues" dxfId="31438" priority="31451"/>
    <cfRule type="duplicateValues" dxfId="31437" priority="31450"/>
    <cfRule type="duplicateValues" dxfId="31436" priority="31449"/>
    <cfRule type="duplicateValues" dxfId="31435" priority="31448"/>
    <cfRule type="duplicateValues" dxfId="31434" priority="31447"/>
    <cfRule type="duplicateValues" dxfId="31433" priority="31446"/>
    <cfRule type="duplicateValues" dxfId="31432" priority="31445"/>
    <cfRule type="duplicateValues" dxfId="31431" priority="31444"/>
    <cfRule type="duplicateValues" dxfId="31430" priority="31443"/>
    <cfRule type="duplicateValues" dxfId="31429" priority="31442"/>
    <cfRule type="duplicateValues" dxfId="31428" priority="31440"/>
    <cfRule type="duplicateValues" dxfId="31427" priority="31439"/>
    <cfRule type="duplicateValues" dxfId="31426" priority="31438"/>
    <cfRule type="duplicateValues" dxfId="31425" priority="31437"/>
    <cfRule type="duplicateValues" dxfId="31424" priority="31436"/>
    <cfRule type="duplicateValues" dxfId="31423" priority="31435"/>
    <cfRule type="duplicateValues" dxfId="31422" priority="31434"/>
    <cfRule type="duplicateValues" dxfId="31421" priority="31433"/>
    <cfRule type="duplicateValues" dxfId="31420" priority="31432"/>
    <cfRule type="duplicateValues" dxfId="31419" priority="31431"/>
    <cfRule type="duplicateValues" dxfId="31418" priority="31430"/>
    <cfRule type="duplicateValues" dxfId="31417" priority="31429"/>
    <cfRule type="duplicateValues" dxfId="31416" priority="31428"/>
    <cfRule type="duplicateValues" dxfId="31415" priority="31427"/>
    <cfRule type="duplicateValues" dxfId="31414" priority="31426"/>
    <cfRule type="duplicateValues" dxfId="31413" priority="31425"/>
    <cfRule type="duplicateValues" dxfId="31412" priority="31424"/>
    <cfRule type="duplicateValues" dxfId="31411" priority="31423"/>
    <cfRule type="duplicateValues" dxfId="31410" priority="31422"/>
    <cfRule type="duplicateValues" dxfId="31409" priority="31421"/>
    <cfRule type="duplicateValues" dxfId="31408" priority="31420"/>
    <cfRule type="duplicateValues" dxfId="31407" priority="31419"/>
    <cfRule type="duplicateValues" dxfId="31406" priority="31418"/>
    <cfRule type="duplicateValues" dxfId="31405" priority="31417"/>
    <cfRule type="duplicateValues" dxfId="31404" priority="31416"/>
    <cfRule type="duplicateValues" dxfId="31403" priority="31415"/>
    <cfRule type="duplicateValues" dxfId="31402" priority="31414"/>
    <cfRule type="duplicateValues" dxfId="31401" priority="31413"/>
    <cfRule type="duplicateValues" dxfId="31400" priority="31412"/>
    <cfRule type="duplicateValues" dxfId="31399" priority="31411"/>
    <cfRule type="duplicateValues" dxfId="31398" priority="31410"/>
    <cfRule type="duplicateValues" dxfId="31397" priority="31409"/>
    <cfRule type="duplicateValues" dxfId="31396" priority="31408"/>
    <cfRule type="duplicateValues" dxfId="31395" priority="31407"/>
    <cfRule type="duplicateValues" dxfId="31394" priority="31406"/>
    <cfRule type="duplicateValues" dxfId="31393" priority="31405"/>
    <cfRule type="duplicateValues" dxfId="31392" priority="31404"/>
    <cfRule type="duplicateValues" dxfId="31391" priority="31403"/>
    <cfRule type="duplicateValues" dxfId="31390" priority="31402"/>
    <cfRule type="duplicateValues" dxfId="31389" priority="31401"/>
    <cfRule type="duplicateValues" dxfId="31388" priority="31400"/>
    <cfRule type="duplicateValues" dxfId="31387" priority="31399"/>
    <cfRule type="duplicateValues" dxfId="31386" priority="31398"/>
    <cfRule type="duplicateValues" dxfId="31385" priority="31397"/>
    <cfRule type="duplicateValues" dxfId="31384" priority="31396"/>
    <cfRule type="duplicateValues" dxfId="31383" priority="31395"/>
    <cfRule type="duplicateValues" dxfId="31382" priority="31394"/>
    <cfRule type="duplicateValues" dxfId="31381" priority="31393"/>
    <cfRule type="duplicateValues" dxfId="31380" priority="31392"/>
    <cfRule type="duplicateValues" dxfId="31379" priority="31391"/>
    <cfRule type="duplicateValues" dxfId="31378" priority="31390"/>
    <cfRule type="duplicateValues" dxfId="31377" priority="31389"/>
    <cfRule type="duplicateValues" dxfId="31376" priority="31388"/>
    <cfRule type="duplicateValues" dxfId="31375" priority="31387"/>
    <cfRule type="duplicateValues" dxfId="31374" priority="31386"/>
    <cfRule type="duplicateValues" dxfId="31373" priority="31385"/>
    <cfRule type="duplicateValues" dxfId="31372" priority="31384"/>
    <cfRule type="duplicateValues" dxfId="31371" priority="31383"/>
    <cfRule type="duplicateValues" dxfId="31370" priority="31382"/>
    <cfRule type="duplicateValues" dxfId="31369" priority="31381"/>
    <cfRule type="duplicateValues" dxfId="31368" priority="31380"/>
    <cfRule type="duplicateValues" dxfId="31367" priority="31379"/>
    <cfRule type="duplicateValues" dxfId="31366" priority="31378"/>
    <cfRule type="duplicateValues" dxfId="31365" priority="31377"/>
    <cfRule type="duplicateValues" dxfId="31364" priority="31376"/>
    <cfRule type="duplicateValues" dxfId="31363" priority="31375"/>
    <cfRule type="duplicateValues" dxfId="31362" priority="31374"/>
    <cfRule type="duplicateValues" dxfId="31361" priority="31373"/>
    <cfRule type="duplicateValues" dxfId="31360" priority="31372"/>
    <cfRule type="duplicateValues" dxfId="31359" priority="31371"/>
    <cfRule type="duplicateValues" dxfId="31358" priority="31370"/>
    <cfRule type="duplicateValues" dxfId="31357" priority="31369"/>
    <cfRule type="duplicateValues" dxfId="31356" priority="31368"/>
    <cfRule type="duplicateValues" dxfId="31355" priority="31367"/>
    <cfRule type="duplicateValues" dxfId="31354" priority="31366"/>
    <cfRule type="duplicateValues" dxfId="31353" priority="31365"/>
    <cfRule type="duplicateValues" dxfId="31352" priority="31364"/>
    <cfRule type="duplicateValues" dxfId="31351" priority="31363"/>
    <cfRule type="duplicateValues" dxfId="31350" priority="31362"/>
    <cfRule type="duplicateValues" dxfId="31349" priority="31361"/>
    <cfRule type="duplicateValues" dxfId="31348" priority="31360"/>
    <cfRule type="duplicateValues" dxfId="31347" priority="31359"/>
    <cfRule type="duplicateValues" dxfId="31346" priority="31358"/>
    <cfRule type="duplicateValues" dxfId="31345" priority="31357"/>
    <cfRule type="duplicateValues" dxfId="31344" priority="31356"/>
    <cfRule type="duplicateValues" dxfId="31343" priority="31355"/>
    <cfRule type="duplicateValues" dxfId="31342" priority="31354"/>
    <cfRule type="duplicateValues" dxfId="31341" priority="31353"/>
    <cfRule type="duplicateValues" dxfId="31340" priority="31352"/>
    <cfRule type="duplicateValues" dxfId="31339" priority="31351"/>
    <cfRule type="duplicateValues" dxfId="31338" priority="31350"/>
    <cfRule type="duplicateValues" dxfId="31337" priority="31349"/>
    <cfRule type="duplicateValues" dxfId="31336" priority="31348"/>
    <cfRule type="duplicateValues" dxfId="31335" priority="31347"/>
  </conditionalFormatting>
  <conditionalFormatting sqref="B131">
    <cfRule type="duplicateValues" dxfId="31334" priority="31168"/>
    <cfRule type="duplicateValues" dxfId="31333" priority="31167"/>
    <cfRule type="duplicateValues" dxfId="31332" priority="31303"/>
    <cfRule type="duplicateValues" dxfId="31331" priority="31343"/>
    <cfRule type="duplicateValues" dxfId="31330" priority="31342"/>
    <cfRule type="duplicateValues" dxfId="31329" priority="31341"/>
    <cfRule type="duplicateValues" dxfId="31328" priority="31340"/>
    <cfRule type="duplicateValues" dxfId="31327" priority="31339"/>
    <cfRule type="duplicateValues" dxfId="31326" priority="31338"/>
    <cfRule type="duplicateValues" dxfId="31325" priority="31337"/>
    <cfRule type="duplicateValues" dxfId="31324" priority="31336"/>
    <cfRule type="duplicateValues" dxfId="31323" priority="31335"/>
    <cfRule type="duplicateValues" dxfId="31322" priority="31334"/>
    <cfRule type="duplicateValues" dxfId="31321" priority="31333"/>
    <cfRule type="duplicateValues" dxfId="31320" priority="31332"/>
    <cfRule type="duplicateValues" dxfId="31319" priority="31331"/>
    <cfRule type="duplicateValues" dxfId="31318" priority="31330"/>
    <cfRule type="duplicateValues" dxfId="31317" priority="31329"/>
    <cfRule type="duplicateValues" dxfId="31316" priority="31328"/>
    <cfRule type="duplicateValues" dxfId="31315" priority="31327"/>
    <cfRule type="duplicateValues" dxfId="31314" priority="31326"/>
    <cfRule type="duplicateValues" dxfId="31313" priority="31325"/>
    <cfRule type="duplicateValues" dxfId="31312" priority="31324"/>
    <cfRule type="duplicateValues" dxfId="31311" priority="31323"/>
    <cfRule type="duplicateValues" dxfId="31310" priority="31322"/>
    <cfRule type="duplicateValues" dxfId="31309" priority="31321"/>
    <cfRule type="duplicateValues" dxfId="31308" priority="31320"/>
    <cfRule type="duplicateValues" dxfId="31307" priority="31319"/>
    <cfRule type="duplicateValues" dxfId="31306" priority="31318"/>
    <cfRule type="duplicateValues" dxfId="31305" priority="31317"/>
    <cfRule type="duplicateValues" dxfId="31304" priority="31316"/>
    <cfRule type="duplicateValues" dxfId="31303" priority="31315"/>
    <cfRule type="duplicateValues" dxfId="31302" priority="31314"/>
    <cfRule type="duplicateValues" dxfId="31301" priority="31313"/>
    <cfRule type="duplicateValues" dxfId="31300" priority="31312"/>
    <cfRule type="duplicateValues" dxfId="31299" priority="31311"/>
    <cfRule type="duplicateValues" dxfId="31298" priority="31310"/>
    <cfRule type="duplicateValues" dxfId="31297" priority="31309"/>
    <cfRule type="duplicateValues" dxfId="31296" priority="31308"/>
    <cfRule type="duplicateValues" dxfId="31295" priority="31307"/>
    <cfRule type="duplicateValues" dxfId="31294" priority="31306"/>
    <cfRule type="duplicateValues" dxfId="31293" priority="31305"/>
    <cfRule type="duplicateValues" dxfId="31292" priority="31304"/>
    <cfRule type="duplicateValues" dxfId="31291" priority="31302"/>
    <cfRule type="duplicateValues" dxfId="31290" priority="31301"/>
    <cfRule type="duplicateValues" dxfId="31289" priority="31300"/>
    <cfRule type="duplicateValues" dxfId="31288" priority="31299"/>
    <cfRule type="duplicateValues" dxfId="31287" priority="31298"/>
    <cfRule type="duplicateValues" dxfId="31286" priority="31297"/>
    <cfRule type="duplicateValues" dxfId="31285" priority="31296"/>
    <cfRule type="duplicateValues" dxfId="31284" priority="31295"/>
    <cfRule type="duplicateValues" dxfId="31283" priority="31294"/>
    <cfRule type="duplicateValues" dxfId="31282" priority="31293"/>
    <cfRule type="duplicateValues" dxfId="31281" priority="31292"/>
    <cfRule type="duplicateValues" dxfId="31280" priority="31291"/>
    <cfRule type="duplicateValues" dxfId="31279" priority="31290"/>
    <cfRule type="duplicateValues" dxfId="31278" priority="31289"/>
    <cfRule type="duplicateValues" dxfId="31277" priority="31288"/>
    <cfRule type="duplicateValues" dxfId="31276" priority="31287"/>
    <cfRule type="duplicateValues" dxfId="31275" priority="31286"/>
    <cfRule type="duplicateValues" dxfId="31274" priority="31285"/>
    <cfRule type="duplicateValues" dxfId="31273" priority="31284"/>
    <cfRule type="duplicateValues" dxfId="31272" priority="31283"/>
    <cfRule type="duplicateValues" dxfId="31271" priority="31282"/>
    <cfRule type="duplicateValues" dxfId="31270" priority="31281"/>
    <cfRule type="duplicateValues" dxfId="31269" priority="31280"/>
    <cfRule type="duplicateValues" dxfId="31268" priority="31279"/>
    <cfRule type="duplicateValues" dxfId="31267" priority="31278"/>
    <cfRule type="duplicateValues" dxfId="31266" priority="31277"/>
    <cfRule type="duplicateValues" dxfId="31265" priority="31276"/>
    <cfRule type="duplicateValues" dxfId="31264" priority="31275"/>
    <cfRule type="duplicateValues" dxfId="31263" priority="31274"/>
    <cfRule type="duplicateValues" dxfId="31262" priority="31273"/>
    <cfRule type="duplicateValues" dxfId="31261" priority="31272"/>
    <cfRule type="duplicateValues" dxfId="31260" priority="31271"/>
    <cfRule type="duplicateValues" dxfId="31259" priority="31270"/>
    <cfRule type="duplicateValues" dxfId="31258" priority="31269"/>
    <cfRule type="duplicateValues" dxfId="31257" priority="31268"/>
    <cfRule type="duplicateValues" dxfId="31256" priority="31267"/>
    <cfRule type="duplicateValues" dxfId="31255" priority="31266"/>
    <cfRule type="duplicateValues" dxfId="31254" priority="31265"/>
    <cfRule type="duplicateValues" dxfId="31253" priority="31264"/>
    <cfRule type="duplicateValues" dxfId="31252" priority="31263"/>
    <cfRule type="duplicateValues" dxfId="31251" priority="31262"/>
    <cfRule type="duplicateValues" dxfId="31250" priority="31261"/>
    <cfRule type="duplicateValues" dxfId="31249" priority="31260"/>
    <cfRule type="duplicateValues" dxfId="31248" priority="31259"/>
    <cfRule type="duplicateValues" dxfId="31247" priority="31258"/>
    <cfRule type="duplicateValues" dxfId="31246" priority="31257"/>
    <cfRule type="duplicateValues" dxfId="31245" priority="31256"/>
    <cfRule type="duplicateValues" dxfId="31244" priority="31255"/>
    <cfRule type="duplicateValues" dxfId="31243" priority="31254"/>
    <cfRule type="duplicateValues" dxfId="31242" priority="31253"/>
    <cfRule type="duplicateValues" dxfId="31241" priority="31252"/>
    <cfRule type="duplicateValues" dxfId="31240" priority="31251"/>
    <cfRule type="duplicateValues" dxfId="31239" priority="31250"/>
    <cfRule type="duplicateValues" dxfId="31238" priority="31249"/>
    <cfRule type="duplicateValues" dxfId="31237" priority="31248"/>
    <cfRule type="duplicateValues" dxfId="31236" priority="31247"/>
    <cfRule type="duplicateValues" dxfId="31235" priority="31246"/>
    <cfRule type="duplicateValues" dxfId="31234" priority="31245"/>
    <cfRule type="duplicateValues" dxfId="31233" priority="31244"/>
    <cfRule type="duplicateValues" dxfId="31232" priority="31243"/>
    <cfRule type="duplicateValues" dxfId="31231" priority="31242"/>
    <cfRule type="duplicateValues" dxfId="31230" priority="31241"/>
    <cfRule type="duplicateValues" dxfId="31229" priority="31240"/>
    <cfRule type="duplicateValues" dxfId="31228" priority="31239"/>
    <cfRule type="duplicateValues" dxfId="31227" priority="31238"/>
    <cfRule type="duplicateValues" dxfId="31226" priority="31237"/>
    <cfRule type="duplicateValues" dxfId="31225" priority="31236"/>
    <cfRule type="duplicateValues" dxfId="31224" priority="31235"/>
    <cfRule type="duplicateValues" dxfId="31223" priority="31234"/>
    <cfRule type="duplicateValues" dxfId="31222" priority="31233"/>
    <cfRule type="duplicateValues" dxfId="31221" priority="31232"/>
    <cfRule type="duplicateValues" dxfId="31220" priority="31231"/>
    <cfRule type="duplicateValues" dxfId="31219" priority="31230"/>
    <cfRule type="duplicateValues" dxfId="31218" priority="31229"/>
    <cfRule type="duplicateValues" dxfId="31217" priority="31228"/>
    <cfRule type="duplicateValues" dxfId="31216" priority="31227"/>
    <cfRule type="duplicateValues" dxfId="31215" priority="31226"/>
    <cfRule type="duplicateValues" dxfId="31214" priority="31225"/>
    <cfRule type="duplicateValues" dxfId="31213" priority="31224"/>
    <cfRule type="duplicateValues" dxfId="31212" priority="31223"/>
    <cfRule type="duplicateValues" dxfId="31211" priority="31222"/>
    <cfRule type="duplicateValues" dxfId="31210" priority="31221"/>
    <cfRule type="duplicateValues" dxfId="31209" priority="31220"/>
    <cfRule type="duplicateValues" dxfId="31208" priority="31219"/>
    <cfRule type="duplicateValues" dxfId="31207" priority="31218"/>
    <cfRule type="duplicateValues" dxfId="31206" priority="31217"/>
    <cfRule type="duplicateValues" dxfId="31205" priority="31216"/>
    <cfRule type="duplicateValues" dxfId="31204" priority="31215"/>
    <cfRule type="duplicateValues" dxfId="31203" priority="31214"/>
    <cfRule type="duplicateValues" dxfId="31202" priority="31213"/>
    <cfRule type="duplicateValues" dxfId="31201" priority="31212"/>
    <cfRule type="duplicateValues" dxfId="31200" priority="31211"/>
    <cfRule type="duplicateValues" dxfId="31199" priority="31210"/>
    <cfRule type="duplicateValues" dxfId="31198" priority="31209"/>
    <cfRule type="duplicateValues" dxfId="31197" priority="31208"/>
    <cfRule type="duplicateValues" dxfId="31196" priority="31207"/>
    <cfRule type="duplicateValues" dxfId="31195" priority="31206"/>
    <cfRule type="duplicateValues" dxfId="31194" priority="31205"/>
    <cfRule type="duplicateValues" dxfId="31193" priority="31204"/>
    <cfRule type="duplicateValues" dxfId="31192" priority="31203"/>
    <cfRule type="duplicateValues" dxfId="31191" priority="31202"/>
    <cfRule type="duplicateValues" dxfId="31190" priority="31201"/>
    <cfRule type="duplicateValues" dxfId="31189" priority="31200"/>
    <cfRule type="duplicateValues" dxfId="31188" priority="31199"/>
    <cfRule type="duplicateValues" dxfId="31187" priority="31198"/>
    <cfRule type="duplicateValues" dxfId="31186" priority="31197"/>
    <cfRule type="duplicateValues" dxfId="31185" priority="31196"/>
    <cfRule type="duplicateValues" dxfId="31184" priority="31195"/>
    <cfRule type="duplicateValues" dxfId="31183" priority="31194"/>
    <cfRule type="duplicateValues" dxfId="31182" priority="31193"/>
    <cfRule type="duplicateValues" dxfId="31181" priority="31192"/>
    <cfRule type="duplicateValues" dxfId="31180" priority="31191"/>
    <cfRule type="duplicateValues" dxfId="31179" priority="31190"/>
    <cfRule type="duplicateValues" dxfId="31178" priority="31189"/>
    <cfRule type="duplicateValues" dxfId="31177" priority="31188"/>
    <cfRule type="duplicateValues" dxfId="31176" priority="31187"/>
    <cfRule type="duplicateValues" dxfId="31175" priority="31186"/>
    <cfRule type="duplicateValues" dxfId="31174" priority="31185"/>
    <cfRule type="duplicateValues" dxfId="31173" priority="31184"/>
    <cfRule type="duplicateValues" dxfId="31172" priority="31183"/>
    <cfRule type="duplicateValues" dxfId="31171" priority="31182"/>
    <cfRule type="duplicateValues" dxfId="31170" priority="31181"/>
    <cfRule type="duplicateValues" dxfId="31169" priority="31180"/>
    <cfRule type="duplicateValues" dxfId="31168" priority="31179"/>
    <cfRule type="duplicateValues" dxfId="31167" priority="31178"/>
    <cfRule type="duplicateValues" dxfId="31166" priority="31177"/>
    <cfRule type="duplicateValues" dxfId="31165" priority="31176"/>
    <cfRule type="duplicateValues" dxfId="31164" priority="31175"/>
    <cfRule type="duplicateValues" dxfId="31163" priority="31174"/>
    <cfRule type="duplicateValues" dxfId="31162" priority="31173"/>
    <cfRule type="duplicateValues" dxfId="31161" priority="31172"/>
    <cfRule type="duplicateValues" dxfId="31160" priority="31171"/>
    <cfRule type="duplicateValues" dxfId="31159" priority="31170"/>
    <cfRule type="duplicateValues" dxfId="31158" priority="31169"/>
  </conditionalFormatting>
  <conditionalFormatting sqref="B132">
    <cfRule type="duplicateValues" dxfId="31157" priority="31060"/>
    <cfRule type="duplicateValues" dxfId="31156" priority="30993"/>
    <cfRule type="duplicateValues" dxfId="31155" priority="30992"/>
    <cfRule type="duplicateValues" dxfId="31154" priority="30991"/>
    <cfRule type="duplicateValues" dxfId="31153" priority="31166"/>
    <cfRule type="duplicateValues" dxfId="31152" priority="31165"/>
    <cfRule type="duplicateValues" dxfId="31151" priority="31164"/>
    <cfRule type="duplicateValues" dxfId="31150" priority="31163"/>
    <cfRule type="duplicateValues" dxfId="31149" priority="31162"/>
    <cfRule type="duplicateValues" dxfId="31148" priority="31161"/>
    <cfRule type="duplicateValues" dxfId="31147" priority="31160"/>
    <cfRule type="duplicateValues" dxfId="31146" priority="31159"/>
    <cfRule type="duplicateValues" dxfId="31145" priority="31158"/>
    <cfRule type="duplicateValues" dxfId="31144" priority="31157"/>
    <cfRule type="duplicateValues" dxfId="31143" priority="31156"/>
    <cfRule type="duplicateValues" dxfId="31142" priority="31155"/>
    <cfRule type="duplicateValues" dxfId="31141" priority="31154"/>
    <cfRule type="duplicateValues" dxfId="31140" priority="31153"/>
    <cfRule type="duplicateValues" dxfId="31139" priority="31152"/>
    <cfRule type="duplicateValues" dxfId="31138" priority="31151"/>
    <cfRule type="duplicateValues" dxfId="31137" priority="31150"/>
    <cfRule type="duplicateValues" dxfId="31136" priority="31149"/>
    <cfRule type="duplicateValues" dxfId="31135" priority="31148"/>
    <cfRule type="duplicateValues" dxfId="31134" priority="31147"/>
    <cfRule type="duplicateValues" dxfId="31133" priority="31146"/>
    <cfRule type="duplicateValues" dxfId="31132" priority="31145"/>
    <cfRule type="duplicateValues" dxfId="31131" priority="31144"/>
    <cfRule type="duplicateValues" dxfId="31130" priority="31143"/>
    <cfRule type="duplicateValues" dxfId="31129" priority="31142"/>
    <cfRule type="duplicateValues" dxfId="31128" priority="31141"/>
    <cfRule type="duplicateValues" dxfId="31127" priority="31140"/>
    <cfRule type="duplicateValues" dxfId="31126" priority="31139"/>
    <cfRule type="duplicateValues" dxfId="31125" priority="31138"/>
    <cfRule type="duplicateValues" dxfId="31124" priority="31137"/>
    <cfRule type="duplicateValues" dxfId="31123" priority="31136"/>
    <cfRule type="duplicateValues" dxfId="31122" priority="31135"/>
    <cfRule type="duplicateValues" dxfId="31121" priority="31134"/>
    <cfRule type="duplicateValues" dxfId="31120" priority="31133"/>
    <cfRule type="duplicateValues" dxfId="31119" priority="31132"/>
    <cfRule type="duplicateValues" dxfId="31118" priority="31131"/>
    <cfRule type="duplicateValues" dxfId="31117" priority="31130"/>
    <cfRule type="duplicateValues" dxfId="31116" priority="31129"/>
    <cfRule type="duplicateValues" dxfId="31115" priority="31128"/>
    <cfRule type="duplicateValues" dxfId="31114" priority="31127"/>
    <cfRule type="duplicateValues" dxfId="31113" priority="31126"/>
    <cfRule type="duplicateValues" dxfId="31112" priority="31125"/>
    <cfRule type="duplicateValues" dxfId="31111" priority="31124"/>
    <cfRule type="duplicateValues" dxfId="31110" priority="31123"/>
    <cfRule type="duplicateValues" dxfId="31109" priority="31122"/>
    <cfRule type="duplicateValues" dxfId="31108" priority="31121"/>
    <cfRule type="duplicateValues" dxfId="31107" priority="31120"/>
    <cfRule type="duplicateValues" dxfId="31106" priority="31119"/>
    <cfRule type="duplicateValues" dxfId="31105" priority="31118"/>
    <cfRule type="duplicateValues" dxfId="31104" priority="31117"/>
    <cfRule type="duplicateValues" dxfId="31103" priority="31116"/>
    <cfRule type="duplicateValues" dxfId="31102" priority="31115"/>
    <cfRule type="duplicateValues" dxfId="31101" priority="31114"/>
    <cfRule type="duplicateValues" dxfId="31100" priority="31113"/>
    <cfRule type="duplicateValues" dxfId="31099" priority="31112"/>
    <cfRule type="duplicateValues" dxfId="31098" priority="31111"/>
    <cfRule type="duplicateValues" dxfId="31097" priority="31110"/>
    <cfRule type="duplicateValues" dxfId="31096" priority="31109"/>
    <cfRule type="duplicateValues" dxfId="31095" priority="31108"/>
    <cfRule type="duplicateValues" dxfId="31094" priority="31107"/>
    <cfRule type="duplicateValues" dxfId="31093" priority="31106"/>
    <cfRule type="duplicateValues" dxfId="31092" priority="31105"/>
    <cfRule type="duplicateValues" dxfId="31091" priority="31104"/>
    <cfRule type="duplicateValues" dxfId="31090" priority="31103"/>
    <cfRule type="duplicateValues" dxfId="31089" priority="31102"/>
    <cfRule type="duplicateValues" dxfId="31088" priority="31101"/>
    <cfRule type="duplicateValues" dxfId="31087" priority="31100"/>
    <cfRule type="duplicateValues" dxfId="31086" priority="31099"/>
    <cfRule type="duplicateValues" dxfId="31085" priority="31098"/>
    <cfRule type="duplicateValues" dxfId="31084" priority="31097"/>
    <cfRule type="duplicateValues" dxfId="31083" priority="31096"/>
    <cfRule type="duplicateValues" dxfId="31082" priority="31095"/>
    <cfRule type="duplicateValues" dxfId="31081" priority="31094"/>
    <cfRule type="duplicateValues" dxfId="31080" priority="31093"/>
    <cfRule type="duplicateValues" dxfId="31079" priority="31092"/>
    <cfRule type="duplicateValues" dxfId="31078" priority="31091"/>
    <cfRule type="duplicateValues" dxfId="31077" priority="31090"/>
    <cfRule type="duplicateValues" dxfId="31076" priority="31089"/>
    <cfRule type="duplicateValues" dxfId="31075" priority="31088"/>
    <cfRule type="duplicateValues" dxfId="31074" priority="31087"/>
    <cfRule type="duplicateValues" dxfId="31073" priority="31086"/>
    <cfRule type="duplicateValues" dxfId="31072" priority="31085"/>
    <cfRule type="duplicateValues" dxfId="31071" priority="31084"/>
    <cfRule type="duplicateValues" dxfId="31070" priority="31083"/>
    <cfRule type="duplicateValues" dxfId="31069" priority="31082"/>
    <cfRule type="duplicateValues" dxfId="31068" priority="31081"/>
    <cfRule type="duplicateValues" dxfId="31067" priority="31080"/>
    <cfRule type="duplicateValues" dxfId="31066" priority="31079"/>
    <cfRule type="duplicateValues" dxfId="31065" priority="31078"/>
    <cfRule type="duplicateValues" dxfId="31064" priority="31077"/>
    <cfRule type="duplicateValues" dxfId="31063" priority="31076"/>
    <cfRule type="duplicateValues" dxfId="31062" priority="31075"/>
    <cfRule type="duplicateValues" dxfId="31061" priority="31074"/>
    <cfRule type="duplicateValues" dxfId="31060" priority="31073"/>
    <cfRule type="duplicateValues" dxfId="31059" priority="31072"/>
    <cfRule type="duplicateValues" dxfId="31058" priority="31071"/>
    <cfRule type="duplicateValues" dxfId="31057" priority="31070"/>
    <cfRule type="duplicateValues" dxfId="31056" priority="31069"/>
    <cfRule type="duplicateValues" dxfId="31055" priority="31068"/>
    <cfRule type="duplicateValues" dxfId="31054" priority="31067"/>
    <cfRule type="duplicateValues" dxfId="31053" priority="31066"/>
    <cfRule type="duplicateValues" dxfId="31052" priority="31065"/>
    <cfRule type="duplicateValues" dxfId="31051" priority="31064"/>
    <cfRule type="duplicateValues" dxfId="31050" priority="31063"/>
    <cfRule type="duplicateValues" dxfId="31049" priority="31062"/>
    <cfRule type="duplicateValues" dxfId="31048" priority="31061"/>
    <cfRule type="duplicateValues" dxfId="31047" priority="30990"/>
    <cfRule type="duplicateValues" dxfId="31046" priority="31059"/>
    <cfRule type="duplicateValues" dxfId="31045" priority="31058"/>
    <cfRule type="duplicateValues" dxfId="31044" priority="31057"/>
    <cfRule type="duplicateValues" dxfId="31043" priority="31056"/>
    <cfRule type="duplicateValues" dxfId="31042" priority="31055"/>
    <cfRule type="duplicateValues" dxfId="31041" priority="31054"/>
    <cfRule type="duplicateValues" dxfId="31040" priority="31053"/>
    <cfRule type="duplicateValues" dxfId="31039" priority="31052"/>
    <cfRule type="duplicateValues" dxfId="31038" priority="31051"/>
    <cfRule type="duplicateValues" dxfId="31037" priority="31050"/>
    <cfRule type="duplicateValues" dxfId="31036" priority="31049"/>
    <cfRule type="duplicateValues" dxfId="31035" priority="31048"/>
    <cfRule type="duplicateValues" dxfId="31034" priority="31047"/>
    <cfRule type="duplicateValues" dxfId="31033" priority="31046"/>
    <cfRule type="duplicateValues" dxfId="31032" priority="31045"/>
    <cfRule type="duplicateValues" dxfId="31031" priority="31044"/>
    <cfRule type="duplicateValues" dxfId="31030" priority="31043"/>
    <cfRule type="duplicateValues" dxfId="31029" priority="31042"/>
    <cfRule type="duplicateValues" dxfId="31028" priority="31041"/>
    <cfRule type="duplicateValues" dxfId="31027" priority="31040"/>
    <cfRule type="duplicateValues" dxfId="31026" priority="31039"/>
    <cfRule type="duplicateValues" dxfId="31025" priority="31038"/>
    <cfRule type="duplicateValues" dxfId="31024" priority="31037"/>
    <cfRule type="duplicateValues" dxfId="31023" priority="31036"/>
    <cfRule type="duplicateValues" dxfId="31022" priority="31035"/>
    <cfRule type="duplicateValues" dxfId="31021" priority="31034"/>
    <cfRule type="duplicateValues" dxfId="31020" priority="31033"/>
    <cfRule type="duplicateValues" dxfId="31019" priority="31032"/>
    <cfRule type="duplicateValues" dxfId="31018" priority="31031"/>
    <cfRule type="duplicateValues" dxfId="31017" priority="31030"/>
    <cfRule type="duplicateValues" dxfId="31016" priority="31029"/>
    <cfRule type="duplicateValues" dxfId="31015" priority="31028"/>
    <cfRule type="duplicateValues" dxfId="31014" priority="31027"/>
    <cfRule type="duplicateValues" dxfId="31013" priority="31026"/>
    <cfRule type="duplicateValues" dxfId="31012" priority="31025"/>
    <cfRule type="duplicateValues" dxfId="31011" priority="31024"/>
    <cfRule type="duplicateValues" dxfId="31010" priority="31023"/>
    <cfRule type="duplicateValues" dxfId="31009" priority="31022"/>
    <cfRule type="duplicateValues" dxfId="31008" priority="31021"/>
    <cfRule type="duplicateValues" dxfId="31007" priority="31020"/>
    <cfRule type="duplicateValues" dxfId="31006" priority="31019"/>
    <cfRule type="duplicateValues" dxfId="31005" priority="31018"/>
    <cfRule type="duplicateValues" dxfId="31004" priority="31017"/>
    <cfRule type="duplicateValues" dxfId="31003" priority="31016"/>
    <cfRule type="duplicateValues" dxfId="31002" priority="31015"/>
    <cfRule type="duplicateValues" dxfId="31001" priority="31014"/>
    <cfRule type="duplicateValues" dxfId="31000" priority="31013"/>
    <cfRule type="duplicateValues" dxfId="30999" priority="31012"/>
    <cfRule type="duplicateValues" dxfId="30998" priority="31011"/>
    <cfRule type="duplicateValues" dxfId="30997" priority="31010"/>
    <cfRule type="duplicateValues" dxfId="30996" priority="31009"/>
    <cfRule type="duplicateValues" dxfId="30995" priority="31008"/>
    <cfRule type="duplicateValues" dxfId="30994" priority="31007"/>
    <cfRule type="duplicateValues" dxfId="30993" priority="31006"/>
    <cfRule type="duplicateValues" dxfId="30992" priority="31005"/>
    <cfRule type="duplicateValues" dxfId="30991" priority="31004"/>
    <cfRule type="duplicateValues" dxfId="30990" priority="31003"/>
    <cfRule type="duplicateValues" dxfId="30989" priority="31002"/>
    <cfRule type="duplicateValues" dxfId="30988" priority="31001"/>
    <cfRule type="duplicateValues" dxfId="30987" priority="31000"/>
    <cfRule type="duplicateValues" dxfId="30986" priority="30999"/>
    <cfRule type="duplicateValues" dxfId="30985" priority="30998"/>
    <cfRule type="duplicateValues" dxfId="30984" priority="30997"/>
    <cfRule type="duplicateValues" dxfId="30983" priority="30996"/>
    <cfRule type="duplicateValues" dxfId="30982" priority="30995"/>
    <cfRule type="duplicateValues" dxfId="30981" priority="30994"/>
  </conditionalFormatting>
  <conditionalFormatting sqref="B133">
    <cfRule type="duplicateValues" dxfId="30980" priority="30816"/>
    <cfRule type="duplicateValues" dxfId="30979" priority="30815"/>
    <cfRule type="duplicateValues" dxfId="30978" priority="30814"/>
    <cfRule type="duplicateValues" dxfId="30977" priority="30927"/>
    <cfRule type="duplicateValues" dxfId="30976" priority="30989"/>
    <cfRule type="duplicateValues" dxfId="30975" priority="30988"/>
    <cfRule type="duplicateValues" dxfId="30974" priority="30987"/>
    <cfRule type="duplicateValues" dxfId="30973" priority="30986"/>
    <cfRule type="duplicateValues" dxfId="30972" priority="30985"/>
    <cfRule type="duplicateValues" dxfId="30971" priority="30984"/>
    <cfRule type="duplicateValues" dxfId="30970" priority="30983"/>
    <cfRule type="duplicateValues" dxfId="30969" priority="30982"/>
    <cfRule type="duplicateValues" dxfId="30968" priority="30981"/>
    <cfRule type="duplicateValues" dxfId="30967" priority="30980"/>
    <cfRule type="duplicateValues" dxfId="30966" priority="30979"/>
    <cfRule type="duplicateValues" dxfId="30965" priority="30978"/>
    <cfRule type="duplicateValues" dxfId="30964" priority="30977"/>
    <cfRule type="duplicateValues" dxfId="30963" priority="30976"/>
    <cfRule type="duplicateValues" dxfId="30962" priority="30975"/>
    <cfRule type="duplicateValues" dxfId="30961" priority="30974"/>
    <cfRule type="duplicateValues" dxfId="30960" priority="30973"/>
    <cfRule type="duplicateValues" dxfId="30959" priority="30972"/>
    <cfRule type="duplicateValues" dxfId="30958" priority="30971"/>
    <cfRule type="duplicateValues" dxfId="30957" priority="30970"/>
    <cfRule type="duplicateValues" dxfId="30956" priority="30969"/>
    <cfRule type="duplicateValues" dxfId="30955" priority="30968"/>
    <cfRule type="duplicateValues" dxfId="30954" priority="30967"/>
    <cfRule type="duplicateValues" dxfId="30953" priority="30966"/>
    <cfRule type="duplicateValues" dxfId="30952" priority="30965"/>
    <cfRule type="duplicateValues" dxfId="30951" priority="30964"/>
    <cfRule type="duplicateValues" dxfId="30950" priority="30963"/>
    <cfRule type="duplicateValues" dxfId="30949" priority="30962"/>
    <cfRule type="duplicateValues" dxfId="30948" priority="30961"/>
    <cfRule type="duplicateValues" dxfId="30947" priority="30960"/>
    <cfRule type="duplicateValues" dxfId="30946" priority="30959"/>
    <cfRule type="duplicateValues" dxfId="30945" priority="30958"/>
    <cfRule type="duplicateValues" dxfId="30944" priority="30957"/>
    <cfRule type="duplicateValues" dxfId="30943" priority="30956"/>
    <cfRule type="duplicateValues" dxfId="30942" priority="30955"/>
    <cfRule type="duplicateValues" dxfId="30941" priority="30954"/>
    <cfRule type="duplicateValues" dxfId="30940" priority="30953"/>
    <cfRule type="duplicateValues" dxfId="30939" priority="30952"/>
    <cfRule type="duplicateValues" dxfId="30938" priority="30951"/>
    <cfRule type="duplicateValues" dxfId="30937" priority="30950"/>
    <cfRule type="duplicateValues" dxfId="30936" priority="30949"/>
    <cfRule type="duplicateValues" dxfId="30935" priority="30948"/>
    <cfRule type="duplicateValues" dxfId="30934" priority="30947"/>
    <cfRule type="duplicateValues" dxfId="30933" priority="30946"/>
    <cfRule type="duplicateValues" dxfId="30932" priority="30945"/>
    <cfRule type="duplicateValues" dxfId="30931" priority="30944"/>
    <cfRule type="duplicateValues" dxfId="30930" priority="30943"/>
    <cfRule type="duplicateValues" dxfId="30929" priority="30942"/>
    <cfRule type="duplicateValues" dxfId="30928" priority="30941"/>
    <cfRule type="duplicateValues" dxfId="30927" priority="30940"/>
    <cfRule type="duplicateValues" dxfId="30926" priority="30939"/>
    <cfRule type="duplicateValues" dxfId="30925" priority="30938"/>
    <cfRule type="duplicateValues" dxfId="30924" priority="30937"/>
    <cfRule type="duplicateValues" dxfId="30923" priority="30936"/>
    <cfRule type="duplicateValues" dxfId="30922" priority="30935"/>
    <cfRule type="duplicateValues" dxfId="30921" priority="30934"/>
    <cfRule type="duplicateValues" dxfId="30920" priority="30933"/>
    <cfRule type="duplicateValues" dxfId="30919" priority="30932"/>
    <cfRule type="duplicateValues" dxfId="30918" priority="30931"/>
    <cfRule type="duplicateValues" dxfId="30917" priority="30930"/>
    <cfRule type="duplicateValues" dxfId="30916" priority="30929"/>
    <cfRule type="duplicateValues" dxfId="30915" priority="30928"/>
    <cfRule type="duplicateValues" dxfId="30914" priority="30813"/>
    <cfRule type="duplicateValues" dxfId="30913" priority="30926"/>
    <cfRule type="duplicateValues" dxfId="30912" priority="30925"/>
    <cfRule type="duplicateValues" dxfId="30911" priority="30924"/>
    <cfRule type="duplicateValues" dxfId="30910" priority="30923"/>
    <cfRule type="duplicateValues" dxfId="30909" priority="30922"/>
    <cfRule type="duplicateValues" dxfId="30908" priority="30921"/>
    <cfRule type="duplicateValues" dxfId="30907" priority="30920"/>
    <cfRule type="duplicateValues" dxfId="30906" priority="30919"/>
    <cfRule type="duplicateValues" dxfId="30905" priority="30918"/>
    <cfRule type="duplicateValues" dxfId="30904" priority="30917"/>
    <cfRule type="duplicateValues" dxfId="30903" priority="30916"/>
    <cfRule type="duplicateValues" dxfId="30902" priority="30915"/>
    <cfRule type="duplicateValues" dxfId="30901" priority="30914"/>
    <cfRule type="duplicateValues" dxfId="30900" priority="30913"/>
    <cfRule type="duplicateValues" dxfId="30899" priority="30912"/>
    <cfRule type="duplicateValues" dxfId="30898" priority="30911"/>
    <cfRule type="duplicateValues" dxfId="30897" priority="30910"/>
    <cfRule type="duplicateValues" dxfId="30896" priority="30909"/>
    <cfRule type="duplicateValues" dxfId="30895" priority="30908"/>
    <cfRule type="duplicateValues" dxfId="30894" priority="30907"/>
    <cfRule type="duplicateValues" dxfId="30893" priority="30906"/>
    <cfRule type="duplicateValues" dxfId="30892" priority="30905"/>
    <cfRule type="duplicateValues" dxfId="30891" priority="30904"/>
    <cfRule type="duplicateValues" dxfId="30890" priority="30903"/>
    <cfRule type="duplicateValues" dxfId="30889" priority="30902"/>
    <cfRule type="duplicateValues" dxfId="30888" priority="30901"/>
    <cfRule type="duplicateValues" dxfId="30887" priority="30900"/>
    <cfRule type="duplicateValues" dxfId="30886" priority="30899"/>
    <cfRule type="duplicateValues" dxfId="30885" priority="30898"/>
    <cfRule type="duplicateValues" dxfId="30884" priority="30897"/>
    <cfRule type="duplicateValues" dxfId="30883" priority="30896"/>
    <cfRule type="duplicateValues" dxfId="30882" priority="30895"/>
    <cfRule type="duplicateValues" dxfId="30881" priority="30894"/>
    <cfRule type="duplicateValues" dxfId="30880" priority="30893"/>
    <cfRule type="duplicateValues" dxfId="30879" priority="30892"/>
    <cfRule type="duplicateValues" dxfId="30878" priority="30891"/>
    <cfRule type="duplicateValues" dxfId="30877" priority="30890"/>
    <cfRule type="duplicateValues" dxfId="30876" priority="30889"/>
    <cfRule type="duplicateValues" dxfId="30875" priority="30888"/>
    <cfRule type="duplicateValues" dxfId="30874" priority="30887"/>
    <cfRule type="duplicateValues" dxfId="30873" priority="30886"/>
    <cfRule type="duplicateValues" dxfId="30872" priority="30885"/>
    <cfRule type="duplicateValues" dxfId="30871" priority="30884"/>
    <cfRule type="duplicateValues" dxfId="30870" priority="30883"/>
    <cfRule type="duplicateValues" dxfId="30869" priority="30882"/>
    <cfRule type="duplicateValues" dxfId="30868" priority="30881"/>
    <cfRule type="duplicateValues" dxfId="30867" priority="30880"/>
    <cfRule type="duplicateValues" dxfId="30866" priority="30879"/>
    <cfRule type="duplicateValues" dxfId="30865" priority="30878"/>
    <cfRule type="duplicateValues" dxfId="30864" priority="30877"/>
    <cfRule type="duplicateValues" dxfId="30863" priority="30876"/>
    <cfRule type="duplicateValues" dxfId="30862" priority="30875"/>
    <cfRule type="duplicateValues" dxfId="30861" priority="30874"/>
    <cfRule type="duplicateValues" dxfId="30860" priority="30873"/>
    <cfRule type="duplicateValues" dxfId="30859" priority="30872"/>
    <cfRule type="duplicateValues" dxfId="30858" priority="30871"/>
    <cfRule type="duplicateValues" dxfId="30857" priority="30870"/>
    <cfRule type="duplicateValues" dxfId="30856" priority="30869"/>
    <cfRule type="duplicateValues" dxfId="30855" priority="30868"/>
    <cfRule type="duplicateValues" dxfId="30854" priority="30867"/>
    <cfRule type="duplicateValues" dxfId="30853" priority="30866"/>
    <cfRule type="duplicateValues" dxfId="30852" priority="30865"/>
    <cfRule type="duplicateValues" dxfId="30851" priority="30864"/>
    <cfRule type="duplicateValues" dxfId="30850" priority="30863"/>
    <cfRule type="duplicateValues" dxfId="30849" priority="30862"/>
    <cfRule type="duplicateValues" dxfId="30848" priority="30861"/>
    <cfRule type="duplicateValues" dxfId="30847" priority="30860"/>
    <cfRule type="duplicateValues" dxfId="30846" priority="30859"/>
    <cfRule type="duplicateValues" dxfId="30845" priority="30858"/>
    <cfRule type="duplicateValues" dxfId="30844" priority="30857"/>
    <cfRule type="duplicateValues" dxfId="30843" priority="30856"/>
    <cfRule type="duplicateValues" dxfId="30842" priority="30855"/>
    <cfRule type="duplicateValues" dxfId="30841" priority="30854"/>
    <cfRule type="duplicateValues" dxfId="30840" priority="30853"/>
    <cfRule type="duplicateValues" dxfId="30839" priority="30852"/>
    <cfRule type="duplicateValues" dxfId="30838" priority="30851"/>
    <cfRule type="duplicateValues" dxfId="30837" priority="30850"/>
    <cfRule type="duplicateValues" dxfId="30836" priority="30849"/>
    <cfRule type="duplicateValues" dxfId="30835" priority="30848"/>
    <cfRule type="duplicateValues" dxfId="30834" priority="30847"/>
    <cfRule type="duplicateValues" dxfId="30833" priority="30846"/>
    <cfRule type="duplicateValues" dxfId="30832" priority="30845"/>
    <cfRule type="duplicateValues" dxfId="30831" priority="30844"/>
    <cfRule type="duplicateValues" dxfId="30830" priority="30843"/>
    <cfRule type="duplicateValues" dxfId="30829" priority="30842"/>
    <cfRule type="duplicateValues" dxfId="30828" priority="30841"/>
    <cfRule type="duplicateValues" dxfId="30827" priority="30840"/>
    <cfRule type="duplicateValues" dxfId="30826" priority="30839"/>
    <cfRule type="duplicateValues" dxfId="30825" priority="30838"/>
    <cfRule type="duplicateValues" dxfId="30824" priority="30837"/>
    <cfRule type="duplicateValues" dxfId="30823" priority="30836"/>
    <cfRule type="duplicateValues" dxfId="30822" priority="30835"/>
    <cfRule type="duplicateValues" dxfId="30821" priority="30834"/>
    <cfRule type="duplicateValues" dxfId="30820" priority="30833"/>
    <cfRule type="duplicateValues" dxfId="30819" priority="30832"/>
    <cfRule type="duplicateValues" dxfId="30818" priority="30831"/>
    <cfRule type="duplicateValues" dxfId="30817" priority="30830"/>
    <cfRule type="duplicateValues" dxfId="30816" priority="30829"/>
    <cfRule type="duplicateValues" dxfId="30815" priority="30828"/>
    <cfRule type="duplicateValues" dxfId="30814" priority="30827"/>
    <cfRule type="duplicateValues" dxfId="30813" priority="30826"/>
    <cfRule type="duplicateValues" dxfId="30812" priority="30825"/>
    <cfRule type="duplicateValues" dxfId="30811" priority="30824"/>
    <cfRule type="duplicateValues" dxfId="30810" priority="30823"/>
    <cfRule type="duplicateValues" dxfId="30809" priority="30822"/>
    <cfRule type="duplicateValues" dxfId="30808" priority="30821"/>
    <cfRule type="duplicateValues" dxfId="30807" priority="30820"/>
    <cfRule type="duplicateValues" dxfId="30806" priority="30819"/>
    <cfRule type="duplicateValues" dxfId="30805" priority="30818"/>
    <cfRule type="duplicateValues" dxfId="30804" priority="30817"/>
  </conditionalFormatting>
  <conditionalFormatting sqref="B134">
    <cfRule type="duplicateValues" dxfId="30803" priority="30638"/>
    <cfRule type="duplicateValues" dxfId="30802" priority="30637"/>
    <cfRule type="duplicateValues" dxfId="30801" priority="30636"/>
    <cfRule type="duplicateValues" dxfId="30800" priority="30639"/>
    <cfRule type="duplicateValues" dxfId="30799" priority="30812"/>
    <cfRule type="duplicateValues" dxfId="30798" priority="30811"/>
    <cfRule type="duplicateValues" dxfId="30797" priority="30810"/>
    <cfRule type="duplicateValues" dxfId="30796" priority="30809"/>
    <cfRule type="duplicateValues" dxfId="30795" priority="30808"/>
    <cfRule type="duplicateValues" dxfId="30794" priority="30807"/>
    <cfRule type="duplicateValues" dxfId="30793" priority="30806"/>
    <cfRule type="duplicateValues" dxfId="30792" priority="30805"/>
    <cfRule type="duplicateValues" dxfId="30791" priority="30804"/>
    <cfRule type="duplicateValues" dxfId="30790" priority="30803"/>
    <cfRule type="duplicateValues" dxfId="30789" priority="30802"/>
    <cfRule type="duplicateValues" dxfId="30788" priority="30801"/>
    <cfRule type="duplicateValues" dxfId="30787" priority="30800"/>
    <cfRule type="duplicateValues" dxfId="30786" priority="30799"/>
    <cfRule type="duplicateValues" dxfId="30785" priority="30798"/>
    <cfRule type="duplicateValues" dxfId="30784" priority="30797"/>
    <cfRule type="duplicateValues" dxfId="30783" priority="30796"/>
    <cfRule type="duplicateValues" dxfId="30782" priority="30795"/>
    <cfRule type="duplicateValues" dxfId="30781" priority="30794"/>
    <cfRule type="duplicateValues" dxfId="30780" priority="30793"/>
    <cfRule type="duplicateValues" dxfId="30779" priority="30792"/>
    <cfRule type="duplicateValues" dxfId="30778" priority="30791"/>
    <cfRule type="duplicateValues" dxfId="30777" priority="30790"/>
    <cfRule type="duplicateValues" dxfId="30776" priority="30789"/>
    <cfRule type="duplicateValues" dxfId="30775" priority="30788"/>
    <cfRule type="duplicateValues" dxfId="30774" priority="30787"/>
    <cfRule type="duplicateValues" dxfId="30773" priority="30786"/>
    <cfRule type="duplicateValues" dxfId="30772" priority="30785"/>
    <cfRule type="duplicateValues" dxfId="30771" priority="30784"/>
    <cfRule type="duplicateValues" dxfId="30770" priority="30783"/>
    <cfRule type="duplicateValues" dxfId="30769" priority="30782"/>
    <cfRule type="duplicateValues" dxfId="30768" priority="30781"/>
    <cfRule type="duplicateValues" dxfId="30767" priority="30780"/>
    <cfRule type="duplicateValues" dxfId="30766" priority="30779"/>
    <cfRule type="duplicateValues" dxfId="30765" priority="30778"/>
    <cfRule type="duplicateValues" dxfId="30764" priority="30777"/>
    <cfRule type="duplicateValues" dxfId="30763" priority="30776"/>
    <cfRule type="duplicateValues" dxfId="30762" priority="30775"/>
    <cfRule type="duplicateValues" dxfId="30761" priority="30774"/>
    <cfRule type="duplicateValues" dxfId="30760" priority="30773"/>
    <cfRule type="duplicateValues" dxfId="30759" priority="30772"/>
    <cfRule type="duplicateValues" dxfId="30758" priority="30771"/>
    <cfRule type="duplicateValues" dxfId="30757" priority="30770"/>
    <cfRule type="duplicateValues" dxfId="30756" priority="30769"/>
    <cfRule type="duplicateValues" dxfId="30755" priority="30768"/>
    <cfRule type="duplicateValues" dxfId="30754" priority="30767"/>
    <cfRule type="duplicateValues" dxfId="30753" priority="30766"/>
    <cfRule type="duplicateValues" dxfId="30752" priority="30765"/>
    <cfRule type="duplicateValues" dxfId="30751" priority="30764"/>
    <cfRule type="duplicateValues" dxfId="30750" priority="30763"/>
    <cfRule type="duplicateValues" dxfId="30749" priority="30762"/>
    <cfRule type="duplicateValues" dxfId="30748" priority="30761"/>
    <cfRule type="duplicateValues" dxfId="30747" priority="30760"/>
    <cfRule type="duplicateValues" dxfId="30746" priority="30759"/>
    <cfRule type="duplicateValues" dxfId="30745" priority="30758"/>
    <cfRule type="duplicateValues" dxfId="30744" priority="30757"/>
    <cfRule type="duplicateValues" dxfId="30743" priority="30756"/>
    <cfRule type="duplicateValues" dxfId="30742" priority="30755"/>
    <cfRule type="duplicateValues" dxfId="30741" priority="30754"/>
    <cfRule type="duplicateValues" dxfId="30740" priority="30753"/>
    <cfRule type="duplicateValues" dxfId="30739" priority="30752"/>
    <cfRule type="duplicateValues" dxfId="30738" priority="30751"/>
    <cfRule type="duplicateValues" dxfId="30737" priority="30750"/>
    <cfRule type="duplicateValues" dxfId="30736" priority="30749"/>
    <cfRule type="duplicateValues" dxfId="30735" priority="30748"/>
    <cfRule type="duplicateValues" dxfId="30734" priority="30747"/>
    <cfRule type="duplicateValues" dxfId="30733" priority="30746"/>
    <cfRule type="duplicateValues" dxfId="30732" priority="30745"/>
    <cfRule type="duplicateValues" dxfId="30731" priority="30744"/>
    <cfRule type="duplicateValues" dxfId="30730" priority="30743"/>
    <cfRule type="duplicateValues" dxfId="30729" priority="30742"/>
    <cfRule type="duplicateValues" dxfId="30728" priority="30741"/>
    <cfRule type="duplicateValues" dxfId="30727" priority="30740"/>
    <cfRule type="duplicateValues" dxfId="30726" priority="30739"/>
    <cfRule type="duplicateValues" dxfId="30725" priority="30738"/>
    <cfRule type="duplicateValues" dxfId="30724" priority="30737"/>
    <cfRule type="duplicateValues" dxfId="30723" priority="30736"/>
    <cfRule type="duplicateValues" dxfId="30722" priority="30735"/>
    <cfRule type="duplicateValues" dxfId="30721" priority="30734"/>
    <cfRule type="duplicateValues" dxfId="30720" priority="30733"/>
    <cfRule type="duplicateValues" dxfId="30719" priority="30732"/>
    <cfRule type="duplicateValues" dxfId="30718" priority="30731"/>
    <cfRule type="duplicateValues" dxfId="30717" priority="30730"/>
    <cfRule type="duplicateValues" dxfId="30716" priority="30729"/>
    <cfRule type="duplicateValues" dxfId="30715" priority="30728"/>
    <cfRule type="duplicateValues" dxfId="30714" priority="30727"/>
    <cfRule type="duplicateValues" dxfId="30713" priority="30726"/>
    <cfRule type="duplicateValues" dxfId="30712" priority="30725"/>
    <cfRule type="duplicateValues" dxfId="30711" priority="30724"/>
    <cfRule type="duplicateValues" dxfId="30710" priority="30723"/>
    <cfRule type="duplicateValues" dxfId="30709" priority="30722"/>
    <cfRule type="duplicateValues" dxfId="30708" priority="30721"/>
    <cfRule type="duplicateValues" dxfId="30707" priority="30720"/>
    <cfRule type="duplicateValues" dxfId="30706" priority="30719"/>
    <cfRule type="duplicateValues" dxfId="30705" priority="30718"/>
    <cfRule type="duplicateValues" dxfId="30704" priority="30717"/>
    <cfRule type="duplicateValues" dxfId="30703" priority="30716"/>
    <cfRule type="duplicateValues" dxfId="30702" priority="30715"/>
    <cfRule type="duplicateValues" dxfId="30701" priority="30714"/>
    <cfRule type="duplicateValues" dxfId="30700" priority="30713"/>
    <cfRule type="duplicateValues" dxfId="30699" priority="30712"/>
    <cfRule type="duplicateValues" dxfId="30698" priority="30711"/>
    <cfRule type="duplicateValues" dxfId="30697" priority="30710"/>
    <cfRule type="duplicateValues" dxfId="30696" priority="30709"/>
    <cfRule type="duplicateValues" dxfId="30695" priority="30708"/>
    <cfRule type="duplicateValues" dxfId="30694" priority="30707"/>
    <cfRule type="duplicateValues" dxfId="30693" priority="30706"/>
    <cfRule type="duplicateValues" dxfId="30692" priority="30705"/>
    <cfRule type="duplicateValues" dxfId="30691" priority="30704"/>
    <cfRule type="duplicateValues" dxfId="30690" priority="30703"/>
    <cfRule type="duplicateValues" dxfId="30689" priority="30702"/>
    <cfRule type="duplicateValues" dxfId="30688" priority="30701"/>
    <cfRule type="duplicateValues" dxfId="30687" priority="30700"/>
    <cfRule type="duplicateValues" dxfId="30686" priority="30699"/>
    <cfRule type="duplicateValues" dxfId="30685" priority="30698"/>
    <cfRule type="duplicateValues" dxfId="30684" priority="30697"/>
    <cfRule type="duplicateValues" dxfId="30683" priority="30696"/>
    <cfRule type="duplicateValues" dxfId="30682" priority="30695"/>
    <cfRule type="duplicateValues" dxfId="30681" priority="30694"/>
    <cfRule type="duplicateValues" dxfId="30680" priority="30693"/>
    <cfRule type="duplicateValues" dxfId="30679" priority="30692"/>
    <cfRule type="duplicateValues" dxfId="30678" priority="30691"/>
    <cfRule type="duplicateValues" dxfId="30677" priority="30690"/>
    <cfRule type="duplicateValues" dxfId="30676" priority="30689"/>
    <cfRule type="duplicateValues" dxfId="30675" priority="30688"/>
    <cfRule type="duplicateValues" dxfId="30674" priority="30687"/>
    <cfRule type="duplicateValues" dxfId="30673" priority="30686"/>
    <cfRule type="duplicateValues" dxfId="30672" priority="30685"/>
    <cfRule type="duplicateValues" dxfId="30671" priority="30684"/>
    <cfRule type="duplicateValues" dxfId="30670" priority="30683"/>
    <cfRule type="duplicateValues" dxfId="30669" priority="30682"/>
    <cfRule type="duplicateValues" dxfId="30668" priority="30681"/>
    <cfRule type="duplicateValues" dxfId="30667" priority="30680"/>
    <cfRule type="duplicateValues" dxfId="30666" priority="30679"/>
    <cfRule type="duplicateValues" dxfId="30665" priority="30678"/>
    <cfRule type="duplicateValues" dxfId="30664" priority="30677"/>
    <cfRule type="duplicateValues" dxfId="30663" priority="30676"/>
    <cfRule type="duplicateValues" dxfId="30662" priority="30675"/>
    <cfRule type="duplicateValues" dxfId="30661" priority="30674"/>
    <cfRule type="duplicateValues" dxfId="30660" priority="30673"/>
    <cfRule type="duplicateValues" dxfId="30659" priority="30672"/>
    <cfRule type="duplicateValues" dxfId="30658" priority="30671"/>
    <cfRule type="duplicateValues" dxfId="30657" priority="30670"/>
    <cfRule type="duplicateValues" dxfId="30656" priority="30669"/>
    <cfRule type="duplicateValues" dxfId="30655" priority="30668"/>
    <cfRule type="duplicateValues" dxfId="30654" priority="30667"/>
    <cfRule type="duplicateValues" dxfId="30653" priority="30666"/>
    <cfRule type="duplicateValues" dxfId="30652" priority="30665"/>
    <cfRule type="duplicateValues" dxfId="30651" priority="30664"/>
    <cfRule type="duplicateValues" dxfId="30650" priority="30663"/>
    <cfRule type="duplicateValues" dxfId="30649" priority="30662"/>
    <cfRule type="duplicateValues" dxfId="30648" priority="30661"/>
    <cfRule type="duplicateValues" dxfId="30647" priority="30660"/>
    <cfRule type="duplicateValues" dxfId="30646" priority="30659"/>
    <cfRule type="duplicateValues" dxfId="30645" priority="30658"/>
    <cfRule type="duplicateValues" dxfId="30644" priority="30657"/>
    <cfRule type="duplicateValues" dxfId="30643" priority="30656"/>
    <cfRule type="duplicateValues" dxfId="30642" priority="30655"/>
    <cfRule type="duplicateValues" dxfId="30641" priority="30654"/>
    <cfRule type="duplicateValues" dxfId="30640" priority="30653"/>
    <cfRule type="duplicateValues" dxfId="30639" priority="30652"/>
    <cfRule type="duplicateValues" dxfId="30638" priority="30651"/>
    <cfRule type="duplicateValues" dxfId="30637" priority="30650"/>
    <cfRule type="duplicateValues" dxfId="30636" priority="30649"/>
    <cfRule type="duplicateValues" dxfId="30635" priority="30648"/>
    <cfRule type="duplicateValues" dxfId="30634" priority="30647"/>
    <cfRule type="duplicateValues" dxfId="30633" priority="30646"/>
    <cfRule type="duplicateValues" dxfId="30632" priority="30645"/>
    <cfRule type="duplicateValues" dxfId="30631" priority="30644"/>
    <cfRule type="duplicateValues" dxfId="30630" priority="30643"/>
    <cfRule type="duplicateValues" dxfId="30629" priority="30642"/>
    <cfRule type="duplicateValues" dxfId="30628" priority="30641"/>
    <cfRule type="duplicateValues" dxfId="30627" priority="30640"/>
  </conditionalFormatting>
  <conditionalFormatting sqref="B135">
    <cfRule type="duplicateValues" dxfId="30626" priority="30595"/>
    <cfRule type="duplicateValues" dxfId="30625" priority="30462"/>
    <cfRule type="duplicateValues" dxfId="30624" priority="30461"/>
    <cfRule type="duplicateValues" dxfId="30623" priority="30460"/>
    <cfRule type="duplicateValues" dxfId="30622" priority="30635"/>
    <cfRule type="duplicateValues" dxfId="30621" priority="30634"/>
    <cfRule type="duplicateValues" dxfId="30620" priority="30633"/>
    <cfRule type="duplicateValues" dxfId="30619" priority="30632"/>
    <cfRule type="duplicateValues" dxfId="30618" priority="30631"/>
    <cfRule type="duplicateValues" dxfId="30617" priority="30630"/>
    <cfRule type="duplicateValues" dxfId="30616" priority="30629"/>
    <cfRule type="duplicateValues" dxfId="30615" priority="30628"/>
    <cfRule type="duplicateValues" dxfId="30614" priority="30627"/>
    <cfRule type="duplicateValues" dxfId="30613" priority="30626"/>
    <cfRule type="duplicateValues" dxfId="30612" priority="30625"/>
    <cfRule type="duplicateValues" dxfId="30611" priority="30624"/>
    <cfRule type="duplicateValues" dxfId="30610" priority="30623"/>
    <cfRule type="duplicateValues" dxfId="30609" priority="30622"/>
    <cfRule type="duplicateValues" dxfId="30608" priority="30621"/>
    <cfRule type="duplicateValues" dxfId="30607" priority="30620"/>
    <cfRule type="duplicateValues" dxfId="30606" priority="30619"/>
    <cfRule type="duplicateValues" dxfId="30605" priority="30618"/>
    <cfRule type="duplicateValues" dxfId="30604" priority="30617"/>
    <cfRule type="duplicateValues" dxfId="30603" priority="30616"/>
    <cfRule type="duplicateValues" dxfId="30602" priority="30615"/>
    <cfRule type="duplicateValues" dxfId="30601" priority="30614"/>
    <cfRule type="duplicateValues" dxfId="30600" priority="30613"/>
    <cfRule type="duplicateValues" dxfId="30599" priority="30612"/>
    <cfRule type="duplicateValues" dxfId="30598" priority="30611"/>
    <cfRule type="duplicateValues" dxfId="30597" priority="30610"/>
    <cfRule type="duplicateValues" dxfId="30596" priority="30609"/>
    <cfRule type="duplicateValues" dxfId="30595" priority="30608"/>
    <cfRule type="duplicateValues" dxfId="30594" priority="30607"/>
    <cfRule type="duplicateValues" dxfId="30593" priority="30606"/>
    <cfRule type="duplicateValues" dxfId="30592" priority="30605"/>
    <cfRule type="duplicateValues" dxfId="30591" priority="30604"/>
    <cfRule type="duplicateValues" dxfId="30590" priority="30603"/>
    <cfRule type="duplicateValues" dxfId="30589" priority="30602"/>
    <cfRule type="duplicateValues" dxfId="30588" priority="30601"/>
    <cfRule type="duplicateValues" dxfId="30587" priority="30600"/>
    <cfRule type="duplicateValues" dxfId="30586" priority="30599"/>
    <cfRule type="duplicateValues" dxfId="30585" priority="30598"/>
    <cfRule type="duplicateValues" dxfId="30584" priority="30597"/>
    <cfRule type="duplicateValues" dxfId="30583" priority="30596"/>
    <cfRule type="duplicateValues" dxfId="30582" priority="30551"/>
    <cfRule type="duplicateValues" dxfId="30581" priority="30594"/>
    <cfRule type="duplicateValues" dxfId="30580" priority="30593"/>
    <cfRule type="duplicateValues" dxfId="30579" priority="30592"/>
    <cfRule type="duplicateValues" dxfId="30578" priority="30591"/>
    <cfRule type="duplicateValues" dxfId="30577" priority="30590"/>
    <cfRule type="duplicateValues" dxfId="30576" priority="30589"/>
    <cfRule type="duplicateValues" dxfId="30575" priority="30588"/>
    <cfRule type="duplicateValues" dxfId="30574" priority="30587"/>
    <cfRule type="duplicateValues" dxfId="30573" priority="30586"/>
    <cfRule type="duplicateValues" dxfId="30572" priority="30585"/>
    <cfRule type="duplicateValues" dxfId="30571" priority="30584"/>
    <cfRule type="duplicateValues" dxfId="30570" priority="30583"/>
    <cfRule type="duplicateValues" dxfId="30569" priority="30582"/>
    <cfRule type="duplicateValues" dxfId="30568" priority="30581"/>
    <cfRule type="duplicateValues" dxfId="30567" priority="30580"/>
    <cfRule type="duplicateValues" dxfId="30566" priority="30579"/>
    <cfRule type="duplicateValues" dxfId="30565" priority="30578"/>
    <cfRule type="duplicateValues" dxfId="30564" priority="30577"/>
    <cfRule type="duplicateValues" dxfId="30563" priority="30576"/>
    <cfRule type="duplicateValues" dxfId="30562" priority="30575"/>
    <cfRule type="duplicateValues" dxfId="30561" priority="30574"/>
    <cfRule type="duplicateValues" dxfId="30560" priority="30573"/>
    <cfRule type="duplicateValues" dxfId="30559" priority="30572"/>
    <cfRule type="duplicateValues" dxfId="30558" priority="30571"/>
    <cfRule type="duplicateValues" dxfId="30557" priority="30570"/>
    <cfRule type="duplicateValues" dxfId="30556" priority="30569"/>
    <cfRule type="duplicateValues" dxfId="30555" priority="30568"/>
    <cfRule type="duplicateValues" dxfId="30554" priority="30567"/>
    <cfRule type="duplicateValues" dxfId="30553" priority="30566"/>
    <cfRule type="duplicateValues" dxfId="30552" priority="30565"/>
    <cfRule type="duplicateValues" dxfId="30551" priority="30564"/>
    <cfRule type="duplicateValues" dxfId="30550" priority="30563"/>
    <cfRule type="duplicateValues" dxfId="30549" priority="30562"/>
    <cfRule type="duplicateValues" dxfId="30548" priority="30561"/>
    <cfRule type="duplicateValues" dxfId="30547" priority="30560"/>
    <cfRule type="duplicateValues" dxfId="30546" priority="30559"/>
    <cfRule type="duplicateValues" dxfId="30545" priority="30558"/>
    <cfRule type="duplicateValues" dxfId="30544" priority="30557"/>
    <cfRule type="duplicateValues" dxfId="30543" priority="30556"/>
    <cfRule type="duplicateValues" dxfId="30542" priority="30555"/>
    <cfRule type="duplicateValues" dxfId="30541" priority="30554"/>
    <cfRule type="duplicateValues" dxfId="30540" priority="30553"/>
    <cfRule type="duplicateValues" dxfId="30539" priority="30552"/>
    <cfRule type="duplicateValues" dxfId="30538" priority="30459"/>
    <cfRule type="duplicateValues" dxfId="30537" priority="30550"/>
    <cfRule type="duplicateValues" dxfId="30536" priority="30549"/>
    <cfRule type="duplicateValues" dxfId="30535" priority="30548"/>
    <cfRule type="duplicateValues" dxfId="30534" priority="30547"/>
    <cfRule type="duplicateValues" dxfId="30533" priority="30546"/>
    <cfRule type="duplicateValues" dxfId="30532" priority="30545"/>
    <cfRule type="duplicateValues" dxfId="30531" priority="30544"/>
    <cfRule type="duplicateValues" dxfId="30530" priority="30543"/>
    <cfRule type="duplicateValues" dxfId="30529" priority="30542"/>
    <cfRule type="duplicateValues" dxfId="30528" priority="30541"/>
    <cfRule type="duplicateValues" dxfId="30527" priority="30540"/>
    <cfRule type="duplicateValues" dxfId="30526" priority="30539"/>
    <cfRule type="duplicateValues" dxfId="30525" priority="30538"/>
    <cfRule type="duplicateValues" dxfId="30524" priority="30537"/>
    <cfRule type="duplicateValues" dxfId="30523" priority="30536"/>
    <cfRule type="duplicateValues" dxfId="30522" priority="30535"/>
    <cfRule type="duplicateValues" dxfId="30521" priority="30534"/>
    <cfRule type="duplicateValues" dxfId="30520" priority="30533"/>
    <cfRule type="duplicateValues" dxfId="30519" priority="30532"/>
    <cfRule type="duplicateValues" dxfId="30518" priority="30531"/>
    <cfRule type="duplicateValues" dxfId="30517" priority="30530"/>
    <cfRule type="duplicateValues" dxfId="30516" priority="30529"/>
    <cfRule type="duplicateValues" dxfId="30515" priority="30528"/>
    <cfRule type="duplicateValues" dxfId="30514" priority="30527"/>
    <cfRule type="duplicateValues" dxfId="30513" priority="30526"/>
    <cfRule type="duplicateValues" dxfId="30512" priority="30525"/>
    <cfRule type="duplicateValues" dxfId="30511" priority="30524"/>
    <cfRule type="duplicateValues" dxfId="30510" priority="30523"/>
    <cfRule type="duplicateValues" dxfId="30509" priority="30522"/>
    <cfRule type="duplicateValues" dxfId="30508" priority="30521"/>
    <cfRule type="duplicateValues" dxfId="30507" priority="30520"/>
    <cfRule type="duplicateValues" dxfId="30506" priority="30519"/>
    <cfRule type="duplicateValues" dxfId="30505" priority="30518"/>
    <cfRule type="duplicateValues" dxfId="30504" priority="30517"/>
    <cfRule type="duplicateValues" dxfId="30503" priority="30516"/>
    <cfRule type="duplicateValues" dxfId="30502" priority="30515"/>
    <cfRule type="duplicateValues" dxfId="30501" priority="30514"/>
    <cfRule type="duplicateValues" dxfId="30500" priority="30513"/>
    <cfRule type="duplicateValues" dxfId="30499" priority="30512"/>
    <cfRule type="duplicateValues" dxfId="30498" priority="30511"/>
    <cfRule type="duplicateValues" dxfId="30497" priority="30510"/>
    <cfRule type="duplicateValues" dxfId="30496" priority="30509"/>
    <cfRule type="duplicateValues" dxfId="30495" priority="30508"/>
    <cfRule type="duplicateValues" dxfId="30494" priority="30507"/>
    <cfRule type="duplicateValues" dxfId="30493" priority="30506"/>
    <cfRule type="duplicateValues" dxfId="30492" priority="30505"/>
    <cfRule type="duplicateValues" dxfId="30491" priority="30504"/>
    <cfRule type="duplicateValues" dxfId="30490" priority="30503"/>
    <cfRule type="duplicateValues" dxfId="30489" priority="30502"/>
    <cfRule type="duplicateValues" dxfId="30488" priority="30501"/>
    <cfRule type="duplicateValues" dxfId="30487" priority="30500"/>
    <cfRule type="duplicateValues" dxfId="30486" priority="30499"/>
    <cfRule type="duplicateValues" dxfId="30485" priority="30498"/>
    <cfRule type="duplicateValues" dxfId="30484" priority="30497"/>
    <cfRule type="duplicateValues" dxfId="30483" priority="30496"/>
    <cfRule type="duplicateValues" dxfId="30482" priority="30495"/>
    <cfRule type="duplicateValues" dxfId="30481" priority="30494"/>
    <cfRule type="duplicateValues" dxfId="30480" priority="30493"/>
    <cfRule type="duplicateValues" dxfId="30479" priority="30492"/>
    <cfRule type="duplicateValues" dxfId="30478" priority="30491"/>
    <cfRule type="duplicateValues" dxfId="30477" priority="30490"/>
    <cfRule type="duplicateValues" dxfId="30476" priority="30489"/>
    <cfRule type="duplicateValues" dxfId="30475" priority="30488"/>
    <cfRule type="duplicateValues" dxfId="30474" priority="30487"/>
    <cfRule type="duplicateValues" dxfId="30473" priority="30486"/>
    <cfRule type="duplicateValues" dxfId="30472" priority="30485"/>
    <cfRule type="duplicateValues" dxfId="30471" priority="30484"/>
    <cfRule type="duplicateValues" dxfId="30470" priority="30483"/>
    <cfRule type="duplicateValues" dxfId="30469" priority="30482"/>
    <cfRule type="duplicateValues" dxfId="30468" priority="30481"/>
    <cfRule type="duplicateValues" dxfId="30467" priority="30480"/>
    <cfRule type="duplicateValues" dxfId="30466" priority="30479"/>
    <cfRule type="duplicateValues" dxfId="30465" priority="30478"/>
    <cfRule type="duplicateValues" dxfId="30464" priority="30477"/>
    <cfRule type="duplicateValues" dxfId="30463" priority="30476"/>
    <cfRule type="duplicateValues" dxfId="30462" priority="30475"/>
    <cfRule type="duplicateValues" dxfId="30461" priority="30474"/>
    <cfRule type="duplicateValues" dxfId="30460" priority="30473"/>
    <cfRule type="duplicateValues" dxfId="30459" priority="30472"/>
    <cfRule type="duplicateValues" dxfId="30458" priority="30471"/>
    <cfRule type="duplicateValues" dxfId="30457" priority="30470"/>
    <cfRule type="duplicateValues" dxfId="30456" priority="30469"/>
    <cfRule type="duplicateValues" dxfId="30455" priority="30468"/>
    <cfRule type="duplicateValues" dxfId="30454" priority="30467"/>
    <cfRule type="duplicateValues" dxfId="30453" priority="30466"/>
    <cfRule type="duplicateValues" dxfId="30452" priority="30465"/>
    <cfRule type="duplicateValues" dxfId="30451" priority="30464"/>
    <cfRule type="duplicateValues" dxfId="30450" priority="30463"/>
  </conditionalFormatting>
  <conditionalFormatting sqref="B136">
    <cfRule type="duplicateValues" dxfId="30449" priority="30284"/>
    <cfRule type="duplicateValues" dxfId="30448" priority="30283"/>
    <cfRule type="duplicateValues" dxfId="30447" priority="30282"/>
    <cfRule type="duplicateValues" dxfId="30446" priority="30285"/>
    <cfRule type="duplicateValues" dxfId="30445" priority="30458"/>
    <cfRule type="duplicateValues" dxfId="30444" priority="30457"/>
    <cfRule type="duplicateValues" dxfId="30443" priority="30456"/>
    <cfRule type="duplicateValues" dxfId="30442" priority="30455"/>
    <cfRule type="duplicateValues" dxfId="30441" priority="30454"/>
    <cfRule type="duplicateValues" dxfId="30440" priority="30453"/>
    <cfRule type="duplicateValues" dxfId="30439" priority="30452"/>
    <cfRule type="duplicateValues" dxfId="30438" priority="30451"/>
    <cfRule type="duplicateValues" dxfId="30437" priority="30450"/>
    <cfRule type="duplicateValues" dxfId="30436" priority="30449"/>
    <cfRule type="duplicateValues" dxfId="30435" priority="30448"/>
    <cfRule type="duplicateValues" dxfId="30434" priority="30447"/>
    <cfRule type="duplicateValues" dxfId="30433" priority="30446"/>
    <cfRule type="duplicateValues" dxfId="30432" priority="30445"/>
    <cfRule type="duplicateValues" dxfId="30431" priority="30444"/>
    <cfRule type="duplicateValues" dxfId="30430" priority="30443"/>
    <cfRule type="duplicateValues" dxfId="30429" priority="30442"/>
    <cfRule type="duplicateValues" dxfId="30428" priority="30441"/>
    <cfRule type="duplicateValues" dxfId="30427" priority="30440"/>
    <cfRule type="duplicateValues" dxfId="30426" priority="30439"/>
    <cfRule type="duplicateValues" dxfId="30425" priority="30438"/>
    <cfRule type="duplicateValues" dxfId="30424" priority="30437"/>
    <cfRule type="duplicateValues" dxfId="30423" priority="30436"/>
    <cfRule type="duplicateValues" dxfId="30422" priority="30435"/>
    <cfRule type="duplicateValues" dxfId="30421" priority="30434"/>
    <cfRule type="duplicateValues" dxfId="30420" priority="30433"/>
    <cfRule type="duplicateValues" dxfId="30419" priority="30432"/>
    <cfRule type="duplicateValues" dxfId="30418" priority="30431"/>
    <cfRule type="duplicateValues" dxfId="30417" priority="30430"/>
    <cfRule type="duplicateValues" dxfId="30416" priority="30429"/>
    <cfRule type="duplicateValues" dxfId="30415" priority="30428"/>
    <cfRule type="duplicateValues" dxfId="30414" priority="30427"/>
    <cfRule type="duplicateValues" dxfId="30413" priority="30426"/>
    <cfRule type="duplicateValues" dxfId="30412" priority="30425"/>
    <cfRule type="duplicateValues" dxfId="30411" priority="30424"/>
    <cfRule type="duplicateValues" dxfId="30410" priority="30423"/>
    <cfRule type="duplicateValues" dxfId="30409" priority="30422"/>
    <cfRule type="duplicateValues" dxfId="30408" priority="30421"/>
    <cfRule type="duplicateValues" dxfId="30407" priority="30420"/>
    <cfRule type="duplicateValues" dxfId="30406" priority="30419"/>
    <cfRule type="duplicateValues" dxfId="30405" priority="30418"/>
    <cfRule type="duplicateValues" dxfId="30404" priority="30417"/>
    <cfRule type="duplicateValues" dxfId="30403" priority="30416"/>
    <cfRule type="duplicateValues" dxfId="30402" priority="30415"/>
    <cfRule type="duplicateValues" dxfId="30401" priority="30414"/>
    <cfRule type="duplicateValues" dxfId="30400" priority="30413"/>
    <cfRule type="duplicateValues" dxfId="30399" priority="30412"/>
    <cfRule type="duplicateValues" dxfId="30398" priority="30411"/>
    <cfRule type="duplicateValues" dxfId="30397" priority="30410"/>
    <cfRule type="duplicateValues" dxfId="30396" priority="30409"/>
    <cfRule type="duplicateValues" dxfId="30395" priority="30408"/>
    <cfRule type="duplicateValues" dxfId="30394" priority="30407"/>
    <cfRule type="duplicateValues" dxfId="30393" priority="30406"/>
    <cfRule type="duplicateValues" dxfId="30392" priority="30405"/>
    <cfRule type="duplicateValues" dxfId="30391" priority="30404"/>
    <cfRule type="duplicateValues" dxfId="30390" priority="30403"/>
    <cfRule type="duplicateValues" dxfId="30389" priority="30402"/>
    <cfRule type="duplicateValues" dxfId="30388" priority="30401"/>
    <cfRule type="duplicateValues" dxfId="30387" priority="30400"/>
    <cfRule type="duplicateValues" dxfId="30386" priority="30399"/>
    <cfRule type="duplicateValues" dxfId="30385" priority="30398"/>
    <cfRule type="duplicateValues" dxfId="30384" priority="30397"/>
    <cfRule type="duplicateValues" dxfId="30383" priority="30396"/>
    <cfRule type="duplicateValues" dxfId="30382" priority="30395"/>
    <cfRule type="duplicateValues" dxfId="30381" priority="30394"/>
    <cfRule type="duplicateValues" dxfId="30380" priority="30393"/>
    <cfRule type="duplicateValues" dxfId="30379" priority="30392"/>
    <cfRule type="duplicateValues" dxfId="30378" priority="30391"/>
    <cfRule type="duplicateValues" dxfId="30377" priority="30390"/>
    <cfRule type="duplicateValues" dxfId="30376" priority="30389"/>
    <cfRule type="duplicateValues" dxfId="30375" priority="30388"/>
    <cfRule type="duplicateValues" dxfId="30374" priority="30387"/>
    <cfRule type="duplicateValues" dxfId="30373" priority="30386"/>
    <cfRule type="duplicateValues" dxfId="30372" priority="30385"/>
    <cfRule type="duplicateValues" dxfId="30371" priority="30384"/>
    <cfRule type="duplicateValues" dxfId="30370" priority="30383"/>
    <cfRule type="duplicateValues" dxfId="30369" priority="30382"/>
    <cfRule type="duplicateValues" dxfId="30368" priority="30381"/>
    <cfRule type="duplicateValues" dxfId="30367" priority="30380"/>
    <cfRule type="duplicateValues" dxfId="30366" priority="30379"/>
    <cfRule type="duplicateValues" dxfId="30365" priority="30378"/>
    <cfRule type="duplicateValues" dxfId="30364" priority="30377"/>
    <cfRule type="duplicateValues" dxfId="30363" priority="30376"/>
    <cfRule type="duplicateValues" dxfId="30362" priority="30375"/>
    <cfRule type="duplicateValues" dxfId="30361" priority="30374"/>
    <cfRule type="duplicateValues" dxfId="30360" priority="30373"/>
    <cfRule type="duplicateValues" dxfId="30359" priority="30372"/>
    <cfRule type="duplicateValues" dxfId="30358" priority="30371"/>
    <cfRule type="duplicateValues" dxfId="30357" priority="30370"/>
    <cfRule type="duplicateValues" dxfId="30356" priority="30369"/>
    <cfRule type="duplicateValues" dxfId="30355" priority="30368"/>
    <cfRule type="duplicateValues" dxfId="30354" priority="30367"/>
    <cfRule type="duplicateValues" dxfId="30353" priority="30366"/>
    <cfRule type="duplicateValues" dxfId="30352" priority="30365"/>
    <cfRule type="duplicateValues" dxfId="30351" priority="30364"/>
    <cfRule type="duplicateValues" dxfId="30350" priority="30363"/>
    <cfRule type="duplicateValues" dxfId="30349" priority="30362"/>
    <cfRule type="duplicateValues" dxfId="30348" priority="30361"/>
    <cfRule type="duplicateValues" dxfId="30347" priority="30360"/>
    <cfRule type="duplicateValues" dxfId="30346" priority="30359"/>
    <cfRule type="duplicateValues" dxfId="30345" priority="30358"/>
    <cfRule type="duplicateValues" dxfId="30344" priority="30357"/>
    <cfRule type="duplicateValues" dxfId="30343" priority="30356"/>
    <cfRule type="duplicateValues" dxfId="30342" priority="30355"/>
    <cfRule type="duplicateValues" dxfId="30341" priority="30354"/>
    <cfRule type="duplicateValues" dxfId="30340" priority="30353"/>
    <cfRule type="duplicateValues" dxfId="30339" priority="30352"/>
    <cfRule type="duplicateValues" dxfId="30338" priority="30351"/>
    <cfRule type="duplicateValues" dxfId="30337" priority="30350"/>
    <cfRule type="duplicateValues" dxfId="30336" priority="30349"/>
    <cfRule type="duplicateValues" dxfId="30335" priority="30348"/>
    <cfRule type="duplicateValues" dxfId="30334" priority="30347"/>
    <cfRule type="duplicateValues" dxfId="30333" priority="30346"/>
    <cfRule type="duplicateValues" dxfId="30332" priority="30345"/>
    <cfRule type="duplicateValues" dxfId="30331" priority="30344"/>
    <cfRule type="duplicateValues" dxfId="30330" priority="30343"/>
    <cfRule type="duplicateValues" dxfId="30329" priority="30342"/>
    <cfRule type="duplicateValues" dxfId="30328" priority="30341"/>
    <cfRule type="duplicateValues" dxfId="30327" priority="30340"/>
    <cfRule type="duplicateValues" dxfId="30326" priority="30339"/>
    <cfRule type="duplicateValues" dxfId="30325" priority="30338"/>
    <cfRule type="duplicateValues" dxfId="30324" priority="30337"/>
    <cfRule type="duplicateValues" dxfId="30323" priority="30336"/>
    <cfRule type="duplicateValues" dxfId="30322" priority="30335"/>
    <cfRule type="duplicateValues" dxfId="30321" priority="30334"/>
    <cfRule type="duplicateValues" dxfId="30320" priority="30333"/>
    <cfRule type="duplicateValues" dxfId="30319" priority="30332"/>
    <cfRule type="duplicateValues" dxfId="30318" priority="30331"/>
    <cfRule type="duplicateValues" dxfId="30317" priority="30330"/>
    <cfRule type="duplicateValues" dxfId="30316" priority="30329"/>
    <cfRule type="duplicateValues" dxfId="30315" priority="30328"/>
    <cfRule type="duplicateValues" dxfId="30314" priority="30327"/>
    <cfRule type="duplicateValues" dxfId="30313" priority="30326"/>
    <cfRule type="duplicateValues" dxfId="30312" priority="30325"/>
    <cfRule type="duplicateValues" dxfId="30311" priority="30324"/>
    <cfRule type="duplicateValues" dxfId="30310" priority="30323"/>
    <cfRule type="duplicateValues" dxfId="30309" priority="30322"/>
    <cfRule type="duplicateValues" dxfId="30308" priority="30321"/>
    <cfRule type="duplicateValues" dxfId="30307" priority="30320"/>
    <cfRule type="duplicateValues" dxfId="30306" priority="30319"/>
    <cfRule type="duplicateValues" dxfId="30305" priority="30318"/>
    <cfRule type="duplicateValues" dxfId="30304" priority="30317"/>
    <cfRule type="duplicateValues" dxfId="30303" priority="30316"/>
    <cfRule type="duplicateValues" dxfId="30302" priority="30315"/>
    <cfRule type="duplicateValues" dxfId="30301" priority="30314"/>
    <cfRule type="duplicateValues" dxfId="30300" priority="30313"/>
    <cfRule type="duplicateValues" dxfId="30299" priority="30312"/>
    <cfRule type="duplicateValues" dxfId="30298" priority="30311"/>
    <cfRule type="duplicateValues" dxfId="30297" priority="30310"/>
    <cfRule type="duplicateValues" dxfId="30296" priority="30309"/>
    <cfRule type="duplicateValues" dxfId="30295" priority="30308"/>
    <cfRule type="duplicateValues" dxfId="30294" priority="30307"/>
    <cfRule type="duplicateValues" dxfId="30293" priority="30306"/>
    <cfRule type="duplicateValues" dxfId="30292" priority="30305"/>
    <cfRule type="duplicateValues" dxfId="30291" priority="30304"/>
    <cfRule type="duplicateValues" dxfId="30290" priority="30303"/>
    <cfRule type="duplicateValues" dxfId="30289" priority="30302"/>
    <cfRule type="duplicateValues" dxfId="30288" priority="30301"/>
    <cfRule type="duplicateValues" dxfId="30287" priority="30300"/>
    <cfRule type="duplicateValues" dxfId="30286" priority="30299"/>
    <cfRule type="duplicateValues" dxfId="30285" priority="30298"/>
    <cfRule type="duplicateValues" dxfId="30284" priority="30297"/>
    <cfRule type="duplicateValues" dxfId="30283" priority="30296"/>
    <cfRule type="duplicateValues" dxfId="30282" priority="30295"/>
    <cfRule type="duplicateValues" dxfId="30281" priority="30294"/>
    <cfRule type="duplicateValues" dxfId="30280" priority="30293"/>
    <cfRule type="duplicateValues" dxfId="30279" priority="30292"/>
    <cfRule type="duplicateValues" dxfId="30278" priority="30291"/>
    <cfRule type="duplicateValues" dxfId="30277" priority="30290"/>
    <cfRule type="duplicateValues" dxfId="30276" priority="30289"/>
    <cfRule type="duplicateValues" dxfId="30275" priority="30288"/>
    <cfRule type="duplicateValues" dxfId="30274" priority="30287"/>
    <cfRule type="duplicateValues" dxfId="30273" priority="30286"/>
  </conditionalFormatting>
  <conditionalFormatting sqref="B137">
    <cfRule type="duplicateValues" dxfId="30272" priority="30107"/>
    <cfRule type="duplicateValues" dxfId="30271" priority="30106"/>
    <cfRule type="duplicateValues" dxfId="30270" priority="30105"/>
    <cfRule type="duplicateValues" dxfId="30269" priority="30108"/>
    <cfRule type="duplicateValues" dxfId="30268" priority="30281"/>
    <cfRule type="duplicateValues" dxfId="30267" priority="30280"/>
    <cfRule type="duplicateValues" dxfId="30266" priority="30279"/>
    <cfRule type="duplicateValues" dxfId="30265" priority="30278"/>
    <cfRule type="duplicateValues" dxfId="30264" priority="30277"/>
    <cfRule type="duplicateValues" dxfId="30263" priority="30276"/>
    <cfRule type="duplicateValues" dxfId="30262" priority="30275"/>
    <cfRule type="duplicateValues" dxfId="30261" priority="30274"/>
    <cfRule type="duplicateValues" dxfId="30260" priority="30273"/>
    <cfRule type="duplicateValues" dxfId="30259" priority="30272"/>
    <cfRule type="duplicateValues" dxfId="30258" priority="30271"/>
    <cfRule type="duplicateValues" dxfId="30257" priority="30270"/>
    <cfRule type="duplicateValues" dxfId="30256" priority="30269"/>
    <cfRule type="duplicateValues" dxfId="30255" priority="30268"/>
    <cfRule type="duplicateValues" dxfId="30254" priority="30267"/>
    <cfRule type="duplicateValues" dxfId="30253" priority="30266"/>
    <cfRule type="duplicateValues" dxfId="30252" priority="30265"/>
    <cfRule type="duplicateValues" dxfId="30251" priority="30264"/>
    <cfRule type="duplicateValues" dxfId="30250" priority="30263"/>
    <cfRule type="duplicateValues" dxfId="30249" priority="30262"/>
    <cfRule type="duplicateValues" dxfId="30248" priority="30261"/>
    <cfRule type="duplicateValues" dxfId="30247" priority="30260"/>
    <cfRule type="duplicateValues" dxfId="30246" priority="30259"/>
    <cfRule type="duplicateValues" dxfId="30245" priority="30258"/>
    <cfRule type="duplicateValues" dxfId="30244" priority="30257"/>
    <cfRule type="duplicateValues" dxfId="30243" priority="30256"/>
    <cfRule type="duplicateValues" dxfId="30242" priority="30255"/>
    <cfRule type="duplicateValues" dxfId="30241" priority="30254"/>
    <cfRule type="duplicateValues" dxfId="30240" priority="30253"/>
    <cfRule type="duplicateValues" dxfId="30239" priority="30252"/>
    <cfRule type="duplicateValues" dxfId="30238" priority="30251"/>
    <cfRule type="duplicateValues" dxfId="30237" priority="30250"/>
    <cfRule type="duplicateValues" dxfId="30236" priority="30249"/>
    <cfRule type="duplicateValues" dxfId="30235" priority="30248"/>
    <cfRule type="duplicateValues" dxfId="30234" priority="30247"/>
    <cfRule type="duplicateValues" dxfId="30233" priority="30246"/>
    <cfRule type="duplicateValues" dxfId="30232" priority="30245"/>
    <cfRule type="duplicateValues" dxfId="30231" priority="30244"/>
    <cfRule type="duplicateValues" dxfId="30230" priority="30243"/>
    <cfRule type="duplicateValues" dxfId="30229" priority="30242"/>
    <cfRule type="duplicateValues" dxfId="30228" priority="30241"/>
    <cfRule type="duplicateValues" dxfId="30227" priority="30240"/>
    <cfRule type="duplicateValues" dxfId="30226" priority="30239"/>
    <cfRule type="duplicateValues" dxfId="30225" priority="30238"/>
    <cfRule type="duplicateValues" dxfId="30224" priority="30237"/>
    <cfRule type="duplicateValues" dxfId="30223" priority="30236"/>
    <cfRule type="duplicateValues" dxfId="30222" priority="30235"/>
    <cfRule type="duplicateValues" dxfId="30221" priority="30234"/>
    <cfRule type="duplicateValues" dxfId="30220" priority="30233"/>
    <cfRule type="duplicateValues" dxfId="30219" priority="30232"/>
    <cfRule type="duplicateValues" dxfId="30218" priority="30231"/>
    <cfRule type="duplicateValues" dxfId="30217" priority="30230"/>
    <cfRule type="duplicateValues" dxfId="30216" priority="30229"/>
    <cfRule type="duplicateValues" dxfId="30215" priority="30228"/>
    <cfRule type="duplicateValues" dxfId="30214" priority="30227"/>
    <cfRule type="duplicateValues" dxfId="30213" priority="30226"/>
    <cfRule type="duplicateValues" dxfId="30212" priority="30225"/>
    <cfRule type="duplicateValues" dxfId="30211" priority="30224"/>
    <cfRule type="duplicateValues" dxfId="30210" priority="30223"/>
    <cfRule type="duplicateValues" dxfId="30209" priority="30222"/>
    <cfRule type="duplicateValues" dxfId="30208" priority="30221"/>
    <cfRule type="duplicateValues" dxfId="30207" priority="30220"/>
    <cfRule type="duplicateValues" dxfId="30206" priority="30219"/>
    <cfRule type="duplicateValues" dxfId="30205" priority="30218"/>
    <cfRule type="duplicateValues" dxfId="30204" priority="30217"/>
    <cfRule type="duplicateValues" dxfId="30203" priority="30216"/>
    <cfRule type="duplicateValues" dxfId="30202" priority="30215"/>
    <cfRule type="duplicateValues" dxfId="30201" priority="30214"/>
    <cfRule type="duplicateValues" dxfId="30200" priority="30213"/>
    <cfRule type="duplicateValues" dxfId="30199" priority="30212"/>
    <cfRule type="duplicateValues" dxfId="30198" priority="30211"/>
    <cfRule type="duplicateValues" dxfId="30197" priority="30210"/>
    <cfRule type="duplicateValues" dxfId="30196" priority="30209"/>
    <cfRule type="duplicateValues" dxfId="30195" priority="30208"/>
    <cfRule type="duplicateValues" dxfId="30194" priority="30207"/>
    <cfRule type="duplicateValues" dxfId="30193" priority="30206"/>
    <cfRule type="duplicateValues" dxfId="30192" priority="30205"/>
    <cfRule type="duplicateValues" dxfId="30191" priority="30204"/>
    <cfRule type="duplicateValues" dxfId="30190" priority="30203"/>
    <cfRule type="duplicateValues" dxfId="30189" priority="30202"/>
    <cfRule type="duplicateValues" dxfId="30188" priority="30201"/>
    <cfRule type="duplicateValues" dxfId="30187" priority="30200"/>
    <cfRule type="duplicateValues" dxfId="30186" priority="30199"/>
    <cfRule type="duplicateValues" dxfId="30185" priority="30198"/>
    <cfRule type="duplicateValues" dxfId="30184" priority="30197"/>
    <cfRule type="duplicateValues" dxfId="30183" priority="30196"/>
    <cfRule type="duplicateValues" dxfId="30182" priority="30195"/>
    <cfRule type="duplicateValues" dxfId="30181" priority="30194"/>
    <cfRule type="duplicateValues" dxfId="30180" priority="30193"/>
    <cfRule type="duplicateValues" dxfId="30179" priority="30192"/>
    <cfRule type="duplicateValues" dxfId="30178" priority="30191"/>
    <cfRule type="duplicateValues" dxfId="30177" priority="30190"/>
    <cfRule type="duplicateValues" dxfId="30176" priority="30189"/>
    <cfRule type="duplicateValues" dxfId="30175" priority="30188"/>
    <cfRule type="duplicateValues" dxfId="30174" priority="30187"/>
    <cfRule type="duplicateValues" dxfId="30173" priority="30186"/>
    <cfRule type="duplicateValues" dxfId="30172" priority="30185"/>
    <cfRule type="duplicateValues" dxfId="30171" priority="30184"/>
    <cfRule type="duplicateValues" dxfId="30170" priority="30183"/>
    <cfRule type="duplicateValues" dxfId="30169" priority="30182"/>
    <cfRule type="duplicateValues" dxfId="30168" priority="30181"/>
    <cfRule type="duplicateValues" dxfId="30167" priority="30180"/>
    <cfRule type="duplicateValues" dxfId="30166" priority="30179"/>
    <cfRule type="duplicateValues" dxfId="30165" priority="30178"/>
    <cfRule type="duplicateValues" dxfId="30164" priority="30177"/>
    <cfRule type="duplicateValues" dxfId="30163" priority="30176"/>
    <cfRule type="duplicateValues" dxfId="30162" priority="30175"/>
    <cfRule type="duplicateValues" dxfId="30161" priority="30174"/>
    <cfRule type="duplicateValues" dxfId="30160" priority="30173"/>
    <cfRule type="duplicateValues" dxfId="30159" priority="30172"/>
    <cfRule type="duplicateValues" dxfId="30158" priority="30171"/>
    <cfRule type="duplicateValues" dxfId="30157" priority="30170"/>
    <cfRule type="duplicateValues" dxfId="30156" priority="30169"/>
    <cfRule type="duplicateValues" dxfId="30155" priority="30168"/>
    <cfRule type="duplicateValues" dxfId="30154" priority="30167"/>
    <cfRule type="duplicateValues" dxfId="30153" priority="30166"/>
    <cfRule type="duplicateValues" dxfId="30152" priority="30165"/>
    <cfRule type="duplicateValues" dxfId="30151" priority="30164"/>
    <cfRule type="duplicateValues" dxfId="30150" priority="30163"/>
    <cfRule type="duplicateValues" dxfId="30149" priority="30162"/>
    <cfRule type="duplicateValues" dxfId="30148" priority="30161"/>
    <cfRule type="duplicateValues" dxfId="30147" priority="30160"/>
    <cfRule type="duplicateValues" dxfId="30146" priority="30159"/>
    <cfRule type="duplicateValues" dxfId="30145" priority="30158"/>
    <cfRule type="duplicateValues" dxfId="30144" priority="30157"/>
    <cfRule type="duplicateValues" dxfId="30143" priority="30156"/>
    <cfRule type="duplicateValues" dxfId="30142" priority="30155"/>
    <cfRule type="duplicateValues" dxfId="30141" priority="30154"/>
    <cfRule type="duplicateValues" dxfId="30140" priority="30153"/>
    <cfRule type="duplicateValues" dxfId="30139" priority="30152"/>
    <cfRule type="duplicateValues" dxfId="30138" priority="30151"/>
    <cfRule type="duplicateValues" dxfId="30137" priority="30150"/>
    <cfRule type="duplicateValues" dxfId="30136" priority="30149"/>
    <cfRule type="duplicateValues" dxfId="30135" priority="30148"/>
    <cfRule type="duplicateValues" dxfId="30134" priority="30147"/>
    <cfRule type="duplicateValues" dxfId="30133" priority="30146"/>
    <cfRule type="duplicateValues" dxfId="30132" priority="30145"/>
    <cfRule type="duplicateValues" dxfId="30131" priority="30144"/>
    <cfRule type="duplicateValues" dxfId="30130" priority="30143"/>
    <cfRule type="duplicateValues" dxfId="30129" priority="30142"/>
    <cfRule type="duplicateValues" dxfId="30128" priority="30141"/>
    <cfRule type="duplicateValues" dxfId="30127" priority="30140"/>
    <cfRule type="duplicateValues" dxfId="30126" priority="30139"/>
    <cfRule type="duplicateValues" dxfId="30125" priority="30138"/>
    <cfRule type="duplicateValues" dxfId="30124" priority="30137"/>
    <cfRule type="duplicateValues" dxfId="30123" priority="30136"/>
    <cfRule type="duplicateValues" dxfId="30122" priority="30135"/>
    <cfRule type="duplicateValues" dxfId="30121" priority="30134"/>
    <cfRule type="duplicateValues" dxfId="30120" priority="30133"/>
    <cfRule type="duplicateValues" dxfId="30119" priority="30132"/>
    <cfRule type="duplicateValues" dxfId="30118" priority="30131"/>
    <cfRule type="duplicateValues" dxfId="30117" priority="30130"/>
    <cfRule type="duplicateValues" dxfId="30116" priority="30129"/>
    <cfRule type="duplicateValues" dxfId="30115" priority="30128"/>
    <cfRule type="duplicateValues" dxfId="30114" priority="30127"/>
    <cfRule type="duplicateValues" dxfId="30113" priority="30126"/>
    <cfRule type="duplicateValues" dxfId="30112" priority="30125"/>
    <cfRule type="duplicateValues" dxfId="30111" priority="30124"/>
    <cfRule type="duplicateValues" dxfId="30110" priority="30123"/>
    <cfRule type="duplicateValues" dxfId="30109" priority="30122"/>
    <cfRule type="duplicateValues" dxfId="30108" priority="30121"/>
    <cfRule type="duplicateValues" dxfId="30107" priority="30120"/>
    <cfRule type="duplicateValues" dxfId="30106" priority="30119"/>
    <cfRule type="duplicateValues" dxfId="30105" priority="30118"/>
    <cfRule type="duplicateValues" dxfId="30104" priority="30117"/>
    <cfRule type="duplicateValues" dxfId="30103" priority="30116"/>
    <cfRule type="duplicateValues" dxfId="30102" priority="30115"/>
    <cfRule type="duplicateValues" dxfId="30101" priority="30114"/>
    <cfRule type="duplicateValues" dxfId="30100" priority="30113"/>
    <cfRule type="duplicateValues" dxfId="30099" priority="30112"/>
    <cfRule type="duplicateValues" dxfId="30098" priority="30111"/>
    <cfRule type="duplicateValues" dxfId="30097" priority="30110"/>
    <cfRule type="duplicateValues" dxfId="30096" priority="30109"/>
  </conditionalFormatting>
  <conditionalFormatting sqref="B138">
    <cfRule type="duplicateValues" dxfId="30095" priority="29998"/>
    <cfRule type="duplicateValues" dxfId="30094" priority="29931"/>
    <cfRule type="duplicateValues" dxfId="30093" priority="29930"/>
    <cfRule type="duplicateValues" dxfId="30092" priority="29929"/>
    <cfRule type="duplicateValues" dxfId="30091" priority="30104"/>
    <cfRule type="duplicateValues" dxfId="30090" priority="30103"/>
    <cfRule type="duplicateValues" dxfId="30089" priority="30102"/>
    <cfRule type="duplicateValues" dxfId="30088" priority="30101"/>
    <cfRule type="duplicateValues" dxfId="30087" priority="30100"/>
    <cfRule type="duplicateValues" dxfId="30086" priority="30099"/>
    <cfRule type="duplicateValues" dxfId="30085" priority="30098"/>
    <cfRule type="duplicateValues" dxfId="30084" priority="30097"/>
    <cfRule type="duplicateValues" dxfId="30083" priority="30096"/>
    <cfRule type="duplicateValues" dxfId="30082" priority="30095"/>
    <cfRule type="duplicateValues" dxfId="30081" priority="30094"/>
    <cfRule type="duplicateValues" dxfId="30080" priority="30093"/>
    <cfRule type="duplicateValues" dxfId="30079" priority="30092"/>
    <cfRule type="duplicateValues" dxfId="30078" priority="30091"/>
    <cfRule type="duplicateValues" dxfId="30077" priority="30090"/>
    <cfRule type="duplicateValues" dxfId="30076" priority="30089"/>
    <cfRule type="duplicateValues" dxfId="30075" priority="30088"/>
    <cfRule type="duplicateValues" dxfId="30074" priority="30087"/>
    <cfRule type="duplicateValues" dxfId="30073" priority="30086"/>
    <cfRule type="duplicateValues" dxfId="30072" priority="30085"/>
    <cfRule type="duplicateValues" dxfId="30071" priority="30084"/>
    <cfRule type="duplicateValues" dxfId="30070" priority="30083"/>
    <cfRule type="duplicateValues" dxfId="30069" priority="30082"/>
    <cfRule type="duplicateValues" dxfId="30068" priority="30081"/>
    <cfRule type="duplicateValues" dxfId="30067" priority="30080"/>
    <cfRule type="duplicateValues" dxfId="30066" priority="30079"/>
    <cfRule type="duplicateValues" dxfId="30065" priority="30078"/>
    <cfRule type="duplicateValues" dxfId="30064" priority="30077"/>
    <cfRule type="duplicateValues" dxfId="30063" priority="30076"/>
    <cfRule type="duplicateValues" dxfId="30062" priority="30075"/>
    <cfRule type="duplicateValues" dxfId="30061" priority="30074"/>
    <cfRule type="duplicateValues" dxfId="30060" priority="30073"/>
    <cfRule type="duplicateValues" dxfId="30059" priority="30072"/>
    <cfRule type="duplicateValues" dxfId="30058" priority="30071"/>
    <cfRule type="duplicateValues" dxfId="30057" priority="30070"/>
    <cfRule type="duplicateValues" dxfId="30056" priority="30069"/>
    <cfRule type="duplicateValues" dxfId="30055" priority="30068"/>
    <cfRule type="duplicateValues" dxfId="30054" priority="30067"/>
    <cfRule type="duplicateValues" dxfId="30053" priority="30066"/>
    <cfRule type="duplicateValues" dxfId="30052" priority="30065"/>
    <cfRule type="duplicateValues" dxfId="30051" priority="30064"/>
    <cfRule type="duplicateValues" dxfId="30050" priority="30063"/>
    <cfRule type="duplicateValues" dxfId="30049" priority="30062"/>
    <cfRule type="duplicateValues" dxfId="30048" priority="30061"/>
    <cfRule type="duplicateValues" dxfId="30047" priority="30060"/>
    <cfRule type="duplicateValues" dxfId="30046" priority="30059"/>
    <cfRule type="duplicateValues" dxfId="30045" priority="30058"/>
    <cfRule type="duplicateValues" dxfId="30044" priority="30057"/>
    <cfRule type="duplicateValues" dxfId="30043" priority="30056"/>
    <cfRule type="duplicateValues" dxfId="30042" priority="30055"/>
    <cfRule type="duplicateValues" dxfId="30041" priority="30054"/>
    <cfRule type="duplicateValues" dxfId="30040" priority="30053"/>
    <cfRule type="duplicateValues" dxfId="30039" priority="30052"/>
    <cfRule type="duplicateValues" dxfId="30038" priority="30051"/>
    <cfRule type="duplicateValues" dxfId="30037" priority="30050"/>
    <cfRule type="duplicateValues" dxfId="30036" priority="30049"/>
    <cfRule type="duplicateValues" dxfId="30035" priority="30048"/>
    <cfRule type="duplicateValues" dxfId="30034" priority="30047"/>
    <cfRule type="duplicateValues" dxfId="30033" priority="30046"/>
    <cfRule type="duplicateValues" dxfId="30032" priority="30045"/>
    <cfRule type="duplicateValues" dxfId="30031" priority="30044"/>
    <cfRule type="duplicateValues" dxfId="30030" priority="30043"/>
    <cfRule type="duplicateValues" dxfId="30029" priority="30042"/>
    <cfRule type="duplicateValues" dxfId="30028" priority="30041"/>
    <cfRule type="duplicateValues" dxfId="30027" priority="30040"/>
    <cfRule type="duplicateValues" dxfId="30026" priority="30039"/>
    <cfRule type="duplicateValues" dxfId="30025" priority="30038"/>
    <cfRule type="duplicateValues" dxfId="30024" priority="30037"/>
    <cfRule type="duplicateValues" dxfId="30023" priority="30036"/>
    <cfRule type="duplicateValues" dxfId="30022" priority="30035"/>
    <cfRule type="duplicateValues" dxfId="30021" priority="30034"/>
    <cfRule type="duplicateValues" dxfId="30020" priority="30033"/>
    <cfRule type="duplicateValues" dxfId="30019" priority="30032"/>
    <cfRule type="duplicateValues" dxfId="30018" priority="30031"/>
    <cfRule type="duplicateValues" dxfId="30017" priority="30030"/>
    <cfRule type="duplicateValues" dxfId="30016" priority="30029"/>
    <cfRule type="duplicateValues" dxfId="30015" priority="30028"/>
    <cfRule type="duplicateValues" dxfId="30014" priority="30027"/>
    <cfRule type="duplicateValues" dxfId="30013" priority="30026"/>
    <cfRule type="duplicateValues" dxfId="30012" priority="30025"/>
    <cfRule type="duplicateValues" dxfId="30011" priority="30024"/>
    <cfRule type="duplicateValues" dxfId="30010" priority="30023"/>
    <cfRule type="duplicateValues" dxfId="30009" priority="30022"/>
    <cfRule type="duplicateValues" dxfId="30008" priority="30021"/>
    <cfRule type="duplicateValues" dxfId="30007" priority="30020"/>
    <cfRule type="duplicateValues" dxfId="30006" priority="30019"/>
    <cfRule type="duplicateValues" dxfId="30005" priority="30018"/>
    <cfRule type="duplicateValues" dxfId="30004" priority="30017"/>
    <cfRule type="duplicateValues" dxfId="30003" priority="30016"/>
    <cfRule type="duplicateValues" dxfId="30002" priority="30015"/>
    <cfRule type="duplicateValues" dxfId="30001" priority="30014"/>
    <cfRule type="duplicateValues" dxfId="30000" priority="30013"/>
    <cfRule type="duplicateValues" dxfId="29999" priority="30012"/>
    <cfRule type="duplicateValues" dxfId="29998" priority="30011"/>
    <cfRule type="duplicateValues" dxfId="29997" priority="30010"/>
    <cfRule type="duplicateValues" dxfId="29996" priority="30009"/>
    <cfRule type="duplicateValues" dxfId="29995" priority="30008"/>
    <cfRule type="duplicateValues" dxfId="29994" priority="30007"/>
    <cfRule type="duplicateValues" dxfId="29993" priority="30006"/>
    <cfRule type="duplicateValues" dxfId="29992" priority="30005"/>
    <cfRule type="duplicateValues" dxfId="29991" priority="30004"/>
    <cfRule type="duplicateValues" dxfId="29990" priority="30003"/>
    <cfRule type="duplicateValues" dxfId="29989" priority="30002"/>
    <cfRule type="duplicateValues" dxfId="29988" priority="30001"/>
    <cfRule type="duplicateValues" dxfId="29987" priority="30000"/>
    <cfRule type="duplicateValues" dxfId="29986" priority="29999"/>
    <cfRule type="duplicateValues" dxfId="29985" priority="29928"/>
    <cfRule type="duplicateValues" dxfId="29984" priority="29997"/>
    <cfRule type="duplicateValues" dxfId="29983" priority="29996"/>
    <cfRule type="duplicateValues" dxfId="29982" priority="29995"/>
    <cfRule type="duplicateValues" dxfId="29981" priority="29994"/>
    <cfRule type="duplicateValues" dxfId="29980" priority="29993"/>
    <cfRule type="duplicateValues" dxfId="29979" priority="29992"/>
    <cfRule type="duplicateValues" dxfId="29978" priority="29991"/>
    <cfRule type="duplicateValues" dxfId="29977" priority="29990"/>
    <cfRule type="duplicateValues" dxfId="29976" priority="29989"/>
    <cfRule type="duplicateValues" dxfId="29975" priority="29988"/>
    <cfRule type="duplicateValues" dxfId="29974" priority="29987"/>
    <cfRule type="duplicateValues" dxfId="29973" priority="29986"/>
    <cfRule type="duplicateValues" dxfId="29972" priority="29985"/>
    <cfRule type="duplicateValues" dxfId="29971" priority="29984"/>
    <cfRule type="duplicateValues" dxfId="29970" priority="29983"/>
    <cfRule type="duplicateValues" dxfId="29969" priority="29982"/>
    <cfRule type="duplicateValues" dxfId="29968" priority="29981"/>
    <cfRule type="duplicateValues" dxfId="29967" priority="29980"/>
    <cfRule type="duplicateValues" dxfId="29966" priority="29979"/>
    <cfRule type="duplicateValues" dxfId="29965" priority="29978"/>
    <cfRule type="duplicateValues" dxfId="29964" priority="29977"/>
    <cfRule type="duplicateValues" dxfId="29963" priority="29976"/>
    <cfRule type="duplicateValues" dxfId="29962" priority="29975"/>
    <cfRule type="duplicateValues" dxfId="29961" priority="29974"/>
    <cfRule type="duplicateValues" dxfId="29960" priority="29973"/>
    <cfRule type="duplicateValues" dxfId="29959" priority="29972"/>
    <cfRule type="duplicateValues" dxfId="29958" priority="29971"/>
    <cfRule type="duplicateValues" dxfId="29957" priority="29970"/>
    <cfRule type="duplicateValues" dxfId="29956" priority="29969"/>
    <cfRule type="duplicateValues" dxfId="29955" priority="29968"/>
    <cfRule type="duplicateValues" dxfId="29954" priority="29967"/>
    <cfRule type="duplicateValues" dxfId="29953" priority="29966"/>
    <cfRule type="duplicateValues" dxfId="29952" priority="29965"/>
    <cfRule type="duplicateValues" dxfId="29951" priority="29964"/>
    <cfRule type="duplicateValues" dxfId="29950" priority="29963"/>
    <cfRule type="duplicateValues" dxfId="29949" priority="29962"/>
    <cfRule type="duplicateValues" dxfId="29948" priority="29961"/>
    <cfRule type="duplicateValues" dxfId="29947" priority="29960"/>
    <cfRule type="duplicateValues" dxfId="29946" priority="29959"/>
    <cfRule type="duplicateValues" dxfId="29945" priority="29958"/>
    <cfRule type="duplicateValues" dxfId="29944" priority="29957"/>
    <cfRule type="duplicateValues" dxfId="29943" priority="29956"/>
    <cfRule type="duplicateValues" dxfId="29942" priority="29955"/>
    <cfRule type="duplicateValues" dxfId="29941" priority="29954"/>
    <cfRule type="duplicateValues" dxfId="29940" priority="29953"/>
    <cfRule type="duplicateValues" dxfId="29939" priority="29952"/>
    <cfRule type="duplicateValues" dxfId="29938" priority="29951"/>
    <cfRule type="duplicateValues" dxfId="29937" priority="29950"/>
    <cfRule type="duplicateValues" dxfId="29936" priority="29949"/>
    <cfRule type="duplicateValues" dxfId="29935" priority="29948"/>
    <cfRule type="duplicateValues" dxfId="29934" priority="29947"/>
    <cfRule type="duplicateValues" dxfId="29933" priority="29946"/>
    <cfRule type="duplicateValues" dxfId="29932" priority="29945"/>
    <cfRule type="duplicateValues" dxfId="29931" priority="29944"/>
    <cfRule type="duplicateValues" dxfId="29930" priority="29943"/>
    <cfRule type="duplicateValues" dxfId="29929" priority="29942"/>
    <cfRule type="duplicateValues" dxfId="29928" priority="29941"/>
    <cfRule type="duplicateValues" dxfId="29927" priority="29940"/>
    <cfRule type="duplicateValues" dxfId="29926" priority="29939"/>
    <cfRule type="duplicateValues" dxfId="29925" priority="29938"/>
    <cfRule type="duplicateValues" dxfId="29924" priority="29937"/>
    <cfRule type="duplicateValues" dxfId="29923" priority="29936"/>
    <cfRule type="duplicateValues" dxfId="29922" priority="29935"/>
    <cfRule type="duplicateValues" dxfId="29921" priority="29934"/>
    <cfRule type="duplicateValues" dxfId="29920" priority="29933"/>
    <cfRule type="duplicateValues" dxfId="29919" priority="29932"/>
  </conditionalFormatting>
  <conditionalFormatting sqref="B139">
    <cfRule type="duplicateValues" dxfId="29918" priority="29754"/>
    <cfRule type="duplicateValues" dxfId="29917" priority="29753"/>
    <cfRule type="duplicateValues" dxfId="29916" priority="29752"/>
    <cfRule type="duplicateValues" dxfId="29915" priority="29888"/>
    <cfRule type="duplicateValues" dxfId="29914" priority="29927"/>
    <cfRule type="duplicateValues" dxfId="29913" priority="29926"/>
    <cfRule type="duplicateValues" dxfId="29912" priority="29925"/>
    <cfRule type="duplicateValues" dxfId="29911" priority="29924"/>
    <cfRule type="duplicateValues" dxfId="29910" priority="29923"/>
    <cfRule type="duplicateValues" dxfId="29909" priority="29922"/>
    <cfRule type="duplicateValues" dxfId="29908" priority="29921"/>
    <cfRule type="duplicateValues" dxfId="29907" priority="29920"/>
    <cfRule type="duplicateValues" dxfId="29906" priority="29919"/>
    <cfRule type="duplicateValues" dxfId="29905" priority="29918"/>
    <cfRule type="duplicateValues" dxfId="29904" priority="29917"/>
    <cfRule type="duplicateValues" dxfId="29903" priority="29916"/>
    <cfRule type="duplicateValues" dxfId="29902" priority="29915"/>
    <cfRule type="duplicateValues" dxfId="29901" priority="29914"/>
    <cfRule type="duplicateValues" dxfId="29900" priority="29913"/>
    <cfRule type="duplicateValues" dxfId="29899" priority="29912"/>
    <cfRule type="duplicateValues" dxfId="29898" priority="29911"/>
    <cfRule type="duplicateValues" dxfId="29897" priority="29910"/>
    <cfRule type="duplicateValues" dxfId="29896" priority="29909"/>
    <cfRule type="duplicateValues" dxfId="29895" priority="29908"/>
    <cfRule type="duplicateValues" dxfId="29894" priority="29907"/>
    <cfRule type="duplicateValues" dxfId="29893" priority="29906"/>
    <cfRule type="duplicateValues" dxfId="29892" priority="29905"/>
    <cfRule type="duplicateValues" dxfId="29891" priority="29904"/>
    <cfRule type="duplicateValues" dxfId="29890" priority="29903"/>
    <cfRule type="duplicateValues" dxfId="29889" priority="29902"/>
    <cfRule type="duplicateValues" dxfId="29888" priority="29901"/>
    <cfRule type="duplicateValues" dxfId="29887" priority="29900"/>
    <cfRule type="duplicateValues" dxfId="29886" priority="29899"/>
    <cfRule type="duplicateValues" dxfId="29885" priority="29898"/>
    <cfRule type="duplicateValues" dxfId="29884" priority="29897"/>
    <cfRule type="duplicateValues" dxfId="29883" priority="29896"/>
    <cfRule type="duplicateValues" dxfId="29882" priority="29895"/>
    <cfRule type="duplicateValues" dxfId="29881" priority="29894"/>
    <cfRule type="duplicateValues" dxfId="29880" priority="29893"/>
    <cfRule type="duplicateValues" dxfId="29879" priority="29892"/>
    <cfRule type="duplicateValues" dxfId="29878" priority="29891"/>
    <cfRule type="duplicateValues" dxfId="29877" priority="29890"/>
    <cfRule type="duplicateValues" dxfId="29876" priority="29889"/>
    <cfRule type="duplicateValues" dxfId="29875" priority="29751"/>
    <cfRule type="duplicateValues" dxfId="29874" priority="29887"/>
    <cfRule type="duplicateValues" dxfId="29873" priority="29886"/>
    <cfRule type="duplicateValues" dxfId="29872" priority="29885"/>
    <cfRule type="duplicateValues" dxfId="29871" priority="29884"/>
    <cfRule type="duplicateValues" dxfId="29870" priority="29883"/>
    <cfRule type="duplicateValues" dxfId="29869" priority="29882"/>
    <cfRule type="duplicateValues" dxfId="29868" priority="29881"/>
    <cfRule type="duplicateValues" dxfId="29867" priority="29880"/>
    <cfRule type="duplicateValues" dxfId="29866" priority="29879"/>
    <cfRule type="duplicateValues" dxfId="29865" priority="29878"/>
    <cfRule type="duplicateValues" dxfId="29864" priority="29877"/>
    <cfRule type="duplicateValues" dxfId="29863" priority="29876"/>
    <cfRule type="duplicateValues" dxfId="29862" priority="29875"/>
    <cfRule type="duplicateValues" dxfId="29861" priority="29874"/>
    <cfRule type="duplicateValues" dxfId="29860" priority="29873"/>
    <cfRule type="duplicateValues" dxfId="29859" priority="29872"/>
    <cfRule type="duplicateValues" dxfId="29858" priority="29871"/>
    <cfRule type="duplicateValues" dxfId="29857" priority="29870"/>
    <cfRule type="duplicateValues" dxfId="29856" priority="29869"/>
    <cfRule type="duplicateValues" dxfId="29855" priority="29868"/>
    <cfRule type="duplicateValues" dxfId="29854" priority="29867"/>
    <cfRule type="duplicateValues" dxfId="29853" priority="29866"/>
    <cfRule type="duplicateValues" dxfId="29852" priority="29865"/>
    <cfRule type="duplicateValues" dxfId="29851" priority="29864"/>
    <cfRule type="duplicateValues" dxfId="29850" priority="29863"/>
    <cfRule type="duplicateValues" dxfId="29849" priority="29862"/>
    <cfRule type="duplicateValues" dxfId="29848" priority="29861"/>
    <cfRule type="duplicateValues" dxfId="29847" priority="29860"/>
    <cfRule type="duplicateValues" dxfId="29846" priority="29859"/>
    <cfRule type="duplicateValues" dxfId="29845" priority="29858"/>
    <cfRule type="duplicateValues" dxfId="29844" priority="29857"/>
    <cfRule type="duplicateValues" dxfId="29843" priority="29856"/>
    <cfRule type="duplicateValues" dxfId="29842" priority="29855"/>
    <cfRule type="duplicateValues" dxfId="29841" priority="29854"/>
    <cfRule type="duplicateValues" dxfId="29840" priority="29853"/>
    <cfRule type="duplicateValues" dxfId="29839" priority="29852"/>
    <cfRule type="duplicateValues" dxfId="29838" priority="29851"/>
    <cfRule type="duplicateValues" dxfId="29837" priority="29850"/>
    <cfRule type="duplicateValues" dxfId="29836" priority="29849"/>
    <cfRule type="duplicateValues" dxfId="29835" priority="29848"/>
    <cfRule type="duplicateValues" dxfId="29834" priority="29847"/>
    <cfRule type="duplicateValues" dxfId="29833" priority="29846"/>
    <cfRule type="duplicateValues" dxfId="29832" priority="29845"/>
    <cfRule type="duplicateValues" dxfId="29831" priority="29844"/>
    <cfRule type="duplicateValues" dxfId="29830" priority="29843"/>
    <cfRule type="duplicateValues" dxfId="29829" priority="29842"/>
    <cfRule type="duplicateValues" dxfId="29828" priority="29841"/>
    <cfRule type="duplicateValues" dxfId="29827" priority="29840"/>
    <cfRule type="duplicateValues" dxfId="29826" priority="29839"/>
    <cfRule type="duplicateValues" dxfId="29825" priority="29838"/>
    <cfRule type="duplicateValues" dxfId="29824" priority="29837"/>
    <cfRule type="duplicateValues" dxfId="29823" priority="29836"/>
    <cfRule type="duplicateValues" dxfId="29822" priority="29835"/>
    <cfRule type="duplicateValues" dxfId="29821" priority="29834"/>
    <cfRule type="duplicateValues" dxfId="29820" priority="29833"/>
    <cfRule type="duplicateValues" dxfId="29819" priority="29832"/>
    <cfRule type="duplicateValues" dxfId="29818" priority="29831"/>
    <cfRule type="duplicateValues" dxfId="29817" priority="29830"/>
    <cfRule type="duplicateValues" dxfId="29816" priority="29829"/>
    <cfRule type="duplicateValues" dxfId="29815" priority="29828"/>
    <cfRule type="duplicateValues" dxfId="29814" priority="29827"/>
    <cfRule type="duplicateValues" dxfId="29813" priority="29826"/>
    <cfRule type="duplicateValues" dxfId="29812" priority="29825"/>
    <cfRule type="duplicateValues" dxfId="29811" priority="29824"/>
    <cfRule type="duplicateValues" dxfId="29810" priority="29823"/>
    <cfRule type="duplicateValues" dxfId="29809" priority="29822"/>
    <cfRule type="duplicateValues" dxfId="29808" priority="29821"/>
    <cfRule type="duplicateValues" dxfId="29807" priority="29820"/>
    <cfRule type="duplicateValues" dxfId="29806" priority="29819"/>
    <cfRule type="duplicateValues" dxfId="29805" priority="29818"/>
    <cfRule type="duplicateValues" dxfId="29804" priority="29817"/>
    <cfRule type="duplicateValues" dxfId="29803" priority="29816"/>
    <cfRule type="duplicateValues" dxfId="29802" priority="29815"/>
    <cfRule type="duplicateValues" dxfId="29801" priority="29814"/>
    <cfRule type="duplicateValues" dxfId="29800" priority="29813"/>
    <cfRule type="duplicateValues" dxfId="29799" priority="29812"/>
    <cfRule type="duplicateValues" dxfId="29798" priority="29811"/>
    <cfRule type="duplicateValues" dxfId="29797" priority="29810"/>
    <cfRule type="duplicateValues" dxfId="29796" priority="29809"/>
    <cfRule type="duplicateValues" dxfId="29795" priority="29808"/>
    <cfRule type="duplicateValues" dxfId="29794" priority="29807"/>
    <cfRule type="duplicateValues" dxfId="29793" priority="29806"/>
    <cfRule type="duplicateValues" dxfId="29792" priority="29805"/>
    <cfRule type="duplicateValues" dxfId="29791" priority="29804"/>
    <cfRule type="duplicateValues" dxfId="29790" priority="29803"/>
    <cfRule type="duplicateValues" dxfId="29789" priority="29802"/>
    <cfRule type="duplicateValues" dxfId="29788" priority="29801"/>
    <cfRule type="duplicateValues" dxfId="29787" priority="29800"/>
    <cfRule type="duplicateValues" dxfId="29786" priority="29799"/>
    <cfRule type="duplicateValues" dxfId="29785" priority="29798"/>
    <cfRule type="duplicateValues" dxfId="29784" priority="29797"/>
    <cfRule type="duplicateValues" dxfId="29783" priority="29796"/>
    <cfRule type="duplicateValues" dxfId="29782" priority="29795"/>
    <cfRule type="duplicateValues" dxfId="29781" priority="29794"/>
    <cfRule type="duplicateValues" dxfId="29780" priority="29793"/>
    <cfRule type="duplicateValues" dxfId="29779" priority="29792"/>
    <cfRule type="duplicateValues" dxfId="29778" priority="29791"/>
    <cfRule type="duplicateValues" dxfId="29777" priority="29790"/>
    <cfRule type="duplicateValues" dxfId="29776" priority="29789"/>
    <cfRule type="duplicateValues" dxfId="29775" priority="29788"/>
    <cfRule type="duplicateValues" dxfId="29774" priority="29787"/>
    <cfRule type="duplicateValues" dxfId="29773" priority="29786"/>
    <cfRule type="duplicateValues" dxfId="29772" priority="29785"/>
    <cfRule type="duplicateValues" dxfId="29771" priority="29784"/>
    <cfRule type="duplicateValues" dxfId="29770" priority="29783"/>
    <cfRule type="duplicateValues" dxfId="29769" priority="29782"/>
    <cfRule type="duplicateValues" dxfId="29768" priority="29781"/>
    <cfRule type="duplicateValues" dxfId="29767" priority="29780"/>
    <cfRule type="duplicateValues" dxfId="29766" priority="29779"/>
    <cfRule type="duplicateValues" dxfId="29765" priority="29778"/>
    <cfRule type="duplicateValues" dxfId="29764" priority="29777"/>
    <cfRule type="duplicateValues" dxfId="29763" priority="29776"/>
    <cfRule type="duplicateValues" dxfId="29762" priority="29775"/>
    <cfRule type="duplicateValues" dxfId="29761" priority="29774"/>
    <cfRule type="duplicateValues" dxfId="29760" priority="29773"/>
    <cfRule type="duplicateValues" dxfId="29759" priority="29772"/>
    <cfRule type="duplicateValues" dxfId="29758" priority="29771"/>
    <cfRule type="duplicateValues" dxfId="29757" priority="29770"/>
    <cfRule type="duplicateValues" dxfId="29756" priority="29769"/>
    <cfRule type="duplicateValues" dxfId="29755" priority="29768"/>
    <cfRule type="duplicateValues" dxfId="29754" priority="29767"/>
    <cfRule type="duplicateValues" dxfId="29753" priority="29766"/>
    <cfRule type="duplicateValues" dxfId="29752" priority="29765"/>
    <cfRule type="duplicateValues" dxfId="29751" priority="29764"/>
    <cfRule type="duplicateValues" dxfId="29750" priority="29763"/>
    <cfRule type="duplicateValues" dxfId="29749" priority="29762"/>
    <cfRule type="duplicateValues" dxfId="29748" priority="29761"/>
    <cfRule type="duplicateValues" dxfId="29747" priority="29760"/>
    <cfRule type="duplicateValues" dxfId="29746" priority="29759"/>
    <cfRule type="duplicateValues" dxfId="29745" priority="29758"/>
    <cfRule type="duplicateValues" dxfId="29744" priority="29757"/>
    <cfRule type="duplicateValues" dxfId="29743" priority="29756"/>
    <cfRule type="duplicateValues" dxfId="29742" priority="29755"/>
  </conditionalFormatting>
  <conditionalFormatting sqref="B140">
    <cfRule type="duplicateValues" dxfId="29741" priority="29577"/>
    <cfRule type="duplicateValues" dxfId="29740" priority="29576"/>
    <cfRule type="duplicateValues" dxfId="29739" priority="29575"/>
    <cfRule type="duplicateValues" dxfId="29738" priority="29574"/>
    <cfRule type="duplicateValues" dxfId="29737" priority="29750"/>
    <cfRule type="duplicateValues" dxfId="29736" priority="29749"/>
    <cfRule type="duplicateValues" dxfId="29735" priority="29748"/>
    <cfRule type="duplicateValues" dxfId="29734" priority="29747"/>
    <cfRule type="duplicateValues" dxfId="29733" priority="29746"/>
    <cfRule type="duplicateValues" dxfId="29732" priority="29745"/>
    <cfRule type="duplicateValues" dxfId="29731" priority="29744"/>
    <cfRule type="duplicateValues" dxfId="29730" priority="29743"/>
    <cfRule type="duplicateValues" dxfId="29729" priority="29742"/>
    <cfRule type="duplicateValues" dxfId="29728" priority="29741"/>
    <cfRule type="duplicateValues" dxfId="29727" priority="29740"/>
    <cfRule type="duplicateValues" dxfId="29726" priority="29739"/>
    <cfRule type="duplicateValues" dxfId="29725" priority="29738"/>
    <cfRule type="duplicateValues" dxfId="29724" priority="29737"/>
    <cfRule type="duplicateValues" dxfId="29723" priority="29736"/>
    <cfRule type="duplicateValues" dxfId="29722" priority="29735"/>
    <cfRule type="duplicateValues" dxfId="29721" priority="29734"/>
    <cfRule type="duplicateValues" dxfId="29720" priority="29733"/>
    <cfRule type="duplicateValues" dxfId="29719" priority="29732"/>
    <cfRule type="duplicateValues" dxfId="29718" priority="29731"/>
    <cfRule type="duplicateValues" dxfId="29717" priority="29730"/>
    <cfRule type="duplicateValues" dxfId="29716" priority="29729"/>
    <cfRule type="duplicateValues" dxfId="29715" priority="29728"/>
    <cfRule type="duplicateValues" dxfId="29714" priority="29727"/>
    <cfRule type="duplicateValues" dxfId="29713" priority="29726"/>
    <cfRule type="duplicateValues" dxfId="29712" priority="29725"/>
    <cfRule type="duplicateValues" dxfId="29711" priority="29724"/>
    <cfRule type="duplicateValues" dxfId="29710" priority="29723"/>
    <cfRule type="duplicateValues" dxfId="29709" priority="29722"/>
    <cfRule type="duplicateValues" dxfId="29708" priority="29721"/>
    <cfRule type="duplicateValues" dxfId="29707" priority="29720"/>
    <cfRule type="duplicateValues" dxfId="29706" priority="29719"/>
    <cfRule type="duplicateValues" dxfId="29705" priority="29718"/>
    <cfRule type="duplicateValues" dxfId="29704" priority="29717"/>
    <cfRule type="duplicateValues" dxfId="29703" priority="29716"/>
    <cfRule type="duplicateValues" dxfId="29702" priority="29715"/>
    <cfRule type="duplicateValues" dxfId="29701" priority="29714"/>
    <cfRule type="duplicateValues" dxfId="29700" priority="29713"/>
    <cfRule type="duplicateValues" dxfId="29699" priority="29712"/>
    <cfRule type="duplicateValues" dxfId="29698" priority="29711"/>
    <cfRule type="duplicateValues" dxfId="29697" priority="29710"/>
    <cfRule type="duplicateValues" dxfId="29696" priority="29709"/>
    <cfRule type="duplicateValues" dxfId="29695" priority="29708"/>
    <cfRule type="duplicateValues" dxfId="29694" priority="29707"/>
    <cfRule type="duplicateValues" dxfId="29693" priority="29706"/>
    <cfRule type="duplicateValues" dxfId="29692" priority="29705"/>
    <cfRule type="duplicateValues" dxfId="29691" priority="29704"/>
    <cfRule type="duplicateValues" dxfId="29690" priority="29703"/>
    <cfRule type="duplicateValues" dxfId="29689" priority="29702"/>
    <cfRule type="duplicateValues" dxfId="29688" priority="29701"/>
    <cfRule type="duplicateValues" dxfId="29687" priority="29700"/>
    <cfRule type="duplicateValues" dxfId="29686" priority="29699"/>
    <cfRule type="duplicateValues" dxfId="29685" priority="29698"/>
    <cfRule type="duplicateValues" dxfId="29684" priority="29697"/>
    <cfRule type="duplicateValues" dxfId="29683" priority="29696"/>
    <cfRule type="duplicateValues" dxfId="29682" priority="29695"/>
    <cfRule type="duplicateValues" dxfId="29681" priority="29694"/>
    <cfRule type="duplicateValues" dxfId="29680" priority="29693"/>
    <cfRule type="duplicateValues" dxfId="29679" priority="29692"/>
    <cfRule type="duplicateValues" dxfId="29678" priority="29691"/>
    <cfRule type="duplicateValues" dxfId="29677" priority="29690"/>
    <cfRule type="duplicateValues" dxfId="29676" priority="29689"/>
    <cfRule type="duplicateValues" dxfId="29675" priority="29688"/>
    <cfRule type="duplicateValues" dxfId="29674" priority="29687"/>
    <cfRule type="duplicateValues" dxfId="29673" priority="29686"/>
    <cfRule type="duplicateValues" dxfId="29672" priority="29685"/>
    <cfRule type="duplicateValues" dxfId="29671" priority="29684"/>
    <cfRule type="duplicateValues" dxfId="29670" priority="29683"/>
    <cfRule type="duplicateValues" dxfId="29669" priority="29682"/>
    <cfRule type="duplicateValues" dxfId="29668" priority="29681"/>
    <cfRule type="duplicateValues" dxfId="29667" priority="29680"/>
    <cfRule type="duplicateValues" dxfId="29666" priority="29679"/>
    <cfRule type="duplicateValues" dxfId="29665" priority="29678"/>
    <cfRule type="duplicateValues" dxfId="29664" priority="29677"/>
    <cfRule type="duplicateValues" dxfId="29663" priority="29676"/>
    <cfRule type="duplicateValues" dxfId="29662" priority="29675"/>
    <cfRule type="duplicateValues" dxfId="29661" priority="29674"/>
    <cfRule type="duplicateValues" dxfId="29660" priority="29673"/>
    <cfRule type="duplicateValues" dxfId="29659" priority="29672"/>
    <cfRule type="duplicateValues" dxfId="29658" priority="29671"/>
    <cfRule type="duplicateValues" dxfId="29657" priority="29670"/>
    <cfRule type="duplicateValues" dxfId="29656" priority="29669"/>
    <cfRule type="duplicateValues" dxfId="29655" priority="29668"/>
    <cfRule type="duplicateValues" dxfId="29654" priority="29667"/>
    <cfRule type="duplicateValues" dxfId="29653" priority="29666"/>
    <cfRule type="duplicateValues" dxfId="29652" priority="29665"/>
    <cfRule type="duplicateValues" dxfId="29651" priority="29664"/>
    <cfRule type="duplicateValues" dxfId="29650" priority="29663"/>
    <cfRule type="duplicateValues" dxfId="29649" priority="29662"/>
    <cfRule type="duplicateValues" dxfId="29648" priority="29661"/>
    <cfRule type="duplicateValues" dxfId="29647" priority="29660"/>
    <cfRule type="duplicateValues" dxfId="29646" priority="29659"/>
    <cfRule type="duplicateValues" dxfId="29645" priority="29658"/>
    <cfRule type="duplicateValues" dxfId="29644" priority="29657"/>
    <cfRule type="duplicateValues" dxfId="29643" priority="29656"/>
    <cfRule type="duplicateValues" dxfId="29642" priority="29655"/>
    <cfRule type="duplicateValues" dxfId="29641" priority="29654"/>
    <cfRule type="duplicateValues" dxfId="29640" priority="29653"/>
    <cfRule type="duplicateValues" dxfId="29639" priority="29652"/>
    <cfRule type="duplicateValues" dxfId="29638" priority="29651"/>
    <cfRule type="duplicateValues" dxfId="29637" priority="29650"/>
    <cfRule type="duplicateValues" dxfId="29636" priority="29649"/>
    <cfRule type="duplicateValues" dxfId="29635" priority="29648"/>
    <cfRule type="duplicateValues" dxfId="29634" priority="29647"/>
    <cfRule type="duplicateValues" dxfId="29633" priority="29646"/>
    <cfRule type="duplicateValues" dxfId="29632" priority="29645"/>
    <cfRule type="duplicateValues" dxfId="29631" priority="29644"/>
    <cfRule type="duplicateValues" dxfId="29630" priority="29643"/>
    <cfRule type="duplicateValues" dxfId="29629" priority="29642"/>
    <cfRule type="duplicateValues" dxfId="29628" priority="29641"/>
    <cfRule type="duplicateValues" dxfId="29627" priority="29640"/>
    <cfRule type="duplicateValues" dxfId="29626" priority="29639"/>
    <cfRule type="duplicateValues" dxfId="29625" priority="29638"/>
    <cfRule type="duplicateValues" dxfId="29624" priority="29637"/>
    <cfRule type="duplicateValues" dxfId="29623" priority="29636"/>
    <cfRule type="duplicateValues" dxfId="29622" priority="29635"/>
    <cfRule type="duplicateValues" dxfId="29621" priority="29634"/>
    <cfRule type="duplicateValues" dxfId="29620" priority="29633"/>
    <cfRule type="duplicateValues" dxfId="29619" priority="29632"/>
    <cfRule type="duplicateValues" dxfId="29618" priority="29631"/>
    <cfRule type="duplicateValues" dxfId="29617" priority="29630"/>
    <cfRule type="duplicateValues" dxfId="29616" priority="29629"/>
    <cfRule type="duplicateValues" dxfId="29615" priority="29628"/>
    <cfRule type="duplicateValues" dxfId="29614" priority="29627"/>
    <cfRule type="duplicateValues" dxfId="29613" priority="29626"/>
    <cfRule type="duplicateValues" dxfId="29612" priority="29625"/>
    <cfRule type="duplicateValues" dxfId="29611" priority="29624"/>
    <cfRule type="duplicateValues" dxfId="29610" priority="29623"/>
    <cfRule type="duplicateValues" dxfId="29609" priority="29622"/>
    <cfRule type="duplicateValues" dxfId="29608" priority="29621"/>
    <cfRule type="duplicateValues" dxfId="29607" priority="29620"/>
    <cfRule type="duplicateValues" dxfId="29606" priority="29619"/>
    <cfRule type="duplicateValues" dxfId="29605" priority="29618"/>
    <cfRule type="duplicateValues" dxfId="29604" priority="29617"/>
    <cfRule type="duplicateValues" dxfId="29603" priority="29616"/>
    <cfRule type="duplicateValues" dxfId="29602" priority="29615"/>
    <cfRule type="duplicateValues" dxfId="29601" priority="29614"/>
    <cfRule type="duplicateValues" dxfId="29600" priority="29613"/>
    <cfRule type="duplicateValues" dxfId="29599" priority="29612"/>
    <cfRule type="duplicateValues" dxfId="29598" priority="29611"/>
    <cfRule type="duplicateValues" dxfId="29597" priority="29610"/>
    <cfRule type="duplicateValues" dxfId="29596" priority="29609"/>
    <cfRule type="duplicateValues" dxfId="29595" priority="29608"/>
    <cfRule type="duplicateValues" dxfId="29594" priority="29607"/>
    <cfRule type="duplicateValues" dxfId="29593" priority="29606"/>
    <cfRule type="duplicateValues" dxfId="29592" priority="29605"/>
    <cfRule type="duplicateValues" dxfId="29591" priority="29604"/>
    <cfRule type="duplicateValues" dxfId="29590" priority="29603"/>
    <cfRule type="duplicateValues" dxfId="29589" priority="29602"/>
    <cfRule type="duplicateValues" dxfId="29588" priority="29601"/>
    <cfRule type="duplicateValues" dxfId="29587" priority="29600"/>
    <cfRule type="duplicateValues" dxfId="29586" priority="29599"/>
    <cfRule type="duplicateValues" dxfId="29585" priority="29598"/>
    <cfRule type="duplicateValues" dxfId="29584" priority="29597"/>
    <cfRule type="duplicateValues" dxfId="29583" priority="29596"/>
    <cfRule type="duplicateValues" dxfId="29582" priority="29595"/>
    <cfRule type="duplicateValues" dxfId="29581" priority="29594"/>
    <cfRule type="duplicateValues" dxfId="29580" priority="29593"/>
    <cfRule type="duplicateValues" dxfId="29579" priority="29592"/>
    <cfRule type="duplicateValues" dxfId="29578" priority="29591"/>
    <cfRule type="duplicateValues" dxfId="29577" priority="29590"/>
    <cfRule type="duplicateValues" dxfId="29576" priority="29589"/>
    <cfRule type="duplicateValues" dxfId="29575" priority="29588"/>
    <cfRule type="duplicateValues" dxfId="29574" priority="29587"/>
    <cfRule type="duplicateValues" dxfId="29573" priority="29586"/>
    <cfRule type="duplicateValues" dxfId="29572" priority="29585"/>
    <cfRule type="duplicateValues" dxfId="29571" priority="29584"/>
    <cfRule type="duplicateValues" dxfId="29570" priority="29583"/>
    <cfRule type="duplicateValues" dxfId="29569" priority="29582"/>
    <cfRule type="duplicateValues" dxfId="29568" priority="29581"/>
    <cfRule type="duplicateValues" dxfId="29567" priority="29580"/>
    <cfRule type="duplicateValues" dxfId="29566" priority="29579"/>
    <cfRule type="duplicateValues" dxfId="29565" priority="29578"/>
  </conditionalFormatting>
  <conditionalFormatting sqref="B141">
    <cfRule type="duplicateValues" dxfId="29564" priority="29533"/>
    <cfRule type="duplicateValues" dxfId="29563" priority="29400"/>
    <cfRule type="duplicateValues" dxfId="29562" priority="29399"/>
    <cfRule type="duplicateValues" dxfId="29561" priority="29398"/>
    <cfRule type="duplicateValues" dxfId="29560" priority="29573"/>
    <cfRule type="duplicateValues" dxfId="29559" priority="29572"/>
    <cfRule type="duplicateValues" dxfId="29558" priority="29571"/>
    <cfRule type="duplicateValues" dxfId="29557" priority="29570"/>
    <cfRule type="duplicateValues" dxfId="29556" priority="29569"/>
    <cfRule type="duplicateValues" dxfId="29555" priority="29568"/>
    <cfRule type="duplicateValues" dxfId="29554" priority="29567"/>
    <cfRule type="duplicateValues" dxfId="29553" priority="29566"/>
    <cfRule type="duplicateValues" dxfId="29552" priority="29565"/>
    <cfRule type="duplicateValues" dxfId="29551" priority="29564"/>
    <cfRule type="duplicateValues" dxfId="29550" priority="29563"/>
    <cfRule type="duplicateValues" dxfId="29549" priority="29562"/>
    <cfRule type="duplicateValues" dxfId="29548" priority="29561"/>
    <cfRule type="duplicateValues" dxfId="29547" priority="29560"/>
    <cfRule type="duplicateValues" dxfId="29546" priority="29559"/>
    <cfRule type="duplicateValues" dxfId="29545" priority="29558"/>
    <cfRule type="duplicateValues" dxfId="29544" priority="29557"/>
    <cfRule type="duplicateValues" dxfId="29543" priority="29556"/>
    <cfRule type="duplicateValues" dxfId="29542" priority="29555"/>
    <cfRule type="duplicateValues" dxfId="29541" priority="29554"/>
    <cfRule type="duplicateValues" dxfId="29540" priority="29553"/>
    <cfRule type="duplicateValues" dxfId="29539" priority="29552"/>
    <cfRule type="duplicateValues" dxfId="29538" priority="29551"/>
    <cfRule type="duplicateValues" dxfId="29537" priority="29550"/>
    <cfRule type="duplicateValues" dxfId="29536" priority="29549"/>
    <cfRule type="duplicateValues" dxfId="29535" priority="29548"/>
    <cfRule type="duplicateValues" dxfId="29534" priority="29547"/>
    <cfRule type="duplicateValues" dxfId="29533" priority="29546"/>
    <cfRule type="duplicateValues" dxfId="29532" priority="29545"/>
    <cfRule type="duplicateValues" dxfId="29531" priority="29544"/>
    <cfRule type="duplicateValues" dxfId="29530" priority="29543"/>
    <cfRule type="duplicateValues" dxfId="29529" priority="29542"/>
    <cfRule type="duplicateValues" dxfId="29528" priority="29541"/>
    <cfRule type="duplicateValues" dxfId="29527" priority="29540"/>
    <cfRule type="duplicateValues" dxfId="29526" priority="29539"/>
    <cfRule type="duplicateValues" dxfId="29525" priority="29538"/>
    <cfRule type="duplicateValues" dxfId="29524" priority="29537"/>
    <cfRule type="duplicateValues" dxfId="29523" priority="29536"/>
    <cfRule type="duplicateValues" dxfId="29522" priority="29535"/>
    <cfRule type="duplicateValues" dxfId="29521" priority="29534"/>
    <cfRule type="duplicateValues" dxfId="29520" priority="29489"/>
    <cfRule type="duplicateValues" dxfId="29519" priority="29532"/>
    <cfRule type="duplicateValues" dxfId="29518" priority="29531"/>
    <cfRule type="duplicateValues" dxfId="29517" priority="29530"/>
    <cfRule type="duplicateValues" dxfId="29516" priority="29529"/>
    <cfRule type="duplicateValues" dxfId="29515" priority="29528"/>
    <cfRule type="duplicateValues" dxfId="29514" priority="29527"/>
    <cfRule type="duplicateValues" dxfId="29513" priority="29526"/>
    <cfRule type="duplicateValues" dxfId="29512" priority="29525"/>
    <cfRule type="duplicateValues" dxfId="29511" priority="29524"/>
    <cfRule type="duplicateValues" dxfId="29510" priority="29523"/>
    <cfRule type="duplicateValues" dxfId="29509" priority="29522"/>
    <cfRule type="duplicateValues" dxfId="29508" priority="29521"/>
    <cfRule type="duplicateValues" dxfId="29507" priority="29520"/>
    <cfRule type="duplicateValues" dxfId="29506" priority="29519"/>
    <cfRule type="duplicateValues" dxfId="29505" priority="29518"/>
    <cfRule type="duplicateValues" dxfId="29504" priority="29517"/>
    <cfRule type="duplicateValues" dxfId="29503" priority="29516"/>
    <cfRule type="duplicateValues" dxfId="29502" priority="29515"/>
    <cfRule type="duplicateValues" dxfId="29501" priority="29514"/>
    <cfRule type="duplicateValues" dxfId="29500" priority="29513"/>
    <cfRule type="duplicateValues" dxfId="29499" priority="29512"/>
    <cfRule type="duplicateValues" dxfId="29498" priority="29511"/>
    <cfRule type="duplicateValues" dxfId="29497" priority="29510"/>
    <cfRule type="duplicateValues" dxfId="29496" priority="29509"/>
    <cfRule type="duplicateValues" dxfId="29495" priority="29508"/>
    <cfRule type="duplicateValues" dxfId="29494" priority="29507"/>
    <cfRule type="duplicateValues" dxfId="29493" priority="29506"/>
    <cfRule type="duplicateValues" dxfId="29492" priority="29505"/>
    <cfRule type="duplicateValues" dxfId="29491" priority="29504"/>
    <cfRule type="duplicateValues" dxfId="29490" priority="29503"/>
    <cfRule type="duplicateValues" dxfId="29489" priority="29502"/>
    <cfRule type="duplicateValues" dxfId="29488" priority="29501"/>
    <cfRule type="duplicateValues" dxfId="29487" priority="29500"/>
    <cfRule type="duplicateValues" dxfId="29486" priority="29499"/>
    <cfRule type="duplicateValues" dxfId="29485" priority="29498"/>
    <cfRule type="duplicateValues" dxfId="29484" priority="29497"/>
    <cfRule type="duplicateValues" dxfId="29483" priority="29496"/>
    <cfRule type="duplicateValues" dxfId="29482" priority="29495"/>
    <cfRule type="duplicateValues" dxfId="29481" priority="29494"/>
    <cfRule type="duplicateValues" dxfId="29480" priority="29493"/>
    <cfRule type="duplicateValues" dxfId="29479" priority="29492"/>
    <cfRule type="duplicateValues" dxfId="29478" priority="29491"/>
    <cfRule type="duplicateValues" dxfId="29477" priority="29490"/>
    <cfRule type="duplicateValues" dxfId="29476" priority="29397"/>
    <cfRule type="duplicateValues" dxfId="29475" priority="29488"/>
    <cfRule type="duplicateValues" dxfId="29474" priority="29487"/>
    <cfRule type="duplicateValues" dxfId="29473" priority="29486"/>
    <cfRule type="duplicateValues" dxfId="29472" priority="29485"/>
    <cfRule type="duplicateValues" dxfId="29471" priority="29484"/>
    <cfRule type="duplicateValues" dxfId="29470" priority="29483"/>
    <cfRule type="duplicateValues" dxfId="29469" priority="29482"/>
    <cfRule type="duplicateValues" dxfId="29468" priority="29481"/>
    <cfRule type="duplicateValues" dxfId="29467" priority="29480"/>
    <cfRule type="duplicateValues" dxfId="29466" priority="29479"/>
    <cfRule type="duplicateValues" dxfId="29465" priority="29478"/>
    <cfRule type="duplicateValues" dxfId="29464" priority="29477"/>
    <cfRule type="duplicateValues" dxfId="29463" priority="29476"/>
    <cfRule type="duplicateValues" dxfId="29462" priority="29475"/>
    <cfRule type="duplicateValues" dxfId="29461" priority="29474"/>
    <cfRule type="duplicateValues" dxfId="29460" priority="29473"/>
    <cfRule type="duplicateValues" dxfId="29459" priority="29472"/>
    <cfRule type="duplicateValues" dxfId="29458" priority="29471"/>
    <cfRule type="duplicateValues" dxfId="29457" priority="29470"/>
    <cfRule type="duplicateValues" dxfId="29456" priority="29469"/>
    <cfRule type="duplicateValues" dxfId="29455" priority="29468"/>
    <cfRule type="duplicateValues" dxfId="29454" priority="29467"/>
    <cfRule type="duplicateValues" dxfId="29453" priority="29466"/>
    <cfRule type="duplicateValues" dxfId="29452" priority="29465"/>
    <cfRule type="duplicateValues" dxfId="29451" priority="29464"/>
    <cfRule type="duplicateValues" dxfId="29450" priority="29463"/>
    <cfRule type="duplicateValues" dxfId="29449" priority="29462"/>
    <cfRule type="duplicateValues" dxfId="29448" priority="29461"/>
    <cfRule type="duplicateValues" dxfId="29447" priority="29460"/>
    <cfRule type="duplicateValues" dxfId="29446" priority="29459"/>
    <cfRule type="duplicateValues" dxfId="29445" priority="29458"/>
    <cfRule type="duplicateValues" dxfId="29444" priority="29457"/>
    <cfRule type="duplicateValues" dxfId="29443" priority="29456"/>
    <cfRule type="duplicateValues" dxfId="29442" priority="29455"/>
    <cfRule type="duplicateValues" dxfId="29441" priority="29454"/>
    <cfRule type="duplicateValues" dxfId="29440" priority="29453"/>
    <cfRule type="duplicateValues" dxfId="29439" priority="29452"/>
    <cfRule type="duplicateValues" dxfId="29438" priority="29451"/>
    <cfRule type="duplicateValues" dxfId="29437" priority="29450"/>
    <cfRule type="duplicateValues" dxfId="29436" priority="29449"/>
    <cfRule type="duplicateValues" dxfId="29435" priority="29448"/>
    <cfRule type="duplicateValues" dxfId="29434" priority="29447"/>
    <cfRule type="duplicateValues" dxfId="29433" priority="29446"/>
    <cfRule type="duplicateValues" dxfId="29432" priority="29445"/>
    <cfRule type="duplicateValues" dxfId="29431" priority="29444"/>
    <cfRule type="duplicateValues" dxfId="29430" priority="29443"/>
    <cfRule type="duplicateValues" dxfId="29429" priority="29442"/>
    <cfRule type="duplicateValues" dxfId="29428" priority="29441"/>
    <cfRule type="duplicateValues" dxfId="29427" priority="29440"/>
    <cfRule type="duplicateValues" dxfId="29426" priority="29439"/>
    <cfRule type="duplicateValues" dxfId="29425" priority="29438"/>
    <cfRule type="duplicateValues" dxfId="29424" priority="29437"/>
    <cfRule type="duplicateValues" dxfId="29423" priority="29436"/>
    <cfRule type="duplicateValues" dxfId="29422" priority="29435"/>
    <cfRule type="duplicateValues" dxfId="29421" priority="29434"/>
    <cfRule type="duplicateValues" dxfId="29420" priority="29433"/>
    <cfRule type="duplicateValues" dxfId="29419" priority="29432"/>
    <cfRule type="duplicateValues" dxfId="29418" priority="29431"/>
    <cfRule type="duplicateValues" dxfId="29417" priority="29430"/>
    <cfRule type="duplicateValues" dxfId="29416" priority="29429"/>
    <cfRule type="duplicateValues" dxfId="29415" priority="29428"/>
    <cfRule type="duplicateValues" dxfId="29414" priority="29427"/>
    <cfRule type="duplicateValues" dxfId="29413" priority="29426"/>
    <cfRule type="duplicateValues" dxfId="29412" priority="29425"/>
    <cfRule type="duplicateValues" dxfId="29411" priority="29424"/>
    <cfRule type="duplicateValues" dxfId="29410" priority="29423"/>
    <cfRule type="duplicateValues" dxfId="29409" priority="29422"/>
    <cfRule type="duplicateValues" dxfId="29408" priority="29421"/>
    <cfRule type="duplicateValues" dxfId="29407" priority="29420"/>
    <cfRule type="duplicateValues" dxfId="29406" priority="29419"/>
    <cfRule type="duplicateValues" dxfId="29405" priority="29418"/>
    <cfRule type="duplicateValues" dxfId="29404" priority="29417"/>
    <cfRule type="duplicateValues" dxfId="29403" priority="29416"/>
    <cfRule type="duplicateValues" dxfId="29402" priority="29415"/>
    <cfRule type="duplicateValues" dxfId="29401" priority="29414"/>
    <cfRule type="duplicateValues" dxfId="29400" priority="29413"/>
    <cfRule type="duplicateValues" dxfId="29399" priority="29412"/>
    <cfRule type="duplicateValues" dxfId="29398" priority="29411"/>
    <cfRule type="duplicateValues" dxfId="29397" priority="29410"/>
    <cfRule type="duplicateValues" dxfId="29396" priority="29409"/>
    <cfRule type="duplicateValues" dxfId="29395" priority="29408"/>
    <cfRule type="duplicateValues" dxfId="29394" priority="29407"/>
    <cfRule type="duplicateValues" dxfId="29393" priority="29406"/>
    <cfRule type="duplicateValues" dxfId="29392" priority="29405"/>
    <cfRule type="duplicateValues" dxfId="29391" priority="29404"/>
    <cfRule type="duplicateValues" dxfId="29390" priority="29403"/>
    <cfRule type="duplicateValues" dxfId="29389" priority="29402"/>
    <cfRule type="duplicateValues" dxfId="29388" priority="29401"/>
  </conditionalFormatting>
  <conditionalFormatting sqref="B142">
    <cfRule type="duplicateValues" dxfId="29387" priority="29221"/>
    <cfRule type="duplicateValues" dxfId="29386" priority="29220"/>
    <cfRule type="duplicateValues" dxfId="29385" priority="29223"/>
    <cfRule type="duplicateValues" dxfId="29384" priority="29222"/>
    <cfRule type="duplicateValues" dxfId="29383" priority="29396"/>
    <cfRule type="duplicateValues" dxfId="29382" priority="29395"/>
    <cfRule type="duplicateValues" dxfId="29381" priority="29394"/>
    <cfRule type="duplicateValues" dxfId="29380" priority="29393"/>
    <cfRule type="duplicateValues" dxfId="29379" priority="29392"/>
    <cfRule type="duplicateValues" dxfId="29378" priority="29391"/>
    <cfRule type="duplicateValues" dxfId="29377" priority="29390"/>
    <cfRule type="duplicateValues" dxfId="29376" priority="29389"/>
    <cfRule type="duplicateValues" dxfId="29375" priority="29388"/>
    <cfRule type="duplicateValues" dxfId="29374" priority="29387"/>
    <cfRule type="duplicateValues" dxfId="29373" priority="29386"/>
    <cfRule type="duplicateValues" dxfId="29372" priority="29385"/>
    <cfRule type="duplicateValues" dxfId="29371" priority="29384"/>
    <cfRule type="duplicateValues" dxfId="29370" priority="29383"/>
    <cfRule type="duplicateValues" dxfId="29369" priority="29382"/>
    <cfRule type="duplicateValues" dxfId="29368" priority="29381"/>
    <cfRule type="duplicateValues" dxfId="29367" priority="29380"/>
    <cfRule type="duplicateValues" dxfId="29366" priority="29379"/>
    <cfRule type="duplicateValues" dxfId="29365" priority="29378"/>
    <cfRule type="duplicateValues" dxfId="29364" priority="29377"/>
    <cfRule type="duplicateValues" dxfId="29363" priority="29376"/>
    <cfRule type="duplicateValues" dxfId="29362" priority="29375"/>
    <cfRule type="duplicateValues" dxfId="29361" priority="29374"/>
    <cfRule type="duplicateValues" dxfId="29360" priority="29373"/>
    <cfRule type="duplicateValues" dxfId="29359" priority="29372"/>
    <cfRule type="duplicateValues" dxfId="29358" priority="29371"/>
    <cfRule type="duplicateValues" dxfId="29357" priority="29370"/>
    <cfRule type="duplicateValues" dxfId="29356" priority="29369"/>
    <cfRule type="duplicateValues" dxfId="29355" priority="29368"/>
    <cfRule type="duplicateValues" dxfId="29354" priority="29367"/>
    <cfRule type="duplicateValues" dxfId="29353" priority="29366"/>
    <cfRule type="duplicateValues" dxfId="29352" priority="29365"/>
    <cfRule type="duplicateValues" dxfId="29351" priority="29364"/>
    <cfRule type="duplicateValues" dxfId="29350" priority="29363"/>
    <cfRule type="duplicateValues" dxfId="29349" priority="29362"/>
    <cfRule type="duplicateValues" dxfId="29348" priority="29361"/>
    <cfRule type="duplicateValues" dxfId="29347" priority="29360"/>
    <cfRule type="duplicateValues" dxfId="29346" priority="29359"/>
    <cfRule type="duplicateValues" dxfId="29345" priority="29358"/>
    <cfRule type="duplicateValues" dxfId="29344" priority="29357"/>
    <cfRule type="duplicateValues" dxfId="29343" priority="29356"/>
    <cfRule type="duplicateValues" dxfId="29342" priority="29355"/>
    <cfRule type="duplicateValues" dxfId="29341" priority="29354"/>
    <cfRule type="duplicateValues" dxfId="29340" priority="29353"/>
    <cfRule type="duplicateValues" dxfId="29339" priority="29352"/>
    <cfRule type="duplicateValues" dxfId="29338" priority="29351"/>
    <cfRule type="duplicateValues" dxfId="29337" priority="29350"/>
    <cfRule type="duplicateValues" dxfId="29336" priority="29349"/>
    <cfRule type="duplicateValues" dxfId="29335" priority="29348"/>
    <cfRule type="duplicateValues" dxfId="29334" priority="29347"/>
    <cfRule type="duplicateValues" dxfId="29333" priority="29346"/>
    <cfRule type="duplicateValues" dxfId="29332" priority="29345"/>
    <cfRule type="duplicateValues" dxfId="29331" priority="29344"/>
    <cfRule type="duplicateValues" dxfId="29330" priority="29343"/>
    <cfRule type="duplicateValues" dxfId="29329" priority="29342"/>
    <cfRule type="duplicateValues" dxfId="29328" priority="29341"/>
    <cfRule type="duplicateValues" dxfId="29327" priority="29340"/>
    <cfRule type="duplicateValues" dxfId="29326" priority="29339"/>
    <cfRule type="duplicateValues" dxfId="29325" priority="29338"/>
    <cfRule type="duplicateValues" dxfId="29324" priority="29337"/>
    <cfRule type="duplicateValues" dxfId="29323" priority="29336"/>
    <cfRule type="duplicateValues" dxfId="29322" priority="29335"/>
    <cfRule type="duplicateValues" dxfId="29321" priority="29334"/>
    <cfRule type="duplicateValues" dxfId="29320" priority="29333"/>
    <cfRule type="duplicateValues" dxfId="29319" priority="29332"/>
    <cfRule type="duplicateValues" dxfId="29318" priority="29331"/>
    <cfRule type="duplicateValues" dxfId="29317" priority="29330"/>
    <cfRule type="duplicateValues" dxfId="29316" priority="29329"/>
    <cfRule type="duplicateValues" dxfId="29315" priority="29328"/>
    <cfRule type="duplicateValues" dxfId="29314" priority="29327"/>
    <cfRule type="duplicateValues" dxfId="29313" priority="29326"/>
    <cfRule type="duplicateValues" dxfId="29312" priority="29325"/>
    <cfRule type="duplicateValues" dxfId="29311" priority="29324"/>
    <cfRule type="duplicateValues" dxfId="29310" priority="29323"/>
    <cfRule type="duplicateValues" dxfId="29309" priority="29322"/>
    <cfRule type="duplicateValues" dxfId="29308" priority="29321"/>
    <cfRule type="duplicateValues" dxfId="29307" priority="29320"/>
    <cfRule type="duplicateValues" dxfId="29306" priority="29319"/>
    <cfRule type="duplicateValues" dxfId="29305" priority="29318"/>
    <cfRule type="duplicateValues" dxfId="29304" priority="29317"/>
    <cfRule type="duplicateValues" dxfId="29303" priority="29316"/>
    <cfRule type="duplicateValues" dxfId="29302" priority="29315"/>
    <cfRule type="duplicateValues" dxfId="29301" priority="29314"/>
    <cfRule type="duplicateValues" dxfId="29300" priority="29313"/>
    <cfRule type="duplicateValues" dxfId="29299" priority="29312"/>
    <cfRule type="duplicateValues" dxfId="29298" priority="29311"/>
    <cfRule type="duplicateValues" dxfId="29297" priority="29310"/>
    <cfRule type="duplicateValues" dxfId="29296" priority="29309"/>
    <cfRule type="duplicateValues" dxfId="29295" priority="29308"/>
    <cfRule type="duplicateValues" dxfId="29294" priority="29307"/>
    <cfRule type="duplicateValues" dxfId="29293" priority="29306"/>
    <cfRule type="duplicateValues" dxfId="29292" priority="29305"/>
    <cfRule type="duplicateValues" dxfId="29291" priority="29304"/>
    <cfRule type="duplicateValues" dxfId="29290" priority="29303"/>
    <cfRule type="duplicateValues" dxfId="29289" priority="29302"/>
    <cfRule type="duplicateValues" dxfId="29288" priority="29301"/>
    <cfRule type="duplicateValues" dxfId="29287" priority="29300"/>
    <cfRule type="duplicateValues" dxfId="29286" priority="29299"/>
    <cfRule type="duplicateValues" dxfId="29285" priority="29298"/>
    <cfRule type="duplicateValues" dxfId="29284" priority="29297"/>
    <cfRule type="duplicateValues" dxfId="29283" priority="29296"/>
    <cfRule type="duplicateValues" dxfId="29282" priority="29295"/>
    <cfRule type="duplicateValues" dxfId="29281" priority="29294"/>
    <cfRule type="duplicateValues" dxfId="29280" priority="29293"/>
    <cfRule type="duplicateValues" dxfId="29279" priority="29292"/>
    <cfRule type="duplicateValues" dxfId="29278" priority="29291"/>
    <cfRule type="duplicateValues" dxfId="29277" priority="29290"/>
    <cfRule type="duplicateValues" dxfId="29276" priority="29289"/>
    <cfRule type="duplicateValues" dxfId="29275" priority="29288"/>
    <cfRule type="duplicateValues" dxfId="29274" priority="29287"/>
    <cfRule type="duplicateValues" dxfId="29273" priority="29286"/>
    <cfRule type="duplicateValues" dxfId="29272" priority="29285"/>
    <cfRule type="duplicateValues" dxfId="29271" priority="29284"/>
    <cfRule type="duplicateValues" dxfId="29270" priority="29283"/>
    <cfRule type="duplicateValues" dxfId="29269" priority="29282"/>
    <cfRule type="duplicateValues" dxfId="29268" priority="29281"/>
    <cfRule type="duplicateValues" dxfId="29267" priority="29280"/>
    <cfRule type="duplicateValues" dxfId="29266" priority="29279"/>
    <cfRule type="duplicateValues" dxfId="29265" priority="29278"/>
    <cfRule type="duplicateValues" dxfId="29264" priority="29277"/>
    <cfRule type="duplicateValues" dxfId="29263" priority="29276"/>
    <cfRule type="duplicateValues" dxfId="29262" priority="29275"/>
    <cfRule type="duplicateValues" dxfId="29261" priority="29274"/>
    <cfRule type="duplicateValues" dxfId="29260" priority="29273"/>
    <cfRule type="duplicateValues" dxfId="29259" priority="29272"/>
    <cfRule type="duplicateValues" dxfId="29258" priority="29271"/>
    <cfRule type="duplicateValues" dxfId="29257" priority="29270"/>
    <cfRule type="duplicateValues" dxfId="29256" priority="29269"/>
    <cfRule type="duplicateValues" dxfId="29255" priority="29268"/>
    <cfRule type="duplicateValues" dxfId="29254" priority="29267"/>
    <cfRule type="duplicateValues" dxfId="29253" priority="29266"/>
    <cfRule type="duplicateValues" dxfId="29252" priority="29265"/>
    <cfRule type="duplicateValues" dxfId="29251" priority="29264"/>
    <cfRule type="duplicateValues" dxfId="29250" priority="29263"/>
    <cfRule type="duplicateValues" dxfId="29249" priority="29262"/>
    <cfRule type="duplicateValues" dxfId="29248" priority="29261"/>
    <cfRule type="duplicateValues" dxfId="29247" priority="29260"/>
    <cfRule type="duplicateValues" dxfId="29246" priority="29259"/>
    <cfRule type="duplicateValues" dxfId="29245" priority="29258"/>
    <cfRule type="duplicateValues" dxfId="29244" priority="29257"/>
    <cfRule type="duplicateValues" dxfId="29243" priority="29256"/>
    <cfRule type="duplicateValues" dxfId="29242" priority="29255"/>
    <cfRule type="duplicateValues" dxfId="29241" priority="29254"/>
    <cfRule type="duplicateValues" dxfId="29240" priority="29253"/>
    <cfRule type="duplicateValues" dxfId="29239" priority="29252"/>
    <cfRule type="duplicateValues" dxfId="29238" priority="29251"/>
    <cfRule type="duplicateValues" dxfId="29237" priority="29250"/>
    <cfRule type="duplicateValues" dxfId="29236" priority="29249"/>
    <cfRule type="duplicateValues" dxfId="29235" priority="29248"/>
    <cfRule type="duplicateValues" dxfId="29234" priority="29247"/>
    <cfRule type="duplicateValues" dxfId="29233" priority="29246"/>
    <cfRule type="duplicateValues" dxfId="29232" priority="29245"/>
    <cfRule type="duplicateValues" dxfId="29231" priority="29244"/>
    <cfRule type="duplicateValues" dxfId="29230" priority="29243"/>
    <cfRule type="duplicateValues" dxfId="29229" priority="29242"/>
    <cfRule type="duplicateValues" dxfId="29228" priority="29241"/>
    <cfRule type="duplicateValues" dxfId="29227" priority="29240"/>
    <cfRule type="duplicateValues" dxfId="29226" priority="29239"/>
    <cfRule type="duplicateValues" dxfId="29225" priority="29238"/>
    <cfRule type="duplicateValues" dxfId="29224" priority="29237"/>
    <cfRule type="duplicateValues" dxfId="29223" priority="29236"/>
    <cfRule type="duplicateValues" dxfId="29222" priority="29235"/>
    <cfRule type="duplicateValues" dxfId="29221" priority="29234"/>
    <cfRule type="duplicateValues" dxfId="29220" priority="29233"/>
    <cfRule type="duplicateValues" dxfId="29219" priority="29232"/>
    <cfRule type="duplicateValues" dxfId="29218" priority="29231"/>
    <cfRule type="duplicateValues" dxfId="29217" priority="29230"/>
    <cfRule type="duplicateValues" dxfId="29216" priority="29229"/>
    <cfRule type="duplicateValues" dxfId="29215" priority="29228"/>
    <cfRule type="duplicateValues" dxfId="29214" priority="29227"/>
    <cfRule type="duplicateValues" dxfId="29213" priority="29226"/>
    <cfRule type="duplicateValues" dxfId="29212" priority="29225"/>
    <cfRule type="duplicateValues" dxfId="29211" priority="29224"/>
  </conditionalFormatting>
  <conditionalFormatting sqref="B143">
    <cfRule type="duplicateValues" dxfId="29210" priority="29046"/>
    <cfRule type="duplicateValues" dxfId="29209" priority="29045"/>
    <cfRule type="duplicateValues" dxfId="29208" priority="29044"/>
    <cfRule type="duplicateValues" dxfId="29207" priority="29043"/>
    <cfRule type="duplicateValues" dxfId="29206" priority="29219"/>
    <cfRule type="duplicateValues" dxfId="29205" priority="29218"/>
    <cfRule type="duplicateValues" dxfId="29204" priority="29217"/>
    <cfRule type="duplicateValues" dxfId="29203" priority="29216"/>
    <cfRule type="duplicateValues" dxfId="29202" priority="29215"/>
    <cfRule type="duplicateValues" dxfId="29201" priority="29214"/>
    <cfRule type="duplicateValues" dxfId="29200" priority="29213"/>
    <cfRule type="duplicateValues" dxfId="29199" priority="29212"/>
    <cfRule type="duplicateValues" dxfId="29198" priority="29211"/>
    <cfRule type="duplicateValues" dxfId="29197" priority="29210"/>
    <cfRule type="duplicateValues" dxfId="29196" priority="29209"/>
    <cfRule type="duplicateValues" dxfId="29195" priority="29208"/>
    <cfRule type="duplicateValues" dxfId="29194" priority="29207"/>
    <cfRule type="duplicateValues" dxfId="29193" priority="29206"/>
    <cfRule type="duplicateValues" dxfId="29192" priority="29205"/>
    <cfRule type="duplicateValues" dxfId="29191" priority="29204"/>
    <cfRule type="duplicateValues" dxfId="29190" priority="29203"/>
    <cfRule type="duplicateValues" dxfId="29189" priority="29202"/>
    <cfRule type="duplicateValues" dxfId="29188" priority="29201"/>
    <cfRule type="duplicateValues" dxfId="29187" priority="29200"/>
    <cfRule type="duplicateValues" dxfId="29186" priority="29199"/>
    <cfRule type="duplicateValues" dxfId="29185" priority="29198"/>
    <cfRule type="duplicateValues" dxfId="29184" priority="29197"/>
    <cfRule type="duplicateValues" dxfId="29183" priority="29196"/>
    <cfRule type="duplicateValues" dxfId="29182" priority="29195"/>
    <cfRule type="duplicateValues" dxfId="29181" priority="29194"/>
    <cfRule type="duplicateValues" dxfId="29180" priority="29193"/>
    <cfRule type="duplicateValues" dxfId="29179" priority="29192"/>
    <cfRule type="duplicateValues" dxfId="29178" priority="29191"/>
    <cfRule type="duplicateValues" dxfId="29177" priority="29190"/>
    <cfRule type="duplicateValues" dxfId="29176" priority="29189"/>
    <cfRule type="duplicateValues" dxfId="29175" priority="29188"/>
    <cfRule type="duplicateValues" dxfId="29174" priority="29187"/>
    <cfRule type="duplicateValues" dxfId="29173" priority="29186"/>
    <cfRule type="duplicateValues" dxfId="29172" priority="29185"/>
    <cfRule type="duplicateValues" dxfId="29171" priority="29184"/>
    <cfRule type="duplicateValues" dxfId="29170" priority="29183"/>
    <cfRule type="duplicateValues" dxfId="29169" priority="29182"/>
    <cfRule type="duplicateValues" dxfId="29168" priority="29181"/>
    <cfRule type="duplicateValues" dxfId="29167" priority="29180"/>
    <cfRule type="duplicateValues" dxfId="29166" priority="29179"/>
    <cfRule type="duplicateValues" dxfId="29165" priority="29178"/>
    <cfRule type="duplicateValues" dxfId="29164" priority="29177"/>
    <cfRule type="duplicateValues" dxfId="29163" priority="29176"/>
    <cfRule type="duplicateValues" dxfId="29162" priority="29175"/>
    <cfRule type="duplicateValues" dxfId="29161" priority="29174"/>
    <cfRule type="duplicateValues" dxfId="29160" priority="29173"/>
    <cfRule type="duplicateValues" dxfId="29159" priority="29172"/>
    <cfRule type="duplicateValues" dxfId="29158" priority="29171"/>
    <cfRule type="duplicateValues" dxfId="29157" priority="29170"/>
    <cfRule type="duplicateValues" dxfId="29156" priority="29169"/>
    <cfRule type="duplicateValues" dxfId="29155" priority="29168"/>
    <cfRule type="duplicateValues" dxfId="29154" priority="29167"/>
    <cfRule type="duplicateValues" dxfId="29153" priority="29166"/>
    <cfRule type="duplicateValues" dxfId="29152" priority="29165"/>
    <cfRule type="duplicateValues" dxfId="29151" priority="29164"/>
    <cfRule type="duplicateValues" dxfId="29150" priority="29163"/>
    <cfRule type="duplicateValues" dxfId="29149" priority="29162"/>
    <cfRule type="duplicateValues" dxfId="29148" priority="29161"/>
    <cfRule type="duplicateValues" dxfId="29147" priority="29160"/>
    <cfRule type="duplicateValues" dxfId="29146" priority="29159"/>
    <cfRule type="duplicateValues" dxfId="29145" priority="29158"/>
    <cfRule type="duplicateValues" dxfId="29144" priority="29157"/>
    <cfRule type="duplicateValues" dxfId="29143" priority="29156"/>
    <cfRule type="duplicateValues" dxfId="29142" priority="29155"/>
    <cfRule type="duplicateValues" dxfId="29141" priority="29154"/>
    <cfRule type="duplicateValues" dxfId="29140" priority="29153"/>
    <cfRule type="duplicateValues" dxfId="29139" priority="29152"/>
    <cfRule type="duplicateValues" dxfId="29138" priority="29151"/>
    <cfRule type="duplicateValues" dxfId="29137" priority="29150"/>
    <cfRule type="duplicateValues" dxfId="29136" priority="29149"/>
    <cfRule type="duplicateValues" dxfId="29135" priority="29148"/>
    <cfRule type="duplicateValues" dxfId="29134" priority="29147"/>
    <cfRule type="duplicateValues" dxfId="29133" priority="29146"/>
    <cfRule type="duplicateValues" dxfId="29132" priority="29145"/>
    <cfRule type="duplicateValues" dxfId="29131" priority="29144"/>
    <cfRule type="duplicateValues" dxfId="29130" priority="29143"/>
    <cfRule type="duplicateValues" dxfId="29129" priority="29142"/>
    <cfRule type="duplicateValues" dxfId="29128" priority="29141"/>
    <cfRule type="duplicateValues" dxfId="29127" priority="29140"/>
    <cfRule type="duplicateValues" dxfId="29126" priority="29139"/>
    <cfRule type="duplicateValues" dxfId="29125" priority="29138"/>
    <cfRule type="duplicateValues" dxfId="29124" priority="29137"/>
    <cfRule type="duplicateValues" dxfId="29123" priority="29136"/>
    <cfRule type="duplicateValues" dxfId="29122" priority="29135"/>
    <cfRule type="duplicateValues" dxfId="29121" priority="29134"/>
    <cfRule type="duplicateValues" dxfId="29120" priority="29133"/>
    <cfRule type="duplicateValues" dxfId="29119" priority="29132"/>
    <cfRule type="duplicateValues" dxfId="29118" priority="29131"/>
    <cfRule type="duplicateValues" dxfId="29117" priority="29130"/>
    <cfRule type="duplicateValues" dxfId="29116" priority="29129"/>
    <cfRule type="duplicateValues" dxfId="29115" priority="29128"/>
    <cfRule type="duplicateValues" dxfId="29114" priority="29127"/>
    <cfRule type="duplicateValues" dxfId="29113" priority="29126"/>
    <cfRule type="duplicateValues" dxfId="29112" priority="29125"/>
    <cfRule type="duplicateValues" dxfId="29111" priority="29124"/>
    <cfRule type="duplicateValues" dxfId="29110" priority="29123"/>
    <cfRule type="duplicateValues" dxfId="29109" priority="29122"/>
    <cfRule type="duplicateValues" dxfId="29108" priority="29121"/>
    <cfRule type="duplicateValues" dxfId="29107" priority="29120"/>
    <cfRule type="duplicateValues" dxfId="29106" priority="29119"/>
    <cfRule type="duplicateValues" dxfId="29105" priority="29118"/>
    <cfRule type="duplicateValues" dxfId="29104" priority="29117"/>
    <cfRule type="duplicateValues" dxfId="29103" priority="29116"/>
    <cfRule type="duplicateValues" dxfId="29102" priority="29115"/>
    <cfRule type="duplicateValues" dxfId="29101" priority="29114"/>
    <cfRule type="duplicateValues" dxfId="29100" priority="29113"/>
    <cfRule type="duplicateValues" dxfId="29099" priority="29112"/>
    <cfRule type="duplicateValues" dxfId="29098" priority="29111"/>
    <cfRule type="duplicateValues" dxfId="29097" priority="29110"/>
    <cfRule type="duplicateValues" dxfId="29096" priority="29109"/>
    <cfRule type="duplicateValues" dxfId="29095" priority="29108"/>
    <cfRule type="duplicateValues" dxfId="29094" priority="29107"/>
    <cfRule type="duplicateValues" dxfId="29093" priority="29106"/>
    <cfRule type="duplicateValues" dxfId="29092" priority="29105"/>
    <cfRule type="duplicateValues" dxfId="29091" priority="29104"/>
    <cfRule type="duplicateValues" dxfId="29090" priority="29103"/>
    <cfRule type="duplicateValues" dxfId="29089" priority="29102"/>
    <cfRule type="duplicateValues" dxfId="29088" priority="29101"/>
    <cfRule type="duplicateValues" dxfId="29087" priority="29100"/>
    <cfRule type="duplicateValues" dxfId="29086" priority="29099"/>
    <cfRule type="duplicateValues" dxfId="29085" priority="29098"/>
    <cfRule type="duplicateValues" dxfId="29084" priority="29097"/>
    <cfRule type="duplicateValues" dxfId="29083" priority="29096"/>
    <cfRule type="duplicateValues" dxfId="29082" priority="29095"/>
    <cfRule type="duplicateValues" dxfId="29081" priority="29094"/>
    <cfRule type="duplicateValues" dxfId="29080" priority="29093"/>
    <cfRule type="duplicateValues" dxfId="29079" priority="29092"/>
    <cfRule type="duplicateValues" dxfId="29078" priority="29091"/>
    <cfRule type="duplicateValues" dxfId="29077" priority="29090"/>
    <cfRule type="duplicateValues" dxfId="29076" priority="29089"/>
    <cfRule type="duplicateValues" dxfId="29075" priority="29088"/>
    <cfRule type="duplicateValues" dxfId="29074" priority="29087"/>
    <cfRule type="duplicateValues" dxfId="29073" priority="29086"/>
    <cfRule type="duplicateValues" dxfId="29072" priority="29085"/>
    <cfRule type="duplicateValues" dxfId="29071" priority="29084"/>
    <cfRule type="duplicateValues" dxfId="29070" priority="29083"/>
    <cfRule type="duplicateValues" dxfId="29069" priority="29082"/>
    <cfRule type="duplicateValues" dxfId="29068" priority="29081"/>
    <cfRule type="duplicateValues" dxfId="29067" priority="29080"/>
    <cfRule type="duplicateValues" dxfId="29066" priority="29079"/>
    <cfRule type="duplicateValues" dxfId="29065" priority="29078"/>
    <cfRule type="duplicateValues" dxfId="29064" priority="29077"/>
    <cfRule type="duplicateValues" dxfId="29063" priority="29076"/>
    <cfRule type="duplicateValues" dxfId="29062" priority="29075"/>
    <cfRule type="duplicateValues" dxfId="29061" priority="29074"/>
    <cfRule type="duplicateValues" dxfId="29060" priority="29073"/>
    <cfRule type="duplicateValues" dxfId="29059" priority="29072"/>
    <cfRule type="duplicateValues" dxfId="29058" priority="29071"/>
    <cfRule type="duplicateValues" dxfId="29057" priority="29070"/>
    <cfRule type="duplicateValues" dxfId="29056" priority="29069"/>
    <cfRule type="duplicateValues" dxfId="29055" priority="29068"/>
    <cfRule type="duplicateValues" dxfId="29054" priority="29067"/>
    <cfRule type="duplicateValues" dxfId="29053" priority="29066"/>
    <cfRule type="duplicateValues" dxfId="29052" priority="29065"/>
    <cfRule type="duplicateValues" dxfId="29051" priority="29064"/>
    <cfRule type="duplicateValues" dxfId="29050" priority="29063"/>
    <cfRule type="duplicateValues" dxfId="29049" priority="29062"/>
    <cfRule type="duplicateValues" dxfId="29048" priority="29061"/>
    <cfRule type="duplicateValues" dxfId="29047" priority="29060"/>
    <cfRule type="duplicateValues" dxfId="29046" priority="29059"/>
    <cfRule type="duplicateValues" dxfId="29045" priority="29058"/>
    <cfRule type="duplicateValues" dxfId="29044" priority="29057"/>
    <cfRule type="duplicateValues" dxfId="29043" priority="29056"/>
    <cfRule type="duplicateValues" dxfId="29042" priority="29055"/>
    <cfRule type="duplicateValues" dxfId="29041" priority="29054"/>
    <cfRule type="duplicateValues" dxfId="29040" priority="29053"/>
    <cfRule type="duplicateValues" dxfId="29039" priority="29052"/>
    <cfRule type="duplicateValues" dxfId="29038" priority="29051"/>
    <cfRule type="duplicateValues" dxfId="29037" priority="29050"/>
    <cfRule type="duplicateValues" dxfId="29036" priority="29049"/>
    <cfRule type="duplicateValues" dxfId="29035" priority="29048"/>
    <cfRule type="duplicateValues" dxfId="29034" priority="29047"/>
  </conditionalFormatting>
  <conditionalFormatting sqref="B144">
    <cfRule type="duplicateValues" dxfId="29033" priority="28936"/>
    <cfRule type="duplicateValues" dxfId="29032" priority="28869"/>
    <cfRule type="duplicateValues" dxfId="29031" priority="28868"/>
    <cfRule type="duplicateValues" dxfId="29030" priority="28867"/>
    <cfRule type="duplicateValues" dxfId="29029" priority="29042"/>
    <cfRule type="duplicateValues" dxfId="29028" priority="29041"/>
    <cfRule type="duplicateValues" dxfId="29027" priority="29040"/>
    <cfRule type="duplicateValues" dxfId="29026" priority="29039"/>
    <cfRule type="duplicateValues" dxfId="29025" priority="29038"/>
    <cfRule type="duplicateValues" dxfId="29024" priority="29037"/>
    <cfRule type="duplicateValues" dxfId="29023" priority="29036"/>
    <cfRule type="duplicateValues" dxfId="29022" priority="29035"/>
    <cfRule type="duplicateValues" dxfId="29021" priority="29034"/>
    <cfRule type="duplicateValues" dxfId="29020" priority="29033"/>
    <cfRule type="duplicateValues" dxfId="29019" priority="29032"/>
    <cfRule type="duplicateValues" dxfId="29018" priority="29031"/>
    <cfRule type="duplicateValues" dxfId="29017" priority="29030"/>
    <cfRule type="duplicateValues" dxfId="29016" priority="29029"/>
    <cfRule type="duplicateValues" dxfId="29015" priority="29028"/>
    <cfRule type="duplicateValues" dxfId="29014" priority="29027"/>
    <cfRule type="duplicateValues" dxfId="29013" priority="29026"/>
    <cfRule type="duplicateValues" dxfId="29012" priority="29025"/>
    <cfRule type="duplicateValues" dxfId="29011" priority="29024"/>
    <cfRule type="duplicateValues" dxfId="29010" priority="29023"/>
    <cfRule type="duplicateValues" dxfId="29009" priority="29022"/>
    <cfRule type="duplicateValues" dxfId="29008" priority="29021"/>
    <cfRule type="duplicateValues" dxfId="29007" priority="29020"/>
    <cfRule type="duplicateValues" dxfId="29006" priority="29019"/>
    <cfRule type="duplicateValues" dxfId="29005" priority="29018"/>
    <cfRule type="duplicateValues" dxfId="29004" priority="29017"/>
    <cfRule type="duplicateValues" dxfId="29003" priority="29016"/>
    <cfRule type="duplicateValues" dxfId="29002" priority="29015"/>
    <cfRule type="duplicateValues" dxfId="29001" priority="29014"/>
    <cfRule type="duplicateValues" dxfId="29000" priority="29013"/>
    <cfRule type="duplicateValues" dxfId="28999" priority="29012"/>
    <cfRule type="duplicateValues" dxfId="28998" priority="29011"/>
    <cfRule type="duplicateValues" dxfId="28997" priority="29010"/>
    <cfRule type="duplicateValues" dxfId="28996" priority="29009"/>
    <cfRule type="duplicateValues" dxfId="28995" priority="29008"/>
    <cfRule type="duplicateValues" dxfId="28994" priority="29007"/>
    <cfRule type="duplicateValues" dxfId="28993" priority="29006"/>
    <cfRule type="duplicateValues" dxfId="28992" priority="29005"/>
    <cfRule type="duplicateValues" dxfId="28991" priority="29004"/>
    <cfRule type="duplicateValues" dxfId="28990" priority="29003"/>
    <cfRule type="duplicateValues" dxfId="28989" priority="29002"/>
    <cfRule type="duplicateValues" dxfId="28988" priority="29001"/>
    <cfRule type="duplicateValues" dxfId="28987" priority="29000"/>
    <cfRule type="duplicateValues" dxfId="28986" priority="28999"/>
    <cfRule type="duplicateValues" dxfId="28985" priority="28998"/>
    <cfRule type="duplicateValues" dxfId="28984" priority="28997"/>
    <cfRule type="duplicateValues" dxfId="28983" priority="28996"/>
    <cfRule type="duplicateValues" dxfId="28982" priority="28995"/>
    <cfRule type="duplicateValues" dxfId="28981" priority="28994"/>
    <cfRule type="duplicateValues" dxfId="28980" priority="28993"/>
    <cfRule type="duplicateValues" dxfId="28979" priority="28992"/>
    <cfRule type="duplicateValues" dxfId="28978" priority="28991"/>
    <cfRule type="duplicateValues" dxfId="28977" priority="28990"/>
    <cfRule type="duplicateValues" dxfId="28976" priority="28989"/>
    <cfRule type="duplicateValues" dxfId="28975" priority="28988"/>
    <cfRule type="duplicateValues" dxfId="28974" priority="28987"/>
    <cfRule type="duplicateValues" dxfId="28973" priority="28986"/>
    <cfRule type="duplicateValues" dxfId="28972" priority="28985"/>
    <cfRule type="duplicateValues" dxfId="28971" priority="28984"/>
    <cfRule type="duplicateValues" dxfId="28970" priority="28983"/>
    <cfRule type="duplicateValues" dxfId="28969" priority="28982"/>
    <cfRule type="duplicateValues" dxfId="28968" priority="28981"/>
    <cfRule type="duplicateValues" dxfId="28967" priority="28980"/>
    <cfRule type="duplicateValues" dxfId="28966" priority="28979"/>
    <cfRule type="duplicateValues" dxfId="28965" priority="28978"/>
    <cfRule type="duplicateValues" dxfId="28964" priority="28977"/>
    <cfRule type="duplicateValues" dxfId="28963" priority="28976"/>
    <cfRule type="duplicateValues" dxfId="28962" priority="28975"/>
    <cfRule type="duplicateValues" dxfId="28961" priority="28974"/>
    <cfRule type="duplicateValues" dxfId="28960" priority="28973"/>
    <cfRule type="duplicateValues" dxfId="28959" priority="28972"/>
    <cfRule type="duplicateValues" dxfId="28958" priority="28971"/>
    <cfRule type="duplicateValues" dxfId="28957" priority="28970"/>
    <cfRule type="duplicateValues" dxfId="28956" priority="28969"/>
    <cfRule type="duplicateValues" dxfId="28955" priority="28968"/>
    <cfRule type="duplicateValues" dxfId="28954" priority="28967"/>
    <cfRule type="duplicateValues" dxfId="28953" priority="28966"/>
    <cfRule type="duplicateValues" dxfId="28952" priority="28965"/>
    <cfRule type="duplicateValues" dxfId="28951" priority="28964"/>
    <cfRule type="duplicateValues" dxfId="28950" priority="28963"/>
    <cfRule type="duplicateValues" dxfId="28949" priority="28962"/>
    <cfRule type="duplicateValues" dxfId="28948" priority="28961"/>
    <cfRule type="duplicateValues" dxfId="28947" priority="28960"/>
    <cfRule type="duplicateValues" dxfId="28946" priority="28959"/>
    <cfRule type="duplicateValues" dxfId="28945" priority="28958"/>
    <cfRule type="duplicateValues" dxfId="28944" priority="28957"/>
    <cfRule type="duplicateValues" dxfId="28943" priority="28956"/>
    <cfRule type="duplicateValues" dxfId="28942" priority="28955"/>
    <cfRule type="duplicateValues" dxfId="28941" priority="28954"/>
    <cfRule type="duplicateValues" dxfId="28940" priority="28953"/>
    <cfRule type="duplicateValues" dxfId="28939" priority="28952"/>
    <cfRule type="duplicateValues" dxfId="28938" priority="28951"/>
    <cfRule type="duplicateValues" dxfId="28937" priority="28950"/>
    <cfRule type="duplicateValues" dxfId="28936" priority="28949"/>
    <cfRule type="duplicateValues" dxfId="28935" priority="28948"/>
    <cfRule type="duplicateValues" dxfId="28934" priority="28947"/>
    <cfRule type="duplicateValues" dxfId="28933" priority="28946"/>
    <cfRule type="duplicateValues" dxfId="28932" priority="28945"/>
    <cfRule type="duplicateValues" dxfId="28931" priority="28944"/>
    <cfRule type="duplicateValues" dxfId="28930" priority="28943"/>
    <cfRule type="duplicateValues" dxfId="28929" priority="28942"/>
    <cfRule type="duplicateValues" dxfId="28928" priority="28941"/>
    <cfRule type="duplicateValues" dxfId="28927" priority="28940"/>
    <cfRule type="duplicateValues" dxfId="28926" priority="28939"/>
    <cfRule type="duplicateValues" dxfId="28925" priority="28938"/>
    <cfRule type="duplicateValues" dxfId="28924" priority="28937"/>
    <cfRule type="duplicateValues" dxfId="28923" priority="28866"/>
    <cfRule type="duplicateValues" dxfId="28922" priority="28935"/>
    <cfRule type="duplicateValues" dxfId="28921" priority="28934"/>
    <cfRule type="duplicateValues" dxfId="28920" priority="28933"/>
    <cfRule type="duplicateValues" dxfId="28919" priority="28932"/>
    <cfRule type="duplicateValues" dxfId="28918" priority="28931"/>
    <cfRule type="duplicateValues" dxfId="28917" priority="28930"/>
    <cfRule type="duplicateValues" dxfId="28916" priority="28929"/>
    <cfRule type="duplicateValues" dxfId="28915" priority="28928"/>
    <cfRule type="duplicateValues" dxfId="28914" priority="28927"/>
    <cfRule type="duplicateValues" dxfId="28913" priority="28926"/>
    <cfRule type="duplicateValues" dxfId="28912" priority="28925"/>
    <cfRule type="duplicateValues" dxfId="28911" priority="28924"/>
    <cfRule type="duplicateValues" dxfId="28910" priority="28923"/>
    <cfRule type="duplicateValues" dxfId="28909" priority="28922"/>
    <cfRule type="duplicateValues" dxfId="28908" priority="28921"/>
    <cfRule type="duplicateValues" dxfId="28907" priority="28920"/>
    <cfRule type="duplicateValues" dxfId="28906" priority="28919"/>
    <cfRule type="duplicateValues" dxfId="28905" priority="28918"/>
    <cfRule type="duplicateValues" dxfId="28904" priority="28917"/>
    <cfRule type="duplicateValues" dxfId="28903" priority="28916"/>
    <cfRule type="duplicateValues" dxfId="28902" priority="28915"/>
    <cfRule type="duplicateValues" dxfId="28901" priority="28914"/>
    <cfRule type="duplicateValues" dxfId="28900" priority="28913"/>
    <cfRule type="duplicateValues" dxfId="28899" priority="28912"/>
    <cfRule type="duplicateValues" dxfId="28898" priority="28911"/>
    <cfRule type="duplicateValues" dxfId="28897" priority="28910"/>
    <cfRule type="duplicateValues" dxfId="28896" priority="28909"/>
    <cfRule type="duplicateValues" dxfId="28895" priority="28908"/>
    <cfRule type="duplicateValues" dxfId="28894" priority="28907"/>
    <cfRule type="duplicateValues" dxfId="28893" priority="28906"/>
    <cfRule type="duplicateValues" dxfId="28892" priority="28905"/>
    <cfRule type="duplicateValues" dxfId="28891" priority="28904"/>
    <cfRule type="duplicateValues" dxfId="28890" priority="28903"/>
    <cfRule type="duplicateValues" dxfId="28889" priority="28902"/>
    <cfRule type="duplicateValues" dxfId="28888" priority="28901"/>
    <cfRule type="duplicateValues" dxfId="28887" priority="28900"/>
    <cfRule type="duplicateValues" dxfId="28886" priority="28899"/>
    <cfRule type="duplicateValues" dxfId="28885" priority="28898"/>
    <cfRule type="duplicateValues" dxfId="28884" priority="28897"/>
    <cfRule type="duplicateValues" dxfId="28883" priority="28896"/>
    <cfRule type="duplicateValues" dxfId="28882" priority="28895"/>
    <cfRule type="duplicateValues" dxfId="28881" priority="28894"/>
    <cfRule type="duplicateValues" dxfId="28880" priority="28893"/>
    <cfRule type="duplicateValues" dxfId="28879" priority="28892"/>
    <cfRule type="duplicateValues" dxfId="28878" priority="28891"/>
    <cfRule type="duplicateValues" dxfId="28877" priority="28890"/>
    <cfRule type="duplicateValues" dxfId="28876" priority="28889"/>
    <cfRule type="duplicateValues" dxfId="28875" priority="28888"/>
    <cfRule type="duplicateValues" dxfId="28874" priority="28887"/>
    <cfRule type="duplicateValues" dxfId="28873" priority="28886"/>
    <cfRule type="duplicateValues" dxfId="28872" priority="28885"/>
    <cfRule type="duplicateValues" dxfId="28871" priority="28884"/>
    <cfRule type="duplicateValues" dxfId="28870" priority="28883"/>
    <cfRule type="duplicateValues" dxfId="28869" priority="28882"/>
    <cfRule type="duplicateValues" dxfId="28868" priority="28881"/>
    <cfRule type="duplicateValues" dxfId="28867" priority="28880"/>
    <cfRule type="duplicateValues" dxfId="28866" priority="28879"/>
    <cfRule type="duplicateValues" dxfId="28865" priority="28878"/>
    <cfRule type="duplicateValues" dxfId="28864" priority="28877"/>
    <cfRule type="duplicateValues" dxfId="28863" priority="28876"/>
    <cfRule type="duplicateValues" dxfId="28862" priority="28875"/>
    <cfRule type="duplicateValues" dxfId="28861" priority="28874"/>
    <cfRule type="duplicateValues" dxfId="28860" priority="28873"/>
    <cfRule type="duplicateValues" dxfId="28859" priority="28872"/>
    <cfRule type="duplicateValues" dxfId="28858" priority="28871"/>
    <cfRule type="duplicateValues" dxfId="28857" priority="28870"/>
  </conditionalFormatting>
  <conditionalFormatting sqref="B145">
    <cfRule type="duplicateValues" dxfId="28856" priority="28692"/>
    <cfRule type="duplicateValues" dxfId="28855" priority="28691"/>
    <cfRule type="duplicateValues" dxfId="28854" priority="28690"/>
    <cfRule type="duplicateValues" dxfId="28853" priority="28781"/>
    <cfRule type="duplicateValues" dxfId="28852" priority="28865"/>
    <cfRule type="duplicateValues" dxfId="28851" priority="28864"/>
    <cfRule type="duplicateValues" dxfId="28850" priority="28863"/>
    <cfRule type="duplicateValues" dxfId="28849" priority="28862"/>
    <cfRule type="duplicateValues" dxfId="28848" priority="28861"/>
    <cfRule type="duplicateValues" dxfId="28847" priority="28860"/>
    <cfRule type="duplicateValues" dxfId="28846" priority="28859"/>
    <cfRule type="duplicateValues" dxfId="28845" priority="28858"/>
    <cfRule type="duplicateValues" dxfId="28844" priority="28857"/>
    <cfRule type="duplicateValues" dxfId="28843" priority="28856"/>
    <cfRule type="duplicateValues" dxfId="28842" priority="28855"/>
    <cfRule type="duplicateValues" dxfId="28841" priority="28854"/>
    <cfRule type="duplicateValues" dxfId="28840" priority="28853"/>
    <cfRule type="duplicateValues" dxfId="28839" priority="28852"/>
    <cfRule type="duplicateValues" dxfId="28838" priority="28851"/>
    <cfRule type="duplicateValues" dxfId="28837" priority="28850"/>
    <cfRule type="duplicateValues" dxfId="28836" priority="28849"/>
    <cfRule type="duplicateValues" dxfId="28835" priority="28848"/>
    <cfRule type="duplicateValues" dxfId="28834" priority="28847"/>
    <cfRule type="duplicateValues" dxfId="28833" priority="28846"/>
    <cfRule type="duplicateValues" dxfId="28832" priority="28845"/>
    <cfRule type="duplicateValues" dxfId="28831" priority="28844"/>
    <cfRule type="duplicateValues" dxfId="28830" priority="28843"/>
    <cfRule type="duplicateValues" dxfId="28829" priority="28842"/>
    <cfRule type="duplicateValues" dxfId="28828" priority="28841"/>
    <cfRule type="duplicateValues" dxfId="28827" priority="28840"/>
    <cfRule type="duplicateValues" dxfId="28826" priority="28839"/>
    <cfRule type="duplicateValues" dxfId="28825" priority="28838"/>
    <cfRule type="duplicateValues" dxfId="28824" priority="28837"/>
    <cfRule type="duplicateValues" dxfId="28823" priority="28836"/>
    <cfRule type="duplicateValues" dxfId="28822" priority="28835"/>
    <cfRule type="duplicateValues" dxfId="28821" priority="28834"/>
    <cfRule type="duplicateValues" dxfId="28820" priority="28833"/>
    <cfRule type="duplicateValues" dxfId="28819" priority="28832"/>
    <cfRule type="duplicateValues" dxfId="28818" priority="28831"/>
    <cfRule type="duplicateValues" dxfId="28817" priority="28830"/>
    <cfRule type="duplicateValues" dxfId="28816" priority="28829"/>
    <cfRule type="duplicateValues" dxfId="28815" priority="28828"/>
    <cfRule type="duplicateValues" dxfId="28814" priority="28827"/>
    <cfRule type="duplicateValues" dxfId="28813" priority="28826"/>
    <cfRule type="duplicateValues" dxfId="28812" priority="28825"/>
    <cfRule type="duplicateValues" dxfId="28811" priority="28824"/>
    <cfRule type="duplicateValues" dxfId="28810" priority="28823"/>
    <cfRule type="duplicateValues" dxfId="28809" priority="28822"/>
    <cfRule type="duplicateValues" dxfId="28808" priority="28821"/>
    <cfRule type="duplicateValues" dxfId="28807" priority="28820"/>
    <cfRule type="duplicateValues" dxfId="28806" priority="28819"/>
    <cfRule type="duplicateValues" dxfId="28805" priority="28818"/>
    <cfRule type="duplicateValues" dxfId="28804" priority="28817"/>
    <cfRule type="duplicateValues" dxfId="28803" priority="28816"/>
    <cfRule type="duplicateValues" dxfId="28802" priority="28815"/>
    <cfRule type="duplicateValues" dxfId="28801" priority="28814"/>
    <cfRule type="duplicateValues" dxfId="28800" priority="28813"/>
    <cfRule type="duplicateValues" dxfId="28799" priority="28812"/>
    <cfRule type="duplicateValues" dxfId="28798" priority="28811"/>
    <cfRule type="duplicateValues" dxfId="28797" priority="28810"/>
    <cfRule type="duplicateValues" dxfId="28796" priority="28809"/>
    <cfRule type="duplicateValues" dxfId="28795" priority="28808"/>
    <cfRule type="duplicateValues" dxfId="28794" priority="28807"/>
    <cfRule type="duplicateValues" dxfId="28793" priority="28806"/>
    <cfRule type="duplicateValues" dxfId="28792" priority="28805"/>
    <cfRule type="duplicateValues" dxfId="28791" priority="28804"/>
    <cfRule type="duplicateValues" dxfId="28790" priority="28803"/>
    <cfRule type="duplicateValues" dxfId="28789" priority="28802"/>
    <cfRule type="duplicateValues" dxfId="28788" priority="28801"/>
    <cfRule type="duplicateValues" dxfId="28787" priority="28800"/>
    <cfRule type="duplicateValues" dxfId="28786" priority="28799"/>
    <cfRule type="duplicateValues" dxfId="28785" priority="28798"/>
    <cfRule type="duplicateValues" dxfId="28784" priority="28797"/>
    <cfRule type="duplicateValues" dxfId="28783" priority="28796"/>
    <cfRule type="duplicateValues" dxfId="28782" priority="28795"/>
    <cfRule type="duplicateValues" dxfId="28781" priority="28794"/>
    <cfRule type="duplicateValues" dxfId="28780" priority="28793"/>
    <cfRule type="duplicateValues" dxfId="28779" priority="28792"/>
    <cfRule type="duplicateValues" dxfId="28778" priority="28791"/>
    <cfRule type="duplicateValues" dxfId="28777" priority="28790"/>
    <cfRule type="duplicateValues" dxfId="28776" priority="28789"/>
    <cfRule type="duplicateValues" dxfId="28775" priority="28788"/>
    <cfRule type="duplicateValues" dxfId="28774" priority="28787"/>
    <cfRule type="duplicateValues" dxfId="28773" priority="28786"/>
    <cfRule type="duplicateValues" dxfId="28772" priority="28785"/>
    <cfRule type="duplicateValues" dxfId="28771" priority="28784"/>
    <cfRule type="duplicateValues" dxfId="28770" priority="28783"/>
    <cfRule type="duplicateValues" dxfId="28769" priority="28782"/>
    <cfRule type="duplicateValues" dxfId="28768" priority="28689"/>
    <cfRule type="duplicateValues" dxfId="28767" priority="28780"/>
    <cfRule type="duplicateValues" dxfId="28766" priority="28779"/>
    <cfRule type="duplicateValues" dxfId="28765" priority="28778"/>
    <cfRule type="duplicateValues" dxfId="28764" priority="28777"/>
    <cfRule type="duplicateValues" dxfId="28763" priority="28776"/>
    <cfRule type="duplicateValues" dxfId="28762" priority="28775"/>
    <cfRule type="duplicateValues" dxfId="28761" priority="28774"/>
    <cfRule type="duplicateValues" dxfId="28760" priority="28773"/>
    <cfRule type="duplicateValues" dxfId="28759" priority="28772"/>
    <cfRule type="duplicateValues" dxfId="28758" priority="28771"/>
    <cfRule type="duplicateValues" dxfId="28757" priority="28770"/>
    <cfRule type="duplicateValues" dxfId="28756" priority="28769"/>
    <cfRule type="duplicateValues" dxfId="28755" priority="28768"/>
    <cfRule type="duplicateValues" dxfId="28754" priority="28767"/>
    <cfRule type="duplicateValues" dxfId="28753" priority="28766"/>
    <cfRule type="duplicateValues" dxfId="28752" priority="28765"/>
    <cfRule type="duplicateValues" dxfId="28751" priority="28764"/>
    <cfRule type="duplicateValues" dxfId="28750" priority="28763"/>
    <cfRule type="duplicateValues" dxfId="28749" priority="28762"/>
    <cfRule type="duplicateValues" dxfId="28748" priority="28761"/>
    <cfRule type="duplicateValues" dxfId="28747" priority="28760"/>
    <cfRule type="duplicateValues" dxfId="28746" priority="28759"/>
    <cfRule type="duplicateValues" dxfId="28745" priority="28758"/>
    <cfRule type="duplicateValues" dxfId="28744" priority="28757"/>
    <cfRule type="duplicateValues" dxfId="28743" priority="28756"/>
    <cfRule type="duplicateValues" dxfId="28742" priority="28755"/>
    <cfRule type="duplicateValues" dxfId="28741" priority="28754"/>
    <cfRule type="duplicateValues" dxfId="28740" priority="28753"/>
    <cfRule type="duplicateValues" dxfId="28739" priority="28752"/>
    <cfRule type="duplicateValues" dxfId="28738" priority="28751"/>
    <cfRule type="duplicateValues" dxfId="28737" priority="28750"/>
    <cfRule type="duplicateValues" dxfId="28736" priority="28749"/>
    <cfRule type="duplicateValues" dxfId="28735" priority="28748"/>
    <cfRule type="duplicateValues" dxfId="28734" priority="28747"/>
    <cfRule type="duplicateValues" dxfId="28733" priority="28746"/>
    <cfRule type="duplicateValues" dxfId="28732" priority="28745"/>
    <cfRule type="duplicateValues" dxfId="28731" priority="28744"/>
    <cfRule type="duplicateValues" dxfId="28730" priority="28743"/>
    <cfRule type="duplicateValues" dxfId="28729" priority="28742"/>
    <cfRule type="duplicateValues" dxfId="28728" priority="28741"/>
    <cfRule type="duplicateValues" dxfId="28727" priority="28740"/>
    <cfRule type="duplicateValues" dxfId="28726" priority="28739"/>
    <cfRule type="duplicateValues" dxfId="28725" priority="28738"/>
    <cfRule type="duplicateValues" dxfId="28724" priority="28737"/>
    <cfRule type="duplicateValues" dxfId="28723" priority="28736"/>
    <cfRule type="duplicateValues" dxfId="28722" priority="28735"/>
    <cfRule type="duplicateValues" dxfId="28721" priority="28734"/>
    <cfRule type="duplicateValues" dxfId="28720" priority="28733"/>
    <cfRule type="duplicateValues" dxfId="28719" priority="28732"/>
    <cfRule type="duplicateValues" dxfId="28718" priority="28731"/>
    <cfRule type="duplicateValues" dxfId="28717" priority="28730"/>
    <cfRule type="duplicateValues" dxfId="28716" priority="28729"/>
    <cfRule type="duplicateValues" dxfId="28715" priority="28728"/>
    <cfRule type="duplicateValues" dxfId="28714" priority="28727"/>
    <cfRule type="duplicateValues" dxfId="28713" priority="28726"/>
    <cfRule type="duplicateValues" dxfId="28712" priority="28725"/>
    <cfRule type="duplicateValues" dxfId="28711" priority="28724"/>
    <cfRule type="duplicateValues" dxfId="28710" priority="28723"/>
    <cfRule type="duplicateValues" dxfId="28709" priority="28722"/>
    <cfRule type="duplicateValues" dxfId="28708" priority="28721"/>
    <cfRule type="duplicateValues" dxfId="28707" priority="28720"/>
    <cfRule type="duplicateValues" dxfId="28706" priority="28719"/>
    <cfRule type="duplicateValues" dxfId="28705" priority="28718"/>
    <cfRule type="duplicateValues" dxfId="28704" priority="28717"/>
    <cfRule type="duplicateValues" dxfId="28703" priority="28716"/>
    <cfRule type="duplicateValues" dxfId="28702" priority="28715"/>
    <cfRule type="duplicateValues" dxfId="28701" priority="28714"/>
    <cfRule type="duplicateValues" dxfId="28700" priority="28713"/>
    <cfRule type="duplicateValues" dxfId="28699" priority="28712"/>
    <cfRule type="duplicateValues" dxfId="28698" priority="28711"/>
    <cfRule type="duplicateValues" dxfId="28697" priority="28710"/>
    <cfRule type="duplicateValues" dxfId="28696" priority="28709"/>
    <cfRule type="duplicateValues" dxfId="28695" priority="28708"/>
    <cfRule type="duplicateValues" dxfId="28694" priority="28707"/>
    <cfRule type="duplicateValues" dxfId="28693" priority="28706"/>
    <cfRule type="duplicateValues" dxfId="28692" priority="28705"/>
    <cfRule type="duplicateValues" dxfId="28691" priority="28704"/>
    <cfRule type="duplicateValues" dxfId="28690" priority="28703"/>
    <cfRule type="duplicateValues" dxfId="28689" priority="28702"/>
    <cfRule type="duplicateValues" dxfId="28688" priority="28701"/>
    <cfRule type="duplicateValues" dxfId="28687" priority="28700"/>
    <cfRule type="duplicateValues" dxfId="28686" priority="28699"/>
    <cfRule type="duplicateValues" dxfId="28685" priority="28698"/>
    <cfRule type="duplicateValues" dxfId="28684" priority="28697"/>
    <cfRule type="duplicateValues" dxfId="28683" priority="28696"/>
    <cfRule type="duplicateValues" dxfId="28682" priority="28695"/>
    <cfRule type="duplicateValues" dxfId="28681" priority="28694"/>
    <cfRule type="duplicateValues" dxfId="28680" priority="28693"/>
  </conditionalFormatting>
  <conditionalFormatting sqref="B146">
    <cfRule type="duplicateValues" dxfId="28679" priority="28514"/>
    <cfRule type="duplicateValues" dxfId="28678" priority="28513"/>
    <cfRule type="duplicateValues" dxfId="28677" priority="28512"/>
    <cfRule type="duplicateValues" dxfId="28676" priority="28516"/>
    <cfRule type="duplicateValues" dxfId="28675" priority="28688"/>
    <cfRule type="duplicateValues" dxfId="28674" priority="28687"/>
    <cfRule type="duplicateValues" dxfId="28673" priority="28686"/>
    <cfRule type="duplicateValues" dxfId="28672" priority="28685"/>
    <cfRule type="duplicateValues" dxfId="28671" priority="28684"/>
    <cfRule type="duplicateValues" dxfId="28670" priority="28683"/>
    <cfRule type="duplicateValues" dxfId="28669" priority="28682"/>
    <cfRule type="duplicateValues" dxfId="28668" priority="28681"/>
    <cfRule type="duplicateValues" dxfId="28667" priority="28680"/>
    <cfRule type="duplicateValues" dxfId="28666" priority="28679"/>
    <cfRule type="duplicateValues" dxfId="28665" priority="28678"/>
    <cfRule type="duplicateValues" dxfId="28664" priority="28677"/>
    <cfRule type="duplicateValues" dxfId="28663" priority="28676"/>
    <cfRule type="duplicateValues" dxfId="28662" priority="28675"/>
    <cfRule type="duplicateValues" dxfId="28661" priority="28674"/>
    <cfRule type="duplicateValues" dxfId="28660" priority="28673"/>
    <cfRule type="duplicateValues" dxfId="28659" priority="28672"/>
    <cfRule type="duplicateValues" dxfId="28658" priority="28671"/>
    <cfRule type="duplicateValues" dxfId="28657" priority="28670"/>
    <cfRule type="duplicateValues" dxfId="28656" priority="28669"/>
    <cfRule type="duplicateValues" dxfId="28655" priority="28668"/>
    <cfRule type="duplicateValues" dxfId="28654" priority="28667"/>
    <cfRule type="duplicateValues" dxfId="28653" priority="28666"/>
    <cfRule type="duplicateValues" dxfId="28652" priority="28665"/>
    <cfRule type="duplicateValues" dxfId="28651" priority="28664"/>
    <cfRule type="duplicateValues" dxfId="28650" priority="28663"/>
    <cfRule type="duplicateValues" dxfId="28649" priority="28662"/>
    <cfRule type="duplicateValues" dxfId="28648" priority="28661"/>
    <cfRule type="duplicateValues" dxfId="28647" priority="28660"/>
    <cfRule type="duplicateValues" dxfId="28646" priority="28659"/>
    <cfRule type="duplicateValues" dxfId="28645" priority="28658"/>
    <cfRule type="duplicateValues" dxfId="28644" priority="28657"/>
    <cfRule type="duplicateValues" dxfId="28643" priority="28656"/>
    <cfRule type="duplicateValues" dxfId="28642" priority="28655"/>
    <cfRule type="duplicateValues" dxfId="28641" priority="28654"/>
    <cfRule type="duplicateValues" dxfId="28640" priority="28653"/>
    <cfRule type="duplicateValues" dxfId="28639" priority="28652"/>
    <cfRule type="duplicateValues" dxfId="28638" priority="28651"/>
    <cfRule type="duplicateValues" dxfId="28637" priority="28650"/>
    <cfRule type="duplicateValues" dxfId="28636" priority="28649"/>
    <cfRule type="duplicateValues" dxfId="28635" priority="28648"/>
    <cfRule type="duplicateValues" dxfId="28634" priority="28647"/>
    <cfRule type="duplicateValues" dxfId="28633" priority="28646"/>
    <cfRule type="duplicateValues" dxfId="28632" priority="28645"/>
    <cfRule type="duplicateValues" dxfId="28631" priority="28644"/>
    <cfRule type="duplicateValues" dxfId="28630" priority="28643"/>
    <cfRule type="duplicateValues" dxfId="28629" priority="28642"/>
    <cfRule type="duplicateValues" dxfId="28628" priority="28641"/>
    <cfRule type="duplicateValues" dxfId="28627" priority="28640"/>
    <cfRule type="duplicateValues" dxfId="28626" priority="28639"/>
    <cfRule type="duplicateValues" dxfId="28625" priority="28638"/>
    <cfRule type="duplicateValues" dxfId="28624" priority="28637"/>
    <cfRule type="duplicateValues" dxfId="28623" priority="28636"/>
    <cfRule type="duplicateValues" dxfId="28622" priority="28635"/>
    <cfRule type="duplicateValues" dxfId="28621" priority="28634"/>
    <cfRule type="duplicateValues" dxfId="28620" priority="28633"/>
    <cfRule type="duplicateValues" dxfId="28619" priority="28632"/>
    <cfRule type="duplicateValues" dxfId="28618" priority="28631"/>
    <cfRule type="duplicateValues" dxfId="28617" priority="28630"/>
    <cfRule type="duplicateValues" dxfId="28616" priority="28629"/>
    <cfRule type="duplicateValues" dxfId="28615" priority="28628"/>
    <cfRule type="duplicateValues" dxfId="28614" priority="28627"/>
    <cfRule type="duplicateValues" dxfId="28613" priority="28626"/>
    <cfRule type="duplicateValues" dxfId="28612" priority="28625"/>
    <cfRule type="duplicateValues" dxfId="28611" priority="28624"/>
    <cfRule type="duplicateValues" dxfId="28610" priority="28623"/>
    <cfRule type="duplicateValues" dxfId="28609" priority="28622"/>
    <cfRule type="duplicateValues" dxfId="28608" priority="28621"/>
    <cfRule type="duplicateValues" dxfId="28607" priority="28620"/>
    <cfRule type="duplicateValues" dxfId="28606" priority="28619"/>
    <cfRule type="duplicateValues" dxfId="28605" priority="28618"/>
    <cfRule type="duplicateValues" dxfId="28604" priority="28617"/>
    <cfRule type="duplicateValues" dxfId="28603" priority="28616"/>
    <cfRule type="duplicateValues" dxfId="28602" priority="28615"/>
    <cfRule type="duplicateValues" dxfId="28601" priority="28614"/>
    <cfRule type="duplicateValues" dxfId="28600" priority="28613"/>
    <cfRule type="duplicateValues" dxfId="28599" priority="28612"/>
    <cfRule type="duplicateValues" dxfId="28598" priority="28611"/>
    <cfRule type="duplicateValues" dxfId="28597" priority="28610"/>
    <cfRule type="duplicateValues" dxfId="28596" priority="28609"/>
    <cfRule type="duplicateValues" dxfId="28595" priority="28608"/>
    <cfRule type="duplicateValues" dxfId="28594" priority="28607"/>
    <cfRule type="duplicateValues" dxfId="28593" priority="28606"/>
    <cfRule type="duplicateValues" dxfId="28592" priority="28605"/>
    <cfRule type="duplicateValues" dxfId="28591" priority="28604"/>
    <cfRule type="duplicateValues" dxfId="28590" priority="28603"/>
    <cfRule type="duplicateValues" dxfId="28589" priority="28602"/>
    <cfRule type="duplicateValues" dxfId="28588" priority="28601"/>
    <cfRule type="duplicateValues" dxfId="28587" priority="28600"/>
    <cfRule type="duplicateValues" dxfId="28586" priority="28599"/>
    <cfRule type="duplicateValues" dxfId="28585" priority="28598"/>
    <cfRule type="duplicateValues" dxfId="28584" priority="28597"/>
    <cfRule type="duplicateValues" dxfId="28583" priority="28596"/>
    <cfRule type="duplicateValues" dxfId="28582" priority="28595"/>
    <cfRule type="duplicateValues" dxfId="28581" priority="28594"/>
    <cfRule type="duplicateValues" dxfId="28580" priority="28593"/>
    <cfRule type="duplicateValues" dxfId="28579" priority="28592"/>
    <cfRule type="duplicateValues" dxfId="28578" priority="28591"/>
    <cfRule type="duplicateValues" dxfId="28577" priority="28590"/>
    <cfRule type="duplicateValues" dxfId="28576" priority="28589"/>
    <cfRule type="duplicateValues" dxfId="28575" priority="28588"/>
    <cfRule type="duplicateValues" dxfId="28574" priority="28587"/>
    <cfRule type="duplicateValues" dxfId="28573" priority="28586"/>
    <cfRule type="duplicateValues" dxfId="28572" priority="28585"/>
    <cfRule type="duplicateValues" dxfId="28571" priority="28584"/>
    <cfRule type="duplicateValues" dxfId="28570" priority="28583"/>
    <cfRule type="duplicateValues" dxfId="28569" priority="28582"/>
    <cfRule type="duplicateValues" dxfId="28568" priority="28581"/>
    <cfRule type="duplicateValues" dxfId="28567" priority="28580"/>
    <cfRule type="duplicateValues" dxfId="28566" priority="28579"/>
    <cfRule type="duplicateValues" dxfId="28565" priority="28578"/>
    <cfRule type="duplicateValues" dxfId="28564" priority="28577"/>
    <cfRule type="duplicateValues" dxfId="28563" priority="28576"/>
    <cfRule type="duplicateValues" dxfId="28562" priority="28575"/>
    <cfRule type="duplicateValues" dxfId="28561" priority="28574"/>
    <cfRule type="duplicateValues" dxfId="28560" priority="28573"/>
    <cfRule type="duplicateValues" dxfId="28559" priority="28572"/>
    <cfRule type="duplicateValues" dxfId="28558" priority="28571"/>
    <cfRule type="duplicateValues" dxfId="28557" priority="28570"/>
    <cfRule type="duplicateValues" dxfId="28556" priority="28569"/>
    <cfRule type="duplicateValues" dxfId="28555" priority="28568"/>
    <cfRule type="duplicateValues" dxfId="28554" priority="28567"/>
    <cfRule type="duplicateValues" dxfId="28553" priority="28566"/>
    <cfRule type="duplicateValues" dxfId="28552" priority="28565"/>
    <cfRule type="duplicateValues" dxfId="28551" priority="28564"/>
    <cfRule type="duplicateValues" dxfId="28550" priority="28563"/>
    <cfRule type="duplicateValues" dxfId="28549" priority="28562"/>
    <cfRule type="duplicateValues" dxfId="28548" priority="28561"/>
    <cfRule type="duplicateValues" dxfId="28547" priority="28560"/>
    <cfRule type="duplicateValues" dxfId="28546" priority="28559"/>
    <cfRule type="duplicateValues" dxfId="28545" priority="28558"/>
    <cfRule type="duplicateValues" dxfId="28544" priority="28557"/>
    <cfRule type="duplicateValues" dxfId="28543" priority="28556"/>
    <cfRule type="duplicateValues" dxfId="28542" priority="28555"/>
    <cfRule type="duplicateValues" dxfId="28541" priority="28554"/>
    <cfRule type="duplicateValues" dxfId="28540" priority="28553"/>
    <cfRule type="duplicateValues" dxfId="28539" priority="28552"/>
    <cfRule type="duplicateValues" dxfId="28538" priority="28551"/>
    <cfRule type="duplicateValues" dxfId="28537" priority="28550"/>
    <cfRule type="duplicateValues" dxfId="28536" priority="28549"/>
    <cfRule type="duplicateValues" dxfId="28535" priority="28548"/>
    <cfRule type="duplicateValues" dxfId="28534" priority="28547"/>
    <cfRule type="duplicateValues" dxfId="28533" priority="28546"/>
    <cfRule type="duplicateValues" dxfId="28532" priority="28545"/>
    <cfRule type="duplicateValues" dxfId="28531" priority="28544"/>
    <cfRule type="duplicateValues" dxfId="28530" priority="28543"/>
    <cfRule type="duplicateValues" dxfId="28529" priority="28542"/>
    <cfRule type="duplicateValues" dxfId="28528" priority="28541"/>
    <cfRule type="duplicateValues" dxfId="28527" priority="28540"/>
    <cfRule type="duplicateValues" dxfId="28526" priority="28539"/>
    <cfRule type="duplicateValues" dxfId="28525" priority="28538"/>
    <cfRule type="duplicateValues" dxfId="28524" priority="28537"/>
    <cfRule type="duplicateValues" dxfId="28523" priority="28536"/>
    <cfRule type="duplicateValues" dxfId="28522" priority="28535"/>
    <cfRule type="duplicateValues" dxfId="28521" priority="28534"/>
    <cfRule type="duplicateValues" dxfId="28520" priority="28533"/>
    <cfRule type="duplicateValues" dxfId="28519" priority="28532"/>
    <cfRule type="duplicateValues" dxfId="28518" priority="28531"/>
    <cfRule type="duplicateValues" dxfId="28517" priority="28530"/>
    <cfRule type="duplicateValues" dxfId="28516" priority="28529"/>
    <cfRule type="duplicateValues" dxfId="28515" priority="28528"/>
    <cfRule type="duplicateValues" dxfId="28514" priority="28527"/>
    <cfRule type="duplicateValues" dxfId="28513" priority="28526"/>
    <cfRule type="duplicateValues" dxfId="28512" priority="28525"/>
    <cfRule type="duplicateValues" dxfId="28511" priority="28524"/>
    <cfRule type="duplicateValues" dxfId="28510" priority="28523"/>
    <cfRule type="duplicateValues" dxfId="28509" priority="28522"/>
    <cfRule type="duplicateValues" dxfId="28508" priority="28521"/>
    <cfRule type="duplicateValues" dxfId="28507" priority="28520"/>
    <cfRule type="duplicateValues" dxfId="28506" priority="28519"/>
    <cfRule type="duplicateValues" dxfId="28505" priority="28518"/>
    <cfRule type="duplicateValues" dxfId="28504" priority="28517"/>
    <cfRule type="duplicateValues" dxfId="28503" priority="28515"/>
  </conditionalFormatting>
  <conditionalFormatting sqref="B147">
    <cfRule type="duplicateValues" dxfId="28502" priority="28471"/>
    <cfRule type="duplicateValues" dxfId="28501" priority="28338"/>
    <cfRule type="duplicateValues" dxfId="28500" priority="28337"/>
    <cfRule type="duplicateValues" dxfId="28499" priority="28336"/>
    <cfRule type="duplicateValues" dxfId="28498" priority="28511"/>
    <cfRule type="duplicateValues" dxfId="28497" priority="28510"/>
    <cfRule type="duplicateValues" dxfId="28496" priority="28509"/>
    <cfRule type="duplicateValues" dxfId="28495" priority="28508"/>
    <cfRule type="duplicateValues" dxfId="28494" priority="28507"/>
    <cfRule type="duplicateValues" dxfId="28493" priority="28506"/>
    <cfRule type="duplicateValues" dxfId="28492" priority="28505"/>
    <cfRule type="duplicateValues" dxfId="28491" priority="28504"/>
    <cfRule type="duplicateValues" dxfId="28490" priority="28503"/>
    <cfRule type="duplicateValues" dxfId="28489" priority="28502"/>
    <cfRule type="duplicateValues" dxfId="28488" priority="28501"/>
    <cfRule type="duplicateValues" dxfId="28487" priority="28500"/>
    <cfRule type="duplicateValues" dxfId="28486" priority="28499"/>
    <cfRule type="duplicateValues" dxfId="28485" priority="28498"/>
    <cfRule type="duplicateValues" dxfId="28484" priority="28497"/>
    <cfRule type="duplicateValues" dxfId="28483" priority="28496"/>
    <cfRule type="duplicateValues" dxfId="28482" priority="28495"/>
    <cfRule type="duplicateValues" dxfId="28481" priority="28494"/>
    <cfRule type="duplicateValues" dxfId="28480" priority="28493"/>
    <cfRule type="duplicateValues" dxfId="28479" priority="28492"/>
    <cfRule type="duplicateValues" dxfId="28478" priority="28491"/>
    <cfRule type="duplicateValues" dxfId="28477" priority="28490"/>
    <cfRule type="duplicateValues" dxfId="28476" priority="28489"/>
    <cfRule type="duplicateValues" dxfId="28475" priority="28488"/>
    <cfRule type="duplicateValues" dxfId="28474" priority="28487"/>
    <cfRule type="duplicateValues" dxfId="28473" priority="28486"/>
    <cfRule type="duplicateValues" dxfId="28472" priority="28485"/>
    <cfRule type="duplicateValues" dxfId="28471" priority="28484"/>
    <cfRule type="duplicateValues" dxfId="28470" priority="28483"/>
    <cfRule type="duplicateValues" dxfId="28469" priority="28482"/>
    <cfRule type="duplicateValues" dxfId="28468" priority="28481"/>
    <cfRule type="duplicateValues" dxfId="28467" priority="28480"/>
    <cfRule type="duplicateValues" dxfId="28466" priority="28479"/>
    <cfRule type="duplicateValues" dxfId="28465" priority="28478"/>
    <cfRule type="duplicateValues" dxfId="28464" priority="28477"/>
    <cfRule type="duplicateValues" dxfId="28463" priority="28476"/>
    <cfRule type="duplicateValues" dxfId="28462" priority="28475"/>
    <cfRule type="duplicateValues" dxfId="28461" priority="28474"/>
    <cfRule type="duplicateValues" dxfId="28460" priority="28473"/>
    <cfRule type="duplicateValues" dxfId="28459" priority="28472"/>
    <cfRule type="duplicateValues" dxfId="28458" priority="28427"/>
    <cfRule type="duplicateValues" dxfId="28457" priority="28470"/>
    <cfRule type="duplicateValues" dxfId="28456" priority="28469"/>
    <cfRule type="duplicateValues" dxfId="28455" priority="28468"/>
    <cfRule type="duplicateValues" dxfId="28454" priority="28467"/>
    <cfRule type="duplicateValues" dxfId="28453" priority="28466"/>
    <cfRule type="duplicateValues" dxfId="28452" priority="28465"/>
    <cfRule type="duplicateValues" dxfId="28451" priority="28464"/>
    <cfRule type="duplicateValues" dxfId="28450" priority="28463"/>
    <cfRule type="duplicateValues" dxfId="28449" priority="28462"/>
    <cfRule type="duplicateValues" dxfId="28448" priority="28461"/>
    <cfRule type="duplicateValues" dxfId="28447" priority="28460"/>
    <cfRule type="duplicateValues" dxfId="28446" priority="28459"/>
    <cfRule type="duplicateValues" dxfId="28445" priority="28458"/>
    <cfRule type="duplicateValues" dxfId="28444" priority="28457"/>
    <cfRule type="duplicateValues" dxfId="28443" priority="28456"/>
    <cfRule type="duplicateValues" dxfId="28442" priority="28455"/>
    <cfRule type="duplicateValues" dxfId="28441" priority="28454"/>
    <cfRule type="duplicateValues" dxfId="28440" priority="28453"/>
    <cfRule type="duplicateValues" dxfId="28439" priority="28452"/>
    <cfRule type="duplicateValues" dxfId="28438" priority="28451"/>
    <cfRule type="duplicateValues" dxfId="28437" priority="28450"/>
    <cfRule type="duplicateValues" dxfId="28436" priority="28449"/>
    <cfRule type="duplicateValues" dxfId="28435" priority="28448"/>
    <cfRule type="duplicateValues" dxfId="28434" priority="28447"/>
    <cfRule type="duplicateValues" dxfId="28433" priority="28446"/>
    <cfRule type="duplicateValues" dxfId="28432" priority="28445"/>
    <cfRule type="duplicateValues" dxfId="28431" priority="28444"/>
    <cfRule type="duplicateValues" dxfId="28430" priority="28443"/>
    <cfRule type="duplicateValues" dxfId="28429" priority="28442"/>
    <cfRule type="duplicateValues" dxfId="28428" priority="28441"/>
    <cfRule type="duplicateValues" dxfId="28427" priority="28440"/>
    <cfRule type="duplicateValues" dxfId="28426" priority="28439"/>
    <cfRule type="duplicateValues" dxfId="28425" priority="28438"/>
    <cfRule type="duplicateValues" dxfId="28424" priority="28437"/>
    <cfRule type="duplicateValues" dxfId="28423" priority="28436"/>
    <cfRule type="duplicateValues" dxfId="28422" priority="28435"/>
    <cfRule type="duplicateValues" dxfId="28421" priority="28434"/>
    <cfRule type="duplicateValues" dxfId="28420" priority="28433"/>
    <cfRule type="duplicateValues" dxfId="28419" priority="28432"/>
    <cfRule type="duplicateValues" dxfId="28418" priority="28431"/>
    <cfRule type="duplicateValues" dxfId="28417" priority="28430"/>
    <cfRule type="duplicateValues" dxfId="28416" priority="28429"/>
    <cfRule type="duplicateValues" dxfId="28415" priority="28428"/>
    <cfRule type="duplicateValues" dxfId="28414" priority="28335"/>
    <cfRule type="duplicateValues" dxfId="28413" priority="28426"/>
    <cfRule type="duplicateValues" dxfId="28412" priority="28425"/>
    <cfRule type="duplicateValues" dxfId="28411" priority="28424"/>
    <cfRule type="duplicateValues" dxfId="28410" priority="28423"/>
    <cfRule type="duplicateValues" dxfId="28409" priority="28422"/>
    <cfRule type="duplicateValues" dxfId="28408" priority="28421"/>
    <cfRule type="duplicateValues" dxfId="28407" priority="28420"/>
    <cfRule type="duplicateValues" dxfId="28406" priority="28419"/>
    <cfRule type="duplicateValues" dxfId="28405" priority="28418"/>
    <cfRule type="duplicateValues" dxfId="28404" priority="28417"/>
    <cfRule type="duplicateValues" dxfId="28403" priority="28416"/>
    <cfRule type="duplicateValues" dxfId="28402" priority="28415"/>
    <cfRule type="duplicateValues" dxfId="28401" priority="28414"/>
    <cfRule type="duplicateValues" dxfId="28400" priority="28413"/>
    <cfRule type="duplicateValues" dxfId="28399" priority="28412"/>
    <cfRule type="duplicateValues" dxfId="28398" priority="28411"/>
    <cfRule type="duplicateValues" dxfId="28397" priority="28410"/>
    <cfRule type="duplicateValues" dxfId="28396" priority="28409"/>
    <cfRule type="duplicateValues" dxfId="28395" priority="28408"/>
    <cfRule type="duplicateValues" dxfId="28394" priority="28407"/>
    <cfRule type="duplicateValues" dxfId="28393" priority="28406"/>
    <cfRule type="duplicateValues" dxfId="28392" priority="28405"/>
    <cfRule type="duplicateValues" dxfId="28391" priority="28404"/>
    <cfRule type="duplicateValues" dxfId="28390" priority="28403"/>
    <cfRule type="duplicateValues" dxfId="28389" priority="28402"/>
    <cfRule type="duplicateValues" dxfId="28388" priority="28401"/>
    <cfRule type="duplicateValues" dxfId="28387" priority="28400"/>
    <cfRule type="duplicateValues" dxfId="28386" priority="28399"/>
    <cfRule type="duplicateValues" dxfId="28385" priority="28398"/>
    <cfRule type="duplicateValues" dxfId="28384" priority="28397"/>
    <cfRule type="duplicateValues" dxfId="28383" priority="28396"/>
    <cfRule type="duplicateValues" dxfId="28382" priority="28395"/>
    <cfRule type="duplicateValues" dxfId="28381" priority="28394"/>
    <cfRule type="duplicateValues" dxfId="28380" priority="28393"/>
    <cfRule type="duplicateValues" dxfId="28379" priority="28392"/>
    <cfRule type="duplicateValues" dxfId="28378" priority="28391"/>
    <cfRule type="duplicateValues" dxfId="28377" priority="28390"/>
    <cfRule type="duplicateValues" dxfId="28376" priority="28389"/>
    <cfRule type="duplicateValues" dxfId="28375" priority="28388"/>
    <cfRule type="duplicateValues" dxfId="28374" priority="28387"/>
    <cfRule type="duplicateValues" dxfId="28373" priority="28386"/>
    <cfRule type="duplicateValues" dxfId="28372" priority="28385"/>
    <cfRule type="duplicateValues" dxfId="28371" priority="28384"/>
    <cfRule type="duplicateValues" dxfId="28370" priority="28383"/>
    <cfRule type="duplicateValues" dxfId="28369" priority="28382"/>
    <cfRule type="duplicateValues" dxfId="28368" priority="28381"/>
    <cfRule type="duplicateValues" dxfId="28367" priority="28380"/>
    <cfRule type="duplicateValues" dxfId="28366" priority="28379"/>
    <cfRule type="duplicateValues" dxfId="28365" priority="28378"/>
    <cfRule type="duplicateValues" dxfId="28364" priority="28377"/>
    <cfRule type="duplicateValues" dxfId="28363" priority="28376"/>
    <cfRule type="duplicateValues" dxfId="28362" priority="28375"/>
    <cfRule type="duplicateValues" dxfId="28361" priority="28374"/>
    <cfRule type="duplicateValues" dxfId="28360" priority="28373"/>
    <cfRule type="duplicateValues" dxfId="28359" priority="28372"/>
    <cfRule type="duplicateValues" dxfId="28358" priority="28371"/>
    <cfRule type="duplicateValues" dxfId="28357" priority="28370"/>
    <cfRule type="duplicateValues" dxfId="28356" priority="28369"/>
    <cfRule type="duplicateValues" dxfId="28355" priority="28368"/>
    <cfRule type="duplicateValues" dxfId="28354" priority="28367"/>
    <cfRule type="duplicateValues" dxfId="28353" priority="28366"/>
    <cfRule type="duplicateValues" dxfId="28352" priority="28365"/>
    <cfRule type="duplicateValues" dxfId="28351" priority="28364"/>
    <cfRule type="duplicateValues" dxfId="28350" priority="28363"/>
    <cfRule type="duplicateValues" dxfId="28349" priority="28362"/>
    <cfRule type="duplicateValues" dxfId="28348" priority="28361"/>
    <cfRule type="duplicateValues" dxfId="28347" priority="28360"/>
    <cfRule type="duplicateValues" dxfId="28346" priority="28359"/>
    <cfRule type="duplicateValues" dxfId="28345" priority="28358"/>
    <cfRule type="duplicateValues" dxfId="28344" priority="28357"/>
    <cfRule type="duplicateValues" dxfId="28343" priority="28356"/>
    <cfRule type="duplicateValues" dxfId="28342" priority="28355"/>
    <cfRule type="duplicateValues" dxfId="28341" priority="28354"/>
    <cfRule type="duplicateValues" dxfId="28340" priority="28353"/>
    <cfRule type="duplicateValues" dxfId="28339" priority="28352"/>
    <cfRule type="duplicateValues" dxfId="28338" priority="28351"/>
    <cfRule type="duplicateValues" dxfId="28337" priority="28350"/>
    <cfRule type="duplicateValues" dxfId="28336" priority="28349"/>
    <cfRule type="duplicateValues" dxfId="28335" priority="28348"/>
    <cfRule type="duplicateValues" dxfId="28334" priority="28347"/>
    <cfRule type="duplicateValues" dxfId="28333" priority="28346"/>
    <cfRule type="duplicateValues" dxfId="28332" priority="28345"/>
    <cfRule type="duplicateValues" dxfId="28331" priority="28344"/>
    <cfRule type="duplicateValues" dxfId="28330" priority="28343"/>
    <cfRule type="duplicateValues" dxfId="28329" priority="28342"/>
    <cfRule type="duplicateValues" dxfId="28328" priority="28341"/>
    <cfRule type="duplicateValues" dxfId="28327" priority="28340"/>
    <cfRule type="duplicateValues" dxfId="28326" priority="28339"/>
  </conditionalFormatting>
  <conditionalFormatting sqref="B148">
    <cfRule type="duplicateValues" dxfId="28325" priority="28160"/>
    <cfRule type="duplicateValues" dxfId="28324" priority="28159"/>
    <cfRule type="duplicateValues" dxfId="28323" priority="28158"/>
    <cfRule type="duplicateValues" dxfId="28322" priority="28161"/>
    <cfRule type="duplicateValues" dxfId="28321" priority="28334"/>
    <cfRule type="duplicateValues" dxfId="28320" priority="28333"/>
    <cfRule type="duplicateValues" dxfId="28319" priority="28332"/>
    <cfRule type="duplicateValues" dxfId="28318" priority="28331"/>
    <cfRule type="duplicateValues" dxfId="28317" priority="28330"/>
    <cfRule type="duplicateValues" dxfId="28316" priority="28329"/>
    <cfRule type="duplicateValues" dxfId="28315" priority="28328"/>
    <cfRule type="duplicateValues" dxfId="28314" priority="28327"/>
    <cfRule type="duplicateValues" dxfId="28313" priority="28326"/>
    <cfRule type="duplicateValues" dxfId="28312" priority="28325"/>
    <cfRule type="duplicateValues" dxfId="28311" priority="28324"/>
    <cfRule type="duplicateValues" dxfId="28310" priority="28323"/>
    <cfRule type="duplicateValues" dxfId="28309" priority="28322"/>
    <cfRule type="duplicateValues" dxfId="28308" priority="28321"/>
    <cfRule type="duplicateValues" dxfId="28307" priority="28320"/>
    <cfRule type="duplicateValues" dxfId="28306" priority="28319"/>
    <cfRule type="duplicateValues" dxfId="28305" priority="28318"/>
    <cfRule type="duplicateValues" dxfId="28304" priority="28317"/>
    <cfRule type="duplicateValues" dxfId="28303" priority="28316"/>
    <cfRule type="duplicateValues" dxfId="28302" priority="28315"/>
    <cfRule type="duplicateValues" dxfId="28301" priority="28314"/>
    <cfRule type="duplicateValues" dxfId="28300" priority="28313"/>
    <cfRule type="duplicateValues" dxfId="28299" priority="28312"/>
    <cfRule type="duplicateValues" dxfId="28298" priority="28311"/>
    <cfRule type="duplicateValues" dxfId="28297" priority="28310"/>
    <cfRule type="duplicateValues" dxfId="28296" priority="28309"/>
    <cfRule type="duplicateValues" dxfId="28295" priority="28308"/>
    <cfRule type="duplicateValues" dxfId="28294" priority="28307"/>
    <cfRule type="duplicateValues" dxfId="28293" priority="28306"/>
    <cfRule type="duplicateValues" dxfId="28292" priority="28305"/>
    <cfRule type="duplicateValues" dxfId="28291" priority="28304"/>
    <cfRule type="duplicateValues" dxfId="28290" priority="28303"/>
    <cfRule type="duplicateValues" dxfId="28289" priority="28302"/>
    <cfRule type="duplicateValues" dxfId="28288" priority="28301"/>
    <cfRule type="duplicateValues" dxfId="28287" priority="28300"/>
    <cfRule type="duplicateValues" dxfId="28286" priority="28299"/>
    <cfRule type="duplicateValues" dxfId="28285" priority="28298"/>
    <cfRule type="duplicateValues" dxfId="28284" priority="28297"/>
    <cfRule type="duplicateValues" dxfId="28283" priority="28296"/>
    <cfRule type="duplicateValues" dxfId="28282" priority="28295"/>
    <cfRule type="duplicateValues" dxfId="28281" priority="28294"/>
    <cfRule type="duplicateValues" dxfId="28280" priority="28293"/>
    <cfRule type="duplicateValues" dxfId="28279" priority="28292"/>
    <cfRule type="duplicateValues" dxfId="28278" priority="28291"/>
    <cfRule type="duplicateValues" dxfId="28277" priority="28290"/>
    <cfRule type="duplicateValues" dxfId="28276" priority="28289"/>
    <cfRule type="duplicateValues" dxfId="28275" priority="28288"/>
    <cfRule type="duplicateValues" dxfId="28274" priority="28287"/>
    <cfRule type="duplicateValues" dxfId="28273" priority="28286"/>
    <cfRule type="duplicateValues" dxfId="28272" priority="28285"/>
    <cfRule type="duplicateValues" dxfId="28271" priority="28284"/>
    <cfRule type="duplicateValues" dxfId="28270" priority="28283"/>
    <cfRule type="duplicateValues" dxfId="28269" priority="28282"/>
    <cfRule type="duplicateValues" dxfId="28268" priority="28281"/>
    <cfRule type="duplicateValues" dxfId="28267" priority="28280"/>
    <cfRule type="duplicateValues" dxfId="28266" priority="28279"/>
    <cfRule type="duplicateValues" dxfId="28265" priority="28278"/>
    <cfRule type="duplicateValues" dxfId="28264" priority="28277"/>
    <cfRule type="duplicateValues" dxfId="28263" priority="28276"/>
    <cfRule type="duplicateValues" dxfId="28262" priority="28275"/>
    <cfRule type="duplicateValues" dxfId="28261" priority="28274"/>
    <cfRule type="duplicateValues" dxfId="28260" priority="28273"/>
    <cfRule type="duplicateValues" dxfId="28259" priority="28272"/>
    <cfRule type="duplicateValues" dxfId="28258" priority="28271"/>
    <cfRule type="duplicateValues" dxfId="28257" priority="28270"/>
    <cfRule type="duplicateValues" dxfId="28256" priority="28269"/>
    <cfRule type="duplicateValues" dxfId="28255" priority="28268"/>
    <cfRule type="duplicateValues" dxfId="28254" priority="28267"/>
    <cfRule type="duplicateValues" dxfId="28253" priority="28266"/>
    <cfRule type="duplicateValues" dxfId="28252" priority="28265"/>
    <cfRule type="duplicateValues" dxfId="28251" priority="28264"/>
    <cfRule type="duplicateValues" dxfId="28250" priority="28263"/>
    <cfRule type="duplicateValues" dxfId="28249" priority="28262"/>
    <cfRule type="duplicateValues" dxfId="28248" priority="28261"/>
    <cfRule type="duplicateValues" dxfId="28247" priority="28260"/>
    <cfRule type="duplicateValues" dxfId="28246" priority="28259"/>
    <cfRule type="duplicateValues" dxfId="28245" priority="28258"/>
    <cfRule type="duplicateValues" dxfId="28244" priority="28257"/>
    <cfRule type="duplicateValues" dxfId="28243" priority="28256"/>
    <cfRule type="duplicateValues" dxfId="28242" priority="28255"/>
    <cfRule type="duplicateValues" dxfId="28241" priority="28254"/>
    <cfRule type="duplicateValues" dxfId="28240" priority="28253"/>
    <cfRule type="duplicateValues" dxfId="28239" priority="28252"/>
    <cfRule type="duplicateValues" dxfId="28238" priority="28251"/>
    <cfRule type="duplicateValues" dxfId="28237" priority="28250"/>
    <cfRule type="duplicateValues" dxfId="28236" priority="28249"/>
    <cfRule type="duplicateValues" dxfId="28235" priority="28248"/>
    <cfRule type="duplicateValues" dxfId="28234" priority="28247"/>
    <cfRule type="duplicateValues" dxfId="28233" priority="28246"/>
    <cfRule type="duplicateValues" dxfId="28232" priority="28245"/>
    <cfRule type="duplicateValues" dxfId="28231" priority="28244"/>
    <cfRule type="duplicateValues" dxfId="28230" priority="28243"/>
    <cfRule type="duplicateValues" dxfId="28229" priority="28242"/>
    <cfRule type="duplicateValues" dxfId="28228" priority="28241"/>
    <cfRule type="duplicateValues" dxfId="28227" priority="28240"/>
    <cfRule type="duplicateValues" dxfId="28226" priority="28239"/>
    <cfRule type="duplicateValues" dxfId="28225" priority="28238"/>
    <cfRule type="duplicateValues" dxfId="28224" priority="28237"/>
    <cfRule type="duplicateValues" dxfId="28223" priority="28236"/>
    <cfRule type="duplicateValues" dxfId="28222" priority="28235"/>
    <cfRule type="duplicateValues" dxfId="28221" priority="28234"/>
    <cfRule type="duplicateValues" dxfId="28220" priority="28233"/>
    <cfRule type="duplicateValues" dxfId="28219" priority="28232"/>
    <cfRule type="duplicateValues" dxfId="28218" priority="28231"/>
    <cfRule type="duplicateValues" dxfId="28217" priority="28230"/>
    <cfRule type="duplicateValues" dxfId="28216" priority="28229"/>
    <cfRule type="duplicateValues" dxfId="28215" priority="28228"/>
    <cfRule type="duplicateValues" dxfId="28214" priority="28227"/>
    <cfRule type="duplicateValues" dxfId="28213" priority="28226"/>
    <cfRule type="duplicateValues" dxfId="28212" priority="28225"/>
    <cfRule type="duplicateValues" dxfId="28211" priority="28224"/>
    <cfRule type="duplicateValues" dxfId="28210" priority="28223"/>
    <cfRule type="duplicateValues" dxfId="28209" priority="28222"/>
    <cfRule type="duplicateValues" dxfId="28208" priority="28221"/>
    <cfRule type="duplicateValues" dxfId="28207" priority="28220"/>
    <cfRule type="duplicateValues" dxfId="28206" priority="28219"/>
    <cfRule type="duplicateValues" dxfId="28205" priority="28218"/>
    <cfRule type="duplicateValues" dxfId="28204" priority="28217"/>
    <cfRule type="duplicateValues" dxfId="28203" priority="28216"/>
    <cfRule type="duplicateValues" dxfId="28202" priority="28215"/>
    <cfRule type="duplicateValues" dxfId="28201" priority="28214"/>
    <cfRule type="duplicateValues" dxfId="28200" priority="28213"/>
    <cfRule type="duplicateValues" dxfId="28199" priority="28212"/>
    <cfRule type="duplicateValues" dxfId="28198" priority="28211"/>
    <cfRule type="duplicateValues" dxfId="28197" priority="28210"/>
    <cfRule type="duplicateValues" dxfId="28196" priority="28209"/>
    <cfRule type="duplicateValues" dxfId="28195" priority="28208"/>
    <cfRule type="duplicateValues" dxfId="28194" priority="28207"/>
    <cfRule type="duplicateValues" dxfId="28193" priority="28206"/>
    <cfRule type="duplicateValues" dxfId="28192" priority="28205"/>
    <cfRule type="duplicateValues" dxfId="28191" priority="28204"/>
    <cfRule type="duplicateValues" dxfId="28190" priority="28203"/>
    <cfRule type="duplicateValues" dxfId="28189" priority="28202"/>
    <cfRule type="duplicateValues" dxfId="28188" priority="28201"/>
    <cfRule type="duplicateValues" dxfId="28187" priority="28200"/>
    <cfRule type="duplicateValues" dxfId="28186" priority="28199"/>
    <cfRule type="duplicateValues" dxfId="28185" priority="28198"/>
    <cfRule type="duplicateValues" dxfId="28184" priority="28197"/>
    <cfRule type="duplicateValues" dxfId="28183" priority="28196"/>
    <cfRule type="duplicateValues" dxfId="28182" priority="28195"/>
    <cfRule type="duplicateValues" dxfId="28181" priority="28194"/>
    <cfRule type="duplicateValues" dxfId="28180" priority="28193"/>
    <cfRule type="duplicateValues" dxfId="28179" priority="28192"/>
    <cfRule type="duplicateValues" dxfId="28178" priority="28191"/>
    <cfRule type="duplicateValues" dxfId="28177" priority="28190"/>
    <cfRule type="duplicateValues" dxfId="28176" priority="28189"/>
    <cfRule type="duplicateValues" dxfId="28175" priority="28188"/>
    <cfRule type="duplicateValues" dxfId="28174" priority="28187"/>
    <cfRule type="duplicateValues" dxfId="28173" priority="28186"/>
    <cfRule type="duplicateValues" dxfId="28172" priority="28185"/>
    <cfRule type="duplicateValues" dxfId="28171" priority="28184"/>
    <cfRule type="duplicateValues" dxfId="28170" priority="28183"/>
    <cfRule type="duplicateValues" dxfId="28169" priority="28182"/>
    <cfRule type="duplicateValues" dxfId="28168" priority="28181"/>
    <cfRule type="duplicateValues" dxfId="28167" priority="28180"/>
    <cfRule type="duplicateValues" dxfId="28166" priority="28179"/>
    <cfRule type="duplicateValues" dxfId="28165" priority="28178"/>
    <cfRule type="duplicateValues" dxfId="28164" priority="28177"/>
    <cfRule type="duplicateValues" dxfId="28163" priority="28176"/>
    <cfRule type="duplicateValues" dxfId="28162" priority="28175"/>
    <cfRule type="duplicateValues" dxfId="28161" priority="28174"/>
    <cfRule type="duplicateValues" dxfId="28160" priority="28173"/>
    <cfRule type="duplicateValues" dxfId="28159" priority="28172"/>
    <cfRule type="duplicateValues" dxfId="28158" priority="28171"/>
    <cfRule type="duplicateValues" dxfId="28157" priority="28170"/>
    <cfRule type="duplicateValues" dxfId="28156" priority="28169"/>
    <cfRule type="duplicateValues" dxfId="28155" priority="28168"/>
    <cfRule type="duplicateValues" dxfId="28154" priority="28167"/>
    <cfRule type="duplicateValues" dxfId="28153" priority="28166"/>
    <cfRule type="duplicateValues" dxfId="28152" priority="28165"/>
    <cfRule type="duplicateValues" dxfId="28151" priority="28164"/>
    <cfRule type="duplicateValues" dxfId="28150" priority="28163"/>
    <cfRule type="duplicateValues" dxfId="28149" priority="28162"/>
  </conditionalFormatting>
  <conditionalFormatting sqref="B149">
    <cfRule type="duplicateValues" dxfId="28148" priority="27984"/>
    <cfRule type="duplicateValues" dxfId="28147" priority="27983"/>
    <cfRule type="duplicateValues" dxfId="28146" priority="27982"/>
    <cfRule type="duplicateValues" dxfId="28145" priority="27981"/>
    <cfRule type="duplicateValues" dxfId="28144" priority="28157"/>
    <cfRule type="duplicateValues" dxfId="28143" priority="28156"/>
    <cfRule type="duplicateValues" dxfId="28142" priority="28155"/>
    <cfRule type="duplicateValues" dxfId="28141" priority="28154"/>
    <cfRule type="duplicateValues" dxfId="28140" priority="28153"/>
    <cfRule type="duplicateValues" dxfId="28139" priority="28152"/>
    <cfRule type="duplicateValues" dxfId="28138" priority="28151"/>
    <cfRule type="duplicateValues" dxfId="28137" priority="28150"/>
    <cfRule type="duplicateValues" dxfId="28136" priority="28149"/>
    <cfRule type="duplicateValues" dxfId="28135" priority="28148"/>
    <cfRule type="duplicateValues" dxfId="28134" priority="28147"/>
    <cfRule type="duplicateValues" dxfId="28133" priority="28146"/>
    <cfRule type="duplicateValues" dxfId="28132" priority="28145"/>
    <cfRule type="duplicateValues" dxfId="28131" priority="28144"/>
    <cfRule type="duplicateValues" dxfId="28130" priority="28143"/>
    <cfRule type="duplicateValues" dxfId="28129" priority="28142"/>
    <cfRule type="duplicateValues" dxfId="28128" priority="28141"/>
    <cfRule type="duplicateValues" dxfId="28127" priority="28140"/>
    <cfRule type="duplicateValues" dxfId="28126" priority="28139"/>
    <cfRule type="duplicateValues" dxfId="28125" priority="28138"/>
    <cfRule type="duplicateValues" dxfId="28124" priority="28137"/>
    <cfRule type="duplicateValues" dxfId="28123" priority="28136"/>
    <cfRule type="duplicateValues" dxfId="28122" priority="28135"/>
    <cfRule type="duplicateValues" dxfId="28121" priority="28134"/>
    <cfRule type="duplicateValues" dxfId="28120" priority="28133"/>
    <cfRule type="duplicateValues" dxfId="28119" priority="28132"/>
    <cfRule type="duplicateValues" dxfId="28118" priority="28131"/>
    <cfRule type="duplicateValues" dxfId="28117" priority="28130"/>
    <cfRule type="duplicateValues" dxfId="28116" priority="28129"/>
    <cfRule type="duplicateValues" dxfId="28115" priority="28128"/>
    <cfRule type="duplicateValues" dxfId="28114" priority="28127"/>
    <cfRule type="duplicateValues" dxfId="28113" priority="28126"/>
    <cfRule type="duplicateValues" dxfId="28112" priority="28125"/>
    <cfRule type="duplicateValues" dxfId="28111" priority="28124"/>
    <cfRule type="duplicateValues" dxfId="28110" priority="28123"/>
    <cfRule type="duplicateValues" dxfId="28109" priority="28122"/>
    <cfRule type="duplicateValues" dxfId="28108" priority="28121"/>
    <cfRule type="duplicateValues" dxfId="28107" priority="28120"/>
    <cfRule type="duplicateValues" dxfId="28106" priority="28119"/>
    <cfRule type="duplicateValues" dxfId="28105" priority="28118"/>
    <cfRule type="duplicateValues" dxfId="28104" priority="28117"/>
    <cfRule type="duplicateValues" dxfId="28103" priority="28116"/>
    <cfRule type="duplicateValues" dxfId="28102" priority="28115"/>
    <cfRule type="duplicateValues" dxfId="28101" priority="28114"/>
    <cfRule type="duplicateValues" dxfId="28100" priority="28113"/>
    <cfRule type="duplicateValues" dxfId="28099" priority="28112"/>
    <cfRule type="duplicateValues" dxfId="28098" priority="28111"/>
    <cfRule type="duplicateValues" dxfId="28097" priority="28110"/>
    <cfRule type="duplicateValues" dxfId="28096" priority="28109"/>
    <cfRule type="duplicateValues" dxfId="28095" priority="28108"/>
    <cfRule type="duplicateValues" dxfId="28094" priority="28107"/>
    <cfRule type="duplicateValues" dxfId="28093" priority="28106"/>
    <cfRule type="duplicateValues" dxfId="28092" priority="28105"/>
    <cfRule type="duplicateValues" dxfId="28091" priority="28104"/>
    <cfRule type="duplicateValues" dxfId="28090" priority="28103"/>
    <cfRule type="duplicateValues" dxfId="28089" priority="28102"/>
    <cfRule type="duplicateValues" dxfId="28088" priority="28101"/>
    <cfRule type="duplicateValues" dxfId="28087" priority="28100"/>
    <cfRule type="duplicateValues" dxfId="28086" priority="28099"/>
    <cfRule type="duplicateValues" dxfId="28085" priority="28098"/>
    <cfRule type="duplicateValues" dxfId="28084" priority="28097"/>
    <cfRule type="duplicateValues" dxfId="28083" priority="28096"/>
    <cfRule type="duplicateValues" dxfId="28082" priority="28095"/>
    <cfRule type="duplicateValues" dxfId="28081" priority="28094"/>
    <cfRule type="duplicateValues" dxfId="28080" priority="28093"/>
    <cfRule type="duplicateValues" dxfId="28079" priority="28092"/>
    <cfRule type="duplicateValues" dxfId="28078" priority="28091"/>
    <cfRule type="duplicateValues" dxfId="28077" priority="28090"/>
    <cfRule type="duplicateValues" dxfId="28076" priority="28089"/>
    <cfRule type="duplicateValues" dxfId="28075" priority="28088"/>
    <cfRule type="duplicateValues" dxfId="28074" priority="28087"/>
    <cfRule type="duplicateValues" dxfId="28073" priority="28086"/>
    <cfRule type="duplicateValues" dxfId="28072" priority="28085"/>
    <cfRule type="duplicateValues" dxfId="28071" priority="28084"/>
    <cfRule type="duplicateValues" dxfId="28070" priority="28083"/>
    <cfRule type="duplicateValues" dxfId="28069" priority="28082"/>
    <cfRule type="duplicateValues" dxfId="28068" priority="28081"/>
    <cfRule type="duplicateValues" dxfId="28067" priority="28080"/>
    <cfRule type="duplicateValues" dxfId="28066" priority="28079"/>
    <cfRule type="duplicateValues" dxfId="28065" priority="28078"/>
    <cfRule type="duplicateValues" dxfId="28064" priority="28077"/>
    <cfRule type="duplicateValues" dxfId="28063" priority="28076"/>
    <cfRule type="duplicateValues" dxfId="28062" priority="28075"/>
    <cfRule type="duplicateValues" dxfId="28061" priority="28074"/>
    <cfRule type="duplicateValues" dxfId="28060" priority="28073"/>
    <cfRule type="duplicateValues" dxfId="28059" priority="28072"/>
    <cfRule type="duplicateValues" dxfId="28058" priority="28071"/>
    <cfRule type="duplicateValues" dxfId="28057" priority="28070"/>
    <cfRule type="duplicateValues" dxfId="28056" priority="28069"/>
    <cfRule type="duplicateValues" dxfId="28055" priority="28068"/>
    <cfRule type="duplicateValues" dxfId="28054" priority="28067"/>
    <cfRule type="duplicateValues" dxfId="28053" priority="28066"/>
    <cfRule type="duplicateValues" dxfId="28052" priority="28065"/>
    <cfRule type="duplicateValues" dxfId="28051" priority="28064"/>
    <cfRule type="duplicateValues" dxfId="28050" priority="28063"/>
    <cfRule type="duplicateValues" dxfId="28049" priority="28062"/>
    <cfRule type="duplicateValues" dxfId="28048" priority="28061"/>
    <cfRule type="duplicateValues" dxfId="28047" priority="28060"/>
    <cfRule type="duplicateValues" dxfId="28046" priority="28059"/>
    <cfRule type="duplicateValues" dxfId="28045" priority="28058"/>
    <cfRule type="duplicateValues" dxfId="28044" priority="28057"/>
    <cfRule type="duplicateValues" dxfId="28043" priority="28056"/>
    <cfRule type="duplicateValues" dxfId="28042" priority="28055"/>
    <cfRule type="duplicateValues" dxfId="28041" priority="28054"/>
    <cfRule type="duplicateValues" dxfId="28040" priority="28053"/>
    <cfRule type="duplicateValues" dxfId="28039" priority="28052"/>
    <cfRule type="duplicateValues" dxfId="28038" priority="28051"/>
    <cfRule type="duplicateValues" dxfId="28037" priority="28050"/>
    <cfRule type="duplicateValues" dxfId="28036" priority="28049"/>
    <cfRule type="duplicateValues" dxfId="28035" priority="28048"/>
    <cfRule type="duplicateValues" dxfId="28034" priority="28047"/>
    <cfRule type="duplicateValues" dxfId="28033" priority="28046"/>
    <cfRule type="duplicateValues" dxfId="28032" priority="28045"/>
    <cfRule type="duplicateValues" dxfId="28031" priority="28044"/>
    <cfRule type="duplicateValues" dxfId="28030" priority="28043"/>
    <cfRule type="duplicateValues" dxfId="28029" priority="28042"/>
    <cfRule type="duplicateValues" dxfId="28028" priority="28041"/>
    <cfRule type="duplicateValues" dxfId="28027" priority="28040"/>
    <cfRule type="duplicateValues" dxfId="28026" priority="28039"/>
    <cfRule type="duplicateValues" dxfId="28025" priority="28038"/>
    <cfRule type="duplicateValues" dxfId="28024" priority="28037"/>
    <cfRule type="duplicateValues" dxfId="28023" priority="28036"/>
    <cfRule type="duplicateValues" dxfId="28022" priority="28035"/>
    <cfRule type="duplicateValues" dxfId="28021" priority="28034"/>
    <cfRule type="duplicateValues" dxfId="28020" priority="28033"/>
    <cfRule type="duplicateValues" dxfId="28019" priority="28032"/>
    <cfRule type="duplicateValues" dxfId="28018" priority="28031"/>
    <cfRule type="duplicateValues" dxfId="28017" priority="28030"/>
    <cfRule type="duplicateValues" dxfId="28016" priority="28029"/>
    <cfRule type="duplicateValues" dxfId="28015" priority="28028"/>
    <cfRule type="duplicateValues" dxfId="28014" priority="28027"/>
    <cfRule type="duplicateValues" dxfId="28013" priority="28026"/>
    <cfRule type="duplicateValues" dxfId="28012" priority="28025"/>
    <cfRule type="duplicateValues" dxfId="28011" priority="28024"/>
    <cfRule type="duplicateValues" dxfId="28010" priority="28023"/>
    <cfRule type="duplicateValues" dxfId="28009" priority="28022"/>
    <cfRule type="duplicateValues" dxfId="28008" priority="28021"/>
    <cfRule type="duplicateValues" dxfId="28007" priority="28020"/>
    <cfRule type="duplicateValues" dxfId="28006" priority="28019"/>
    <cfRule type="duplicateValues" dxfId="28005" priority="28018"/>
    <cfRule type="duplicateValues" dxfId="28004" priority="28017"/>
    <cfRule type="duplicateValues" dxfId="28003" priority="28016"/>
    <cfRule type="duplicateValues" dxfId="28002" priority="28015"/>
    <cfRule type="duplicateValues" dxfId="28001" priority="28014"/>
    <cfRule type="duplicateValues" dxfId="28000" priority="28013"/>
    <cfRule type="duplicateValues" dxfId="27999" priority="28012"/>
    <cfRule type="duplicateValues" dxfId="27998" priority="28011"/>
    <cfRule type="duplicateValues" dxfId="27997" priority="28010"/>
    <cfRule type="duplicateValues" dxfId="27996" priority="28009"/>
    <cfRule type="duplicateValues" dxfId="27995" priority="28008"/>
    <cfRule type="duplicateValues" dxfId="27994" priority="28007"/>
    <cfRule type="duplicateValues" dxfId="27993" priority="28006"/>
    <cfRule type="duplicateValues" dxfId="27992" priority="28005"/>
    <cfRule type="duplicateValues" dxfId="27991" priority="28004"/>
    <cfRule type="duplicateValues" dxfId="27990" priority="28003"/>
    <cfRule type="duplicateValues" dxfId="27989" priority="28002"/>
    <cfRule type="duplicateValues" dxfId="27988" priority="28001"/>
    <cfRule type="duplicateValues" dxfId="27987" priority="28000"/>
    <cfRule type="duplicateValues" dxfId="27986" priority="27999"/>
    <cfRule type="duplicateValues" dxfId="27985" priority="27998"/>
    <cfRule type="duplicateValues" dxfId="27984" priority="27997"/>
    <cfRule type="duplicateValues" dxfId="27983" priority="27996"/>
    <cfRule type="duplicateValues" dxfId="27982" priority="27995"/>
    <cfRule type="duplicateValues" dxfId="27981" priority="27994"/>
    <cfRule type="duplicateValues" dxfId="27980" priority="27993"/>
    <cfRule type="duplicateValues" dxfId="27979" priority="27992"/>
    <cfRule type="duplicateValues" dxfId="27978" priority="27991"/>
    <cfRule type="duplicateValues" dxfId="27977" priority="27990"/>
    <cfRule type="duplicateValues" dxfId="27976" priority="27989"/>
    <cfRule type="duplicateValues" dxfId="27975" priority="27988"/>
    <cfRule type="duplicateValues" dxfId="27974" priority="27987"/>
    <cfRule type="duplicateValues" dxfId="27973" priority="27986"/>
    <cfRule type="duplicateValues" dxfId="27972" priority="27985"/>
  </conditionalFormatting>
  <conditionalFormatting sqref="B150">
    <cfRule type="duplicateValues" dxfId="27971" priority="27852"/>
    <cfRule type="duplicateValues" dxfId="27970" priority="27807"/>
    <cfRule type="duplicateValues" dxfId="27969" priority="27806"/>
    <cfRule type="duplicateValues" dxfId="27968" priority="27805"/>
    <cfRule type="duplicateValues" dxfId="27967" priority="27980"/>
    <cfRule type="duplicateValues" dxfId="27966" priority="27979"/>
    <cfRule type="duplicateValues" dxfId="27965" priority="27978"/>
    <cfRule type="duplicateValues" dxfId="27964" priority="27977"/>
    <cfRule type="duplicateValues" dxfId="27963" priority="27976"/>
    <cfRule type="duplicateValues" dxfId="27962" priority="27975"/>
    <cfRule type="duplicateValues" dxfId="27961" priority="27974"/>
    <cfRule type="duplicateValues" dxfId="27960" priority="27973"/>
    <cfRule type="duplicateValues" dxfId="27959" priority="27972"/>
    <cfRule type="duplicateValues" dxfId="27958" priority="27971"/>
    <cfRule type="duplicateValues" dxfId="27957" priority="27970"/>
    <cfRule type="duplicateValues" dxfId="27956" priority="27969"/>
    <cfRule type="duplicateValues" dxfId="27955" priority="27968"/>
    <cfRule type="duplicateValues" dxfId="27954" priority="27967"/>
    <cfRule type="duplicateValues" dxfId="27953" priority="27966"/>
    <cfRule type="duplicateValues" dxfId="27952" priority="27965"/>
    <cfRule type="duplicateValues" dxfId="27951" priority="27964"/>
    <cfRule type="duplicateValues" dxfId="27950" priority="27963"/>
    <cfRule type="duplicateValues" dxfId="27949" priority="27962"/>
    <cfRule type="duplicateValues" dxfId="27948" priority="27961"/>
    <cfRule type="duplicateValues" dxfId="27947" priority="27960"/>
    <cfRule type="duplicateValues" dxfId="27946" priority="27959"/>
    <cfRule type="duplicateValues" dxfId="27945" priority="27958"/>
    <cfRule type="duplicateValues" dxfId="27944" priority="27957"/>
    <cfRule type="duplicateValues" dxfId="27943" priority="27956"/>
    <cfRule type="duplicateValues" dxfId="27942" priority="27955"/>
    <cfRule type="duplicateValues" dxfId="27941" priority="27954"/>
    <cfRule type="duplicateValues" dxfId="27940" priority="27953"/>
    <cfRule type="duplicateValues" dxfId="27939" priority="27952"/>
    <cfRule type="duplicateValues" dxfId="27938" priority="27951"/>
    <cfRule type="duplicateValues" dxfId="27937" priority="27950"/>
    <cfRule type="duplicateValues" dxfId="27936" priority="27949"/>
    <cfRule type="duplicateValues" dxfId="27935" priority="27948"/>
    <cfRule type="duplicateValues" dxfId="27934" priority="27947"/>
    <cfRule type="duplicateValues" dxfId="27933" priority="27946"/>
    <cfRule type="duplicateValues" dxfId="27932" priority="27945"/>
    <cfRule type="duplicateValues" dxfId="27931" priority="27944"/>
    <cfRule type="duplicateValues" dxfId="27930" priority="27943"/>
    <cfRule type="duplicateValues" dxfId="27929" priority="27942"/>
    <cfRule type="duplicateValues" dxfId="27928" priority="27941"/>
    <cfRule type="duplicateValues" dxfId="27927" priority="27940"/>
    <cfRule type="duplicateValues" dxfId="27926" priority="27939"/>
    <cfRule type="duplicateValues" dxfId="27925" priority="27938"/>
    <cfRule type="duplicateValues" dxfId="27924" priority="27937"/>
    <cfRule type="duplicateValues" dxfId="27923" priority="27936"/>
    <cfRule type="duplicateValues" dxfId="27922" priority="27935"/>
    <cfRule type="duplicateValues" dxfId="27921" priority="27934"/>
    <cfRule type="duplicateValues" dxfId="27920" priority="27933"/>
    <cfRule type="duplicateValues" dxfId="27919" priority="27932"/>
    <cfRule type="duplicateValues" dxfId="27918" priority="27931"/>
    <cfRule type="duplicateValues" dxfId="27917" priority="27930"/>
    <cfRule type="duplicateValues" dxfId="27916" priority="27929"/>
    <cfRule type="duplicateValues" dxfId="27915" priority="27928"/>
    <cfRule type="duplicateValues" dxfId="27914" priority="27927"/>
    <cfRule type="duplicateValues" dxfId="27913" priority="27926"/>
    <cfRule type="duplicateValues" dxfId="27912" priority="27925"/>
    <cfRule type="duplicateValues" dxfId="27911" priority="27924"/>
    <cfRule type="duplicateValues" dxfId="27910" priority="27923"/>
    <cfRule type="duplicateValues" dxfId="27909" priority="27922"/>
    <cfRule type="duplicateValues" dxfId="27908" priority="27921"/>
    <cfRule type="duplicateValues" dxfId="27907" priority="27920"/>
    <cfRule type="duplicateValues" dxfId="27906" priority="27919"/>
    <cfRule type="duplicateValues" dxfId="27905" priority="27918"/>
    <cfRule type="duplicateValues" dxfId="27904" priority="27917"/>
    <cfRule type="duplicateValues" dxfId="27903" priority="27916"/>
    <cfRule type="duplicateValues" dxfId="27902" priority="27915"/>
    <cfRule type="duplicateValues" dxfId="27901" priority="27914"/>
    <cfRule type="duplicateValues" dxfId="27900" priority="27913"/>
    <cfRule type="duplicateValues" dxfId="27899" priority="27912"/>
    <cfRule type="duplicateValues" dxfId="27898" priority="27911"/>
    <cfRule type="duplicateValues" dxfId="27897" priority="27910"/>
    <cfRule type="duplicateValues" dxfId="27896" priority="27909"/>
    <cfRule type="duplicateValues" dxfId="27895" priority="27908"/>
    <cfRule type="duplicateValues" dxfId="27894" priority="27907"/>
    <cfRule type="duplicateValues" dxfId="27893" priority="27906"/>
    <cfRule type="duplicateValues" dxfId="27892" priority="27905"/>
    <cfRule type="duplicateValues" dxfId="27891" priority="27904"/>
    <cfRule type="duplicateValues" dxfId="27890" priority="27903"/>
    <cfRule type="duplicateValues" dxfId="27889" priority="27902"/>
    <cfRule type="duplicateValues" dxfId="27888" priority="27901"/>
    <cfRule type="duplicateValues" dxfId="27887" priority="27900"/>
    <cfRule type="duplicateValues" dxfId="27886" priority="27899"/>
    <cfRule type="duplicateValues" dxfId="27885" priority="27898"/>
    <cfRule type="duplicateValues" dxfId="27884" priority="27897"/>
    <cfRule type="duplicateValues" dxfId="27883" priority="27896"/>
    <cfRule type="duplicateValues" dxfId="27882" priority="27895"/>
    <cfRule type="duplicateValues" dxfId="27881" priority="27894"/>
    <cfRule type="duplicateValues" dxfId="27880" priority="27893"/>
    <cfRule type="duplicateValues" dxfId="27879" priority="27892"/>
    <cfRule type="duplicateValues" dxfId="27878" priority="27891"/>
    <cfRule type="duplicateValues" dxfId="27877" priority="27890"/>
    <cfRule type="duplicateValues" dxfId="27876" priority="27889"/>
    <cfRule type="duplicateValues" dxfId="27875" priority="27888"/>
    <cfRule type="duplicateValues" dxfId="27874" priority="27887"/>
    <cfRule type="duplicateValues" dxfId="27873" priority="27886"/>
    <cfRule type="duplicateValues" dxfId="27872" priority="27885"/>
    <cfRule type="duplicateValues" dxfId="27871" priority="27884"/>
    <cfRule type="duplicateValues" dxfId="27870" priority="27883"/>
    <cfRule type="duplicateValues" dxfId="27869" priority="27882"/>
    <cfRule type="duplicateValues" dxfId="27868" priority="27881"/>
    <cfRule type="duplicateValues" dxfId="27867" priority="27880"/>
    <cfRule type="duplicateValues" dxfId="27866" priority="27879"/>
    <cfRule type="duplicateValues" dxfId="27865" priority="27878"/>
    <cfRule type="duplicateValues" dxfId="27864" priority="27877"/>
    <cfRule type="duplicateValues" dxfId="27863" priority="27876"/>
    <cfRule type="duplicateValues" dxfId="27862" priority="27875"/>
    <cfRule type="duplicateValues" dxfId="27861" priority="27874"/>
    <cfRule type="duplicateValues" dxfId="27860" priority="27873"/>
    <cfRule type="duplicateValues" dxfId="27859" priority="27872"/>
    <cfRule type="duplicateValues" dxfId="27858" priority="27871"/>
    <cfRule type="duplicateValues" dxfId="27857" priority="27870"/>
    <cfRule type="duplicateValues" dxfId="27856" priority="27869"/>
    <cfRule type="duplicateValues" dxfId="27855" priority="27868"/>
    <cfRule type="duplicateValues" dxfId="27854" priority="27867"/>
    <cfRule type="duplicateValues" dxfId="27853" priority="27866"/>
    <cfRule type="duplicateValues" dxfId="27852" priority="27865"/>
    <cfRule type="duplicateValues" dxfId="27851" priority="27864"/>
    <cfRule type="duplicateValues" dxfId="27850" priority="27863"/>
    <cfRule type="duplicateValues" dxfId="27849" priority="27862"/>
    <cfRule type="duplicateValues" dxfId="27848" priority="27861"/>
    <cfRule type="duplicateValues" dxfId="27847" priority="27860"/>
    <cfRule type="duplicateValues" dxfId="27846" priority="27859"/>
    <cfRule type="duplicateValues" dxfId="27845" priority="27858"/>
    <cfRule type="duplicateValues" dxfId="27844" priority="27857"/>
    <cfRule type="duplicateValues" dxfId="27843" priority="27856"/>
    <cfRule type="duplicateValues" dxfId="27842" priority="27855"/>
    <cfRule type="duplicateValues" dxfId="27841" priority="27854"/>
    <cfRule type="duplicateValues" dxfId="27840" priority="27853"/>
    <cfRule type="duplicateValues" dxfId="27839" priority="27804"/>
    <cfRule type="duplicateValues" dxfId="27838" priority="27851"/>
    <cfRule type="duplicateValues" dxfId="27837" priority="27850"/>
    <cfRule type="duplicateValues" dxfId="27836" priority="27849"/>
    <cfRule type="duplicateValues" dxfId="27835" priority="27848"/>
    <cfRule type="duplicateValues" dxfId="27834" priority="27847"/>
    <cfRule type="duplicateValues" dxfId="27833" priority="27846"/>
    <cfRule type="duplicateValues" dxfId="27832" priority="27845"/>
    <cfRule type="duplicateValues" dxfId="27831" priority="27844"/>
    <cfRule type="duplicateValues" dxfId="27830" priority="27843"/>
    <cfRule type="duplicateValues" dxfId="27829" priority="27842"/>
    <cfRule type="duplicateValues" dxfId="27828" priority="27841"/>
    <cfRule type="duplicateValues" dxfId="27827" priority="27840"/>
    <cfRule type="duplicateValues" dxfId="27826" priority="27839"/>
    <cfRule type="duplicateValues" dxfId="27825" priority="27838"/>
    <cfRule type="duplicateValues" dxfId="27824" priority="27837"/>
    <cfRule type="duplicateValues" dxfId="27823" priority="27836"/>
    <cfRule type="duplicateValues" dxfId="27822" priority="27835"/>
    <cfRule type="duplicateValues" dxfId="27821" priority="27834"/>
    <cfRule type="duplicateValues" dxfId="27820" priority="27833"/>
    <cfRule type="duplicateValues" dxfId="27819" priority="27832"/>
    <cfRule type="duplicateValues" dxfId="27818" priority="27831"/>
    <cfRule type="duplicateValues" dxfId="27817" priority="27830"/>
    <cfRule type="duplicateValues" dxfId="27816" priority="27829"/>
    <cfRule type="duplicateValues" dxfId="27815" priority="27828"/>
    <cfRule type="duplicateValues" dxfId="27814" priority="27827"/>
    <cfRule type="duplicateValues" dxfId="27813" priority="27826"/>
    <cfRule type="duplicateValues" dxfId="27812" priority="27825"/>
    <cfRule type="duplicateValues" dxfId="27811" priority="27824"/>
    <cfRule type="duplicateValues" dxfId="27810" priority="27823"/>
    <cfRule type="duplicateValues" dxfId="27809" priority="27822"/>
    <cfRule type="duplicateValues" dxfId="27808" priority="27821"/>
    <cfRule type="duplicateValues" dxfId="27807" priority="27820"/>
    <cfRule type="duplicateValues" dxfId="27806" priority="27819"/>
    <cfRule type="duplicateValues" dxfId="27805" priority="27818"/>
    <cfRule type="duplicateValues" dxfId="27804" priority="27817"/>
    <cfRule type="duplicateValues" dxfId="27803" priority="27816"/>
    <cfRule type="duplicateValues" dxfId="27802" priority="27815"/>
    <cfRule type="duplicateValues" dxfId="27801" priority="27814"/>
    <cfRule type="duplicateValues" dxfId="27800" priority="27813"/>
    <cfRule type="duplicateValues" dxfId="27799" priority="27812"/>
    <cfRule type="duplicateValues" dxfId="27798" priority="27811"/>
    <cfRule type="duplicateValues" dxfId="27797" priority="27810"/>
    <cfRule type="duplicateValues" dxfId="27796" priority="27809"/>
    <cfRule type="duplicateValues" dxfId="27795" priority="27808"/>
  </conditionalFormatting>
  <conditionalFormatting sqref="B151">
    <cfRule type="duplicateValues" dxfId="27794" priority="27630"/>
    <cfRule type="duplicateValues" dxfId="27793" priority="27629"/>
    <cfRule type="duplicateValues" dxfId="27792" priority="27628"/>
    <cfRule type="duplicateValues" dxfId="27791" priority="27720"/>
    <cfRule type="duplicateValues" dxfId="27790" priority="27803"/>
    <cfRule type="duplicateValues" dxfId="27789" priority="27802"/>
    <cfRule type="duplicateValues" dxfId="27788" priority="27801"/>
    <cfRule type="duplicateValues" dxfId="27787" priority="27800"/>
    <cfRule type="duplicateValues" dxfId="27786" priority="27799"/>
    <cfRule type="duplicateValues" dxfId="27785" priority="27798"/>
    <cfRule type="duplicateValues" dxfId="27784" priority="27797"/>
    <cfRule type="duplicateValues" dxfId="27783" priority="27796"/>
    <cfRule type="duplicateValues" dxfId="27782" priority="27795"/>
    <cfRule type="duplicateValues" dxfId="27781" priority="27794"/>
    <cfRule type="duplicateValues" dxfId="27780" priority="27793"/>
    <cfRule type="duplicateValues" dxfId="27779" priority="27792"/>
    <cfRule type="duplicateValues" dxfId="27778" priority="27791"/>
    <cfRule type="duplicateValues" dxfId="27777" priority="27790"/>
    <cfRule type="duplicateValues" dxfId="27776" priority="27789"/>
    <cfRule type="duplicateValues" dxfId="27775" priority="27788"/>
    <cfRule type="duplicateValues" dxfId="27774" priority="27787"/>
    <cfRule type="duplicateValues" dxfId="27773" priority="27786"/>
    <cfRule type="duplicateValues" dxfId="27772" priority="27785"/>
    <cfRule type="duplicateValues" dxfId="27771" priority="27784"/>
    <cfRule type="duplicateValues" dxfId="27770" priority="27783"/>
    <cfRule type="duplicateValues" dxfId="27769" priority="27782"/>
    <cfRule type="duplicateValues" dxfId="27768" priority="27781"/>
    <cfRule type="duplicateValues" dxfId="27767" priority="27780"/>
    <cfRule type="duplicateValues" dxfId="27766" priority="27779"/>
    <cfRule type="duplicateValues" dxfId="27765" priority="27778"/>
    <cfRule type="duplicateValues" dxfId="27764" priority="27777"/>
    <cfRule type="duplicateValues" dxfId="27763" priority="27776"/>
    <cfRule type="duplicateValues" dxfId="27762" priority="27775"/>
    <cfRule type="duplicateValues" dxfId="27761" priority="27774"/>
    <cfRule type="duplicateValues" dxfId="27760" priority="27773"/>
    <cfRule type="duplicateValues" dxfId="27759" priority="27772"/>
    <cfRule type="duplicateValues" dxfId="27758" priority="27771"/>
    <cfRule type="duplicateValues" dxfId="27757" priority="27770"/>
    <cfRule type="duplicateValues" dxfId="27756" priority="27769"/>
    <cfRule type="duplicateValues" dxfId="27755" priority="27768"/>
    <cfRule type="duplicateValues" dxfId="27754" priority="27767"/>
    <cfRule type="duplicateValues" dxfId="27753" priority="27766"/>
    <cfRule type="duplicateValues" dxfId="27752" priority="27765"/>
    <cfRule type="duplicateValues" dxfId="27751" priority="27764"/>
    <cfRule type="duplicateValues" dxfId="27750" priority="27763"/>
    <cfRule type="duplicateValues" dxfId="27749" priority="27762"/>
    <cfRule type="duplicateValues" dxfId="27748" priority="27761"/>
    <cfRule type="duplicateValues" dxfId="27747" priority="27760"/>
    <cfRule type="duplicateValues" dxfId="27746" priority="27759"/>
    <cfRule type="duplicateValues" dxfId="27745" priority="27758"/>
    <cfRule type="duplicateValues" dxfId="27744" priority="27757"/>
    <cfRule type="duplicateValues" dxfId="27743" priority="27756"/>
    <cfRule type="duplicateValues" dxfId="27742" priority="27755"/>
    <cfRule type="duplicateValues" dxfId="27741" priority="27754"/>
    <cfRule type="duplicateValues" dxfId="27740" priority="27753"/>
    <cfRule type="duplicateValues" dxfId="27739" priority="27752"/>
    <cfRule type="duplicateValues" dxfId="27738" priority="27751"/>
    <cfRule type="duplicateValues" dxfId="27737" priority="27750"/>
    <cfRule type="duplicateValues" dxfId="27736" priority="27749"/>
    <cfRule type="duplicateValues" dxfId="27735" priority="27748"/>
    <cfRule type="duplicateValues" dxfId="27734" priority="27747"/>
    <cfRule type="duplicateValues" dxfId="27733" priority="27746"/>
    <cfRule type="duplicateValues" dxfId="27732" priority="27745"/>
    <cfRule type="duplicateValues" dxfId="27731" priority="27744"/>
    <cfRule type="duplicateValues" dxfId="27730" priority="27743"/>
    <cfRule type="duplicateValues" dxfId="27729" priority="27742"/>
    <cfRule type="duplicateValues" dxfId="27728" priority="27741"/>
    <cfRule type="duplicateValues" dxfId="27727" priority="27740"/>
    <cfRule type="duplicateValues" dxfId="27726" priority="27739"/>
    <cfRule type="duplicateValues" dxfId="27725" priority="27738"/>
    <cfRule type="duplicateValues" dxfId="27724" priority="27737"/>
    <cfRule type="duplicateValues" dxfId="27723" priority="27736"/>
    <cfRule type="duplicateValues" dxfId="27722" priority="27735"/>
    <cfRule type="duplicateValues" dxfId="27721" priority="27734"/>
    <cfRule type="duplicateValues" dxfId="27720" priority="27733"/>
    <cfRule type="duplicateValues" dxfId="27719" priority="27732"/>
    <cfRule type="duplicateValues" dxfId="27718" priority="27731"/>
    <cfRule type="duplicateValues" dxfId="27717" priority="27730"/>
    <cfRule type="duplicateValues" dxfId="27716" priority="27729"/>
    <cfRule type="duplicateValues" dxfId="27715" priority="27728"/>
    <cfRule type="duplicateValues" dxfId="27714" priority="27727"/>
    <cfRule type="duplicateValues" dxfId="27713" priority="27726"/>
    <cfRule type="duplicateValues" dxfId="27712" priority="27725"/>
    <cfRule type="duplicateValues" dxfId="27711" priority="27724"/>
    <cfRule type="duplicateValues" dxfId="27710" priority="27723"/>
    <cfRule type="duplicateValues" dxfId="27709" priority="27722"/>
    <cfRule type="duplicateValues" dxfId="27708" priority="27721"/>
    <cfRule type="duplicateValues" dxfId="27707" priority="27627"/>
    <cfRule type="duplicateValues" dxfId="27706" priority="27719"/>
    <cfRule type="duplicateValues" dxfId="27705" priority="27718"/>
    <cfRule type="duplicateValues" dxfId="27704" priority="27717"/>
    <cfRule type="duplicateValues" dxfId="27703" priority="27716"/>
    <cfRule type="duplicateValues" dxfId="27702" priority="27715"/>
    <cfRule type="duplicateValues" dxfId="27701" priority="27714"/>
    <cfRule type="duplicateValues" dxfId="27700" priority="27713"/>
    <cfRule type="duplicateValues" dxfId="27699" priority="27712"/>
    <cfRule type="duplicateValues" dxfId="27698" priority="27711"/>
    <cfRule type="duplicateValues" dxfId="27697" priority="27710"/>
    <cfRule type="duplicateValues" dxfId="27696" priority="27709"/>
    <cfRule type="duplicateValues" dxfId="27695" priority="27708"/>
    <cfRule type="duplicateValues" dxfId="27694" priority="27707"/>
    <cfRule type="duplicateValues" dxfId="27693" priority="27706"/>
    <cfRule type="duplicateValues" dxfId="27692" priority="27705"/>
    <cfRule type="duplicateValues" dxfId="27691" priority="27704"/>
    <cfRule type="duplicateValues" dxfId="27690" priority="27703"/>
    <cfRule type="duplicateValues" dxfId="27689" priority="27702"/>
    <cfRule type="duplicateValues" dxfId="27688" priority="27701"/>
    <cfRule type="duplicateValues" dxfId="27687" priority="27700"/>
    <cfRule type="duplicateValues" dxfId="27686" priority="27699"/>
    <cfRule type="duplicateValues" dxfId="27685" priority="27698"/>
    <cfRule type="duplicateValues" dxfId="27684" priority="27697"/>
    <cfRule type="duplicateValues" dxfId="27683" priority="27696"/>
    <cfRule type="duplicateValues" dxfId="27682" priority="27695"/>
    <cfRule type="duplicateValues" dxfId="27681" priority="27694"/>
    <cfRule type="duplicateValues" dxfId="27680" priority="27693"/>
    <cfRule type="duplicateValues" dxfId="27679" priority="27692"/>
    <cfRule type="duplicateValues" dxfId="27678" priority="27691"/>
    <cfRule type="duplicateValues" dxfId="27677" priority="27690"/>
    <cfRule type="duplicateValues" dxfId="27676" priority="27689"/>
    <cfRule type="duplicateValues" dxfId="27675" priority="27688"/>
    <cfRule type="duplicateValues" dxfId="27674" priority="27687"/>
    <cfRule type="duplicateValues" dxfId="27673" priority="27686"/>
    <cfRule type="duplicateValues" dxfId="27672" priority="27685"/>
    <cfRule type="duplicateValues" dxfId="27671" priority="27684"/>
    <cfRule type="duplicateValues" dxfId="27670" priority="27683"/>
    <cfRule type="duplicateValues" dxfId="27669" priority="27682"/>
    <cfRule type="duplicateValues" dxfId="27668" priority="27681"/>
    <cfRule type="duplicateValues" dxfId="27667" priority="27680"/>
    <cfRule type="duplicateValues" dxfId="27666" priority="27679"/>
    <cfRule type="duplicateValues" dxfId="27665" priority="27678"/>
    <cfRule type="duplicateValues" dxfId="27664" priority="27677"/>
    <cfRule type="duplicateValues" dxfId="27663" priority="27676"/>
    <cfRule type="duplicateValues" dxfId="27662" priority="27675"/>
    <cfRule type="duplicateValues" dxfId="27661" priority="27674"/>
    <cfRule type="duplicateValues" dxfId="27660" priority="27673"/>
    <cfRule type="duplicateValues" dxfId="27659" priority="27672"/>
    <cfRule type="duplicateValues" dxfId="27658" priority="27671"/>
    <cfRule type="duplicateValues" dxfId="27657" priority="27670"/>
    <cfRule type="duplicateValues" dxfId="27656" priority="27669"/>
    <cfRule type="duplicateValues" dxfId="27655" priority="27668"/>
    <cfRule type="duplicateValues" dxfId="27654" priority="27667"/>
    <cfRule type="duplicateValues" dxfId="27653" priority="27666"/>
    <cfRule type="duplicateValues" dxfId="27652" priority="27665"/>
    <cfRule type="duplicateValues" dxfId="27651" priority="27664"/>
    <cfRule type="duplicateValues" dxfId="27650" priority="27663"/>
    <cfRule type="duplicateValues" dxfId="27649" priority="27662"/>
    <cfRule type="duplicateValues" dxfId="27648" priority="27661"/>
    <cfRule type="duplicateValues" dxfId="27647" priority="27660"/>
    <cfRule type="duplicateValues" dxfId="27646" priority="27659"/>
    <cfRule type="duplicateValues" dxfId="27645" priority="27658"/>
    <cfRule type="duplicateValues" dxfId="27644" priority="27657"/>
    <cfRule type="duplicateValues" dxfId="27643" priority="27656"/>
    <cfRule type="duplicateValues" dxfId="27642" priority="27655"/>
    <cfRule type="duplicateValues" dxfId="27641" priority="27654"/>
    <cfRule type="duplicateValues" dxfId="27640" priority="27653"/>
    <cfRule type="duplicateValues" dxfId="27639" priority="27652"/>
    <cfRule type="duplicateValues" dxfId="27638" priority="27651"/>
    <cfRule type="duplicateValues" dxfId="27637" priority="27650"/>
    <cfRule type="duplicateValues" dxfId="27636" priority="27649"/>
    <cfRule type="duplicateValues" dxfId="27635" priority="27648"/>
    <cfRule type="duplicateValues" dxfId="27634" priority="27647"/>
    <cfRule type="duplicateValues" dxfId="27633" priority="27646"/>
    <cfRule type="duplicateValues" dxfId="27632" priority="27645"/>
    <cfRule type="duplicateValues" dxfId="27631" priority="27644"/>
    <cfRule type="duplicateValues" dxfId="27630" priority="27643"/>
    <cfRule type="duplicateValues" dxfId="27629" priority="27642"/>
    <cfRule type="duplicateValues" dxfId="27628" priority="27641"/>
    <cfRule type="duplicateValues" dxfId="27627" priority="27640"/>
    <cfRule type="duplicateValues" dxfId="27626" priority="27639"/>
    <cfRule type="duplicateValues" dxfId="27625" priority="27638"/>
    <cfRule type="duplicateValues" dxfId="27624" priority="27637"/>
    <cfRule type="duplicateValues" dxfId="27623" priority="27636"/>
    <cfRule type="duplicateValues" dxfId="27622" priority="27635"/>
    <cfRule type="duplicateValues" dxfId="27621" priority="27634"/>
    <cfRule type="duplicateValues" dxfId="27620" priority="27633"/>
    <cfRule type="duplicateValues" dxfId="27619" priority="27632"/>
    <cfRule type="duplicateValues" dxfId="27618" priority="27631"/>
  </conditionalFormatting>
  <conditionalFormatting sqref="B152">
    <cfRule type="duplicateValues" dxfId="27617" priority="27453"/>
    <cfRule type="duplicateValues" dxfId="27616" priority="27452"/>
    <cfRule type="duplicateValues" dxfId="27615" priority="27451"/>
    <cfRule type="duplicateValues" dxfId="27614" priority="27450"/>
    <cfRule type="duplicateValues" dxfId="27613" priority="27626"/>
    <cfRule type="duplicateValues" dxfId="27612" priority="27625"/>
    <cfRule type="duplicateValues" dxfId="27611" priority="27624"/>
    <cfRule type="duplicateValues" dxfId="27610" priority="27623"/>
    <cfRule type="duplicateValues" dxfId="27609" priority="27622"/>
    <cfRule type="duplicateValues" dxfId="27608" priority="27621"/>
    <cfRule type="duplicateValues" dxfId="27607" priority="27620"/>
    <cfRule type="duplicateValues" dxfId="27606" priority="27619"/>
    <cfRule type="duplicateValues" dxfId="27605" priority="27618"/>
    <cfRule type="duplicateValues" dxfId="27604" priority="27617"/>
    <cfRule type="duplicateValues" dxfId="27603" priority="27616"/>
    <cfRule type="duplicateValues" dxfId="27602" priority="27615"/>
    <cfRule type="duplicateValues" dxfId="27601" priority="27614"/>
    <cfRule type="duplicateValues" dxfId="27600" priority="27613"/>
    <cfRule type="duplicateValues" dxfId="27599" priority="27612"/>
    <cfRule type="duplicateValues" dxfId="27598" priority="27611"/>
    <cfRule type="duplicateValues" dxfId="27597" priority="27610"/>
    <cfRule type="duplicateValues" dxfId="27596" priority="27609"/>
    <cfRule type="duplicateValues" dxfId="27595" priority="27608"/>
    <cfRule type="duplicateValues" dxfId="27594" priority="27607"/>
    <cfRule type="duplicateValues" dxfId="27593" priority="27606"/>
    <cfRule type="duplicateValues" dxfId="27592" priority="27605"/>
    <cfRule type="duplicateValues" dxfId="27591" priority="27604"/>
    <cfRule type="duplicateValues" dxfId="27590" priority="27603"/>
    <cfRule type="duplicateValues" dxfId="27589" priority="27602"/>
    <cfRule type="duplicateValues" dxfId="27588" priority="27601"/>
    <cfRule type="duplicateValues" dxfId="27587" priority="27600"/>
    <cfRule type="duplicateValues" dxfId="27586" priority="27599"/>
    <cfRule type="duplicateValues" dxfId="27585" priority="27598"/>
    <cfRule type="duplicateValues" dxfId="27584" priority="27597"/>
    <cfRule type="duplicateValues" dxfId="27583" priority="27596"/>
    <cfRule type="duplicateValues" dxfId="27582" priority="27595"/>
    <cfRule type="duplicateValues" dxfId="27581" priority="27594"/>
    <cfRule type="duplicateValues" dxfId="27580" priority="27593"/>
    <cfRule type="duplicateValues" dxfId="27579" priority="27592"/>
    <cfRule type="duplicateValues" dxfId="27578" priority="27591"/>
    <cfRule type="duplicateValues" dxfId="27577" priority="27590"/>
    <cfRule type="duplicateValues" dxfId="27576" priority="27589"/>
    <cfRule type="duplicateValues" dxfId="27575" priority="27588"/>
    <cfRule type="duplicateValues" dxfId="27574" priority="27587"/>
    <cfRule type="duplicateValues" dxfId="27573" priority="27586"/>
    <cfRule type="duplicateValues" dxfId="27572" priority="27585"/>
    <cfRule type="duplicateValues" dxfId="27571" priority="27584"/>
    <cfRule type="duplicateValues" dxfId="27570" priority="27583"/>
    <cfRule type="duplicateValues" dxfId="27569" priority="27582"/>
    <cfRule type="duplicateValues" dxfId="27568" priority="27581"/>
    <cfRule type="duplicateValues" dxfId="27567" priority="27580"/>
    <cfRule type="duplicateValues" dxfId="27566" priority="27579"/>
    <cfRule type="duplicateValues" dxfId="27565" priority="27578"/>
    <cfRule type="duplicateValues" dxfId="27564" priority="27577"/>
    <cfRule type="duplicateValues" dxfId="27563" priority="27576"/>
    <cfRule type="duplicateValues" dxfId="27562" priority="27575"/>
    <cfRule type="duplicateValues" dxfId="27561" priority="27574"/>
    <cfRule type="duplicateValues" dxfId="27560" priority="27573"/>
    <cfRule type="duplicateValues" dxfId="27559" priority="27572"/>
    <cfRule type="duplicateValues" dxfId="27558" priority="27571"/>
    <cfRule type="duplicateValues" dxfId="27557" priority="27570"/>
    <cfRule type="duplicateValues" dxfId="27556" priority="27569"/>
    <cfRule type="duplicateValues" dxfId="27555" priority="27568"/>
    <cfRule type="duplicateValues" dxfId="27554" priority="27567"/>
    <cfRule type="duplicateValues" dxfId="27553" priority="27566"/>
    <cfRule type="duplicateValues" dxfId="27552" priority="27565"/>
    <cfRule type="duplicateValues" dxfId="27551" priority="27564"/>
    <cfRule type="duplicateValues" dxfId="27550" priority="27563"/>
    <cfRule type="duplicateValues" dxfId="27549" priority="27562"/>
    <cfRule type="duplicateValues" dxfId="27548" priority="27561"/>
    <cfRule type="duplicateValues" dxfId="27547" priority="27560"/>
    <cfRule type="duplicateValues" dxfId="27546" priority="27559"/>
    <cfRule type="duplicateValues" dxfId="27545" priority="27558"/>
    <cfRule type="duplicateValues" dxfId="27544" priority="27557"/>
    <cfRule type="duplicateValues" dxfId="27543" priority="27556"/>
    <cfRule type="duplicateValues" dxfId="27542" priority="27555"/>
    <cfRule type="duplicateValues" dxfId="27541" priority="27554"/>
    <cfRule type="duplicateValues" dxfId="27540" priority="27553"/>
    <cfRule type="duplicateValues" dxfId="27539" priority="27552"/>
    <cfRule type="duplicateValues" dxfId="27538" priority="27551"/>
    <cfRule type="duplicateValues" dxfId="27537" priority="27550"/>
    <cfRule type="duplicateValues" dxfId="27536" priority="27549"/>
    <cfRule type="duplicateValues" dxfId="27535" priority="27548"/>
    <cfRule type="duplicateValues" dxfId="27534" priority="27547"/>
    <cfRule type="duplicateValues" dxfId="27533" priority="27546"/>
    <cfRule type="duplicateValues" dxfId="27532" priority="27545"/>
    <cfRule type="duplicateValues" dxfId="27531" priority="27544"/>
    <cfRule type="duplicateValues" dxfId="27530" priority="27543"/>
    <cfRule type="duplicateValues" dxfId="27529" priority="27542"/>
    <cfRule type="duplicateValues" dxfId="27528" priority="27541"/>
    <cfRule type="duplicateValues" dxfId="27527" priority="27540"/>
    <cfRule type="duplicateValues" dxfId="27526" priority="27539"/>
    <cfRule type="duplicateValues" dxfId="27525" priority="27538"/>
    <cfRule type="duplicateValues" dxfId="27524" priority="27537"/>
    <cfRule type="duplicateValues" dxfId="27523" priority="27536"/>
    <cfRule type="duplicateValues" dxfId="27522" priority="27535"/>
    <cfRule type="duplicateValues" dxfId="27521" priority="27534"/>
    <cfRule type="duplicateValues" dxfId="27520" priority="27533"/>
    <cfRule type="duplicateValues" dxfId="27519" priority="27532"/>
    <cfRule type="duplicateValues" dxfId="27518" priority="27531"/>
    <cfRule type="duplicateValues" dxfId="27517" priority="27530"/>
    <cfRule type="duplicateValues" dxfId="27516" priority="27529"/>
    <cfRule type="duplicateValues" dxfId="27515" priority="27528"/>
    <cfRule type="duplicateValues" dxfId="27514" priority="27527"/>
    <cfRule type="duplicateValues" dxfId="27513" priority="27526"/>
    <cfRule type="duplicateValues" dxfId="27512" priority="27525"/>
    <cfRule type="duplicateValues" dxfId="27511" priority="27524"/>
    <cfRule type="duplicateValues" dxfId="27510" priority="27523"/>
    <cfRule type="duplicateValues" dxfId="27509" priority="27522"/>
    <cfRule type="duplicateValues" dxfId="27508" priority="27521"/>
    <cfRule type="duplicateValues" dxfId="27507" priority="27520"/>
    <cfRule type="duplicateValues" dxfId="27506" priority="27519"/>
    <cfRule type="duplicateValues" dxfId="27505" priority="27518"/>
    <cfRule type="duplicateValues" dxfId="27504" priority="27517"/>
    <cfRule type="duplicateValues" dxfId="27503" priority="27516"/>
    <cfRule type="duplicateValues" dxfId="27502" priority="27515"/>
    <cfRule type="duplicateValues" dxfId="27501" priority="27514"/>
    <cfRule type="duplicateValues" dxfId="27500" priority="27513"/>
    <cfRule type="duplicateValues" dxfId="27499" priority="27512"/>
    <cfRule type="duplicateValues" dxfId="27498" priority="27511"/>
    <cfRule type="duplicateValues" dxfId="27497" priority="27510"/>
    <cfRule type="duplicateValues" dxfId="27496" priority="27509"/>
    <cfRule type="duplicateValues" dxfId="27495" priority="27508"/>
    <cfRule type="duplicateValues" dxfId="27494" priority="27507"/>
    <cfRule type="duplicateValues" dxfId="27493" priority="27506"/>
    <cfRule type="duplicateValues" dxfId="27492" priority="27505"/>
    <cfRule type="duplicateValues" dxfId="27491" priority="27504"/>
    <cfRule type="duplicateValues" dxfId="27490" priority="27503"/>
    <cfRule type="duplicateValues" dxfId="27489" priority="27502"/>
    <cfRule type="duplicateValues" dxfId="27488" priority="27501"/>
    <cfRule type="duplicateValues" dxfId="27487" priority="27500"/>
    <cfRule type="duplicateValues" dxfId="27486" priority="27499"/>
    <cfRule type="duplicateValues" dxfId="27485" priority="27498"/>
    <cfRule type="duplicateValues" dxfId="27484" priority="27497"/>
    <cfRule type="duplicateValues" dxfId="27483" priority="27496"/>
    <cfRule type="duplicateValues" dxfId="27482" priority="27495"/>
    <cfRule type="duplicateValues" dxfId="27481" priority="27494"/>
    <cfRule type="duplicateValues" dxfId="27480" priority="27493"/>
    <cfRule type="duplicateValues" dxfId="27479" priority="27492"/>
    <cfRule type="duplicateValues" dxfId="27478" priority="27491"/>
    <cfRule type="duplicateValues" dxfId="27477" priority="27490"/>
    <cfRule type="duplicateValues" dxfId="27476" priority="27489"/>
    <cfRule type="duplicateValues" dxfId="27475" priority="27488"/>
    <cfRule type="duplicateValues" dxfId="27474" priority="27487"/>
    <cfRule type="duplicateValues" dxfId="27473" priority="27486"/>
    <cfRule type="duplicateValues" dxfId="27472" priority="27485"/>
    <cfRule type="duplicateValues" dxfId="27471" priority="27484"/>
    <cfRule type="duplicateValues" dxfId="27470" priority="27483"/>
    <cfRule type="duplicateValues" dxfId="27469" priority="27482"/>
    <cfRule type="duplicateValues" dxfId="27468" priority="27481"/>
    <cfRule type="duplicateValues" dxfId="27467" priority="27480"/>
    <cfRule type="duplicateValues" dxfId="27466" priority="27479"/>
    <cfRule type="duplicateValues" dxfId="27465" priority="27478"/>
    <cfRule type="duplicateValues" dxfId="27464" priority="27477"/>
    <cfRule type="duplicateValues" dxfId="27463" priority="27476"/>
    <cfRule type="duplicateValues" dxfId="27462" priority="27475"/>
    <cfRule type="duplicateValues" dxfId="27461" priority="27474"/>
    <cfRule type="duplicateValues" dxfId="27460" priority="27473"/>
    <cfRule type="duplicateValues" dxfId="27459" priority="27472"/>
    <cfRule type="duplicateValues" dxfId="27458" priority="27471"/>
    <cfRule type="duplicateValues" dxfId="27457" priority="27470"/>
    <cfRule type="duplicateValues" dxfId="27456" priority="27469"/>
    <cfRule type="duplicateValues" dxfId="27455" priority="27468"/>
    <cfRule type="duplicateValues" dxfId="27454" priority="27467"/>
    <cfRule type="duplicateValues" dxfId="27453" priority="27466"/>
    <cfRule type="duplicateValues" dxfId="27452" priority="27465"/>
    <cfRule type="duplicateValues" dxfId="27451" priority="27464"/>
    <cfRule type="duplicateValues" dxfId="27450" priority="27463"/>
    <cfRule type="duplicateValues" dxfId="27449" priority="27462"/>
    <cfRule type="duplicateValues" dxfId="27448" priority="27461"/>
    <cfRule type="duplicateValues" dxfId="27447" priority="27460"/>
    <cfRule type="duplicateValues" dxfId="27446" priority="27459"/>
    <cfRule type="duplicateValues" dxfId="27445" priority="27458"/>
    <cfRule type="duplicateValues" dxfId="27444" priority="27457"/>
    <cfRule type="duplicateValues" dxfId="27443" priority="27456"/>
    <cfRule type="duplicateValues" dxfId="27442" priority="27455"/>
    <cfRule type="duplicateValues" dxfId="27441" priority="27454"/>
  </conditionalFormatting>
  <conditionalFormatting sqref="B153">
    <cfRule type="duplicateValues" dxfId="27440" priority="27387"/>
    <cfRule type="duplicateValues" dxfId="27439" priority="27276"/>
    <cfRule type="duplicateValues" dxfId="27438" priority="27275"/>
    <cfRule type="duplicateValues" dxfId="27437" priority="27274"/>
    <cfRule type="duplicateValues" dxfId="27436" priority="27449"/>
    <cfRule type="duplicateValues" dxfId="27435" priority="27448"/>
    <cfRule type="duplicateValues" dxfId="27434" priority="27447"/>
    <cfRule type="duplicateValues" dxfId="27433" priority="27446"/>
    <cfRule type="duplicateValues" dxfId="27432" priority="27445"/>
    <cfRule type="duplicateValues" dxfId="27431" priority="27444"/>
    <cfRule type="duplicateValues" dxfId="27430" priority="27443"/>
    <cfRule type="duplicateValues" dxfId="27429" priority="27442"/>
    <cfRule type="duplicateValues" dxfId="27428" priority="27441"/>
    <cfRule type="duplicateValues" dxfId="27427" priority="27440"/>
    <cfRule type="duplicateValues" dxfId="27426" priority="27439"/>
    <cfRule type="duplicateValues" dxfId="27425" priority="27438"/>
    <cfRule type="duplicateValues" dxfId="27424" priority="27437"/>
    <cfRule type="duplicateValues" dxfId="27423" priority="27436"/>
    <cfRule type="duplicateValues" dxfId="27422" priority="27435"/>
    <cfRule type="duplicateValues" dxfId="27421" priority="27434"/>
    <cfRule type="duplicateValues" dxfId="27420" priority="27433"/>
    <cfRule type="duplicateValues" dxfId="27419" priority="27432"/>
    <cfRule type="duplicateValues" dxfId="27418" priority="27431"/>
    <cfRule type="duplicateValues" dxfId="27417" priority="27430"/>
    <cfRule type="duplicateValues" dxfId="27416" priority="27429"/>
    <cfRule type="duplicateValues" dxfId="27415" priority="27428"/>
    <cfRule type="duplicateValues" dxfId="27414" priority="27427"/>
    <cfRule type="duplicateValues" dxfId="27413" priority="27426"/>
    <cfRule type="duplicateValues" dxfId="27412" priority="27425"/>
    <cfRule type="duplicateValues" dxfId="27411" priority="27424"/>
    <cfRule type="duplicateValues" dxfId="27410" priority="27423"/>
    <cfRule type="duplicateValues" dxfId="27409" priority="27422"/>
    <cfRule type="duplicateValues" dxfId="27408" priority="27421"/>
    <cfRule type="duplicateValues" dxfId="27407" priority="27420"/>
    <cfRule type="duplicateValues" dxfId="27406" priority="27419"/>
    <cfRule type="duplicateValues" dxfId="27405" priority="27418"/>
    <cfRule type="duplicateValues" dxfId="27404" priority="27417"/>
    <cfRule type="duplicateValues" dxfId="27403" priority="27416"/>
    <cfRule type="duplicateValues" dxfId="27402" priority="27415"/>
    <cfRule type="duplicateValues" dxfId="27401" priority="27414"/>
    <cfRule type="duplicateValues" dxfId="27400" priority="27413"/>
    <cfRule type="duplicateValues" dxfId="27399" priority="27412"/>
    <cfRule type="duplicateValues" dxfId="27398" priority="27411"/>
    <cfRule type="duplicateValues" dxfId="27397" priority="27410"/>
    <cfRule type="duplicateValues" dxfId="27396" priority="27409"/>
    <cfRule type="duplicateValues" dxfId="27395" priority="27408"/>
    <cfRule type="duplicateValues" dxfId="27394" priority="27407"/>
    <cfRule type="duplicateValues" dxfId="27393" priority="27406"/>
    <cfRule type="duplicateValues" dxfId="27392" priority="27405"/>
    <cfRule type="duplicateValues" dxfId="27391" priority="27404"/>
    <cfRule type="duplicateValues" dxfId="27390" priority="27403"/>
    <cfRule type="duplicateValues" dxfId="27389" priority="27402"/>
    <cfRule type="duplicateValues" dxfId="27388" priority="27401"/>
    <cfRule type="duplicateValues" dxfId="27387" priority="27400"/>
    <cfRule type="duplicateValues" dxfId="27386" priority="27399"/>
    <cfRule type="duplicateValues" dxfId="27385" priority="27398"/>
    <cfRule type="duplicateValues" dxfId="27384" priority="27397"/>
    <cfRule type="duplicateValues" dxfId="27383" priority="27396"/>
    <cfRule type="duplicateValues" dxfId="27382" priority="27395"/>
    <cfRule type="duplicateValues" dxfId="27381" priority="27394"/>
    <cfRule type="duplicateValues" dxfId="27380" priority="27393"/>
    <cfRule type="duplicateValues" dxfId="27379" priority="27392"/>
    <cfRule type="duplicateValues" dxfId="27378" priority="27391"/>
    <cfRule type="duplicateValues" dxfId="27377" priority="27390"/>
    <cfRule type="duplicateValues" dxfId="27376" priority="27389"/>
    <cfRule type="duplicateValues" dxfId="27375" priority="27388"/>
    <cfRule type="duplicateValues" dxfId="27374" priority="27321"/>
    <cfRule type="duplicateValues" dxfId="27373" priority="27386"/>
    <cfRule type="duplicateValues" dxfId="27372" priority="27385"/>
    <cfRule type="duplicateValues" dxfId="27371" priority="27384"/>
    <cfRule type="duplicateValues" dxfId="27370" priority="27383"/>
    <cfRule type="duplicateValues" dxfId="27369" priority="27382"/>
    <cfRule type="duplicateValues" dxfId="27368" priority="27381"/>
    <cfRule type="duplicateValues" dxfId="27367" priority="27380"/>
    <cfRule type="duplicateValues" dxfId="27366" priority="27379"/>
    <cfRule type="duplicateValues" dxfId="27365" priority="27378"/>
    <cfRule type="duplicateValues" dxfId="27364" priority="27377"/>
    <cfRule type="duplicateValues" dxfId="27363" priority="27376"/>
    <cfRule type="duplicateValues" dxfId="27362" priority="27375"/>
    <cfRule type="duplicateValues" dxfId="27361" priority="27374"/>
    <cfRule type="duplicateValues" dxfId="27360" priority="27373"/>
    <cfRule type="duplicateValues" dxfId="27359" priority="27372"/>
    <cfRule type="duplicateValues" dxfId="27358" priority="27371"/>
    <cfRule type="duplicateValues" dxfId="27357" priority="27370"/>
    <cfRule type="duplicateValues" dxfId="27356" priority="27369"/>
    <cfRule type="duplicateValues" dxfId="27355" priority="27368"/>
    <cfRule type="duplicateValues" dxfId="27354" priority="27367"/>
    <cfRule type="duplicateValues" dxfId="27353" priority="27366"/>
    <cfRule type="duplicateValues" dxfId="27352" priority="27365"/>
    <cfRule type="duplicateValues" dxfId="27351" priority="27364"/>
    <cfRule type="duplicateValues" dxfId="27350" priority="27363"/>
    <cfRule type="duplicateValues" dxfId="27349" priority="27362"/>
    <cfRule type="duplicateValues" dxfId="27348" priority="27361"/>
    <cfRule type="duplicateValues" dxfId="27347" priority="27360"/>
    <cfRule type="duplicateValues" dxfId="27346" priority="27359"/>
    <cfRule type="duplicateValues" dxfId="27345" priority="27358"/>
    <cfRule type="duplicateValues" dxfId="27344" priority="27357"/>
    <cfRule type="duplicateValues" dxfId="27343" priority="27356"/>
    <cfRule type="duplicateValues" dxfId="27342" priority="27355"/>
    <cfRule type="duplicateValues" dxfId="27341" priority="27354"/>
    <cfRule type="duplicateValues" dxfId="27340" priority="27353"/>
    <cfRule type="duplicateValues" dxfId="27339" priority="27352"/>
    <cfRule type="duplicateValues" dxfId="27338" priority="27351"/>
    <cfRule type="duplicateValues" dxfId="27337" priority="27350"/>
    <cfRule type="duplicateValues" dxfId="27336" priority="27349"/>
    <cfRule type="duplicateValues" dxfId="27335" priority="27348"/>
    <cfRule type="duplicateValues" dxfId="27334" priority="27347"/>
    <cfRule type="duplicateValues" dxfId="27333" priority="27346"/>
    <cfRule type="duplicateValues" dxfId="27332" priority="27345"/>
    <cfRule type="duplicateValues" dxfId="27331" priority="27344"/>
    <cfRule type="duplicateValues" dxfId="27330" priority="27343"/>
    <cfRule type="duplicateValues" dxfId="27329" priority="27342"/>
    <cfRule type="duplicateValues" dxfId="27328" priority="27341"/>
    <cfRule type="duplicateValues" dxfId="27327" priority="27340"/>
    <cfRule type="duplicateValues" dxfId="27326" priority="27339"/>
    <cfRule type="duplicateValues" dxfId="27325" priority="27338"/>
    <cfRule type="duplicateValues" dxfId="27324" priority="27337"/>
    <cfRule type="duplicateValues" dxfId="27323" priority="27336"/>
    <cfRule type="duplicateValues" dxfId="27322" priority="27335"/>
    <cfRule type="duplicateValues" dxfId="27321" priority="27334"/>
    <cfRule type="duplicateValues" dxfId="27320" priority="27333"/>
    <cfRule type="duplicateValues" dxfId="27319" priority="27332"/>
    <cfRule type="duplicateValues" dxfId="27318" priority="27331"/>
    <cfRule type="duplicateValues" dxfId="27317" priority="27330"/>
    <cfRule type="duplicateValues" dxfId="27316" priority="27329"/>
    <cfRule type="duplicateValues" dxfId="27315" priority="27328"/>
    <cfRule type="duplicateValues" dxfId="27314" priority="27327"/>
    <cfRule type="duplicateValues" dxfId="27313" priority="27326"/>
    <cfRule type="duplicateValues" dxfId="27312" priority="27325"/>
    <cfRule type="duplicateValues" dxfId="27311" priority="27324"/>
    <cfRule type="duplicateValues" dxfId="27310" priority="27323"/>
    <cfRule type="duplicateValues" dxfId="27309" priority="27322"/>
    <cfRule type="duplicateValues" dxfId="27308" priority="27273"/>
    <cfRule type="duplicateValues" dxfId="27307" priority="27320"/>
    <cfRule type="duplicateValues" dxfId="27306" priority="27319"/>
    <cfRule type="duplicateValues" dxfId="27305" priority="27318"/>
    <cfRule type="duplicateValues" dxfId="27304" priority="27317"/>
    <cfRule type="duplicateValues" dxfId="27303" priority="27316"/>
    <cfRule type="duplicateValues" dxfId="27302" priority="27315"/>
    <cfRule type="duplicateValues" dxfId="27301" priority="27314"/>
    <cfRule type="duplicateValues" dxfId="27300" priority="27313"/>
    <cfRule type="duplicateValues" dxfId="27299" priority="27312"/>
    <cfRule type="duplicateValues" dxfId="27298" priority="27311"/>
    <cfRule type="duplicateValues" dxfId="27297" priority="27310"/>
    <cfRule type="duplicateValues" dxfId="27296" priority="27309"/>
    <cfRule type="duplicateValues" dxfId="27295" priority="27308"/>
    <cfRule type="duplicateValues" dxfId="27294" priority="27307"/>
    <cfRule type="duplicateValues" dxfId="27293" priority="27306"/>
    <cfRule type="duplicateValues" dxfId="27292" priority="27305"/>
    <cfRule type="duplicateValues" dxfId="27291" priority="27304"/>
    <cfRule type="duplicateValues" dxfId="27290" priority="27303"/>
    <cfRule type="duplicateValues" dxfId="27289" priority="27302"/>
    <cfRule type="duplicateValues" dxfId="27288" priority="27301"/>
    <cfRule type="duplicateValues" dxfId="27287" priority="27300"/>
    <cfRule type="duplicateValues" dxfId="27286" priority="27299"/>
    <cfRule type="duplicateValues" dxfId="27285" priority="27298"/>
    <cfRule type="duplicateValues" dxfId="27284" priority="27297"/>
    <cfRule type="duplicateValues" dxfId="27283" priority="27296"/>
    <cfRule type="duplicateValues" dxfId="27282" priority="27295"/>
    <cfRule type="duplicateValues" dxfId="27281" priority="27294"/>
    <cfRule type="duplicateValues" dxfId="27280" priority="27293"/>
    <cfRule type="duplicateValues" dxfId="27279" priority="27292"/>
    <cfRule type="duplicateValues" dxfId="27278" priority="27291"/>
    <cfRule type="duplicateValues" dxfId="27277" priority="27290"/>
    <cfRule type="duplicateValues" dxfId="27276" priority="27289"/>
    <cfRule type="duplicateValues" dxfId="27275" priority="27288"/>
    <cfRule type="duplicateValues" dxfId="27274" priority="27287"/>
    <cfRule type="duplicateValues" dxfId="27273" priority="27286"/>
    <cfRule type="duplicateValues" dxfId="27272" priority="27285"/>
    <cfRule type="duplicateValues" dxfId="27271" priority="27284"/>
    <cfRule type="duplicateValues" dxfId="27270" priority="27283"/>
    <cfRule type="duplicateValues" dxfId="27269" priority="27282"/>
    <cfRule type="duplicateValues" dxfId="27268" priority="27281"/>
    <cfRule type="duplicateValues" dxfId="27267" priority="27280"/>
    <cfRule type="duplicateValues" dxfId="27266" priority="27279"/>
    <cfRule type="duplicateValues" dxfId="27265" priority="27278"/>
    <cfRule type="duplicateValues" dxfId="27264" priority="27277"/>
  </conditionalFormatting>
  <conditionalFormatting sqref="B154">
    <cfRule type="duplicateValues" dxfId="27263" priority="27099"/>
    <cfRule type="duplicateValues" dxfId="27262" priority="27098"/>
    <cfRule type="duplicateValues" dxfId="27261" priority="27097"/>
    <cfRule type="duplicateValues" dxfId="27260" priority="27096"/>
    <cfRule type="duplicateValues" dxfId="27259" priority="27272"/>
    <cfRule type="duplicateValues" dxfId="27258" priority="27271"/>
    <cfRule type="duplicateValues" dxfId="27257" priority="27270"/>
    <cfRule type="duplicateValues" dxfId="27256" priority="27269"/>
    <cfRule type="duplicateValues" dxfId="27255" priority="27268"/>
    <cfRule type="duplicateValues" dxfId="27254" priority="27267"/>
    <cfRule type="duplicateValues" dxfId="27253" priority="27266"/>
    <cfRule type="duplicateValues" dxfId="27252" priority="27265"/>
    <cfRule type="duplicateValues" dxfId="27251" priority="27264"/>
    <cfRule type="duplicateValues" dxfId="27250" priority="27263"/>
    <cfRule type="duplicateValues" dxfId="27249" priority="27262"/>
    <cfRule type="duplicateValues" dxfId="27248" priority="27261"/>
    <cfRule type="duplicateValues" dxfId="27247" priority="27260"/>
    <cfRule type="duplicateValues" dxfId="27246" priority="27259"/>
    <cfRule type="duplicateValues" dxfId="27245" priority="27258"/>
    <cfRule type="duplicateValues" dxfId="27244" priority="27257"/>
    <cfRule type="duplicateValues" dxfId="27243" priority="27256"/>
    <cfRule type="duplicateValues" dxfId="27242" priority="27255"/>
    <cfRule type="duplicateValues" dxfId="27241" priority="27254"/>
    <cfRule type="duplicateValues" dxfId="27240" priority="27253"/>
    <cfRule type="duplicateValues" dxfId="27239" priority="27252"/>
    <cfRule type="duplicateValues" dxfId="27238" priority="27251"/>
    <cfRule type="duplicateValues" dxfId="27237" priority="27250"/>
    <cfRule type="duplicateValues" dxfId="27236" priority="27249"/>
    <cfRule type="duplicateValues" dxfId="27235" priority="27248"/>
    <cfRule type="duplicateValues" dxfId="27234" priority="27247"/>
    <cfRule type="duplicateValues" dxfId="27233" priority="27246"/>
    <cfRule type="duplicateValues" dxfId="27232" priority="27245"/>
    <cfRule type="duplicateValues" dxfId="27231" priority="27244"/>
    <cfRule type="duplicateValues" dxfId="27230" priority="27243"/>
    <cfRule type="duplicateValues" dxfId="27229" priority="27242"/>
    <cfRule type="duplicateValues" dxfId="27228" priority="27241"/>
    <cfRule type="duplicateValues" dxfId="27227" priority="27240"/>
    <cfRule type="duplicateValues" dxfId="27226" priority="27239"/>
    <cfRule type="duplicateValues" dxfId="27225" priority="27238"/>
    <cfRule type="duplicateValues" dxfId="27224" priority="27237"/>
    <cfRule type="duplicateValues" dxfId="27223" priority="27236"/>
    <cfRule type="duplicateValues" dxfId="27222" priority="27235"/>
    <cfRule type="duplicateValues" dxfId="27221" priority="27234"/>
    <cfRule type="duplicateValues" dxfId="27220" priority="27233"/>
    <cfRule type="duplicateValues" dxfId="27219" priority="27232"/>
    <cfRule type="duplicateValues" dxfId="27218" priority="27231"/>
    <cfRule type="duplicateValues" dxfId="27217" priority="27230"/>
    <cfRule type="duplicateValues" dxfId="27216" priority="27229"/>
    <cfRule type="duplicateValues" dxfId="27215" priority="27228"/>
    <cfRule type="duplicateValues" dxfId="27214" priority="27227"/>
    <cfRule type="duplicateValues" dxfId="27213" priority="27226"/>
    <cfRule type="duplicateValues" dxfId="27212" priority="27225"/>
    <cfRule type="duplicateValues" dxfId="27211" priority="27224"/>
    <cfRule type="duplicateValues" dxfId="27210" priority="27223"/>
    <cfRule type="duplicateValues" dxfId="27209" priority="27222"/>
    <cfRule type="duplicateValues" dxfId="27208" priority="27221"/>
    <cfRule type="duplicateValues" dxfId="27207" priority="27220"/>
    <cfRule type="duplicateValues" dxfId="27206" priority="27219"/>
    <cfRule type="duplicateValues" dxfId="27205" priority="27218"/>
    <cfRule type="duplicateValues" dxfId="27204" priority="27217"/>
    <cfRule type="duplicateValues" dxfId="27203" priority="27216"/>
    <cfRule type="duplicateValues" dxfId="27202" priority="27215"/>
    <cfRule type="duplicateValues" dxfId="27201" priority="27214"/>
    <cfRule type="duplicateValues" dxfId="27200" priority="27213"/>
    <cfRule type="duplicateValues" dxfId="27199" priority="27212"/>
    <cfRule type="duplicateValues" dxfId="27198" priority="27211"/>
    <cfRule type="duplicateValues" dxfId="27197" priority="27210"/>
    <cfRule type="duplicateValues" dxfId="27196" priority="27209"/>
    <cfRule type="duplicateValues" dxfId="27195" priority="27208"/>
    <cfRule type="duplicateValues" dxfId="27194" priority="27207"/>
    <cfRule type="duplicateValues" dxfId="27193" priority="27206"/>
    <cfRule type="duplicateValues" dxfId="27192" priority="27205"/>
    <cfRule type="duplicateValues" dxfId="27191" priority="27204"/>
    <cfRule type="duplicateValues" dxfId="27190" priority="27203"/>
    <cfRule type="duplicateValues" dxfId="27189" priority="27202"/>
    <cfRule type="duplicateValues" dxfId="27188" priority="27201"/>
    <cfRule type="duplicateValues" dxfId="27187" priority="27200"/>
    <cfRule type="duplicateValues" dxfId="27186" priority="27199"/>
    <cfRule type="duplicateValues" dxfId="27185" priority="27198"/>
    <cfRule type="duplicateValues" dxfId="27184" priority="27197"/>
    <cfRule type="duplicateValues" dxfId="27183" priority="27196"/>
    <cfRule type="duplicateValues" dxfId="27182" priority="27195"/>
    <cfRule type="duplicateValues" dxfId="27181" priority="27194"/>
    <cfRule type="duplicateValues" dxfId="27180" priority="27193"/>
    <cfRule type="duplicateValues" dxfId="27179" priority="27192"/>
    <cfRule type="duplicateValues" dxfId="27178" priority="27191"/>
    <cfRule type="duplicateValues" dxfId="27177" priority="27190"/>
    <cfRule type="duplicateValues" dxfId="27176" priority="27189"/>
    <cfRule type="duplicateValues" dxfId="27175" priority="27188"/>
    <cfRule type="duplicateValues" dxfId="27174" priority="27187"/>
    <cfRule type="duplicateValues" dxfId="27173" priority="27186"/>
    <cfRule type="duplicateValues" dxfId="27172" priority="27185"/>
    <cfRule type="duplicateValues" dxfId="27171" priority="27184"/>
    <cfRule type="duplicateValues" dxfId="27170" priority="27183"/>
    <cfRule type="duplicateValues" dxfId="27169" priority="27182"/>
    <cfRule type="duplicateValues" dxfId="27168" priority="27181"/>
    <cfRule type="duplicateValues" dxfId="27167" priority="27180"/>
    <cfRule type="duplicateValues" dxfId="27166" priority="27179"/>
    <cfRule type="duplicateValues" dxfId="27165" priority="27178"/>
    <cfRule type="duplicateValues" dxfId="27164" priority="27177"/>
    <cfRule type="duplicateValues" dxfId="27163" priority="27176"/>
    <cfRule type="duplicateValues" dxfId="27162" priority="27175"/>
    <cfRule type="duplicateValues" dxfId="27161" priority="27174"/>
    <cfRule type="duplicateValues" dxfId="27160" priority="27173"/>
    <cfRule type="duplicateValues" dxfId="27159" priority="27172"/>
    <cfRule type="duplicateValues" dxfId="27158" priority="27171"/>
    <cfRule type="duplicateValues" dxfId="27157" priority="27170"/>
    <cfRule type="duplicateValues" dxfId="27156" priority="27169"/>
    <cfRule type="duplicateValues" dxfId="27155" priority="27168"/>
    <cfRule type="duplicateValues" dxfId="27154" priority="27167"/>
    <cfRule type="duplicateValues" dxfId="27153" priority="27166"/>
    <cfRule type="duplicateValues" dxfId="27152" priority="27165"/>
    <cfRule type="duplicateValues" dxfId="27151" priority="27164"/>
    <cfRule type="duplicateValues" dxfId="27150" priority="27163"/>
    <cfRule type="duplicateValues" dxfId="27149" priority="27162"/>
    <cfRule type="duplicateValues" dxfId="27148" priority="27161"/>
    <cfRule type="duplicateValues" dxfId="27147" priority="27160"/>
    <cfRule type="duplicateValues" dxfId="27146" priority="27159"/>
    <cfRule type="duplicateValues" dxfId="27145" priority="27158"/>
    <cfRule type="duplicateValues" dxfId="27144" priority="27157"/>
    <cfRule type="duplicateValues" dxfId="27143" priority="27156"/>
    <cfRule type="duplicateValues" dxfId="27142" priority="27155"/>
    <cfRule type="duplicateValues" dxfId="27141" priority="27154"/>
    <cfRule type="duplicateValues" dxfId="27140" priority="27153"/>
    <cfRule type="duplicateValues" dxfId="27139" priority="27152"/>
    <cfRule type="duplicateValues" dxfId="27138" priority="27151"/>
    <cfRule type="duplicateValues" dxfId="27137" priority="27150"/>
    <cfRule type="duplicateValues" dxfId="27136" priority="27149"/>
    <cfRule type="duplicateValues" dxfId="27135" priority="27148"/>
    <cfRule type="duplicateValues" dxfId="27134" priority="27147"/>
    <cfRule type="duplicateValues" dxfId="27133" priority="27146"/>
    <cfRule type="duplicateValues" dxfId="27132" priority="27145"/>
    <cfRule type="duplicateValues" dxfId="27131" priority="27144"/>
    <cfRule type="duplicateValues" dxfId="27130" priority="27143"/>
    <cfRule type="duplicateValues" dxfId="27129" priority="27142"/>
    <cfRule type="duplicateValues" dxfId="27128" priority="27141"/>
    <cfRule type="duplicateValues" dxfId="27127" priority="27140"/>
    <cfRule type="duplicateValues" dxfId="27126" priority="27139"/>
    <cfRule type="duplicateValues" dxfId="27125" priority="27138"/>
    <cfRule type="duplicateValues" dxfId="27124" priority="27137"/>
    <cfRule type="duplicateValues" dxfId="27123" priority="27136"/>
    <cfRule type="duplicateValues" dxfId="27122" priority="27135"/>
    <cfRule type="duplicateValues" dxfId="27121" priority="27134"/>
    <cfRule type="duplicateValues" dxfId="27120" priority="27133"/>
    <cfRule type="duplicateValues" dxfId="27119" priority="27132"/>
    <cfRule type="duplicateValues" dxfId="27118" priority="27131"/>
    <cfRule type="duplicateValues" dxfId="27117" priority="27130"/>
    <cfRule type="duplicateValues" dxfId="27116" priority="27129"/>
    <cfRule type="duplicateValues" dxfId="27115" priority="27128"/>
    <cfRule type="duplicateValues" dxfId="27114" priority="27127"/>
    <cfRule type="duplicateValues" dxfId="27113" priority="27126"/>
    <cfRule type="duplicateValues" dxfId="27112" priority="27125"/>
    <cfRule type="duplicateValues" dxfId="27111" priority="27124"/>
    <cfRule type="duplicateValues" dxfId="27110" priority="27123"/>
    <cfRule type="duplicateValues" dxfId="27109" priority="27122"/>
    <cfRule type="duplicateValues" dxfId="27108" priority="27121"/>
    <cfRule type="duplicateValues" dxfId="27107" priority="27120"/>
    <cfRule type="duplicateValues" dxfId="27106" priority="27119"/>
    <cfRule type="duplicateValues" dxfId="27105" priority="27118"/>
    <cfRule type="duplicateValues" dxfId="27104" priority="27117"/>
    <cfRule type="duplicateValues" dxfId="27103" priority="27116"/>
    <cfRule type="duplicateValues" dxfId="27102" priority="27115"/>
    <cfRule type="duplicateValues" dxfId="27101" priority="27114"/>
    <cfRule type="duplicateValues" dxfId="27100" priority="27113"/>
    <cfRule type="duplicateValues" dxfId="27099" priority="27112"/>
    <cfRule type="duplicateValues" dxfId="27098" priority="27111"/>
    <cfRule type="duplicateValues" dxfId="27097" priority="27110"/>
    <cfRule type="duplicateValues" dxfId="27096" priority="27109"/>
    <cfRule type="duplicateValues" dxfId="27095" priority="27108"/>
    <cfRule type="duplicateValues" dxfId="27094" priority="27107"/>
    <cfRule type="duplicateValues" dxfId="27093" priority="27106"/>
    <cfRule type="duplicateValues" dxfId="27092" priority="27105"/>
    <cfRule type="duplicateValues" dxfId="27091" priority="27104"/>
    <cfRule type="duplicateValues" dxfId="27090" priority="27103"/>
    <cfRule type="duplicateValues" dxfId="27089" priority="27102"/>
    <cfRule type="duplicateValues" dxfId="27088" priority="27101"/>
    <cfRule type="duplicateValues" dxfId="27087" priority="27100"/>
  </conditionalFormatting>
  <conditionalFormatting sqref="B155:B156">
    <cfRule type="duplicateValues" dxfId="27086" priority="26922"/>
    <cfRule type="duplicateValues" dxfId="27085" priority="26921"/>
    <cfRule type="duplicateValues" dxfId="27084" priority="26919"/>
    <cfRule type="duplicateValues" dxfId="27083" priority="26978"/>
    <cfRule type="duplicateValues" dxfId="27082" priority="27095"/>
    <cfRule type="duplicateValues" dxfId="27081" priority="27094"/>
    <cfRule type="duplicateValues" dxfId="27080" priority="27093"/>
    <cfRule type="duplicateValues" dxfId="27079" priority="27092"/>
    <cfRule type="duplicateValues" dxfId="27078" priority="27091"/>
    <cfRule type="duplicateValues" dxfId="27077" priority="27090"/>
    <cfRule type="duplicateValues" dxfId="27076" priority="27089"/>
    <cfRule type="duplicateValues" dxfId="27075" priority="27088"/>
    <cfRule type="duplicateValues" dxfId="27074" priority="27087"/>
    <cfRule type="duplicateValues" dxfId="27073" priority="27086"/>
    <cfRule type="duplicateValues" dxfId="27072" priority="27085"/>
    <cfRule type="duplicateValues" dxfId="27071" priority="27084"/>
    <cfRule type="duplicateValues" dxfId="27070" priority="27083"/>
    <cfRule type="duplicateValues" dxfId="27069" priority="27082"/>
    <cfRule type="duplicateValues" dxfId="27068" priority="27081"/>
    <cfRule type="duplicateValues" dxfId="27067" priority="27080"/>
    <cfRule type="duplicateValues" dxfId="27066" priority="27079"/>
    <cfRule type="duplicateValues" dxfId="27065" priority="27078"/>
    <cfRule type="duplicateValues" dxfId="27064" priority="27077"/>
    <cfRule type="duplicateValues" dxfId="27063" priority="27076"/>
    <cfRule type="duplicateValues" dxfId="27062" priority="27075"/>
    <cfRule type="duplicateValues" dxfId="27061" priority="27074"/>
    <cfRule type="duplicateValues" dxfId="27060" priority="27073"/>
    <cfRule type="duplicateValues" dxfId="27059" priority="27072"/>
    <cfRule type="duplicateValues" dxfId="27058" priority="27071"/>
    <cfRule type="duplicateValues" dxfId="27057" priority="27070"/>
    <cfRule type="duplicateValues" dxfId="27056" priority="27069"/>
    <cfRule type="duplicateValues" dxfId="27055" priority="27068"/>
    <cfRule type="duplicateValues" dxfId="27054" priority="27067"/>
    <cfRule type="duplicateValues" dxfId="27053" priority="27066"/>
    <cfRule type="duplicateValues" dxfId="27052" priority="27065"/>
    <cfRule type="duplicateValues" dxfId="27051" priority="27064"/>
    <cfRule type="duplicateValues" dxfId="27050" priority="27063"/>
    <cfRule type="duplicateValues" dxfId="27049" priority="27062"/>
    <cfRule type="duplicateValues" dxfId="27048" priority="27061"/>
    <cfRule type="duplicateValues" dxfId="27047" priority="27060"/>
    <cfRule type="duplicateValues" dxfId="27046" priority="27059"/>
    <cfRule type="duplicateValues" dxfId="27045" priority="27058"/>
    <cfRule type="duplicateValues" dxfId="27044" priority="27057"/>
    <cfRule type="duplicateValues" dxfId="27043" priority="27056"/>
    <cfRule type="duplicateValues" dxfId="27042" priority="27055"/>
    <cfRule type="duplicateValues" dxfId="27041" priority="27054"/>
    <cfRule type="duplicateValues" dxfId="27040" priority="27053"/>
    <cfRule type="duplicateValues" dxfId="27039" priority="27052"/>
    <cfRule type="duplicateValues" dxfId="27038" priority="27051"/>
    <cfRule type="duplicateValues" dxfId="27037" priority="27050"/>
    <cfRule type="duplicateValues" dxfId="27036" priority="27049"/>
    <cfRule type="duplicateValues" dxfId="27035" priority="27048"/>
    <cfRule type="duplicateValues" dxfId="27034" priority="27047"/>
    <cfRule type="duplicateValues" dxfId="27033" priority="27046"/>
    <cfRule type="duplicateValues" dxfId="27032" priority="27045"/>
    <cfRule type="duplicateValues" dxfId="27031" priority="27044"/>
    <cfRule type="duplicateValues" dxfId="27030" priority="27043"/>
    <cfRule type="duplicateValues" dxfId="27029" priority="27042"/>
    <cfRule type="duplicateValues" dxfId="27028" priority="27041"/>
    <cfRule type="duplicateValues" dxfId="27027" priority="27040"/>
    <cfRule type="duplicateValues" dxfId="27026" priority="27039"/>
    <cfRule type="duplicateValues" dxfId="27025" priority="27038"/>
    <cfRule type="duplicateValues" dxfId="27024" priority="27037"/>
    <cfRule type="duplicateValues" dxfId="27023" priority="27036"/>
    <cfRule type="duplicateValues" dxfId="27022" priority="27035"/>
    <cfRule type="duplicateValues" dxfId="27021" priority="27034"/>
    <cfRule type="duplicateValues" dxfId="27020" priority="27033"/>
    <cfRule type="duplicateValues" dxfId="27019" priority="27032"/>
    <cfRule type="duplicateValues" dxfId="27018" priority="27031"/>
    <cfRule type="duplicateValues" dxfId="27017" priority="27030"/>
    <cfRule type="duplicateValues" dxfId="27016" priority="27029"/>
    <cfRule type="duplicateValues" dxfId="27015" priority="27028"/>
    <cfRule type="duplicateValues" dxfId="27014" priority="27027"/>
    <cfRule type="duplicateValues" dxfId="27013" priority="27026"/>
    <cfRule type="duplicateValues" dxfId="27012" priority="27025"/>
    <cfRule type="duplicateValues" dxfId="27011" priority="27024"/>
    <cfRule type="duplicateValues" dxfId="27010" priority="27023"/>
    <cfRule type="duplicateValues" dxfId="27009" priority="27022"/>
    <cfRule type="duplicateValues" dxfId="27008" priority="27021"/>
    <cfRule type="duplicateValues" dxfId="27007" priority="27020"/>
    <cfRule type="duplicateValues" dxfId="27006" priority="27019"/>
    <cfRule type="duplicateValues" dxfId="27005" priority="27018"/>
    <cfRule type="duplicateValues" dxfId="27004" priority="27017"/>
    <cfRule type="duplicateValues" dxfId="27003" priority="27016"/>
    <cfRule type="duplicateValues" dxfId="27002" priority="27015"/>
    <cfRule type="duplicateValues" dxfId="27001" priority="27014"/>
    <cfRule type="duplicateValues" dxfId="27000" priority="27013"/>
    <cfRule type="duplicateValues" dxfId="26999" priority="27012"/>
    <cfRule type="duplicateValues" dxfId="26998" priority="27011"/>
    <cfRule type="duplicateValues" dxfId="26997" priority="27010"/>
    <cfRule type="duplicateValues" dxfId="26996" priority="27009"/>
    <cfRule type="duplicateValues" dxfId="26995" priority="27008"/>
    <cfRule type="duplicateValues" dxfId="26994" priority="27007"/>
    <cfRule type="duplicateValues" dxfId="26993" priority="27006"/>
    <cfRule type="duplicateValues" dxfId="26992" priority="27005"/>
    <cfRule type="duplicateValues" dxfId="26991" priority="27004"/>
    <cfRule type="duplicateValues" dxfId="26990" priority="27003"/>
    <cfRule type="duplicateValues" dxfId="26989" priority="27002"/>
    <cfRule type="duplicateValues" dxfId="26988" priority="27001"/>
    <cfRule type="duplicateValues" dxfId="26987" priority="27000"/>
    <cfRule type="duplicateValues" dxfId="26986" priority="26999"/>
    <cfRule type="duplicateValues" dxfId="26985" priority="26998"/>
    <cfRule type="duplicateValues" dxfId="26984" priority="26997"/>
    <cfRule type="duplicateValues" dxfId="26983" priority="26996"/>
    <cfRule type="duplicateValues" dxfId="26982" priority="26995"/>
    <cfRule type="duplicateValues" dxfId="26981" priority="26994"/>
    <cfRule type="duplicateValues" dxfId="26980" priority="26993"/>
    <cfRule type="duplicateValues" dxfId="26979" priority="26992"/>
    <cfRule type="duplicateValues" dxfId="26978" priority="26991"/>
    <cfRule type="duplicateValues" dxfId="26977" priority="26990"/>
    <cfRule type="duplicateValues" dxfId="26976" priority="26989"/>
    <cfRule type="duplicateValues" dxfId="26975" priority="26988"/>
    <cfRule type="duplicateValues" dxfId="26974" priority="26987"/>
    <cfRule type="duplicateValues" dxfId="26973" priority="26986"/>
    <cfRule type="duplicateValues" dxfId="26972" priority="26985"/>
    <cfRule type="duplicateValues" dxfId="26971" priority="26984"/>
    <cfRule type="duplicateValues" dxfId="26970" priority="26983"/>
    <cfRule type="duplicateValues" dxfId="26969" priority="26982"/>
    <cfRule type="duplicateValues" dxfId="26968" priority="26981"/>
    <cfRule type="duplicateValues" dxfId="26967" priority="26980"/>
    <cfRule type="duplicateValues" dxfId="26966" priority="26979"/>
    <cfRule type="duplicateValues" dxfId="26965" priority="26920"/>
    <cfRule type="duplicateValues" dxfId="26964" priority="26977"/>
    <cfRule type="duplicateValues" dxfId="26963" priority="26976"/>
    <cfRule type="duplicateValues" dxfId="26962" priority="26975"/>
    <cfRule type="duplicateValues" dxfId="26961" priority="26974"/>
    <cfRule type="duplicateValues" dxfId="26960" priority="26973"/>
    <cfRule type="duplicateValues" dxfId="26959" priority="26972"/>
    <cfRule type="duplicateValues" dxfId="26958" priority="26971"/>
    <cfRule type="duplicateValues" dxfId="26957" priority="26970"/>
    <cfRule type="duplicateValues" dxfId="26956" priority="26969"/>
    <cfRule type="duplicateValues" dxfId="26955" priority="26968"/>
    <cfRule type="duplicateValues" dxfId="26954" priority="26967"/>
    <cfRule type="duplicateValues" dxfId="26953" priority="26966"/>
    <cfRule type="duplicateValues" dxfId="26952" priority="26965"/>
    <cfRule type="duplicateValues" dxfId="26951" priority="26964"/>
    <cfRule type="duplicateValues" dxfId="26950" priority="26963"/>
    <cfRule type="duplicateValues" dxfId="26949" priority="26962"/>
    <cfRule type="duplicateValues" dxfId="26948" priority="26961"/>
    <cfRule type="duplicateValues" dxfId="26947" priority="26960"/>
    <cfRule type="duplicateValues" dxfId="26946" priority="26959"/>
    <cfRule type="duplicateValues" dxfId="26945" priority="26958"/>
    <cfRule type="duplicateValues" dxfId="26944" priority="26957"/>
    <cfRule type="duplicateValues" dxfId="26943" priority="26956"/>
    <cfRule type="duplicateValues" dxfId="26942" priority="26955"/>
    <cfRule type="duplicateValues" dxfId="26941" priority="26954"/>
    <cfRule type="duplicateValues" dxfId="26940" priority="26953"/>
    <cfRule type="duplicateValues" dxfId="26939" priority="26952"/>
    <cfRule type="duplicateValues" dxfId="26938" priority="26951"/>
    <cfRule type="duplicateValues" dxfId="26937" priority="26950"/>
    <cfRule type="duplicateValues" dxfId="26936" priority="26949"/>
    <cfRule type="duplicateValues" dxfId="26935" priority="26948"/>
    <cfRule type="duplicateValues" dxfId="26934" priority="26947"/>
    <cfRule type="duplicateValues" dxfId="26933" priority="26946"/>
    <cfRule type="duplicateValues" dxfId="26932" priority="26945"/>
    <cfRule type="duplicateValues" dxfId="26931" priority="26944"/>
    <cfRule type="duplicateValues" dxfId="26930" priority="26943"/>
    <cfRule type="duplicateValues" dxfId="26929" priority="26942"/>
    <cfRule type="duplicateValues" dxfId="26928" priority="26941"/>
    <cfRule type="duplicateValues" dxfId="26927" priority="26940"/>
    <cfRule type="duplicateValues" dxfId="26926" priority="26939"/>
    <cfRule type="duplicateValues" dxfId="26925" priority="26938"/>
    <cfRule type="duplicateValues" dxfId="26924" priority="26937"/>
    <cfRule type="duplicateValues" dxfId="26923" priority="26936"/>
    <cfRule type="duplicateValues" dxfId="26922" priority="26935"/>
    <cfRule type="duplicateValues" dxfId="26921" priority="26934"/>
    <cfRule type="duplicateValues" dxfId="26920" priority="26933"/>
    <cfRule type="duplicateValues" dxfId="26919" priority="26932"/>
    <cfRule type="duplicateValues" dxfId="26918" priority="26931"/>
    <cfRule type="duplicateValues" dxfId="26917" priority="26930"/>
    <cfRule type="duplicateValues" dxfId="26916" priority="26929"/>
    <cfRule type="duplicateValues" dxfId="26915" priority="26928"/>
    <cfRule type="duplicateValues" dxfId="26914" priority="26927"/>
    <cfRule type="duplicateValues" dxfId="26913" priority="26926"/>
    <cfRule type="duplicateValues" dxfId="26912" priority="26925"/>
    <cfRule type="duplicateValues" dxfId="26911" priority="26924"/>
    <cfRule type="duplicateValues" dxfId="26910" priority="26923"/>
  </conditionalFormatting>
  <conditionalFormatting sqref="B157:B158">
    <cfRule type="duplicateValues" dxfId="26909" priority="26745"/>
    <cfRule type="duplicateValues" dxfId="26908" priority="26744"/>
    <cfRule type="duplicateValues" dxfId="26907" priority="26743"/>
    <cfRule type="duplicateValues" dxfId="26906" priority="26742"/>
    <cfRule type="duplicateValues" dxfId="26905" priority="26918"/>
    <cfRule type="duplicateValues" dxfId="26904" priority="26917"/>
    <cfRule type="duplicateValues" dxfId="26903" priority="26916"/>
    <cfRule type="duplicateValues" dxfId="26902" priority="26915"/>
    <cfRule type="duplicateValues" dxfId="26901" priority="26914"/>
    <cfRule type="duplicateValues" dxfId="26900" priority="26913"/>
    <cfRule type="duplicateValues" dxfId="26899" priority="26912"/>
    <cfRule type="duplicateValues" dxfId="26898" priority="26911"/>
    <cfRule type="duplicateValues" dxfId="26897" priority="26910"/>
    <cfRule type="duplicateValues" dxfId="26896" priority="26909"/>
    <cfRule type="duplicateValues" dxfId="26895" priority="26908"/>
    <cfRule type="duplicateValues" dxfId="26894" priority="26907"/>
    <cfRule type="duplicateValues" dxfId="26893" priority="26906"/>
    <cfRule type="duplicateValues" dxfId="26892" priority="26905"/>
    <cfRule type="duplicateValues" dxfId="26891" priority="26904"/>
    <cfRule type="duplicateValues" dxfId="26890" priority="26903"/>
    <cfRule type="duplicateValues" dxfId="26889" priority="26902"/>
    <cfRule type="duplicateValues" dxfId="26888" priority="26901"/>
    <cfRule type="duplicateValues" dxfId="26887" priority="26900"/>
    <cfRule type="duplicateValues" dxfId="26886" priority="26899"/>
    <cfRule type="duplicateValues" dxfId="26885" priority="26898"/>
    <cfRule type="duplicateValues" dxfId="26884" priority="26897"/>
    <cfRule type="duplicateValues" dxfId="26883" priority="26896"/>
    <cfRule type="duplicateValues" dxfId="26882" priority="26895"/>
    <cfRule type="duplicateValues" dxfId="26881" priority="26894"/>
    <cfRule type="duplicateValues" dxfId="26880" priority="26893"/>
    <cfRule type="duplicateValues" dxfId="26879" priority="26892"/>
    <cfRule type="duplicateValues" dxfId="26878" priority="26891"/>
    <cfRule type="duplicateValues" dxfId="26877" priority="26890"/>
    <cfRule type="duplicateValues" dxfId="26876" priority="26889"/>
    <cfRule type="duplicateValues" dxfId="26875" priority="26888"/>
    <cfRule type="duplicateValues" dxfId="26874" priority="26887"/>
    <cfRule type="duplicateValues" dxfId="26873" priority="26886"/>
    <cfRule type="duplicateValues" dxfId="26872" priority="26885"/>
    <cfRule type="duplicateValues" dxfId="26871" priority="26884"/>
    <cfRule type="duplicateValues" dxfId="26870" priority="26883"/>
    <cfRule type="duplicateValues" dxfId="26869" priority="26882"/>
    <cfRule type="duplicateValues" dxfId="26868" priority="26881"/>
    <cfRule type="duplicateValues" dxfId="26867" priority="26880"/>
    <cfRule type="duplicateValues" dxfId="26866" priority="26879"/>
    <cfRule type="duplicateValues" dxfId="26865" priority="26878"/>
    <cfRule type="duplicateValues" dxfId="26864" priority="26877"/>
    <cfRule type="duplicateValues" dxfId="26863" priority="26876"/>
    <cfRule type="duplicateValues" dxfId="26862" priority="26875"/>
    <cfRule type="duplicateValues" dxfId="26861" priority="26874"/>
    <cfRule type="duplicateValues" dxfId="26860" priority="26873"/>
    <cfRule type="duplicateValues" dxfId="26859" priority="26872"/>
    <cfRule type="duplicateValues" dxfId="26858" priority="26871"/>
    <cfRule type="duplicateValues" dxfId="26857" priority="26870"/>
    <cfRule type="duplicateValues" dxfId="26856" priority="26869"/>
    <cfRule type="duplicateValues" dxfId="26855" priority="26868"/>
    <cfRule type="duplicateValues" dxfId="26854" priority="26867"/>
    <cfRule type="duplicateValues" dxfId="26853" priority="26866"/>
    <cfRule type="duplicateValues" dxfId="26852" priority="26865"/>
    <cfRule type="duplicateValues" dxfId="26851" priority="26864"/>
    <cfRule type="duplicateValues" dxfId="26850" priority="26863"/>
    <cfRule type="duplicateValues" dxfId="26849" priority="26862"/>
    <cfRule type="duplicateValues" dxfId="26848" priority="26861"/>
    <cfRule type="duplicateValues" dxfId="26847" priority="26860"/>
    <cfRule type="duplicateValues" dxfId="26846" priority="26859"/>
    <cfRule type="duplicateValues" dxfId="26845" priority="26858"/>
    <cfRule type="duplicateValues" dxfId="26844" priority="26857"/>
    <cfRule type="duplicateValues" dxfId="26843" priority="26856"/>
    <cfRule type="duplicateValues" dxfId="26842" priority="26855"/>
    <cfRule type="duplicateValues" dxfId="26841" priority="26854"/>
    <cfRule type="duplicateValues" dxfId="26840" priority="26853"/>
    <cfRule type="duplicateValues" dxfId="26839" priority="26852"/>
    <cfRule type="duplicateValues" dxfId="26838" priority="26851"/>
    <cfRule type="duplicateValues" dxfId="26837" priority="26850"/>
    <cfRule type="duplicateValues" dxfId="26836" priority="26849"/>
    <cfRule type="duplicateValues" dxfId="26835" priority="26848"/>
    <cfRule type="duplicateValues" dxfId="26834" priority="26847"/>
    <cfRule type="duplicateValues" dxfId="26833" priority="26846"/>
    <cfRule type="duplicateValues" dxfId="26832" priority="26845"/>
    <cfRule type="duplicateValues" dxfId="26831" priority="26844"/>
    <cfRule type="duplicateValues" dxfId="26830" priority="26843"/>
    <cfRule type="duplicateValues" dxfId="26829" priority="26842"/>
    <cfRule type="duplicateValues" dxfId="26828" priority="26841"/>
    <cfRule type="duplicateValues" dxfId="26827" priority="26840"/>
    <cfRule type="duplicateValues" dxfId="26826" priority="26839"/>
    <cfRule type="duplicateValues" dxfId="26825" priority="26838"/>
    <cfRule type="duplicateValues" dxfId="26824" priority="26837"/>
    <cfRule type="duplicateValues" dxfId="26823" priority="26836"/>
    <cfRule type="duplicateValues" dxfId="26822" priority="26835"/>
    <cfRule type="duplicateValues" dxfId="26821" priority="26834"/>
    <cfRule type="duplicateValues" dxfId="26820" priority="26833"/>
    <cfRule type="duplicateValues" dxfId="26819" priority="26832"/>
    <cfRule type="duplicateValues" dxfId="26818" priority="26831"/>
    <cfRule type="duplicateValues" dxfId="26817" priority="26830"/>
    <cfRule type="duplicateValues" dxfId="26816" priority="26829"/>
    <cfRule type="duplicateValues" dxfId="26815" priority="26828"/>
    <cfRule type="duplicateValues" dxfId="26814" priority="26827"/>
    <cfRule type="duplicateValues" dxfId="26813" priority="26826"/>
    <cfRule type="duplicateValues" dxfId="26812" priority="26825"/>
    <cfRule type="duplicateValues" dxfId="26811" priority="26824"/>
    <cfRule type="duplicateValues" dxfId="26810" priority="26823"/>
    <cfRule type="duplicateValues" dxfId="26809" priority="26822"/>
    <cfRule type="duplicateValues" dxfId="26808" priority="26821"/>
    <cfRule type="duplicateValues" dxfId="26807" priority="26820"/>
    <cfRule type="duplicateValues" dxfId="26806" priority="26819"/>
    <cfRule type="duplicateValues" dxfId="26805" priority="26818"/>
    <cfRule type="duplicateValues" dxfId="26804" priority="26817"/>
    <cfRule type="duplicateValues" dxfId="26803" priority="26816"/>
    <cfRule type="duplicateValues" dxfId="26802" priority="26815"/>
    <cfRule type="duplicateValues" dxfId="26801" priority="26814"/>
    <cfRule type="duplicateValues" dxfId="26800" priority="26813"/>
    <cfRule type="duplicateValues" dxfId="26799" priority="26812"/>
    <cfRule type="duplicateValues" dxfId="26798" priority="26811"/>
    <cfRule type="duplicateValues" dxfId="26797" priority="26810"/>
    <cfRule type="duplicateValues" dxfId="26796" priority="26809"/>
    <cfRule type="duplicateValues" dxfId="26795" priority="26808"/>
    <cfRule type="duplicateValues" dxfId="26794" priority="26807"/>
    <cfRule type="duplicateValues" dxfId="26793" priority="26806"/>
    <cfRule type="duplicateValues" dxfId="26792" priority="26805"/>
    <cfRule type="duplicateValues" dxfId="26791" priority="26804"/>
    <cfRule type="duplicateValues" dxfId="26790" priority="26803"/>
    <cfRule type="duplicateValues" dxfId="26789" priority="26802"/>
    <cfRule type="duplicateValues" dxfId="26788" priority="26801"/>
    <cfRule type="duplicateValues" dxfId="26787" priority="26800"/>
    <cfRule type="duplicateValues" dxfId="26786" priority="26799"/>
    <cfRule type="duplicateValues" dxfId="26785" priority="26798"/>
    <cfRule type="duplicateValues" dxfId="26784" priority="26797"/>
    <cfRule type="duplicateValues" dxfId="26783" priority="26796"/>
    <cfRule type="duplicateValues" dxfId="26782" priority="26795"/>
    <cfRule type="duplicateValues" dxfId="26781" priority="26794"/>
    <cfRule type="duplicateValues" dxfId="26780" priority="26793"/>
    <cfRule type="duplicateValues" dxfId="26779" priority="26792"/>
    <cfRule type="duplicateValues" dxfId="26778" priority="26791"/>
    <cfRule type="duplicateValues" dxfId="26777" priority="26790"/>
    <cfRule type="duplicateValues" dxfId="26776" priority="26789"/>
    <cfRule type="duplicateValues" dxfId="26775" priority="26788"/>
    <cfRule type="duplicateValues" dxfId="26774" priority="26787"/>
    <cfRule type="duplicateValues" dxfId="26773" priority="26786"/>
    <cfRule type="duplicateValues" dxfId="26772" priority="26785"/>
    <cfRule type="duplicateValues" dxfId="26771" priority="26784"/>
    <cfRule type="duplicateValues" dxfId="26770" priority="26783"/>
    <cfRule type="duplicateValues" dxfId="26769" priority="26782"/>
    <cfRule type="duplicateValues" dxfId="26768" priority="26781"/>
    <cfRule type="duplicateValues" dxfId="26767" priority="26780"/>
    <cfRule type="duplicateValues" dxfId="26766" priority="26779"/>
    <cfRule type="duplicateValues" dxfId="26765" priority="26778"/>
    <cfRule type="duplicateValues" dxfId="26764" priority="26777"/>
    <cfRule type="duplicateValues" dxfId="26763" priority="26776"/>
    <cfRule type="duplicateValues" dxfId="26762" priority="26775"/>
    <cfRule type="duplicateValues" dxfId="26761" priority="26774"/>
    <cfRule type="duplicateValues" dxfId="26760" priority="26773"/>
    <cfRule type="duplicateValues" dxfId="26759" priority="26772"/>
    <cfRule type="duplicateValues" dxfId="26758" priority="26771"/>
    <cfRule type="duplicateValues" dxfId="26757" priority="26770"/>
    <cfRule type="duplicateValues" dxfId="26756" priority="26769"/>
    <cfRule type="duplicateValues" dxfId="26755" priority="26768"/>
    <cfRule type="duplicateValues" dxfId="26754" priority="26767"/>
    <cfRule type="duplicateValues" dxfId="26753" priority="26766"/>
    <cfRule type="duplicateValues" dxfId="26752" priority="26765"/>
    <cfRule type="duplicateValues" dxfId="26751" priority="26764"/>
    <cfRule type="duplicateValues" dxfId="26750" priority="26763"/>
    <cfRule type="duplicateValues" dxfId="26749" priority="26762"/>
    <cfRule type="duplicateValues" dxfId="26748" priority="26761"/>
    <cfRule type="duplicateValues" dxfId="26747" priority="26760"/>
    <cfRule type="duplicateValues" dxfId="26746" priority="26759"/>
    <cfRule type="duplicateValues" dxfId="26745" priority="26758"/>
    <cfRule type="duplicateValues" dxfId="26744" priority="26757"/>
    <cfRule type="duplicateValues" dxfId="26743" priority="26756"/>
    <cfRule type="duplicateValues" dxfId="26742" priority="26755"/>
    <cfRule type="duplicateValues" dxfId="26741" priority="26754"/>
    <cfRule type="duplicateValues" dxfId="26740" priority="26753"/>
    <cfRule type="duplicateValues" dxfId="26739" priority="26752"/>
    <cfRule type="duplicateValues" dxfId="26738" priority="26751"/>
    <cfRule type="duplicateValues" dxfId="26737" priority="26750"/>
    <cfRule type="duplicateValues" dxfId="26736" priority="26749"/>
    <cfRule type="duplicateValues" dxfId="26735" priority="26748"/>
    <cfRule type="duplicateValues" dxfId="26734" priority="26747"/>
    <cfRule type="duplicateValues" dxfId="26733" priority="26746"/>
  </conditionalFormatting>
  <conditionalFormatting sqref="B159">
    <cfRule type="duplicateValues" dxfId="26732" priority="26635"/>
    <cfRule type="duplicateValues" dxfId="26731" priority="26568"/>
    <cfRule type="duplicateValues" dxfId="26730" priority="26567"/>
    <cfRule type="duplicateValues" dxfId="26729" priority="26566"/>
    <cfRule type="duplicateValues" dxfId="26728" priority="26741"/>
    <cfRule type="duplicateValues" dxfId="26727" priority="26740"/>
    <cfRule type="duplicateValues" dxfId="26726" priority="26739"/>
    <cfRule type="duplicateValues" dxfId="26725" priority="26738"/>
    <cfRule type="duplicateValues" dxfId="26724" priority="26737"/>
    <cfRule type="duplicateValues" dxfId="26723" priority="26736"/>
    <cfRule type="duplicateValues" dxfId="26722" priority="26735"/>
    <cfRule type="duplicateValues" dxfId="26721" priority="26734"/>
    <cfRule type="duplicateValues" dxfId="26720" priority="26733"/>
    <cfRule type="duplicateValues" dxfId="26719" priority="26732"/>
    <cfRule type="duplicateValues" dxfId="26718" priority="26731"/>
    <cfRule type="duplicateValues" dxfId="26717" priority="26730"/>
    <cfRule type="duplicateValues" dxfId="26716" priority="26729"/>
    <cfRule type="duplicateValues" dxfId="26715" priority="26728"/>
    <cfRule type="duplicateValues" dxfId="26714" priority="26727"/>
    <cfRule type="duplicateValues" dxfId="26713" priority="26726"/>
    <cfRule type="duplicateValues" dxfId="26712" priority="26725"/>
    <cfRule type="duplicateValues" dxfId="26711" priority="26724"/>
    <cfRule type="duplicateValues" dxfId="26710" priority="26723"/>
    <cfRule type="duplicateValues" dxfId="26709" priority="26722"/>
    <cfRule type="duplicateValues" dxfId="26708" priority="26721"/>
    <cfRule type="duplicateValues" dxfId="26707" priority="26720"/>
    <cfRule type="duplicateValues" dxfId="26706" priority="26719"/>
    <cfRule type="duplicateValues" dxfId="26705" priority="26718"/>
    <cfRule type="duplicateValues" dxfId="26704" priority="26717"/>
    <cfRule type="duplicateValues" dxfId="26703" priority="26716"/>
    <cfRule type="duplicateValues" dxfId="26702" priority="26715"/>
    <cfRule type="duplicateValues" dxfId="26701" priority="26714"/>
    <cfRule type="duplicateValues" dxfId="26700" priority="26713"/>
    <cfRule type="duplicateValues" dxfId="26699" priority="26712"/>
    <cfRule type="duplicateValues" dxfId="26698" priority="26711"/>
    <cfRule type="duplicateValues" dxfId="26697" priority="26710"/>
    <cfRule type="duplicateValues" dxfId="26696" priority="26709"/>
    <cfRule type="duplicateValues" dxfId="26695" priority="26708"/>
    <cfRule type="duplicateValues" dxfId="26694" priority="26707"/>
    <cfRule type="duplicateValues" dxfId="26693" priority="26706"/>
    <cfRule type="duplicateValues" dxfId="26692" priority="26705"/>
    <cfRule type="duplicateValues" dxfId="26691" priority="26704"/>
    <cfRule type="duplicateValues" dxfId="26690" priority="26703"/>
    <cfRule type="duplicateValues" dxfId="26689" priority="26702"/>
    <cfRule type="duplicateValues" dxfId="26688" priority="26701"/>
    <cfRule type="duplicateValues" dxfId="26687" priority="26700"/>
    <cfRule type="duplicateValues" dxfId="26686" priority="26699"/>
    <cfRule type="duplicateValues" dxfId="26685" priority="26698"/>
    <cfRule type="duplicateValues" dxfId="26684" priority="26697"/>
    <cfRule type="duplicateValues" dxfId="26683" priority="26696"/>
    <cfRule type="duplicateValues" dxfId="26682" priority="26695"/>
    <cfRule type="duplicateValues" dxfId="26681" priority="26694"/>
    <cfRule type="duplicateValues" dxfId="26680" priority="26693"/>
    <cfRule type="duplicateValues" dxfId="26679" priority="26692"/>
    <cfRule type="duplicateValues" dxfId="26678" priority="26691"/>
    <cfRule type="duplicateValues" dxfId="26677" priority="26690"/>
    <cfRule type="duplicateValues" dxfId="26676" priority="26689"/>
    <cfRule type="duplicateValues" dxfId="26675" priority="26688"/>
    <cfRule type="duplicateValues" dxfId="26674" priority="26687"/>
    <cfRule type="duplicateValues" dxfId="26673" priority="26686"/>
    <cfRule type="duplicateValues" dxfId="26672" priority="26685"/>
    <cfRule type="duplicateValues" dxfId="26671" priority="26684"/>
    <cfRule type="duplicateValues" dxfId="26670" priority="26683"/>
    <cfRule type="duplicateValues" dxfId="26669" priority="26682"/>
    <cfRule type="duplicateValues" dxfId="26668" priority="26681"/>
    <cfRule type="duplicateValues" dxfId="26667" priority="26680"/>
    <cfRule type="duplicateValues" dxfId="26666" priority="26679"/>
    <cfRule type="duplicateValues" dxfId="26665" priority="26678"/>
    <cfRule type="duplicateValues" dxfId="26664" priority="26677"/>
    <cfRule type="duplicateValues" dxfId="26663" priority="26676"/>
    <cfRule type="duplicateValues" dxfId="26662" priority="26675"/>
    <cfRule type="duplicateValues" dxfId="26661" priority="26674"/>
    <cfRule type="duplicateValues" dxfId="26660" priority="26673"/>
    <cfRule type="duplicateValues" dxfId="26659" priority="26672"/>
    <cfRule type="duplicateValues" dxfId="26658" priority="26671"/>
    <cfRule type="duplicateValues" dxfId="26657" priority="26670"/>
    <cfRule type="duplicateValues" dxfId="26656" priority="26669"/>
    <cfRule type="duplicateValues" dxfId="26655" priority="26668"/>
    <cfRule type="duplicateValues" dxfId="26654" priority="26667"/>
    <cfRule type="duplicateValues" dxfId="26653" priority="26666"/>
    <cfRule type="duplicateValues" dxfId="26652" priority="26665"/>
    <cfRule type="duplicateValues" dxfId="26651" priority="26664"/>
    <cfRule type="duplicateValues" dxfId="26650" priority="26663"/>
    <cfRule type="duplicateValues" dxfId="26649" priority="26662"/>
    <cfRule type="duplicateValues" dxfId="26648" priority="26661"/>
    <cfRule type="duplicateValues" dxfId="26647" priority="26660"/>
    <cfRule type="duplicateValues" dxfId="26646" priority="26659"/>
    <cfRule type="duplicateValues" dxfId="26645" priority="26658"/>
    <cfRule type="duplicateValues" dxfId="26644" priority="26657"/>
    <cfRule type="duplicateValues" dxfId="26643" priority="26656"/>
    <cfRule type="duplicateValues" dxfId="26642" priority="26655"/>
    <cfRule type="duplicateValues" dxfId="26641" priority="26654"/>
    <cfRule type="duplicateValues" dxfId="26640" priority="26653"/>
    <cfRule type="duplicateValues" dxfId="26639" priority="26652"/>
    <cfRule type="duplicateValues" dxfId="26638" priority="26651"/>
    <cfRule type="duplicateValues" dxfId="26637" priority="26650"/>
    <cfRule type="duplicateValues" dxfId="26636" priority="26649"/>
    <cfRule type="duplicateValues" dxfId="26635" priority="26648"/>
    <cfRule type="duplicateValues" dxfId="26634" priority="26647"/>
    <cfRule type="duplicateValues" dxfId="26633" priority="26646"/>
    <cfRule type="duplicateValues" dxfId="26632" priority="26645"/>
    <cfRule type="duplicateValues" dxfId="26631" priority="26644"/>
    <cfRule type="duplicateValues" dxfId="26630" priority="26643"/>
    <cfRule type="duplicateValues" dxfId="26629" priority="26642"/>
    <cfRule type="duplicateValues" dxfId="26628" priority="26641"/>
    <cfRule type="duplicateValues" dxfId="26627" priority="26640"/>
    <cfRule type="duplicateValues" dxfId="26626" priority="26639"/>
    <cfRule type="duplicateValues" dxfId="26625" priority="26638"/>
    <cfRule type="duplicateValues" dxfId="26624" priority="26637"/>
    <cfRule type="duplicateValues" dxfId="26623" priority="26636"/>
    <cfRule type="duplicateValues" dxfId="26622" priority="26565"/>
    <cfRule type="duplicateValues" dxfId="26621" priority="26634"/>
    <cfRule type="duplicateValues" dxfId="26620" priority="26633"/>
    <cfRule type="duplicateValues" dxfId="26619" priority="26632"/>
    <cfRule type="duplicateValues" dxfId="26618" priority="26631"/>
    <cfRule type="duplicateValues" dxfId="26617" priority="26630"/>
    <cfRule type="duplicateValues" dxfId="26616" priority="26629"/>
    <cfRule type="duplicateValues" dxfId="26615" priority="26628"/>
    <cfRule type="duplicateValues" dxfId="26614" priority="26627"/>
    <cfRule type="duplicateValues" dxfId="26613" priority="26626"/>
    <cfRule type="duplicateValues" dxfId="26612" priority="26625"/>
    <cfRule type="duplicateValues" dxfId="26611" priority="26624"/>
    <cfRule type="duplicateValues" dxfId="26610" priority="26623"/>
    <cfRule type="duplicateValues" dxfId="26609" priority="26622"/>
    <cfRule type="duplicateValues" dxfId="26608" priority="26621"/>
    <cfRule type="duplicateValues" dxfId="26607" priority="26620"/>
    <cfRule type="duplicateValues" dxfId="26606" priority="26619"/>
    <cfRule type="duplicateValues" dxfId="26605" priority="26618"/>
    <cfRule type="duplicateValues" dxfId="26604" priority="26617"/>
    <cfRule type="duplicateValues" dxfId="26603" priority="26616"/>
    <cfRule type="duplicateValues" dxfId="26602" priority="26615"/>
    <cfRule type="duplicateValues" dxfId="26601" priority="26614"/>
    <cfRule type="duplicateValues" dxfId="26600" priority="26613"/>
    <cfRule type="duplicateValues" dxfId="26599" priority="26612"/>
    <cfRule type="duplicateValues" dxfId="26598" priority="26611"/>
    <cfRule type="duplicateValues" dxfId="26597" priority="26610"/>
    <cfRule type="duplicateValues" dxfId="26596" priority="26609"/>
    <cfRule type="duplicateValues" dxfId="26595" priority="26608"/>
    <cfRule type="duplicateValues" dxfId="26594" priority="26607"/>
    <cfRule type="duplicateValues" dxfId="26593" priority="26606"/>
    <cfRule type="duplicateValues" dxfId="26592" priority="26605"/>
    <cfRule type="duplicateValues" dxfId="26591" priority="26604"/>
    <cfRule type="duplicateValues" dxfId="26590" priority="26603"/>
    <cfRule type="duplicateValues" dxfId="26589" priority="26602"/>
    <cfRule type="duplicateValues" dxfId="26588" priority="26601"/>
    <cfRule type="duplicateValues" dxfId="26587" priority="26600"/>
    <cfRule type="duplicateValues" dxfId="26586" priority="26599"/>
    <cfRule type="duplicateValues" dxfId="26585" priority="26598"/>
    <cfRule type="duplicateValues" dxfId="26584" priority="26597"/>
    <cfRule type="duplicateValues" dxfId="26583" priority="26596"/>
    <cfRule type="duplicateValues" dxfId="26582" priority="26595"/>
    <cfRule type="duplicateValues" dxfId="26581" priority="26594"/>
    <cfRule type="duplicateValues" dxfId="26580" priority="26593"/>
    <cfRule type="duplicateValues" dxfId="26579" priority="26592"/>
    <cfRule type="duplicateValues" dxfId="26578" priority="26591"/>
    <cfRule type="duplicateValues" dxfId="26577" priority="26590"/>
    <cfRule type="duplicateValues" dxfId="26576" priority="26589"/>
    <cfRule type="duplicateValues" dxfId="26575" priority="26588"/>
    <cfRule type="duplicateValues" dxfId="26574" priority="26587"/>
    <cfRule type="duplicateValues" dxfId="26573" priority="26586"/>
    <cfRule type="duplicateValues" dxfId="26572" priority="26585"/>
    <cfRule type="duplicateValues" dxfId="26571" priority="26584"/>
    <cfRule type="duplicateValues" dxfId="26570" priority="26583"/>
    <cfRule type="duplicateValues" dxfId="26569" priority="26582"/>
    <cfRule type="duplicateValues" dxfId="26568" priority="26581"/>
    <cfRule type="duplicateValues" dxfId="26567" priority="26580"/>
    <cfRule type="duplicateValues" dxfId="26566" priority="26579"/>
    <cfRule type="duplicateValues" dxfId="26565" priority="26578"/>
    <cfRule type="duplicateValues" dxfId="26564" priority="26577"/>
    <cfRule type="duplicateValues" dxfId="26563" priority="26576"/>
    <cfRule type="duplicateValues" dxfId="26562" priority="26575"/>
    <cfRule type="duplicateValues" dxfId="26561" priority="26574"/>
    <cfRule type="duplicateValues" dxfId="26560" priority="26573"/>
    <cfRule type="duplicateValues" dxfId="26559" priority="26572"/>
    <cfRule type="duplicateValues" dxfId="26558" priority="26571"/>
    <cfRule type="duplicateValues" dxfId="26557" priority="26570"/>
    <cfRule type="duplicateValues" dxfId="26556" priority="26569"/>
  </conditionalFormatting>
  <conditionalFormatting sqref="B160:B161">
    <cfRule type="duplicateValues" dxfId="26555" priority="26391"/>
    <cfRule type="duplicateValues" dxfId="26554" priority="26390"/>
    <cfRule type="duplicateValues" dxfId="26553" priority="26389"/>
    <cfRule type="duplicateValues" dxfId="26552" priority="26501"/>
    <cfRule type="duplicateValues" dxfId="26551" priority="26564"/>
    <cfRule type="duplicateValues" dxfId="26550" priority="26563"/>
    <cfRule type="duplicateValues" dxfId="26549" priority="26562"/>
    <cfRule type="duplicateValues" dxfId="26548" priority="26561"/>
    <cfRule type="duplicateValues" dxfId="26547" priority="26560"/>
    <cfRule type="duplicateValues" dxfId="26546" priority="26559"/>
    <cfRule type="duplicateValues" dxfId="26545" priority="26558"/>
    <cfRule type="duplicateValues" dxfId="26544" priority="26557"/>
    <cfRule type="duplicateValues" dxfId="26543" priority="26556"/>
    <cfRule type="duplicateValues" dxfId="26542" priority="26555"/>
    <cfRule type="duplicateValues" dxfId="26541" priority="26554"/>
    <cfRule type="duplicateValues" dxfId="26540" priority="26553"/>
    <cfRule type="duplicateValues" dxfId="26539" priority="26552"/>
    <cfRule type="duplicateValues" dxfId="26538" priority="26551"/>
    <cfRule type="duplicateValues" dxfId="26537" priority="26550"/>
    <cfRule type="duplicateValues" dxfId="26536" priority="26549"/>
    <cfRule type="duplicateValues" dxfId="26535" priority="26548"/>
    <cfRule type="duplicateValues" dxfId="26534" priority="26547"/>
    <cfRule type="duplicateValues" dxfId="26533" priority="26546"/>
    <cfRule type="duplicateValues" dxfId="26532" priority="26545"/>
    <cfRule type="duplicateValues" dxfId="26531" priority="26544"/>
    <cfRule type="duplicateValues" dxfId="26530" priority="26543"/>
    <cfRule type="duplicateValues" dxfId="26529" priority="26542"/>
    <cfRule type="duplicateValues" dxfId="26528" priority="26541"/>
    <cfRule type="duplicateValues" dxfId="26527" priority="26540"/>
    <cfRule type="duplicateValues" dxfId="26526" priority="26539"/>
    <cfRule type="duplicateValues" dxfId="26525" priority="26538"/>
    <cfRule type="duplicateValues" dxfId="26524" priority="26537"/>
    <cfRule type="duplicateValues" dxfId="26523" priority="26536"/>
    <cfRule type="duplicateValues" dxfId="26522" priority="26535"/>
    <cfRule type="duplicateValues" dxfId="26521" priority="26534"/>
    <cfRule type="duplicateValues" dxfId="26520" priority="26533"/>
    <cfRule type="duplicateValues" dxfId="26519" priority="26532"/>
    <cfRule type="duplicateValues" dxfId="26518" priority="26531"/>
    <cfRule type="duplicateValues" dxfId="26517" priority="26530"/>
    <cfRule type="duplicateValues" dxfId="26516" priority="26529"/>
    <cfRule type="duplicateValues" dxfId="26515" priority="26528"/>
    <cfRule type="duplicateValues" dxfId="26514" priority="26527"/>
    <cfRule type="duplicateValues" dxfId="26513" priority="26526"/>
    <cfRule type="duplicateValues" dxfId="26512" priority="26525"/>
    <cfRule type="duplicateValues" dxfId="26511" priority="26524"/>
    <cfRule type="duplicateValues" dxfId="26510" priority="26523"/>
    <cfRule type="duplicateValues" dxfId="26509" priority="26522"/>
    <cfRule type="duplicateValues" dxfId="26508" priority="26521"/>
    <cfRule type="duplicateValues" dxfId="26507" priority="26520"/>
    <cfRule type="duplicateValues" dxfId="26506" priority="26519"/>
    <cfRule type="duplicateValues" dxfId="26505" priority="26518"/>
    <cfRule type="duplicateValues" dxfId="26504" priority="26517"/>
    <cfRule type="duplicateValues" dxfId="26503" priority="26516"/>
    <cfRule type="duplicateValues" dxfId="26502" priority="26515"/>
    <cfRule type="duplicateValues" dxfId="26501" priority="26514"/>
    <cfRule type="duplicateValues" dxfId="26500" priority="26513"/>
    <cfRule type="duplicateValues" dxfId="26499" priority="26512"/>
    <cfRule type="duplicateValues" dxfId="26498" priority="26511"/>
    <cfRule type="duplicateValues" dxfId="26497" priority="26510"/>
    <cfRule type="duplicateValues" dxfId="26496" priority="26509"/>
    <cfRule type="duplicateValues" dxfId="26495" priority="26508"/>
    <cfRule type="duplicateValues" dxfId="26494" priority="26507"/>
    <cfRule type="duplicateValues" dxfId="26493" priority="26506"/>
    <cfRule type="duplicateValues" dxfId="26492" priority="26505"/>
    <cfRule type="duplicateValues" dxfId="26491" priority="26504"/>
    <cfRule type="duplicateValues" dxfId="26490" priority="26503"/>
    <cfRule type="duplicateValues" dxfId="26489" priority="26502"/>
    <cfRule type="duplicateValues" dxfId="26488" priority="26388"/>
    <cfRule type="duplicateValues" dxfId="26487" priority="26500"/>
    <cfRule type="duplicateValues" dxfId="26486" priority="26499"/>
    <cfRule type="duplicateValues" dxfId="26485" priority="26498"/>
    <cfRule type="duplicateValues" dxfId="26484" priority="26497"/>
    <cfRule type="duplicateValues" dxfId="26483" priority="26496"/>
    <cfRule type="duplicateValues" dxfId="26482" priority="26495"/>
    <cfRule type="duplicateValues" dxfId="26481" priority="26494"/>
    <cfRule type="duplicateValues" dxfId="26480" priority="26493"/>
    <cfRule type="duplicateValues" dxfId="26479" priority="26492"/>
    <cfRule type="duplicateValues" dxfId="26478" priority="26491"/>
    <cfRule type="duplicateValues" dxfId="26477" priority="26490"/>
    <cfRule type="duplicateValues" dxfId="26476" priority="26489"/>
    <cfRule type="duplicateValues" dxfId="26475" priority="26488"/>
    <cfRule type="duplicateValues" dxfId="26474" priority="26487"/>
    <cfRule type="duplicateValues" dxfId="26473" priority="26486"/>
    <cfRule type="duplicateValues" dxfId="26472" priority="26485"/>
    <cfRule type="duplicateValues" dxfId="26471" priority="26484"/>
    <cfRule type="duplicateValues" dxfId="26470" priority="26483"/>
    <cfRule type="duplicateValues" dxfId="26469" priority="26482"/>
    <cfRule type="duplicateValues" dxfId="26468" priority="26481"/>
    <cfRule type="duplicateValues" dxfId="26467" priority="26480"/>
    <cfRule type="duplicateValues" dxfId="26466" priority="26479"/>
    <cfRule type="duplicateValues" dxfId="26465" priority="26478"/>
    <cfRule type="duplicateValues" dxfId="26464" priority="26477"/>
    <cfRule type="duplicateValues" dxfId="26463" priority="26476"/>
    <cfRule type="duplicateValues" dxfId="26462" priority="26475"/>
    <cfRule type="duplicateValues" dxfId="26461" priority="26474"/>
    <cfRule type="duplicateValues" dxfId="26460" priority="26473"/>
    <cfRule type="duplicateValues" dxfId="26459" priority="26472"/>
    <cfRule type="duplicateValues" dxfId="26458" priority="26471"/>
    <cfRule type="duplicateValues" dxfId="26457" priority="26470"/>
    <cfRule type="duplicateValues" dxfId="26456" priority="26469"/>
    <cfRule type="duplicateValues" dxfId="26455" priority="26468"/>
    <cfRule type="duplicateValues" dxfId="26454" priority="26467"/>
    <cfRule type="duplicateValues" dxfId="26453" priority="26466"/>
    <cfRule type="duplicateValues" dxfId="26452" priority="26465"/>
    <cfRule type="duplicateValues" dxfId="26451" priority="26464"/>
    <cfRule type="duplicateValues" dxfId="26450" priority="26463"/>
    <cfRule type="duplicateValues" dxfId="26449" priority="26462"/>
    <cfRule type="duplicateValues" dxfId="26448" priority="26461"/>
    <cfRule type="duplicateValues" dxfId="26447" priority="26460"/>
    <cfRule type="duplicateValues" dxfId="26446" priority="26459"/>
    <cfRule type="duplicateValues" dxfId="26445" priority="26458"/>
    <cfRule type="duplicateValues" dxfId="26444" priority="26457"/>
    <cfRule type="duplicateValues" dxfId="26443" priority="26456"/>
    <cfRule type="duplicateValues" dxfId="26442" priority="26455"/>
    <cfRule type="duplicateValues" dxfId="26441" priority="26454"/>
    <cfRule type="duplicateValues" dxfId="26440" priority="26453"/>
    <cfRule type="duplicateValues" dxfId="26439" priority="26452"/>
    <cfRule type="duplicateValues" dxfId="26438" priority="26451"/>
    <cfRule type="duplicateValues" dxfId="26437" priority="26450"/>
    <cfRule type="duplicateValues" dxfId="26436" priority="26449"/>
    <cfRule type="duplicateValues" dxfId="26435" priority="26448"/>
    <cfRule type="duplicateValues" dxfId="26434" priority="26447"/>
    <cfRule type="duplicateValues" dxfId="26433" priority="26446"/>
    <cfRule type="duplicateValues" dxfId="26432" priority="26445"/>
    <cfRule type="duplicateValues" dxfId="26431" priority="26444"/>
    <cfRule type="duplicateValues" dxfId="26430" priority="26443"/>
    <cfRule type="duplicateValues" dxfId="26429" priority="26442"/>
    <cfRule type="duplicateValues" dxfId="26428" priority="26441"/>
    <cfRule type="duplicateValues" dxfId="26427" priority="26440"/>
    <cfRule type="duplicateValues" dxfId="26426" priority="26439"/>
    <cfRule type="duplicateValues" dxfId="26425" priority="26438"/>
    <cfRule type="duplicateValues" dxfId="26424" priority="26437"/>
    <cfRule type="duplicateValues" dxfId="26423" priority="26436"/>
    <cfRule type="duplicateValues" dxfId="26422" priority="26435"/>
    <cfRule type="duplicateValues" dxfId="26421" priority="26434"/>
    <cfRule type="duplicateValues" dxfId="26420" priority="26433"/>
    <cfRule type="duplicateValues" dxfId="26419" priority="26432"/>
    <cfRule type="duplicateValues" dxfId="26418" priority="26431"/>
    <cfRule type="duplicateValues" dxfId="26417" priority="26430"/>
    <cfRule type="duplicateValues" dxfId="26416" priority="26429"/>
    <cfRule type="duplicateValues" dxfId="26415" priority="26428"/>
    <cfRule type="duplicateValues" dxfId="26414" priority="26427"/>
    <cfRule type="duplicateValues" dxfId="26413" priority="26426"/>
    <cfRule type="duplicateValues" dxfId="26412" priority="26425"/>
    <cfRule type="duplicateValues" dxfId="26411" priority="26424"/>
    <cfRule type="duplicateValues" dxfId="26410" priority="26423"/>
    <cfRule type="duplicateValues" dxfId="26409" priority="26422"/>
    <cfRule type="duplicateValues" dxfId="26408" priority="26421"/>
    <cfRule type="duplicateValues" dxfId="26407" priority="26420"/>
    <cfRule type="duplicateValues" dxfId="26406" priority="26419"/>
    <cfRule type="duplicateValues" dxfId="26405" priority="26418"/>
    <cfRule type="duplicateValues" dxfId="26404" priority="26417"/>
    <cfRule type="duplicateValues" dxfId="26403" priority="26416"/>
    <cfRule type="duplicateValues" dxfId="26402" priority="26415"/>
    <cfRule type="duplicateValues" dxfId="26401" priority="26414"/>
    <cfRule type="duplicateValues" dxfId="26400" priority="26413"/>
    <cfRule type="duplicateValues" dxfId="26399" priority="26412"/>
    <cfRule type="duplicateValues" dxfId="26398" priority="26411"/>
    <cfRule type="duplicateValues" dxfId="26397" priority="26410"/>
    <cfRule type="duplicateValues" dxfId="26396" priority="26409"/>
    <cfRule type="duplicateValues" dxfId="26395" priority="26408"/>
    <cfRule type="duplicateValues" dxfId="26394" priority="26407"/>
    <cfRule type="duplicateValues" dxfId="26393" priority="26406"/>
    <cfRule type="duplicateValues" dxfId="26392" priority="26405"/>
    <cfRule type="duplicateValues" dxfId="26391" priority="26404"/>
    <cfRule type="duplicateValues" dxfId="26390" priority="26403"/>
    <cfRule type="duplicateValues" dxfId="26389" priority="26402"/>
    <cfRule type="duplicateValues" dxfId="26388" priority="26401"/>
    <cfRule type="duplicateValues" dxfId="26387" priority="26400"/>
    <cfRule type="duplicateValues" dxfId="26386" priority="26399"/>
    <cfRule type="duplicateValues" dxfId="26385" priority="26398"/>
    <cfRule type="duplicateValues" dxfId="26384" priority="26397"/>
    <cfRule type="duplicateValues" dxfId="26383" priority="26396"/>
    <cfRule type="duplicateValues" dxfId="26382" priority="26395"/>
    <cfRule type="duplicateValues" dxfId="26381" priority="26394"/>
    <cfRule type="duplicateValues" dxfId="26380" priority="26393"/>
    <cfRule type="duplicateValues" dxfId="26379" priority="26392"/>
  </conditionalFormatting>
  <conditionalFormatting sqref="B162">
    <cfRule type="duplicateValues" dxfId="26378" priority="26213"/>
    <cfRule type="duplicateValues" dxfId="26377" priority="26212"/>
    <cfRule type="duplicateValues" dxfId="26376" priority="26211"/>
    <cfRule type="duplicateValues" dxfId="26375" priority="26220"/>
    <cfRule type="duplicateValues" dxfId="26374" priority="26387"/>
    <cfRule type="duplicateValues" dxfId="26373" priority="26386"/>
    <cfRule type="duplicateValues" dxfId="26372" priority="26385"/>
    <cfRule type="duplicateValues" dxfId="26371" priority="26384"/>
    <cfRule type="duplicateValues" dxfId="26370" priority="26383"/>
    <cfRule type="duplicateValues" dxfId="26369" priority="26382"/>
    <cfRule type="duplicateValues" dxfId="26368" priority="26381"/>
    <cfRule type="duplicateValues" dxfId="26367" priority="26380"/>
    <cfRule type="duplicateValues" dxfId="26366" priority="26379"/>
    <cfRule type="duplicateValues" dxfId="26365" priority="26378"/>
    <cfRule type="duplicateValues" dxfId="26364" priority="26377"/>
    <cfRule type="duplicateValues" dxfId="26363" priority="26376"/>
    <cfRule type="duplicateValues" dxfId="26362" priority="26375"/>
    <cfRule type="duplicateValues" dxfId="26361" priority="26374"/>
    <cfRule type="duplicateValues" dxfId="26360" priority="26373"/>
    <cfRule type="duplicateValues" dxfId="26359" priority="26372"/>
    <cfRule type="duplicateValues" dxfId="26358" priority="26371"/>
    <cfRule type="duplicateValues" dxfId="26357" priority="26370"/>
    <cfRule type="duplicateValues" dxfId="26356" priority="26369"/>
    <cfRule type="duplicateValues" dxfId="26355" priority="26368"/>
    <cfRule type="duplicateValues" dxfId="26354" priority="26367"/>
    <cfRule type="duplicateValues" dxfId="26353" priority="26366"/>
    <cfRule type="duplicateValues" dxfId="26352" priority="26365"/>
    <cfRule type="duplicateValues" dxfId="26351" priority="26364"/>
    <cfRule type="duplicateValues" dxfId="26350" priority="26363"/>
    <cfRule type="duplicateValues" dxfId="26349" priority="26362"/>
    <cfRule type="duplicateValues" dxfId="26348" priority="26361"/>
    <cfRule type="duplicateValues" dxfId="26347" priority="26360"/>
    <cfRule type="duplicateValues" dxfId="26346" priority="26359"/>
    <cfRule type="duplicateValues" dxfId="26345" priority="26358"/>
    <cfRule type="duplicateValues" dxfId="26344" priority="26357"/>
    <cfRule type="duplicateValues" dxfId="26343" priority="26356"/>
    <cfRule type="duplicateValues" dxfId="26342" priority="26355"/>
    <cfRule type="duplicateValues" dxfId="26341" priority="26354"/>
    <cfRule type="duplicateValues" dxfId="26340" priority="26353"/>
    <cfRule type="duplicateValues" dxfId="26339" priority="26352"/>
    <cfRule type="duplicateValues" dxfId="26338" priority="26351"/>
    <cfRule type="duplicateValues" dxfId="26337" priority="26350"/>
    <cfRule type="duplicateValues" dxfId="26336" priority="26349"/>
    <cfRule type="duplicateValues" dxfId="26335" priority="26348"/>
    <cfRule type="duplicateValues" dxfId="26334" priority="26347"/>
    <cfRule type="duplicateValues" dxfId="26333" priority="26346"/>
    <cfRule type="duplicateValues" dxfId="26332" priority="26345"/>
    <cfRule type="duplicateValues" dxfId="26331" priority="26344"/>
    <cfRule type="duplicateValues" dxfId="26330" priority="26343"/>
    <cfRule type="duplicateValues" dxfId="26329" priority="26342"/>
    <cfRule type="duplicateValues" dxfId="26328" priority="26341"/>
    <cfRule type="duplicateValues" dxfId="26327" priority="26340"/>
    <cfRule type="duplicateValues" dxfId="26326" priority="26339"/>
    <cfRule type="duplicateValues" dxfId="26325" priority="26338"/>
    <cfRule type="duplicateValues" dxfId="26324" priority="26337"/>
    <cfRule type="duplicateValues" dxfId="26323" priority="26336"/>
    <cfRule type="duplicateValues" dxfId="26322" priority="26335"/>
    <cfRule type="duplicateValues" dxfId="26321" priority="26334"/>
    <cfRule type="duplicateValues" dxfId="26320" priority="26333"/>
    <cfRule type="duplicateValues" dxfId="26319" priority="26332"/>
    <cfRule type="duplicateValues" dxfId="26318" priority="26331"/>
    <cfRule type="duplicateValues" dxfId="26317" priority="26330"/>
    <cfRule type="duplicateValues" dxfId="26316" priority="26329"/>
    <cfRule type="duplicateValues" dxfId="26315" priority="26328"/>
    <cfRule type="duplicateValues" dxfId="26314" priority="26327"/>
    <cfRule type="duplicateValues" dxfId="26313" priority="26326"/>
    <cfRule type="duplicateValues" dxfId="26312" priority="26325"/>
    <cfRule type="duplicateValues" dxfId="26311" priority="26324"/>
    <cfRule type="duplicateValues" dxfId="26310" priority="26323"/>
    <cfRule type="duplicateValues" dxfId="26309" priority="26322"/>
    <cfRule type="duplicateValues" dxfId="26308" priority="26321"/>
    <cfRule type="duplicateValues" dxfId="26307" priority="26320"/>
    <cfRule type="duplicateValues" dxfId="26306" priority="26319"/>
    <cfRule type="duplicateValues" dxfId="26305" priority="26318"/>
    <cfRule type="duplicateValues" dxfId="26304" priority="26317"/>
    <cfRule type="duplicateValues" dxfId="26303" priority="26316"/>
    <cfRule type="duplicateValues" dxfId="26302" priority="26315"/>
    <cfRule type="duplicateValues" dxfId="26301" priority="26314"/>
    <cfRule type="duplicateValues" dxfId="26300" priority="26313"/>
    <cfRule type="duplicateValues" dxfId="26299" priority="26312"/>
    <cfRule type="duplicateValues" dxfId="26298" priority="26311"/>
    <cfRule type="duplicateValues" dxfId="26297" priority="26310"/>
    <cfRule type="duplicateValues" dxfId="26296" priority="26309"/>
    <cfRule type="duplicateValues" dxfId="26295" priority="26308"/>
    <cfRule type="duplicateValues" dxfId="26294" priority="26307"/>
    <cfRule type="duplicateValues" dxfId="26293" priority="26306"/>
    <cfRule type="duplicateValues" dxfId="26292" priority="26305"/>
    <cfRule type="duplicateValues" dxfId="26291" priority="26304"/>
    <cfRule type="duplicateValues" dxfId="26290" priority="26303"/>
    <cfRule type="duplicateValues" dxfId="26289" priority="26302"/>
    <cfRule type="duplicateValues" dxfId="26288" priority="26301"/>
    <cfRule type="duplicateValues" dxfId="26287" priority="26300"/>
    <cfRule type="duplicateValues" dxfId="26286" priority="26299"/>
    <cfRule type="duplicateValues" dxfId="26285" priority="26298"/>
    <cfRule type="duplicateValues" dxfId="26284" priority="26297"/>
    <cfRule type="duplicateValues" dxfId="26283" priority="26296"/>
    <cfRule type="duplicateValues" dxfId="26282" priority="26295"/>
    <cfRule type="duplicateValues" dxfId="26281" priority="26294"/>
    <cfRule type="duplicateValues" dxfId="26280" priority="26293"/>
    <cfRule type="duplicateValues" dxfId="26279" priority="26292"/>
    <cfRule type="duplicateValues" dxfId="26278" priority="26291"/>
    <cfRule type="duplicateValues" dxfId="26277" priority="26290"/>
    <cfRule type="duplicateValues" dxfId="26276" priority="26289"/>
    <cfRule type="duplicateValues" dxfId="26275" priority="26288"/>
    <cfRule type="duplicateValues" dxfId="26274" priority="26287"/>
    <cfRule type="duplicateValues" dxfId="26273" priority="26286"/>
    <cfRule type="duplicateValues" dxfId="26272" priority="26285"/>
    <cfRule type="duplicateValues" dxfId="26271" priority="26284"/>
    <cfRule type="duplicateValues" dxfId="26270" priority="26283"/>
    <cfRule type="duplicateValues" dxfId="26269" priority="26282"/>
    <cfRule type="duplicateValues" dxfId="26268" priority="26281"/>
    <cfRule type="duplicateValues" dxfId="26267" priority="26280"/>
    <cfRule type="duplicateValues" dxfId="26266" priority="26279"/>
    <cfRule type="duplicateValues" dxfId="26265" priority="26278"/>
    <cfRule type="duplicateValues" dxfId="26264" priority="26277"/>
    <cfRule type="duplicateValues" dxfId="26263" priority="26276"/>
    <cfRule type="duplicateValues" dxfId="26262" priority="26275"/>
    <cfRule type="duplicateValues" dxfId="26261" priority="26274"/>
    <cfRule type="duplicateValues" dxfId="26260" priority="26273"/>
    <cfRule type="duplicateValues" dxfId="26259" priority="26272"/>
    <cfRule type="duplicateValues" dxfId="26258" priority="26271"/>
    <cfRule type="duplicateValues" dxfId="26257" priority="26270"/>
    <cfRule type="duplicateValues" dxfId="26256" priority="26269"/>
    <cfRule type="duplicateValues" dxfId="26255" priority="26268"/>
    <cfRule type="duplicateValues" dxfId="26254" priority="26267"/>
    <cfRule type="duplicateValues" dxfId="26253" priority="26266"/>
    <cfRule type="duplicateValues" dxfId="26252" priority="26265"/>
    <cfRule type="duplicateValues" dxfId="26251" priority="26264"/>
    <cfRule type="duplicateValues" dxfId="26250" priority="26263"/>
    <cfRule type="duplicateValues" dxfId="26249" priority="26262"/>
    <cfRule type="duplicateValues" dxfId="26248" priority="26261"/>
    <cfRule type="duplicateValues" dxfId="26247" priority="26260"/>
    <cfRule type="duplicateValues" dxfId="26246" priority="26259"/>
    <cfRule type="duplicateValues" dxfId="26245" priority="26258"/>
    <cfRule type="duplicateValues" dxfId="26244" priority="26257"/>
    <cfRule type="duplicateValues" dxfId="26243" priority="26256"/>
    <cfRule type="duplicateValues" dxfId="26242" priority="26255"/>
    <cfRule type="duplicateValues" dxfId="26241" priority="26254"/>
    <cfRule type="duplicateValues" dxfId="26240" priority="26253"/>
    <cfRule type="duplicateValues" dxfId="26239" priority="26252"/>
    <cfRule type="duplicateValues" dxfId="26238" priority="26251"/>
    <cfRule type="duplicateValues" dxfId="26237" priority="26250"/>
    <cfRule type="duplicateValues" dxfId="26236" priority="26249"/>
    <cfRule type="duplicateValues" dxfId="26235" priority="26248"/>
    <cfRule type="duplicateValues" dxfId="26234" priority="26247"/>
    <cfRule type="duplicateValues" dxfId="26233" priority="26246"/>
    <cfRule type="duplicateValues" dxfId="26232" priority="26245"/>
    <cfRule type="duplicateValues" dxfId="26231" priority="26244"/>
    <cfRule type="duplicateValues" dxfId="26230" priority="26243"/>
    <cfRule type="duplicateValues" dxfId="26229" priority="26242"/>
    <cfRule type="duplicateValues" dxfId="26228" priority="26241"/>
    <cfRule type="duplicateValues" dxfId="26227" priority="26240"/>
    <cfRule type="duplicateValues" dxfId="26226" priority="26239"/>
    <cfRule type="duplicateValues" dxfId="26225" priority="26238"/>
    <cfRule type="duplicateValues" dxfId="26224" priority="26237"/>
    <cfRule type="duplicateValues" dxfId="26223" priority="26236"/>
    <cfRule type="duplicateValues" dxfId="26222" priority="26235"/>
    <cfRule type="duplicateValues" dxfId="26221" priority="26234"/>
    <cfRule type="duplicateValues" dxfId="26220" priority="26233"/>
    <cfRule type="duplicateValues" dxfId="26219" priority="26232"/>
    <cfRule type="duplicateValues" dxfId="26218" priority="26231"/>
    <cfRule type="duplicateValues" dxfId="26217" priority="26230"/>
    <cfRule type="duplicateValues" dxfId="26216" priority="26229"/>
    <cfRule type="duplicateValues" dxfId="26215" priority="26228"/>
    <cfRule type="duplicateValues" dxfId="26214" priority="26227"/>
    <cfRule type="duplicateValues" dxfId="26213" priority="26226"/>
    <cfRule type="duplicateValues" dxfId="26212" priority="26225"/>
    <cfRule type="duplicateValues" dxfId="26211" priority="26224"/>
    <cfRule type="duplicateValues" dxfId="26210" priority="26223"/>
    <cfRule type="duplicateValues" dxfId="26209" priority="26222"/>
    <cfRule type="duplicateValues" dxfId="26208" priority="26221"/>
    <cfRule type="duplicateValues" dxfId="26207" priority="26219"/>
    <cfRule type="duplicateValues" dxfId="26206" priority="26218"/>
    <cfRule type="duplicateValues" dxfId="26205" priority="26217"/>
    <cfRule type="duplicateValues" dxfId="26204" priority="26216"/>
    <cfRule type="duplicateValues" dxfId="26203" priority="26215"/>
    <cfRule type="duplicateValues" dxfId="26202" priority="26214"/>
  </conditionalFormatting>
  <conditionalFormatting sqref="B163">
    <cfRule type="duplicateValues" dxfId="26201" priority="26170"/>
    <cfRule type="duplicateValues" dxfId="26200" priority="26037"/>
    <cfRule type="duplicateValues" dxfId="26199" priority="26036"/>
    <cfRule type="duplicateValues" dxfId="26198" priority="26035"/>
    <cfRule type="duplicateValues" dxfId="26197" priority="26210"/>
    <cfRule type="duplicateValues" dxfId="26196" priority="26209"/>
    <cfRule type="duplicateValues" dxfId="26195" priority="26208"/>
    <cfRule type="duplicateValues" dxfId="26194" priority="26207"/>
    <cfRule type="duplicateValues" dxfId="26193" priority="26206"/>
    <cfRule type="duplicateValues" dxfId="26192" priority="26205"/>
    <cfRule type="duplicateValues" dxfId="26191" priority="26204"/>
    <cfRule type="duplicateValues" dxfId="26190" priority="26203"/>
    <cfRule type="duplicateValues" dxfId="26189" priority="26202"/>
    <cfRule type="duplicateValues" dxfId="26188" priority="26201"/>
    <cfRule type="duplicateValues" dxfId="26187" priority="26200"/>
    <cfRule type="duplicateValues" dxfId="26186" priority="26199"/>
    <cfRule type="duplicateValues" dxfId="26185" priority="26198"/>
    <cfRule type="duplicateValues" dxfId="26184" priority="26197"/>
    <cfRule type="duplicateValues" dxfId="26183" priority="26196"/>
    <cfRule type="duplicateValues" dxfId="26182" priority="26195"/>
    <cfRule type="duplicateValues" dxfId="26181" priority="26194"/>
    <cfRule type="duplicateValues" dxfId="26180" priority="26193"/>
    <cfRule type="duplicateValues" dxfId="26179" priority="26192"/>
    <cfRule type="duplicateValues" dxfId="26178" priority="26191"/>
    <cfRule type="duplicateValues" dxfId="26177" priority="26190"/>
    <cfRule type="duplicateValues" dxfId="26176" priority="26189"/>
    <cfRule type="duplicateValues" dxfId="26175" priority="26188"/>
    <cfRule type="duplicateValues" dxfId="26174" priority="26187"/>
    <cfRule type="duplicateValues" dxfId="26173" priority="26186"/>
    <cfRule type="duplicateValues" dxfId="26172" priority="26185"/>
    <cfRule type="duplicateValues" dxfId="26171" priority="26184"/>
    <cfRule type="duplicateValues" dxfId="26170" priority="26183"/>
    <cfRule type="duplicateValues" dxfId="26169" priority="26182"/>
    <cfRule type="duplicateValues" dxfId="26168" priority="26181"/>
    <cfRule type="duplicateValues" dxfId="26167" priority="26180"/>
    <cfRule type="duplicateValues" dxfId="26166" priority="26179"/>
    <cfRule type="duplicateValues" dxfId="26165" priority="26178"/>
    <cfRule type="duplicateValues" dxfId="26164" priority="26177"/>
    <cfRule type="duplicateValues" dxfId="26163" priority="26176"/>
    <cfRule type="duplicateValues" dxfId="26162" priority="26175"/>
    <cfRule type="duplicateValues" dxfId="26161" priority="26174"/>
    <cfRule type="duplicateValues" dxfId="26160" priority="26173"/>
    <cfRule type="duplicateValues" dxfId="26159" priority="26172"/>
    <cfRule type="duplicateValues" dxfId="26158" priority="26171"/>
    <cfRule type="duplicateValues" dxfId="26157" priority="26126"/>
    <cfRule type="duplicateValues" dxfId="26156" priority="26169"/>
    <cfRule type="duplicateValues" dxfId="26155" priority="26168"/>
    <cfRule type="duplicateValues" dxfId="26154" priority="26167"/>
    <cfRule type="duplicateValues" dxfId="26153" priority="26166"/>
    <cfRule type="duplicateValues" dxfId="26152" priority="26165"/>
    <cfRule type="duplicateValues" dxfId="26151" priority="26164"/>
    <cfRule type="duplicateValues" dxfId="26150" priority="26163"/>
    <cfRule type="duplicateValues" dxfId="26149" priority="26162"/>
    <cfRule type="duplicateValues" dxfId="26148" priority="26161"/>
    <cfRule type="duplicateValues" dxfId="26147" priority="26160"/>
    <cfRule type="duplicateValues" dxfId="26146" priority="26159"/>
    <cfRule type="duplicateValues" dxfId="26145" priority="26158"/>
    <cfRule type="duplicateValues" dxfId="26144" priority="26157"/>
    <cfRule type="duplicateValues" dxfId="26143" priority="26156"/>
    <cfRule type="duplicateValues" dxfId="26142" priority="26155"/>
    <cfRule type="duplicateValues" dxfId="26141" priority="26154"/>
    <cfRule type="duplicateValues" dxfId="26140" priority="26153"/>
    <cfRule type="duplicateValues" dxfId="26139" priority="26152"/>
    <cfRule type="duplicateValues" dxfId="26138" priority="26151"/>
    <cfRule type="duplicateValues" dxfId="26137" priority="26150"/>
    <cfRule type="duplicateValues" dxfId="26136" priority="26149"/>
    <cfRule type="duplicateValues" dxfId="26135" priority="26148"/>
    <cfRule type="duplicateValues" dxfId="26134" priority="26147"/>
    <cfRule type="duplicateValues" dxfId="26133" priority="26146"/>
    <cfRule type="duplicateValues" dxfId="26132" priority="26145"/>
    <cfRule type="duplicateValues" dxfId="26131" priority="26144"/>
    <cfRule type="duplicateValues" dxfId="26130" priority="26143"/>
    <cfRule type="duplicateValues" dxfId="26129" priority="26142"/>
    <cfRule type="duplicateValues" dxfId="26128" priority="26141"/>
    <cfRule type="duplicateValues" dxfId="26127" priority="26140"/>
    <cfRule type="duplicateValues" dxfId="26126" priority="26139"/>
    <cfRule type="duplicateValues" dxfId="26125" priority="26138"/>
    <cfRule type="duplicateValues" dxfId="26124" priority="26137"/>
    <cfRule type="duplicateValues" dxfId="26123" priority="26136"/>
    <cfRule type="duplicateValues" dxfId="26122" priority="26135"/>
    <cfRule type="duplicateValues" dxfId="26121" priority="26134"/>
    <cfRule type="duplicateValues" dxfId="26120" priority="26133"/>
    <cfRule type="duplicateValues" dxfId="26119" priority="26132"/>
    <cfRule type="duplicateValues" dxfId="26118" priority="26131"/>
    <cfRule type="duplicateValues" dxfId="26117" priority="26130"/>
    <cfRule type="duplicateValues" dxfId="26116" priority="26129"/>
    <cfRule type="duplicateValues" dxfId="26115" priority="26128"/>
    <cfRule type="duplicateValues" dxfId="26114" priority="26127"/>
    <cfRule type="duplicateValues" dxfId="26113" priority="26034"/>
    <cfRule type="duplicateValues" dxfId="26112" priority="26125"/>
    <cfRule type="duplicateValues" dxfId="26111" priority="26124"/>
    <cfRule type="duplicateValues" dxfId="26110" priority="26123"/>
    <cfRule type="duplicateValues" dxfId="26109" priority="26122"/>
    <cfRule type="duplicateValues" dxfId="26108" priority="26121"/>
    <cfRule type="duplicateValues" dxfId="26107" priority="26120"/>
    <cfRule type="duplicateValues" dxfId="26106" priority="26119"/>
    <cfRule type="duplicateValues" dxfId="26105" priority="26118"/>
    <cfRule type="duplicateValues" dxfId="26104" priority="26117"/>
    <cfRule type="duplicateValues" dxfId="26103" priority="26116"/>
    <cfRule type="duplicateValues" dxfId="26102" priority="26115"/>
    <cfRule type="duplicateValues" dxfId="26101" priority="26114"/>
    <cfRule type="duplicateValues" dxfId="26100" priority="26113"/>
    <cfRule type="duplicateValues" dxfId="26099" priority="26112"/>
    <cfRule type="duplicateValues" dxfId="26098" priority="26111"/>
    <cfRule type="duplicateValues" dxfId="26097" priority="26110"/>
    <cfRule type="duplicateValues" dxfId="26096" priority="26109"/>
    <cfRule type="duplicateValues" dxfId="26095" priority="26108"/>
    <cfRule type="duplicateValues" dxfId="26094" priority="26107"/>
    <cfRule type="duplicateValues" dxfId="26093" priority="26106"/>
    <cfRule type="duplicateValues" dxfId="26092" priority="26105"/>
    <cfRule type="duplicateValues" dxfId="26091" priority="26104"/>
    <cfRule type="duplicateValues" dxfId="26090" priority="26103"/>
    <cfRule type="duplicateValues" dxfId="26089" priority="26102"/>
    <cfRule type="duplicateValues" dxfId="26088" priority="26101"/>
    <cfRule type="duplicateValues" dxfId="26087" priority="26100"/>
    <cfRule type="duplicateValues" dxfId="26086" priority="26099"/>
    <cfRule type="duplicateValues" dxfId="26085" priority="26098"/>
    <cfRule type="duplicateValues" dxfId="26084" priority="26097"/>
    <cfRule type="duplicateValues" dxfId="26083" priority="26096"/>
    <cfRule type="duplicateValues" dxfId="26082" priority="26095"/>
    <cfRule type="duplicateValues" dxfId="26081" priority="26094"/>
    <cfRule type="duplicateValues" dxfId="26080" priority="26093"/>
    <cfRule type="duplicateValues" dxfId="26079" priority="26092"/>
    <cfRule type="duplicateValues" dxfId="26078" priority="26091"/>
    <cfRule type="duplicateValues" dxfId="26077" priority="26090"/>
    <cfRule type="duplicateValues" dxfId="26076" priority="26089"/>
    <cfRule type="duplicateValues" dxfId="26075" priority="26088"/>
    <cfRule type="duplicateValues" dxfId="26074" priority="26087"/>
    <cfRule type="duplicateValues" dxfId="26073" priority="26086"/>
    <cfRule type="duplicateValues" dxfId="26072" priority="26085"/>
    <cfRule type="duplicateValues" dxfId="26071" priority="26084"/>
    <cfRule type="duplicateValues" dxfId="26070" priority="26083"/>
    <cfRule type="duplicateValues" dxfId="26069" priority="26082"/>
    <cfRule type="duplicateValues" dxfId="26068" priority="26081"/>
    <cfRule type="duplicateValues" dxfId="26067" priority="26080"/>
    <cfRule type="duplicateValues" dxfId="26066" priority="26079"/>
    <cfRule type="duplicateValues" dxfId="26065" priority="26078"/>
    <cfRule type="duplicateValues" dxfId="26064" priority="26077"/>
    <cfRule type="duplicateValues" dxfId="26063" priority="26076"/>
    <cfRule type="duplicateValues" dxfId="26062" priority="26075"/>
    <cfRule type="duplicateValues" dxfId="26061" priority="26074"/>
    <cfRule type="duplicateValues" dxfId="26060" priority="26073"/>
    <cfRule type="duplicateValues" dxfId="26059" priority="26072"/>
    <cfRule type="duplicateValues" dxfId="26058" priority="26071"/>
    <cfRule type="duplicateValues" dxfId="26057" priority="26070"/>
    <cfRule type="duplicateValues" dxfId="26056" priority="26069"/>
    <cfRule type="duplicateValues" dxfId="26055" priority="26068"/>
    <cfRule type="duplicateValues" dxfId="26054" priority="26067"/>
    <cfRule type="duplicateValues" dxfId="26053" priority="26066"/>
    <cfRule type="duplicateValues" dxfId="26052" priority="26065"/>
    <cfRule type="duplicateValues" dxfId="26051" priority="26064"/>
    <cfRule type="duplicateValues" dxfId="26050" priority="26063"/>
    <cfRule type="duplicateValues" dxfId="26049" priority="26062"/>
    <cfRule type="duplicateValues" dxfId="26048" priority="26061"/>
    <cfRule type="duplicateValues" dxfId="26047" priority="26060"/>
    <cfRule type="duplicateValues" dxfId="26046" priority="26059"/>
    <cfRule type="duplicateValues" dxfId="26045" priority="26058"/>
    <cfRule type="duplicateValues" dxfId="26044" priority="26057"/>
    <cfRule type="duplicateValues" dxfId="26043" priority="26056"/>
    <cfRule type="duplicateValues" dxfId="26042" priority="26055"/>
    <cfRule type="duplicateValues" dxfId="26041" priority="26054"/>
    <cfRule type="duplicateValues" dxfId="26040" priority="26053"/>
    <cfRule type="duplicateValues" dxfId="26039" priority="26052"/>
    <cfRule type="duplicateValues" dxfId="26038" priority="26051"/>
    <cfRule type="duplicateValues" dxfId="26037" priority="26050"/>
    <cfRule type="duplicateValues" dxfId="26036" priority="26049"/>
    <cfRule type="duplicateValues" dxfId="26035" priority="26048"/>
    <cfRule type="duplicateValues" dxfId="26034" priority="26047"/>
    <cfRule type="duplicateValues" dxfId="26033" priority="26046"/>
    <cfRule type="duplicateValues" dxfId="26032" priority="26045"/>
    <cfRule type="duplicateValues" dxfId="26031" priority="26044"/>
    <cfRule type="duplicateValues" dxfId="26030" priority="26043"/>
    <cfRule type="duplicateValues" dxfId="26029" priority="26042"/>
    <cfRule type="duplicateValues" dxfId="26028" priority="26041"/>
    <cfRule type="duplicateValues" dxfId="26027" priority="26040"/>
    <cfRule type="duplicateValues" dxfId="26026" priority="26039"/>
    <cfRule type="duplicateValues" dxfId="26025" priority="26038"/>
  </conditionalFormatting>
  <conditionalFormatting sqref="B164:B166">
    <cfRule type="duplicateValues" dxfId="26024" priority="25859"/>
    <cfRule type="duplicateValues" dxfId="26023" priority="25858"/>
    <cfRule type="duplicateValues" dxfId="26022" priority="25857"/>
    <cfRule type="duplicateValues" dxfId="26021" priority="25860"/>
    <cfRule type="duplicateValues" dxfId="26020" priority="26033"/>
    <cfRule type="duplicateValues" dxfId="26019" priority="26032"/>
    <cfRule type="duplicateValues" dxfId="26018" priority="26031"/>
    <cfRule type="duplicateValues" dxfId="26017" priority="26030"/>
    <cfRule type="duplicateValues" dxfId="26016" priority="26029"/>
    <cfRule type="duplicateValues" dxfId="26015" priority="26028"/>
    <cfRule type="duplicateValues" dxfId="26014" priority="26027"/>
    <cfRule type="duplicateValues" dxfId="26013" priority="26026"/>
    <cfRule type="duplicateValues" dxfId="26012" priority="26025"/>
    <cfRule type="duplicateValues" dxfId="26011" priority="26024"/>
    <cfRule type="duplicateValues" dxfId="26010" priority="26023"/>
    <cfRule type="duplicateValues" dxfId="26009" priority="26022"/>
    <cfRule type="duplicateValues" dxfId="26008" priority="26021"/>
    <cfRule type="duplicateValues" dxfId="26007" priority="26020"/>
    <cfRule type="duplicateValues" dxfId="26006" priority="26019"/>
    <cfRule type="duplicateValues" dxfId="26005" priority="26018"/>
    <cfRule type="duplicateValues" dxfId="26004" priority="26017"/>
    <cfRule type="duplicateValues" dxfId="26003" priority="26016"/>
    <cfRule type="duplicateValues" dxfId="26002" priority="26015"/>
    <cfRule type="duplicateValues" dxfId="26001" priority="26014"/>
    <cfRule type="duplicateValues" dxfId="26000" priority="26013"/>
    <cfRule type="duplicateValues" dxfId="25999" priority="26012"/>
    <cfRule type="duplicateValues" dxfId="25998" priority="26011"/>
    <cfRule type="duplicateValues" dxfId="25997" priority="26010"/>
    <cfRule type="duplicateValues" dxfId="25996" priority="26009"/>
    <cfRule type="duplicateValues" dxfId="25995" priority="26008"/>
    <cfRule type="duplicateValues" dxfId="25994" priority="26007"/>
    <cfRule type="duplicateValues" dxfId="25993" priority="26006"/>
    <cfRule type="duplicateValues" dxfId="25992" priority="26005"/>
    <cfRule type="duplicateValues" dxfId="25991" priority="26004"/>
    <cfRule type="duplicateValues" dxfId="25990" priority="26003"/>
    <cfRule type="duplicateValues" dxfId="25989" priority="26002"/>
    <cfRule type="duplicateValues" dxfId="25988" priority="26001"/>
    <cfRule type="duplicateValues" dxfId="25987" priority="26000"/>
    <cfRule type="duplicateValues" dxfId="25986" priority="25999"/>
    <cfRule type="duplicateValues" dxfId="25985" priority="25998"/>
    <cfRule type="duplicateValues" dxfId="25984" priority="25997"/>
    <cfRule type="duplicateValues" dxfId="25983" priority="25996"/>
    <cfRule type="duplicateValues" dxfId="25982" priority="25995"/>
    <cfRule type="duplicateValues" dxfId="25981" priority="25994"/>
    <cfRule type="duplicateValues" dxfId="25980" priority="25993"/>
    <cfRule type="duplicateValues" dxfId="25979" priority="25992"/>
    <cfRule type="duplicateValues" dxfId="25978" priority="25991"/>
    <cfRule type="duplicateValues" dxfId="25977" priority="25990"/>
    <cfRule type="duplicateValues" dxfId="25976" priority="25989"/>
    <cfRule type="duplicateValues" dxfId="25975" priority="25988"/>
    <cfRule type="duplicateValues" dxfId="25974" priority="25987"/>
    <cfRule type="duplicateValues" dxfId="25973" priority="25986"/>
    <cfRule type="duplicateValues" dxfId="25972" priority="25985"/>
    <cfRule type="duplicateValues" dxfId="25971" priority="25984"/>
    <cfRule type="duplicateValues" dxfId="25970" priority="25983"/>
    <cfRule type="duplicateValues" dxfId="25969" priority="25982"/>
    <cfRule type="duplicateValues" dxfId="25968" priority="25981"/>
    <cfRule type="duplicateValues" dxfId="25967" priority="25980"/>
    <cfRule type="duplicateValues" dxfId="25966" priority="25979"/>
    <cfRule type="duplicateValues" dxfId="25965" priority="25978"/>
    <cfRule type="duplicateValues" dxfId="25964" priority="25977"/>
    <cfRule type="duplicateValues" dxfId="25963" priority="25976"/>
    <cfRule type="duplicateValues" dxfId="25962" priority="25975"/>
    <cfRule type="duplicateValues" dxfId="25961" priority="25974"/>
    <cfRule type="duplicateValues" dxfId="25960" priority="25973"/>
    <cfRule type="duplicateValues" dxfId="25959" priority="25972"/>
    <cfRule type="duplicateValues" dxfId="25958" priority="25971"/>
    <cfRule type="duplicateValues" dxfId="25957" priority="25970"/>
    <cfRule type="duplicateValues" dxfId="25956" priority="25969"/>
    <cfRule type="duplicateValues" dxfId="25955" priority="25968"/>
    <cfRule type="duplicateValues" dxfId="25954" priority="25967"/>
    <cfRule type="duplicateValues" dxfId="25953" priority="25966"/>
    <cfRule type="duplicateValues" dxfId="25952" priority="25965"/>
    <cfRule type="duplicateValues" dxfId="25951" priority="25964"/>
    <cfRule type="duplicateValues" dxfId="25950" priority="25963"/>
    <cfRule type="duplicateValues" dxfId="25949" priority="25962"/>
    <cfRule type="duplicateValues" dxfId="25948" priority="25961"/>
    <cfRule type="duplicateValues" dxfId="25947" priority="25960"/>
    <cfRule type="duplicateValues" dxfId="25946" priority="25959"/>
    <cfRule type="duplicateValues" dxfId="25945" priority="25958"/>
    <cfRule type="duplicateValues" dxfId="25944" priority="25957"/>
    <cfRule type="duplicateValues" dxfId="25943" priority="25956"/>
    <cfRule type="duplicateValues" dxfId="25942" priority="25955"/>
    <cfRule type="duplicateValues" dxfId="25941" priority="25954"/>
    <cfRule type="duplicateValues" dxfId="25940" priority="25953"/>
    <cfRule type="duplicateValues" dxfId="25939" priority="25952"/>
    <cfRule type="duplicateValues" dxfId="25938" priority="25951"/>
    <cfRule type="duplicateValues" dxfId="25937" priority="25950"/>
    <cfRule type="duplicateValues" dxfId="25936" priority="25949"/>
    <cfRule type="duplicateValues" dxfId="25935" priority="25948"/>
    <cfRule type="duplicateValues" dxfId="25934" priority="25947"/>
    <cfRule type="duplicateValues" dxfId="25933" priority="25946"/>
    <cfRule type="duplicateValues" dxfId="25932" priority="25945"/>
    <cfRule type="duplicateValues" dxfId="25931" priority="25944"/>
    <cfRule type="duplicateValues" dxfId="25930" priority="25943"/>
    <cfRule type="duplicateValues" dxfId="25929" priority="25942"/>
    <cfRule type="duplicateValues" dxfId="25928" priority="25941"/>
    <cfRule type="duplicateValues" dxfId="25927" priority="25940"/>
    <cfRule type="duplicateValues" dxfId="25926" priority="25939"/>
    <cfRule type="duplicateValues" dxfId="25925" priority="25938"/>
    <cfRule type="duplicateValues" dxfId="25924" priority="25937"/>
    <cfRule type="duplicateValues" dxfId="25923" priority="25936"/>
    <cfRule type="duplicateValues" dxfId="25922" priority="25935"/>
    <cfRule type="duplicateValues" dxfId="25921" priority="25934"/>
    <cfRule type="duplicateValues" dxfId="25920" priority="25933"/>
    <cfRule type="duplicateValues" dxfId="25919" priority="25932"/>
    <cfRule type="duplicateValues" dxfId="25918" priority="25931"/>
    <cfRule type="duplicateValues" dxfId="25917" priority="25930"/>
    <cfRule type="duplicateValues" dxfId="25916" priority="25929"/>
    <cfRule type="duplicateValues" dxfId="25915" priority="25928"/>
    <cfRule type="duplicateValues" dxfId="25914" priority="25927"/>
    <cfRule type="duplicateValues" dxfId="25913" priority="25926"/>
    <cfRule type="duplicateValues" dxfId="25912" priority="25925"/>
    <cfRule type="duplicateValues" dxfId="25911" priority="25924"/>
    <cfRule type="duplicateValues" dxfId="25910" priority="25923"/>
    <cfRule type="duplicateValues" dxfId="25909" priority="25922"/>
    <cfRule type="duplicateValues" dxfId="25908" priority="25921"/>
    <cfRule type="duplicateValues" dxfId="25907" priority="25920"/>
    <cfRule type="duplicateValues" dxfId="25906" priority="25919"/>
    <cfRule type="duplicateValues" dxfId="25905" priority="25918"/>
    <cfRule type="duplicateValues" dxfId="25904" priority="25917"/>
    <cfRule type="duplicateValues" dxfId="25903" priority="25916"/>
    <cfRule type="duplicateValues" dxfId="25902" priority="25915"/>
    <cfRule type="duplicateValues" dxfId="25901" priority="25914"/>
    <cfRule type="duplicateValues" dxfId="25900" priority="25913"/>
    <cfRule type="duplicateValues" dxfId="25899" priority="25912"/>
    <cfRule type="duplicateValues" dxfId="25898" priority="25911"/>
    <cfRule type="duplicateValues" dxfId="25897" priority="25910"/>
    <cfRule type="duplicateValues" dxfId="25896" priority="25909"/>
    <cfRule type="duplicateValues" dxfId="25895" priority="25908"/>
    <cfRule type="duplicateValues" dxfId="25894" priority="25907"/>
    <cfRule type="duplicateValues" dxfId="25893" priority="25906"/>
    <cfRule type="duplicateValues" dxfId="25892" priority="25905"/>
    <cfRule type="duplicateValues" dxfId="25891" priority="25904"/>
    <cfRule type="duplicateValues" dxfId="25890" priority="25903"/>
    <cfRule type="duplicateValues" dxfId="25889" priority="25902"/>
    <cfRule type="duplicateValues" dxfId="25888" priority="25901"/>
    <cfRule type="duplicateValues" dxfId="25887" priority="25900"/>
    <cfRule type="duplicateValues" dxfId="25886" priority="25899"/>
    <cfRule type="duplicateValues" dxfId="25885" priority="25898"/>
    <cfRule type="duplicateValues" dxfId="25884" priority="25897"/>
    <cfRule type="duplicateValues" dxfId="25883" priority="25896"/>
    <cfRule type="duplicateValues" dxfId="25882" priority="25895"/>
    <cfRule type="duplicateValues" dxfId="25881" priority="25894"/>
    <cfRule type="duplicateValues" dxfId="25880" priority="25893"/>
    <cfRule type="duplicateValues" dxfId="25879" priority="25892"/>
    <cfRule type="duplicateValues" dxfId="25878" priority="25891"/>
    <cfRule type="duplicateValues" dxfId="25877" priority="25890"/>
    <cfRule type="duplicateValues" dxfId="25876" priority="25889"/>
    <cfRule type="duplicateValues" dxfId="25875" priority="25888"/>
    <cfRule type="duplicateValues" dxfId="25874" priority="25887"/>
    <cfRule type="duplicateValues" dxfId="25873" priority="25886"/>
    <cfRule type="duplicateValues" dxfId="25872" priority="25885"/>
    <cfRule type="duplicateValues" dxfId="25871" priority="25884"/>
    <cfRule type="duplicateValues" dxfId="25870" priority="25883"/>
    <cfRule type="duplicateValues" dxfId="25869" priority="25882"/>
    <cfRule type="duplicateValues" dxfId="25868" priority="25881"/>
    <cfRule type="duplicateValues" dxfId="25867" priority="25880"/>
    <cfRule type="duplicateValues" dxfId="25866" priority="25879"/>
    <cfRule type="duplicateValues" dxfId="25865" priority="25878"/>
    <cfRule type="duplicateValues" dxfId="25864" priority="25877"/>
    <cfRule type="duplicateValues" dxfId="25863" priority="25876"/>
    <cfRule type="duplicateValues" dxfId="25862" priority="25875"/>
    <cfRule type="duplicateValues" dxfId="25861" priority="25874"/>
    <cfRule type="duplicateValues" dxfId="25860" priority="25873"/>
    <cfRule type="duplicateValues" dxfId="25859" priority="25872"/>
    <cfRule type="duplicateValues" dxfId="25858" priority="25871"/>
    <cfRule type="duplicateValues" dxfId="25857" priority="25870"/>
    <cfRule type="duplicateValues" dxfId="25856" priority="25869"/>
    <cfRule type="duplicateValues" dxfId="25855" priority="25868"/>
    <cfRule type="duplicateValues" dxfId="25854" priority="25867"/>
    <cfRule type="duplicateValues" dxfId="25853" priority="25866"/>
    <cfRule type="duplicateValues" dxfId="25852" priority="25865"/>
    <cfRule type="duplicateValues" dxfId="25851" priority="25864"/>
    <cfRule type="duplicateValues" dxfId="25850" priority="25863"/>
    <cfRule type="duplicateValues" dxfId="25849" priority="25862"/>
    <cfRule type="duplicateValues" dxfId="25848" priority="25861"/>
  </conditionalFormatting>
  <conditionalFormatting sqref="B167:B169">
    <cfRule type="duplicateValues" dxfId="25847" priority="25682"/>
    <cfRule type="duplicateValues" dxfId="25846" priority="25681"/>
    <cfRule type="duplicateValues" dxfId="25845" priority="25680"/>
    <cfRule type="duplicateValues" dxfId="25844" priority="25695"/>
    <cfRule type="duplicateValues" dxfId="25843" priority="25856"/>
    <cfRule type="duplicateValues" dxfId="25842" priority="25855"/>
    <cfRule type="duplicateValues" dxfId="25841" priority="25854"/>
    <cfRule type="duplicateValues" dxfId="25840" priority="25853"/>
    <cfRule type="duplicateValues" dxfId="25839" priority="25852"/>
    <cfRule type="duplicateValues" dxfId="25838" priority="25851"/>
    <cfRule type="duplicateValues" dxfId="25837" priority="25850"/>
    <cfRule type="duplicateValues" dxfId="25836" priority="25849"/>
    <cfRule type="duplicateValues" dxfId="25835" priority="25848"/>
    <cfRule type="duplicateValues" dxfId="25834" priority="25847"/>
    <cfRule type="duplicateValues" dxfId="25833" priority="25846"/>
    <cfRule type="duplicateValues" dxfId="25832" priority="25845"/>
    <cfRule type="duplicateValues" dxfId="25831" priority="25844"/>
    <cfRule type="duplicateValues" dxfId="25830" priority="25843"/>
    <cfRule type="duplicateValues" dxfId="25829" priority="25842"/>
    <cfRule type="duplicateValues" dxfId="25828" priority="25841"/>
    <cfRule type="duplicateValues" dxfId="25827" priority="25840"/>
    <cfRule type="duplicateValues" dxfId="25826" priority="25839"/>
    <cfRule type="duplicateValues" dxfId="25825" priority="25838"/>
    <cfRule type="duplicateValues" dxfId="25824" priority="25837"/>
    <cfRule type="duplicateValues" dxfId="25823" priority="25836"/>
    <cfRule type="duplicateValues" dxfId="25822" priority="25835"/>
    <cfRule type="duplicateValues" dxfId="25821" priority="25834"/>
    <cfRule type="duplicateValues" dxfId="25820" priority="25833"/>
    <cfRule type="duplicateValues" dxfId="25819" priority="25832"/>
    <cfRule type="duplicateValues" dxfId="25818" priority="25831"/>
    <cfRule type="duplicateValues" dxfId="25817" priority="25830"/>
    <cfRule type="duplicateValues" dxfId="25816" priority="25829"/>
    <cfRule type="duplicateValues" dxfId="25815" priority="25828"/>
    <cfRule type="duplicateValues" dxfId="25814" priority="25827"/>
    <cfRule type="duplicateValues" dxfId="25813" priority="25826"/>
    <cfRule type="duplicateValues" dxfId="25812" priority="25825"/>
    <cfRule type="duplicateValues" dxfId="25811" priority="25824"/>
    <cfRule type="duplicateValues" dxfId="25810" priority="25823"/>
    <cfRule type="duplicateValues" dxfId="25809" priority="25822"/>
    <cfRule type="duplicateValues" dxfId="25808" priority="25821"/>
    <cfRule type="duplicateValues" dxfId="25807" priority="25820"/>
    <cfRule type="duplicateValues" dxfId="25806" priority="25819"/>
    <cfRule type="duplicateValues" dxfId="25805" priority="25818"/>
    <cfRule type="duplicateValues" dxfId="25804" priority="25817"/>
    <cfRule type="duplicateValues" dxfId="25803" priority="25816"/>
    <cfRule type="duplicateValues" dxfId="25802" priority="25815"/>
    <cfRule type="duplicateValues" dxfId="25801" priority="25814"/>
    <cfRule type="duplicateValues" dxfId="25800" priority="25813"/>
    <cfRule type="duplicateValues" dxfId="25799" priority="25812"/>
    <cfRule type="duplicateValues" dxfId="25798" priority="25811"/>
    <cfRule type="duplicateValues" dxfId="25797" priority="25810"/>
    <cfRule type="duplicateValues" dxfId="25796" priority="25809"/>
    <cfRule type="duplicateValues" dxfId="25795" priority="25808"/>
    <cfRule type="duplicateValues" dxfId="25794" priority="25807"/>
    <cfRule type="duplicateValues" dxfId="25793" priority="25806"/>
    <cfRule type="duplicateValues" dxfId="25792" priority="25805"/>
    <cfRule type="duplicateValues" dxfId="25791" priority="25804"/>
    <cfRule type="duplicateValues" dxfId="25790" priority="25803"/>
    <cfRule type="duplicateValues" dxfId="25789" priority="25802"/>
    <cfRule type="duplicateValues" dxfId="25788" priority="25801"/>
    <cfRule type="duplicateValues" dxfId="25787" priority="25800"/>
    <cfRule type="duplicateValues" dxfId="25786" priority="25799"/>
    <cfRule type="duplicateValues" dxfId="25785" priority="25798"/>
    <cfRule type="duplicateValues" dxfId="25784" priority="25797"/>
    <cfRule type="duplicateValues" dxfId="25783" priority="25796"/>
    <cfRule type="duplicateValues" dxfId="25782" priority="25795"/>
    <cfRule type="duplicateValues" dxfId="25781" priority="25794"/>
    <cfRule type="duplicateValues" dxfId="25780" priority="25793"/>
    <cfRule type="duplicateValues" dxfId="25779" priority="25792"/>
    <cfRule type="duplicateValues" dxfId="25778" priority="25791"/>
    <cfRule type="duplicateValues" dxfId="25777" priority="25790"/>
    <cfRule type="duplicateValues" dxfId="25776" priority="25789"/>
    <cfRule type="duplicateValues" dxfId="25775" priority="25788"/>
    <cfRule type="duplicateValues" dxfId="25774" priority="25787"/>
    <cfRule type="duplicateValues" dxfId="25773" priority="25786"/>
    <cfRule type="duplicateValues" dxfId="25772" priority="25785"/>
    <cfRule type="duplicateValues" dxfId="25771" priority="25784"/>
    <cfRule type="duplicateValues" dxfId="25770" priority="25783"/>
    <cfRule type="duplicateValues" dxfId="25769" priority="25782"/>
    <cfRule type="duplicateValues" dxfId="25768" priority="25781"/>
    <cfRule type="duplicateValues" dxfId="25767" priority="25780"/>
    <cfRule type="duplicateValues" dxfId="25766" priority="25779"/>
    <cfRule type="duplicateValues" dxfId="25765" priority="25778"/>
    <cfRule type="duplicateValues" dxfId="25764" priority="25777"/>
    <cfRule type="duplicateValues" dxfId="25763" priority="25776"/>
    <cfRule type="duplicateValues" dxfId="25762" priority="25775"/>
    <cfRule type="duplicateValues" dxfId="25761" priority="25774"/>
    <cfRule type="duplicateValues" dxfId="25760" priority="25773"/>
    <cfRule type="duplicateValues" dxfId="25759" priority="25772"/>
    <cfRule type="duplicateValues" dxfId="25758" priority="25771"/>
    <cfRule type="duplicateValues" dxfId="25757" priority="25770"/>
    <cfRule type="duplicateValues" dxfId="25756" priority="25769"/>
    <cfRule type="duplicateValues" dxfId="25755" priority="25768"/>
    <cfRule type="duplicateValues" dxfId="25754" priority="25767"/>
    <cfRule type="duplicateValues" dxfId="25753" priority="25766"/>
    <cfRule type="duplicateValues" dxfId="25752" priority="25765"/>
    <cfRule type="duplicateValues" dxfId="25751" priority="25764"/>
    <cfRule type="duplicateValues" dxfId="25750" priority="25763"/>
    <cfRule type="duplicateValues" dxfId="25749" priority="25762"/>
    <cfRule type="duplicateValues" dxfId="25748" priority="25761"/>
    <cfRule type="duplicateValues" dxfId="25747" priority="25760"/>
    <cfRule type="duplicateValues" dxfId="25746" priority="25759"/>
    <cfRule type="duplicateValues" dxfId="25745" priority="25758"/>
    <cfRule type="duplicateValues" dxfId="25744" priority="25757"/>
    <cfRule type="duplicateValues" dxfId="25743" priority="25756"/>
    <cfRule type="duplicateValues" dxfId="25742" priority="25755"/>
    <cfRule type="duplicateValues" dxfId="25741" priority="25754"/>
    <cfRule type="duplicateValues" dxfId="25740" priority="25753"/>
    <cfRule type="duplicateValues" dxfId="25739" priority="25752"/>
    <cfRule type="duplicateValues" dxfId="25738" priority="25751"/>
    <cfRule type="duplicateValues" dxfId="25737" priority="25750"/>
    <cfRule type="duplicateValues" dxfId="25736" priority="25749"/>
    <cfRule type="duplicateValues" dxfId="25735" priority="25748"/>
    <cfRule type="duplicateValues" dxfId="25734" priority="25747"/>
    <cfRule type="duplicateValues" dxfId="25733" priority="25746"/>
    <cfRule type="duplicateValues" dxfId="25732" priority="25745"/>
    <cfRule type="duplicateValues" dxfId="25731" priority="25744"/>
    <cfRule type="duplicateValues" dxfId="25730" priority="25743"/>
    <cfRule type="duplicateValues" dxfId="25729" priority="25742"/>
    <cfRule type="duplicateValues" dxfId="25728" priority="25741"/>
    <cfRule type="duplicateValues" dxfId="25727" priority="25740"/>
    <cfRule type="duplicateValues" dxfId="25726" priority="25739"/>
    <cfRule type="duplicateValues" dxfId="25725" priority="25738"/>
    <cfRule type="duplicateValues" dxfId="25724" priority="25737"/>
    <cfRule type="duplicateValues" dxfId="25723" priority="25736"/>
    <cfRule type="duplicateValues" dxfId="25722" priority="25735"/>
    <cfRule type="duplicateValues" dxfId="25721" priority="25734"/>
    <cfRule type="duplicateValues" dxfId="25720" priority="25733"/>
    <cfRule type="duplicateValues" dxfId="25719" priority="25732"/>
    <cfRule type="duplicateValues" dxfId="25718" priority="25731"/>
    <cfRule type="duplicateValues" dxfId="25717" priority="25730"/>
    <cfRule type="duplicateValues" dxfId="25716" priority="25729"/>
    <cfRule type="duplicateValues" dxfId="25715" priority="25728"/>
    <cfRule type="duplicateValues" dxfId="25714" priority="25727"/>
    <cfRule type="duplicateValues" dxfId="25713" priority="25726"/>
    <cfRule type="duplicateValues" dxfId="25712" priority="25725"/>
    <cfRule type="duplicateValues" dxfId="25711" priority="25724"/>
    <cfRule type="duplicateValues" dxfId="25710" priority="25723"/>
    <cfRule type="duplicateValues" dxfId="25709" priority="25722"/>
    <cfRule type="duplicateValues" dxfId="25708" priority="25721"/>
    <cfRule type="duplicateValues" dxfId="25707" priority="25720"/>
    <cfRule type="duplicateValues" dxfId="25706" priority="25719"/>
    <cfRule type="duplicateValues" dxfId="25705" priority="25718"/>
    <cfRule type="duplicateValues" dxfId="25704" priority="25717"/>
    <cfRule type="duplicateValues" dxfId="25703" priority="25716"/>
    <cfRule type="duplicateValues" dxfId="25702" priority="25715"/>
    <cfRule type="duplicateValues" dxfId="25701" priority="25714"/>
    <cfRule type="duplicateValues" dxfId="25700" priority="25713"/>
    <cfRule type="duplicateValues" dxfId="25699" priority="25712"/>
    <cfRule type="duplicateValues" dxfId="25698" priority="25711"/>
    <cfRule type="duplicateValues" dxfId="25697" priority="25710"/>
    <cfRule type="duplicateValues" dxfId="25696" priority="25709"/>
    <cfRule type="duplicateValues" dxfId="25695" priority="25708"/>
    <cfRule type="duplicateValues" dxfId="25694" priority="25707"/>
    <cfRule type="duplicateValues" dxfId="25693" priority="25706"/>
    <cfRule type="duplicateValues" dxfId="25692" priority="25705"/>
    <cfRule type="duplicateValues" dxfId="25691" priority="25704"/>
    <cfRule type="duplicateValues" dxfId="25690" priority="25703"/>
    <cfRule type="duplicateValues" dxfId="25689" priority="25702"/>
    <cfRule type="duplicateValues" dxfId="25688" priority="25701"/>
    <cfRule type="duplicateValues" dxfId="25687" priority="25700"/>
    <cfRule type="duplicateValues" dxfId="25686" priority="25699"/>
    <cfRule type="duplicateValues" dxfId="25685" priority="25698"/>
    <cfRule type="duplicateValues" dxfId="25684" priority="25697"/>
    <cfRule type="duplicateValues" dxfId="25683" priority="25696"/>
    <cfRule type="duplicateValues" dxfId="25682" priority="25694"/>
    <cfRule type="duplicateValues" dxfId="25681" priority="25693"/>
    <cfRule type="duplicateValues" dxfId="25680" priority="25692"/>
    <cfRule type="duplicateValues" dxfId="25679" priority="25691"/>
    <cfRule type="duplicateValues" dxfId="25678" priority="25690"/>
    <cfRule type="duplicateValues" dxfId="25677" priority="25689"/>
    <cfRule type="duplicateValues" dxfId="25676" priority="25688"/>
    <cfRule type="duplicateValues" dxfId="25675" priority="25687"/>
    <cfRule type="duplicateValues" dxfId="25674" priority="25686"/>
    <cfRule type="duplicateValues" dxfId="25673" priority="25685"/>
    <cfRule type="duplicateValues" dxfId="25672" priority="25684"/>
    <cfRule type="duplicateValues" dxfId="25671" priority="25683"/>
  </conditionalFormatting>
  <conditionalFormatting sqref="B170">
    <cfRule type="duplicateValues" dxfId="25670" priority="25572"/>
    <cfRule type="duplicateValues" dxfId="25669" priority="25506"/>
    <cfRule type="duplicateValues" dxfId="25668" priority="25505"/>
    <cfRule type="duplicateValues" dxfId="25667" priority="25659"/>
    <cfRule type="duplicateValues" dxfId="25666" priority="25679"/>
    <cfRule type="duplicateValues" dxfId="25665" priority="25678"/>
    <cfRule type="duplicateValues" dxfId="25664" priority="25677"/>
    <cfRule type="duplicateValues" dxfId="25663" priority="25676"/>
    <cfRule type="duplicateValues" dxfId="25662" priority="25675"/>
    <cfRule type="duplicateValues" dxfId="25661" priority="25674"/>
    <cfRule type="duplicateValues" dxfId="25660" priority="25673"/>
    <cfRule type="duplicateValues" dxfId="25659" priority="25672"/>
    <cfRule type="duplicateValues" dxfId="25658" priority="25671"/>
    <cfRule type="duplicateValues" dxfId="25657" priority="25670"/>
    <cfRule type="duplicateValues" dxfId="25656" priority="25669"/>
    <cfRule type="duplicateValues" dxfId="25655" priority="25668"/>
    <cfRule type="duplicateValues" dxfId="25654" priority="25667"/>
    <cfRule type="duplicateValues" dxfId="25653" priority="25666"/>
    <cfRule type="duplicateValues" dxfId="25652" priority="25665"/>
    <cfRule type="duplicateValues" dxfId="25651" priority="25664"/>
    <cfRule type="duplicateValues" dxfId="25650" priority="25663"/>
    <cfRule type="duplicateValues" dxfId="25649" priority="25662"/>
    <cfRule type="duplicateValues" dxfId="25648" priority="25661"/>
    <cfRule type="duplicateValues" dxfId="25647" priority="25660"/>
    <cfRule type="duplicateValues" dxfId="25646" priority="25504"/>
    <cfRule type="duplicateValues" dxfId="25645" priority="25658"/>
    <cfRule type="duplicateValues" dxfId="25644" priority="25657"/>
    <cfRule type="duplicateValues" dxfId="25643" priority="25656"/>
    <cfRule type="duplicateValues" dxfId="25642" priority="25655"/>
    <cfRule type="duplicateValues" dxfId="25641" priority="25654"/>
    <cfRule type="duplicateValues" dxfId="25640" priority="25653"/>
    <cfRule type="duplicateValues" dxfId="25639" priority="25652"/>
    <cfRule type="duplicateValues" dxfId="25638" priority="25651"/>
    <cfRule type="duplicateValues" dxfId="25637" priority="25650"/>
    <cfRule type="duplicateValues" dxfId="25636" priority="25649"/>
    <cfRule type="duplicateValues" dxfId="25635" priority="25648"/>
    <cfRule type="duplicateValues" dxfId="25634" priority="25647"/>
    <cfRule type="duplicateValues" dxfId="25633" priority="25646"/>
    <cfRule type="duplicateValues" dxfId="25632" priority="25645"/>
    <cfRule type="duplicateValues" dxfId="25631" priority="25644"/>
    <cfRule type="duplicateValues" dxfId="25630" priority="25643"/>
    <cfRule type="duplicateValues" dxfId="25629" priority="25642"/>
    <cfRule type="duplicateValues" dxfId="25628" priority="25641"/>
    <cfRule type="duplicateValues" dxfId="25627" priority="25640"/>
    <cfRule type="duplicateValues" dxfId="25626" priority="25639"/>
    <cfRule type="duplicateValues" dxfId="25625" priority="25638"/>
    <cfRule type="duplicateValues" dxfId="25624" priority="25637"/>
    <cfRule type="duplicateValues" dxfId="25623" priority="25636"/>
    <cfRule type="duplicateValues" dxfId="25622" priority="25635"/>
    <cfRule type="duplicateValues" dxfId="25621" priority="25634"/>
    <cfRule type="duplicateValues" dxfId="25620" priority="25633"/>
    <cfRule type="duplicateValues" dxfId="25619" priority="25632"/>
    <cfRule type="duplicateValues" dxfId="25618" priority="25631"/>
    <cfRule type="duplicateValues" dxfId="25617" priority="25630"/>
    <cfRule type="duplicateValues" dxfId="25616" priority="25629"/>
    <cfRule type="duplicateValues" dxfId="25615" priority="25628"/>
    <cfRule type="duplicateValues" dxfId="25614" priority="25627"/>
    <cfRule type="duplicateValues" dxfId="25613" priority="25626"/>
    <cfRule type="duplicateValues" dxfId="25612" priority="25625"/>
    <cfRule type="duplicateValues" dxfId="25611" priority="25624"/>
    <cfRule type="duplicateValues" dxfId="25610" priority="25623"/>
    <cfRule type="duplicateValues" dxfId="25609" priority="25622"/>
    <cfRule type="duplicateValues" dxfId="25608" priority="25621"/>
    <cfRule type="duplicateValues" dxfId="25607" priority="25620"/>
    <cfRule type="duplicateValues" dxfId="25606" priority="25619"/>
    <cfRule type="duplicateValues" dxfId="25605" priority="25618"/>
    <cfRule type="duplicateValues" dxfId="25604" priority="25617"/>
    <cfRule type="duplicateValues" dxfId="25603" priority="25616"/>
    <cfRule type="duplicateValues" dxfId="25602" priority="25615"/>
    <cfRule type="duplicateValues" dxfId="25601" priority="25614"/>
    <cfRule type="duplicateValues" dxfId="25600" priority="25613"/>
    <cfRule type="duplicateValues" dxfId="25599" priority="25612"/>
    <cfRule type="duplicateValues" dxfId="25598" priority="25611"/>
    <cfRule type="duplicateValues" dxfId="25597" priority="25610"/>
    <cfRule type="duplicateValues" dxfId="25596" priority="25609"/>
    <cfRule type="duplicateValues" dxfId="25595" priority="25608"/>
    <cfRule type="duplicateValues" dxfId="25594" priority="25607"/>
    <cfRule type="duplicateValues" dxfId="25593" priority="25606"/>
    <cfRule type="duplicateValues" dxfId="25592" priority="25605"/>
    <cfRule type="duplicateValues" dxfId="25591" priority="25604"/>
    <cfRule type="duplicateValues" dxfId="25590" priority="25603"/>
    <cfRule type="duplicateValues" dxfId="25589" priority="25602"/>
    <cfRule type="duplicateValues" dxfId="25588" priority="25601"/>
    <cfRule type="duplicateValues" dxfId="25587" priority="25600"/>
    <cfRule type="duplicateValues" dxfId="25586" priority="25599"/>
    <cfRule type="duplicateValues" dxfId="25585" priority="25598"/>
    <cfRule type="duplicateValues" dxfId="25584" priority="25597"/>
    <cfRule type="duplicateValues" dxfId="25583" priority="25596"/>
    <cfRule type="duplicateValues" dxfId="25582" priority="25595"/>
    <cfRule type="duplicateValues" dxfId="25581" priority="25594"/>
    <cfRule type="duplicateValues" dxfId="25580" priority="25593"/>
    <cfRule type="duplicateValues" dxfId="25579" priority="25592"/>
    <cfRule type="duplicateValues" dxfId="25578" priority="25591"/>
    <cfRule type="duplicateValues" dxfId="25577" priority="25590"/>
    <cfRule type="duplicateValues" dxfId="25576" priority="25589"/>
    <cfRule type="duplicateValues" dxfId="25575" priority="25588"/>
    <cfRule type="duplicateValues" dxfId="25574" priority="25587"/>
    <cfRule type="duplicateValues" dxfId="25573" priority="25586"/>
    <cfRule type="duplicateValues" dxfId="25572" priority="25585"/>
    <cfRule type="duplicateValues" dxfId="25571" priority="25584"/>
    <cfRule type="duplicateValues" dxfId="25570" priority="25583"/>
    <cfRule type="duplicateValues" dxfId="25569" priority="25582"/>
    <cfRule type="duplicateValues" dxfId="25568" priority="25581"/>
    <cfRule type="duplicateValues" dxfId="25567" priority="25580"/>
    <cfRule type="duplicateValues" dxfId="25566" priority="25579"/>
    <cfRule type="duplicateValues" dxfId="25565" priority="25578"/>
    <cfRule type="duplicateValues" dxfId="25564" priority="25577"/>
    <cfRule type="duplicateValues" dxfId="25563" priority="25576"/>
    <cfRule type="duplicateValues" dxfId="25562" priority="25575"/>
    <cfRule type="duplicateValues" dxfId="25561" priority="25574"/>
    <cfRule type="duplicateValues" dxfId="25560" priority="25573"/>
    <cfRule type="duplicateValues" dxfId="25559" priority="25503"/>
    <cfRule type="duplicateValues" dxfId="25558" priority="25571"/>
    <cfRule type="duplicateValues" dxfId="25557" priority="25570"/>
    <cfRule type="duplicateValues" dxfId="25556" priority="25569"/>
    <cfRule type="duplicateValues" dxfId="25555" priority="25568"/>
    <cfRule type="duplicateValues" dxfId="25554" priority="25567"/>
    <cfRule type="duplicateValues" dxfId="25553" priority="25566"/>
    <cfRule type="duplicateValues" dxfId="25552" priority="25565"/>
    <cfRule type="duplicateValues" dxfId="25551" priority="25564"/>
    <cfRule type="duplicateValues" dxfId="25550" priority="25563"/>
    <cfRule type="duplicateValues" dxfId="25549" priority="25562"/>
    <cfRule type="duplicateValues" dxfId="25548" priority="25561"/>
    <cfRule type="duplicateValues" dxfId="25547" priority="25560"/>
    <cfRule type="duplicateValues" dxfId="25546" priority="25559"/>
    <cfRule type="duplicateValues" dxfId="25545" priority="25558"/>
    <cfRule type="duplicateValues" dxfId="25544" priority="25557"/>
    <cfRule type="duplicateValues" dxfId="25543" priority="25556"/>
    <cfRule type="duplicateValues" dxfId="25542" priority="25555"/>
    <cfRule type="duplicateValues" dxfId="25541" priority="25554"/>
    <cfRule type="duplicateValues" dxfId="25540" priority="25553"/>
    <cfRule type="duplicateValues" dxfId="25539" priority="25552"/>
    <cfRule type="duplicateValues" dxfId="25538" priority="25551"/>
    <cfRule type="duplicateValues" dxfId="25537" priority="25550"/>
    <cfRule type="duplicateValues" dxfId="25536" priority="25549"/>
    <cfRule type="duplicateValues" dxfId="25535" priority="25548"/>
    <cfRule type="duplicateValues" dxfId="25534" priority="25547"/>
    <cfRule type="duplicateValues" dxfId="25533" priority="25546"/>
    <cfRule type="duplicateValues" dxfId="25532" priority="25545"/>
    <cfRule type="duplicateValues" dxfId="25531" priority="25544"/>
    <cfRule type="duplicateValues" dxfId="25530" priority="25543"/>
    <cfRule type="duplicateValues" dxfId="25529" priority="25542"/>
    <cfRule type="duplicateValues" dxfId="25528" priority="25541"/>
    <cfRule type="duplicateValues" dxfId="25527" priority="25540"/>
    <cfRule type="duplicateValues" dxfId="25526" priority="25539"/>
    <cfRule type="duplicateValues" dxfId="25525" priority="25538"/>
    <cfRule type="duplicateValues" dxfId="25524" priority="25537"/>
    <cfRule type="duplicateValues" dxfId="25523" priority="25536"/>
    <cfRule type="duplicateValues" dxfId="25522" priority="25535"/>
    <cfRule type="duplicateValues" dxfId="25521" priority="25534"/>
    <cfRule type="duplicateValues" dxfId="25520" priority="25533"/>
    <cfRule type="duplicateValues" dxfId="25519" priority="25532"/>
    <cfRule type="duplicateValues" dxfId="25518" priority="25531"/>
    <cfRule type="duplicateValues" dxfId="25517" priority="25530"/>
    <cfRule type="duplicateValues" dxfId="25516" priority="25529"/>
    <cfRule type="duplicateValues" dxfId="25515" priority="25528"/>
    <cfRule type="duplicateValues" dxfId="25514" priority="25527"/>
    <cfRule type="duplicateValues" dxfId="25513" priority="25526"/>
    <cfRule type="duplicateValues" dxfId="25512" priority="25525"/>
    <cfRule type="duplicateValues" dxfId="25511" priority="25524"/>
    <cfRule type="duplicateValues" dxfId="25510" priority="25523"/>
    <cfRule type="duplicateValues" dxfId="25509" priority="25522"/>
    <cfRule type="duplicateValues" dxfId="25508" priority="25521"/>
    <cfRule type="duplicateValues" dxfId="25507" priority="25520"/>
    <cfRule type="duplicateValues" dxfId="25506" priority="25519"/>
    <cfRule type="duplicateValues" dxfId="25505" priority="25518"/>
    <cfRule type="duplicateValues" dxfId="25504" priority="25517"/>
    <cfRule type="duplicateValues" dxfId="25503" priority="25516"/>
    <cfRule type="duplicateValues" dxfId="25502" priority="25515"/>
    <cfRule type="duplicateValues" dxfId="25501" priority="25514"/>
    <cfRule type="duplicateValues" dxfId="25500" priority="25513"/>
    <cfRule type="duplicateValues" dxfId="25499" priority="25512"/>
    <cfRule type="duplicateValues" dxfId="25498" priority="25511"/>
    <cfRule type="duplicateValues" dxfId="25497" priority="25510"/>
    <cfRule type="duplicateValues" dxfId="25496" priority="25509"/>
    <cfRule type="duplicateValues" dxfId="25495" priority="25508"/>
    <cfRule type="duplicateValues" dxfId="25494" priority="25507"/>
  </conditionalFormatting>
  <conditionalFormatting sqref="B171">
    <cfRule type="duplicateValues" dxfId="25493" priority="25329"/>
    <cfRule type="duplicateValues" dxfId="25492" priority="25328"/>
    <cfRule type="duplicateValues" dxfId="25491" priority="25327"/>
    <cfRule type="duplicateValues" dxfId="25490" priority="25461"/>
    <cfRule type="duplicateValues" dxfId="25489" priority="25502"/>
    <cfRule type="duplicateValues" dxfId="25488" priority="25501"/>
    <cfRule type="duplicateValues" dxfId="25487" priority="25500"/>
    <cfRule type="duplicateValues" dxfId="25486" priority="25499"/>
    <cfRule type="duplicateValues" dxfId="25485" priority="25498"/>
    <cfRule type="duplicateValues" dxfId="25484" priority="25497"/>
    <cfRule type="duplicateValues" dxfId="25483" priority="25496"/>
    <cfRule type="duplicateValues" dxfId="25482" priority="25495"/>
    <cfRule type="duplicateValues" dxfId="25481" priority="25494"/>
    <cfRule type="duplicateValues" dxfId="25480" priority="25493"/>
    <cfRule type="duplicateValues" dxfId="25479" priority="25492"/>
    <cfRule type="duplicateValues" dxfId="25478" priority="25491"/>
    <cfRule type="duplicateValues" dxfId="25477" priority="25490"/>
    <cfRule type="duplicateValues" dxfId="25476" priority="25489"/>
    <cfRule type="duplicateValues" dxfId="25475" priority="25488"/>
    <cfRule type="duplicateValues" dxfId="25474" priority="25487"/>
    <cfRule type="duplicateValues" dxfId="25473" priority="25486"/>
    <cfRule type="duplicateValues" dxfId="25472" priority="25485"/>
    <cfRule type="duplicateValues" dxfId="25471" priority="25484"/>
    <cfRule type="duplicateValues" dxfId="25470" priority="25483"/>
    <cfRule type="duplicateValues" dxfId="25469" priority="25482"/>
    <cfRule type="duplicateValues" dxfId="25468" priority="25481"/>
    <cfRule type="duplicateValues" dxfId="25467" priority="25480"/>
    <cfRule type="duplicateValues" dxfId="25466" priority="25479"/>
    <cfRule type="duplicateValues" dxfId="25465" priority="25478"/>
    <cfRule type="duplicateValues" dxfId="25464" priority="25477"/>
    <cfRule type="duplicateValues" dxfId="25463" priority="25476"/>
    <cfRule type="duplicateValues" dxfId="25462" priority="25475"/>
    <cfRule type="duplicateValues" dxfId="25461" priority="25474"/>
    <cfRule type="duplicateValues" dxfId="25460" priority="25473"/>
    <cfRule type="duplicateValues" dxfId="25459" priority="25472"/>
    <cfRule type="duplicateValues" dxfId="25458" priority="25471"/>
    <cfRule type="duplicateValues" dxfId="25457" priority="25470"/>
    <cfRule type="duplicateValues" dxfId="25456" priority="25469"/>
    <cfRule type="duplicateValues" dxfId="25455" priority="25468"/>
    <cfRule type="duplicateValues" dxfId="25454" priority="25467"/>
    <cfRule type="duplicateValues" dxfId="25453" priority="25466"/>
    <cfRule type="duplicateValues" dxfId="25452" priority="25465"/>
    <cfRule type="duplicateValues" dxfId="25451" priority="25464"/>
    <cfRule type="duplicateValues" dxfId="25450" priority="25463"/>
    <cfRule type="duplicateValues" dxfId="25449" priority="25462"/>
    <cfRule type="duplicateValues" dxfId="25448" priority="25326"/>
    <cfRule type="duplicateValues" dxfId="25447" priority="25460"/>
    <cfRule type="duplicateValues" dxfId="25446" priority="25459"/>
    <cfRule type="duplicateValues" dxfId="25445" priority="25458"/>
    <cfRule type="duplicateValues" dxfId="25444" priority="25457"/>
    <cfRule type="duplicateValues" dxfId="25443" priority="25456"/>
    <cfRule type="duplicateValues" dxfId="25442" priority="25455"/>
    <cfRule type="duplicateValues" dxfId="25441" priority="25454"/>
    <cfRule type="duplicateValues" dxfId="25440" priority="25453"/>
    <cfRule type="duplicateValues" dxfId="25439" priority="25452"/>
    <cfRule type="duplicateValues" dxfId="25438" priority="25451"/>
    <cfRule type="duplicateValues" dxfId="25437" priority="25450"/>
    <cfRule type="duplicateValues" dxfId="25436" priority="25449"/>
    <cfRule type="duplicateValues" dxfId="25435" priority="25448"/>
    <cfRule type="duplicateValues" dxfId="25434" priority="25447"/>
    <cfRule type="duplicateValues" dxfId="25433" priority="25446"/>
    <cfRule type="duplicateValues" dxfId="25432" priority="25445"/>
    <cfRule type="duplicateValues" dxfId="25431" priority="25444"/>
    <cfRule type="duplicateValues" dxfId="25430" priority="25443"/>
    <cfRule type="duplicateValues" dxfId="25429" priority="25442"/>
    <cfRule type="duplicateValues" dxfId="25428" priority="25441"/>
    <cfRule type="duplicateValues" dxfId="25427" priority="25440"/>
    <cfRule type="duplicateValues" dxfId="25426" priority="25439"/>
    <cfRule type="duplicateValues" dxfId="25425" priority="25438"/>
    <cfRule type="duplicateValues" dxfId="25424" priority="25437"/>
    <cfRule type="duplicateValues" dxfId="25423" priority="25436"/>
    <cfRule type="duplicateValues" dxfId="25422" priority="25435"/>
    <cfRule type="duplicateValues" dxfId="25421" priority="25434"/>
    <cfRule type="duplicateValues" dxfId="25420" priority="25433"/>
    <cfRule type="duplicateValues" dxfId="25419" priority="25432"/>
    <cfRule type="duplicateValues" dxfId="25418" priority="25431"/>
    <cfRule type="duplicateValues" dxfId="25417" priority="25430"/>
    <cfRule type="duplicateValues" dxfId="25416" priority="25429"/>
    <cfRule type="duplicateValues" dxfId="25415" priority="25428"/>
    <cfRule type="duplicateValues" dxfId="25414" priority="25427"/>
    <cfRule type="duplicateValues" dxfId="25413" priority="25426"/>
    <cfRule type="duplicateValues" dxfId="25412" priority="25425"/>
    <cfRule type="duplicateValues" dxfId="25411" priority="25424"/>
    <cfRule type="duplicateValues" dxfId="25410" priority="25423"/>
    <cfRule type="duplicateValues" dxfId="25409" priority="25422"/>
    <cfRule type="duplicateValues" dxfId="25408" priority="25421"/>
    <cfRule type="duplicateValues" dxfId="25407" priority="25420"/>
    <cfRule type="duplicateValues" dxfId="25406" priority="25419"/>
    <cfRule type="duplicateValues" dxfId="25405" priority="25418"/>
    <cfRule type="duplicateValues" dxfId="25404" priority="25417"/>
    <cfRule type="duplicateValues" dxfId="25403" priority="25416"/>
    <cfRule type="duplicateValues" dxfId="25402" priority="25415"/>
    <cfRule type="duplicateValues" dxfId="25401" priority="25414"/>
    <cfRule type="duplicateValues" dxfId="25400" priority="25413"/>
    <cfRule type="duplicateValues" dxfId="25399" priority="25412"/>
    <cfRule type="duplicateValues" dxfId="25398" priority="25411"/>
    <cfRule type="duplicateValues" dxfId="25397" priority="25410"/>
    <cfRule type="duplicateValues" dxfId="25396" priority="25409"/>
    <cfRule type="duplicateValues" dxfId="25395" priority="25408"/>
    <cfRule type="duplicateValues" dxfId="25394" priority="25407"/>
    <cfRule type="duplicateValues" dxfId="25393" priority="25406"/>
    <cfRule type="duplicateValues" dxfId="25392" priority="25405"/>
    <cfRule type="duplicateValues" dxfId="25391" priority="25404"/>
    <cfRule type="duplicateValues" dxfId="25390" priority="25403"/>
    <cfRule type="duplicateValues" dxfId="25389" priority="25402"/>
    <cfRule type="duplicateValues" dxfId="25388" priority="25401"/>
    <cfRule type="duplicateValues" dxfId="25387" priority="25400"/>
    <cfRule type="duplicateValues" dxfId="25386" priority="25399"/>
    <cfRule type="duplicateValues" dxfId="25385" priority="25398"/>
    <cfRule type="duplicateValues" dxfId="25384" priority="25397"/>
    <cfRule type="duplicateValues" dxfId="25383" priority="25396"/>
    <cfRule type="duplicateValues" dxfId="25382" priority="25395"/>
    <cfRule type="duplicateValues" dxfId="25381" priority="25394"/>
    <cfRule type="duplicateValues" dxfId="25380" priority="25393"/>
    <cfRule type="duplicateValues" dxfId="25379" priority="25392"/>
    <cfRule type="duplicateValues" dxfId="25378" priority="25391"/>
    <cfRule type="duplicateValues" dxfId="25377" priority="25390"/>
    <cfRule type="duplicateValues" dxfId="25376" priority="25389"/>
    <cfRule type="duplicateValues" dxfId="25375" priority="25388"/>
    <cfRule type="duplicateValues" dxfId="25374" priority="25387"/>
    <cfRule type="duplicateValues" dxfId="25373" priority="25386"/>
    <cfRule type="duplicateValues" dxfId="25372" priority="25385"/>
    <cfRule type="duplicateValues" dxfId="25371" priority="25384"/>
    <cfRule type="duplicateValues" dxfId="25370" priority="25383"/>
    <cfRule type="duplicateValues" dxfId="25369" priority="25382"/>
    <cfRule type="duplicateValues" dxfId="25368" priority="25381"/>
    <cfRule type="duplicateValues" dxfId="25367" priority="25380"/>
    <cfRule type="duplicateValues" dxfId="25366" priority="25379"/>
    <cfRule type="duplicateValues" dxfId="25365" priority="25378"/>
    <cfRule type="duplicateValues" dxfId="25364" priority="25377"/>
    <cfRule type="duplicateValues" dxfId="25363" priority="25376"/>
    <cfRule type="duplicateValues" dxfId="25362" priority="25375"/>
    <cfRule type="duplicateValues" dxfId="25361" priority="25374"/>
    <cfRule type="duplicateValues" dxfId="25360" priority="25373"/>
    <cfRule type="duplicateValues" dxfId="25359" priority="25372"/>
    <cfRule type="duplicateValues" dxfId="25358" priority="25371"/>
    <cfRule type="duplicateValues" dxfId="25357" priority="25370"/>
    <cfRule type="duplicateValues" dxfId="25356" priority="25369"/>
    <cfRule type="duplicateValues" dxfId="25355" priority="25368"/>
    <cfRule type="duplicateValues" dxfId="25354" priority="25367"/>
    <cfRule type="duplicateValues" dxfId="25353" priority="25366"/>
    <cfRule type="duplicateValues" dxfId="25352" priority="25365"/>
    <cfRule type="duplicateValues" dxfId="25351" priority="25364"/>
    <cfRule type="duplicateValues" dxfId="25350" priority="25363"/>
    <cfRule type="duplicateValues" dxfId="25349" priority="25362"/>
    <cfRule type="duplicateValues" dxfId="25348" priority="25361"/>
    <cfRule type="duplicateValues" dxfId="25347" priority="25360"/>
    <cfRule type="duplicateValues" dxfId="25346" priority="25359"/>
    <cfRule type="duplicateValues" dxfId="25345" priority="25358"/>
    <cfRule type="duplicateValues" dxfId="25344" priority="25357"/>
    <cfRule type="duplicateValues" dxfId="25343" priority="25356"/>
    <cfRule type="duplicateValues" dxfId="25342" priority="25355"/>
    <cfRule type="duplicateValues" dxfId="25341" priority="25354"/>
    <cfRule type="duplicateValues" dxfId="25340" priority="25353"/>
    <cfRule type="duplicateValues" dxfId="25339" priority="25352"/>
    <cfRule type="duplicateValues" dxfId="25338" priority="25351"/>
    <cfRule type="duplicateValues" dxfId="25337" priority="25350"/>
    <cfRule type="duplicateValues" dxfId="25336" priority="25349"/>
    <cfRule type="duplicateValues" dxfId="25335" priority="25348"/>
    <cfRule type="duplicateValues" dxfId="25334" priority="25347"/>
    <cfRule type="duplicateValues" dxfId="25333" priority="25346"/>
    <cfRule type="duplicateValues" dxfId="25332" priority="25345"/>
    <cfRule type="duplicateValues" dxfId="25331" priority="25344"/>
    <cfRule type="duplicateValues" dxfId="25330" priority="25343"/>
    <cfRule type="duplicateValues" dxfId="25329" priority="25342"/>
    <cfRule type="duplicateValues" dxfId="25328" priority="25341"/>
    <cfRule type="duplicateValues" dxfId="25327" priority="25340"/>
    <cfRule type="duplicateValues" dxfId="25326" priority="25339"/>
    <cfRule type="duplicateValues" dxfId="25325" priority="25338"/>
    <cfRule type="duplicateValues" dxfId="25324" priority="25337"/>
    <cfRule type="duplicateValues" dxfId="25323" priority="25336"/>
    <cfRule type="duplicateValues" dxfId="25322" priority="25335"/>
    <cfRule type="duplicateValues" dxfId="25321" priority="25334"/>
    <cfRule type="duplicateValues" dxfId="25320" priority="25333"/>
    <cfRule type="duplicateValues" dxfId="25319" priority="25332"/>
    <cfRule type="duplicateValues" dxfId="25318" priority="25331"/>
    <cfRule type="duplicateValues" dxfId="25317" priority="25330"/>
  </conditionalFormatting>
  <conditionalFormatting sqref="B172:B173">
    <cfRule type="duplicateValues" dxfId="25316" priority="25152"/>
    <cfRule type="duplicateValues" dxfId="25315" priority="25151"/>
    <cfRule type="duplicateValues" dxfId="25314" priority="25150"/>
    <cfRule type="duplicateValues" dxfId="25313" priority="25149"/>
    <cfRule type="duplicateValues" dxfId="25312" priority="25325"/>
    <cfRule type="duplicateValues" dxfId="25311" priority="25324"/>
    <cfRule type="duplicateValues" dxfId="25310" priority="25323"/>
    <cfRule type="duplicateValues" dxfId="25309" priority="25322"/>
    <cfRule type="duplicateValues" dxfId="25308" priority="25321"/>
    <cfRule type="duplicateValues" dxfId="25307" priority="25320"/>
    <cfRule type="duplicateValues" dxfId="25306" priority="25319"/>
    <cfRule type="duplicateValues" dxfId="25305" priority="25318"/>
    <cfRule type="duplicateValues" dxfId="25304" priority="25317"/>
    <cfRule type="duplicateValues" dxfId="25303" priority="25316"/>
    <cfRule type="duplicateValues" dxfId="25302" priority="25315"/>
    <cfRule type="duplicateValues" dxfId="25301" priority="25314"/>
    <cfRule type="duplicateValues" dxfId="25300" priority="25313"/>
    <cfRule type="duplicateValues" dxfId="25299" priority="25312"/>
    <cfRule type="duplicateValues" dxfId="25298" priority="25311"/>
    <cfRule type="duplicateValues" dxfId="25297" priority="25310"/>
    <cfRule type="duplicateValues" dxfId="25296" priority="25309"/>
    <cfRule type="duplicateValues" dxfId="25295" priority="25308"/>
    <cfRule type="duplicateValues" dxfId="25294" priority="25307"/>
    <cfRule type="duplicateValues" dxfId="25293" priority="25306"/>
    <cfRule type="duplicateValues" dxfId="25292" priority="25305"/>
    <cfRule type="duplicateValues" dxfId="25291" priority="25304"/>
    <cfRule type="duplicateValues" dxfId="25290" priority="25303"/>
    <cfRule type="duplicateValues" dxfId="25289" priority="25302"/>
    <cfRule type="duplicateValues" dxfId="25288" priority="25301"/>
    <cfRule type="duplicateValues" dxfId="25287" priority="25300"/>
    <cfRule type="duplicateValues" dxfId="25286" priority="25299"/>
    <cfRule type="duplicateValues" dxfId="25285" priority="25298"/>
    <cfRule type="duplicateValues" dxfId="25284" priority="25297"/>
    <cfRule type="duplicateValues" dxfId="25283" priority="25296"/>
    <cfRule type="duplicateValues" dxfId="25282" priority="25295"/>
    <cfRule type="duplicateValues" dxfId="25281" priority="25294"/>
    <cfRule type="duplicateValues" dxfId="25280" priority="25293"/>
    <cfRule type="duplicateValues" dxfId="25279" priority="25292"/>
    <cfRule type="duplicateValues" dxfId="25278" priority="25291"/>
    <cfRule type="duplicateValues" dxfId="25277" priority="25290"/>
    <cfRule type="duplicateValues" dxfId="25276" priority="25289"/>
    <cfRule type="duplicateValues" dxfId="25275" priority="25288"/>
    <cfRule type="duplicateValues" dxfId="25274" priority="25287"/>
    <cfRule type="duplicateValues" dxfId="25273" priority="25286"/>
    <cfRule type="duplicateValues" dxfId="25272" priority="25285"/>
    <cfRule type="duplicateValues" dxfId="25271" priority="25284"/>
    <cfRule type="duplicateValues" dxfId="25270" priority="25283"/>
    <cfRule type="duplicateValues" dxfId="25269" priority="25282"/>
    <cfRule type="duplicateValues" dxfId="25268" priority="25281"/>
    <cfRule type="duplicateValues" dxfId="25267" priority="25280"/>
    <cfRule type="duplicateValues" dxfId="25266" priority="25279"/>
    <cfRule type="duplicateValues" dxfId="25265" priority="25278"/>
    <cfRule type="duplicateValues" dxfId="25264" priority="25277"/>
    <cfRule type="duplicateValues" dxfId="25263" priority="25276"/>
    <cfRule type="duplicateValues" dxfId="25262" priority="25275"/>
    <cfRule type="duplicateValues" dxfId="25261" priority="25274"/>
    <cfRule type="duplicateValues" dxfId="25260" priority="25273"/>
    <cfRule type="duplicateValues" dxfId="25259" priority="25272"/>
    <cfRule type="duplicateValues" dxfId="25258" priority="25271"/>
    <cfRule type="duplicateValues" dxfId="25257" priority="25270"/>
    <cfRule type="duplicateValues" dxfId="25256" priority="25269"/>
    <cfRule type="duplicateValues" dxfId="25255" priority="25268"/>
    <cfRule type="duplicateValues" dxfId="25254" priority="25267"/>
    <cfRule type="duplicateValues" dxfId="25253" priority="25266"/>
    <cfRule type="duplicateValues" dxfId="25252" priority="25265"/>
    <cfRule type="duplicateValues" dxfId="25251" priority="25264"/>
    <cfRule type="duplicateValues" dxfId="25250" priority="25263"/>
    <cfRule type="duplicateValues" dxfId="25249" priority="25262"/>
    <cfRule type="duplicateValues" dxfId="25248" priority="25261"/>
    <cfRule type="duplicateValues" dxfId="25247" priority="25260"/>
    <cfRule type="duplicateValues" dxfId="25246" priority="25259"/>
    <cfRule type="duplicateValues" dxfId="25245" priority="25258"/>
    <cfRule type="duplicateValues" dxfId="25244" priority="25257"/>
    <cfRule type="duplicateValues" dxfId="25243" priority="25256"/>
    <cfRule type="duplicateValues" dxfId="25242" priority="25255"/>
    <cfRule type="duplicateValues" dxfId="25241" priority="25254"/>
    <cfRule type="duplicateValues" dxfId="25240" priority="25253"/>
    <cfRule type="duplicateValues" dxfId="25239" priority="25252"/>
    <cfRule type="duplicateValues" dxfId="25238" priority="25251"/>
    <cfRule type="duplicateValues" dxfId="25237" priority="25250"/>
    <cfRule type="duplicateValues" dxfId="25236" priority="25249"/>
    <cfRule type="duplicateValues" dxfId="25235" priority="25248"/>
    <cfRule type="duplicateValues" dxfId="25234" priority="25247"/>
    <cfRule type="duplicateValues" dxfId="25233" priority="25246"/>
    <cfRule type="duplicateValues" dxfId="25232" priority="25245"/>
    <cfRule type="duplicateValues" dxfId="25231" priority="25244"/>
    <cfRule type="duplicateValues" dxfId="25230" priority="25243"/>
    <cfRule type="duplicateValues" dxfId="25229" priority="25242"/>
    <cfRule type="duplicateValues" dxfId="25228" priority="25241"/>
    <cfRule type="duplicateValues" dxfId="25227" priority="25240"/>
    <cfRule type="duplicateValues" dxfId="25226" priority="25239"/>
    <cfRule type="duplicateValues" dxfId="25225" priority="25238"/>
    <cfRule type="duplicateValues" dxfId="25224" priority="25237"/>
    <cfRule type="duplicateValues" dxfId="25223" priority="25236"/>
    <cfRule type="duplicateValues" dxfId="25222" priority="25235"/>
    <cfRule type="duplicateValues" dxfId="25221" priority="25234"/>
    <cfRule type="duplicateValues" dxfId="25220" priority="25233"/>
    <cfRule type="duplicateValues" dxfId="25219" priority="25232"/>
    <cfRule type="duplicateValues" dxfId="25218" priority="25231"/>
    <cfRule type="duplicateValues" dxfId="25217" priority="25230"/>
    <cfRule type="duplicateValues" dxfId="25216" priority="25229"/>
    <cfRule type="duplicateValues" dxfId="25215" priority="25228"/>
    <cfRule type="duplicateValues" dxfId="25214" priority="25227"/>
    <cfRule type="duplicateValues" dxfId="25213" priority="25226"/>
    <cfRule type="duplicateValues" dxfId="25212" priority="25225"/>
    <cfRule type="duplicateValues" dxfId="25211" priority="25224"/>
    <cfRule type="duplicateValues" dxfId="25210" priority="25223"/>
    <cfRule type="duplicateValues" dxfId="25209" priority="25222"/>
    <cfRule type="duplicateValues" dxfId="25208" priority="25221"/>
    <cfRule type="duplicateValues" dxfId="25207" priority="25220"/>
    <cfRule type="duplicateValues" dxfId="25206" priority="25219"/>
    <cfRule type="duplicateValues" dxfId="25205" priority="25218"/>
    <cfRule type="duplicateValues" dxfId="25204" priority="25217"/>
    <cfRule type="duplicateValues" dxfId="25203" priority="25216"/>
    <cfRule type="duplicateValues" dxfId="25202" priority="25215"/>
    <cfRule type="duplicateValues" dxfId="25201" priority="25214"/>
    <cfRule type="duplicateValues" dxfId="25200" priority="25213"/>
    <cfRule type="duplicateValues" dxfId="25199" priority="25212"/>
    <cfRule type="duplicateValues" dxfId="25198" priority="25211"/>
    <cfRule type="duplicateValues" dxfId="25197" priority="25210"/>
    <cfRule type="duplicateValues" dxfId="25196" priority="25209"/>
    <cfRule type="duplicateValues" dxfId="25195" priority="25208"/>
    <cfRule type="duplicateValues" dxfId="25194" priority="25207"/>
    <cfRule type="duplicateValues" dxfId="25193" priority="25206"/>
    <cfRule type="duplicateValues" dxfId="25192" priority="25205"/>
    <cfRule type="duplicateValues" dxfId="25191" priority="25204"/>
    <cfRule type="duplicateValues" dxfId="25190" priority="25203"/>
    <cfRule type="duplicateValues" dxfId="25189" priority="25202"/>
    <cfRule type="duplicateValues" dxfId="25188" priority="25201"/>
    <cfRule type="duplicateValues" dxfId="25187" priority="25200"/>
    <cfRule type="duplicateValues" dxfId="25186" priority="25199"/>
    <cfRule type="duplicateValues" dxfId="25185" priority="25198"/>
    <cfRule type="duplicateValues" dxfId="25184" priority="25197"/>
    <cfRule type="duplicateValues" dxfId="25183" priority="25196"/>
    <cfRule type="duplicateValues" dxfId="25182" priority="25195"/>
    <cfRule type="duplicateValues" dxfId="25181" priority="25194"/>
    <cfRule type="duplicateValues" dxfId="25180" priority="25193"/>
    <cfRule type="duplicateValues" dxfId="25179" priority="25192"/>
    <cfRule type="duplicateValues" dxfId="25178" priority="25191"/>
    <cfRule type="duplicateValues" dxfId="25177" priority="25190"/>
    <cfRule type="duplicateValues" dxfId="25176" priority="25189"/>
    <cfRule type="duplicateValues" dxfId="25175" priority="25188"/>
    <cfRule type="duplicateValues" dxfId="25174" priority="25187"/>
    <cfRule type="duplicateValues" dxfId="25173" priority="25186"/>
    <cfRule type="duplicateValues" dxfId="25172" priority="25185"/>
    <cfRule type="duplicateValues" dxfId="25171" priority="25184"/>
    <cfRule type="duplicateValues" dxfId="25170" priority="25183"/>
    <cfRule type="duplicateValues" dxfId="25169" priority="25182"/>
    <cfRule type="duplicateValues" dxfId="25168" priority="25181"/>
    <cfRule type="duplicateValues" dxfId="25167" priority="25180"/>
    <cfRule type="duplicateValues" dxfId="25166" priority="25179"/>
    <cfRule type="duplicateValues" dxfId="25165" priority="25178"/>
    <cfRule type="duplicateValues" dxfId="25164" priority="25177"/>
    <cfRule type="duplicateValues" dxfId="25163" priority="25176"/>
    <cfRule type="duplicateValues" dxfId="25162" priority="25175"/>
    <cfRule type="duplicateValues" dxfId="25161" priority="25174"/>
    <cfRule type="duplicateValues" dxfId="25160" priority="25173"/>
    <cfRule type="duplicateValues" dxfId="25159" priority="25172"/>
    <cfRule type="duplicateValues" dxfId="25158" priority="25171"/>
    <cfRule type="duplicateValues" dxfId="25157" priority="25170"/>
    <cfRule type="duplicateValues" dxfId="25156" priority="25169"/>
    <cfRule type="duplicateValues" dxfId="25155" priority="25168"/>
    <cfRule type="duplicateValues" dxfId="25154" priority="25167"/>
    <cfRule type="duplicateValues" dxfId="25153" priority="25166"/>
    <cfRule type="duplicateValues" dxfId="25152" priority="25165"/>
    <cfRule type="duplicateValues" dxfId="25151" priority="25164"/>
    <cfRule type="duplicateValues" dxfId="25150" priority="25163"/>
    <cfRule type="duplicateValues" dxfId="25149" priority="25162"/>
    <cfRule type="duplicateValues" dxfId="25148" priority="25161"/>
    <cfRule type="duplicateValues" dxfId="25147" priority="25160"/>
    <cfRule type="duplicateValues" dxfId="25146" priority="25159"/>
    <cfRule type="duplicateValues" dxfId="25145" priority="25158"/>
    <cfRule type="duplicateValues" dxfId="25144" priority="25157"/>
    <cfRule type="duplicateValues" dxfId="25143" priority="25156"/>
    <cfRule type="duplicateValues" dxfId="25142" priority="25155"/>
    <cfRule type="duplicateValues" dxfId="25141" priority="25154"/>
    <cfRule type="duplicateValues" dxfId="25140" priority="25153"/>
  </conditionalFormatting>
  <conditionalFormatting sqref="B174">
    <cfRule type="duplicateValues" dxfId="25139" priority="25107"/>
    <cfRule type="duplicateValues" dxfId="25138" priority="24975"/>
    <cfRule type="duplicateValues" dxfId="25137" priority="24974"/>
    <cfRule type="duplicateValues" dxfId="25136" priority="24973"/>
    <cfRule type="duplicateValues" dxfId="25135" priority="25148"/>
    <cfRule type="duplicateValues" dxfId="25134" priority="25147"/>
    <cfRule type="duplicateValues" dxfId="25133" priority="25146"/>
    <cfRule type="duplicateValues" dxfId="25132" priority="25145"/>
    <cfRule type="duplicateValues" dxfId="25131" priority="25144"/>
    <cfRule type="duplicateValues" dxfId="25130" priority="25143"/>
    <cfRule type="duplicateValues" dxfId="25129" priority="25142"/>
    <cfRule type="duplicateValues" dxfId="25128" priority="25141"/>
    <cfRule type="duplicateValues" dxfId="25127" priority="25140"/>
    <cfRule type="duplicateValues" dxfId="25126" priority="25139"/>
    <cfRule type="duplicateValues" dxfId="25125" priority="25138"/>
    <cfRule type="duplicateValues" dxfId="25124" priority="25137"/>
    <cfRule type="duplicateValues" dxfId="25123" priority="25136"/>
    <cfRule type="duplicateValues" dxfId="25122" priority="25135"/>
    <cfRule type="duplicateValues" dxfId="25121" priority="25134"/>
    <cfRule type="duplicateValues" dxfId="25120" priority="25133"/>
    <cfRule type="duplicateValues" dxfId="25119" priority="25132"/>
    <cfRule type="duplicateValues" dxfId="25118" priority="25131"/>
    <cfRule type="duplicateValues" dxfId="25117" priority="25130"/>
    <cfRule type="duplicateValues" dxfId="25116" priority="25129"/>
    <cfRule type="duplicateValues" dxfId="25115" priority="25128"/>
    <cfRule type="duplicateValues" dxfId="25114" priority="25127"/>
    <cfRule type="duplicateValues" dxfId="25113" priority="25126"/>
    <cfRule type="duplicateValues" dxfId="25112" priority="25125"/>
    <cfRule type="duplicateValues" dxfId="25111" priority="25124"/>
    <cfRule type="duplicateValues" dxfId="25110" priority="25123"/>
    <cfRule type="duplicateValues" dxfId="25109" priority="25122"/>
    <cfRule type="duplicateValues" dxfId="25108" priority="25121"/>
    <cfRule type="duplicateValues" dxfId="25107" priority="25120"/>
    <cfRule type="duplicateValues" dxfId="25106" priority="25119"/>
    <cfRule type="duplicateValues" dxfId="25105" priority="25118"/>
    <cfRule type="duplicateValues" dxfId="25104" priority="25117"/>
    <cfRule type="duplicateValues" dxfId="25103" priority="25116"/>
    <cfRule type="duplicateValues" dxfId="25102" priority="25115"/>
    <cfRule type="duplicateValues" dxfId="25101" priority="25114"/>
    <cfRule type="duplicateValues" dxfId="25100" priority="25113"/>
    <cfRule type="duplicateValues" dxfId="25099" priority="25112"/>
    <cfRule type="duplicateValues" dxfId="25098" priority="25111"/>
    <cfRule type="duplicateValues" dxfId="25097" priority="25110"/>
    <cfRule type="duplicateValues" dxfId="25096" priority="25109"/>
    <cfRule type="duplicateValues" dxfId="25095" priority="25108"/>
    <cfRule type="duplicateValues" dxfId="25094" priority="25062"/>
    <cfRule type="duplicateValues" dxfId="25093" priority="25106"/>
    <cfRule type="duplicateValues" dxfId="25092" priority="25105"/>
    <cfRule type="duplicateValues" dxfId="25091" priority="25104"/>
    <cfRule type="duplicateValues" dxfId="25090" priority="25103"/>
    <cfRule type="duplicateValues" dxfId="25089" priority="25102"/>
    <cfRule type="duplicateValues" dxfId="25088" priority="25101"/>
    <cfRule type="duplicateValues" dxfId="25087" priority="25100"/>
    <cfRule type="duplicateValues" dxfId="25086" priority="25099"/>
    <cfRule type="duplicateValues" dxfId="25085" priority="25098"/>
    <cfRule type="duplicateValues" dxfId="25084" priority="25097"/>
    <cfRule type="duplicateValues" dxfId="25083" priority="25096"/>
    <cfRule type="duplicateValues" dxfId="25082" priority="25095"/>
    <cfRule type="duplicateValues" dxfId="25081" priority="25094"/>
    <cfRule type="duplicateValues" dxfId="25080" priority="25093"/>
    <cfRule type="duplicateValues" dxfId="25079" priority="25092"/>
    <cfRule type="duplicateValues" dxfId="25078" priority="25091"/>
    <cfRule type="duplicateValues" dxfId="25077" priority="25090"/>
    <cfRule type="duplicateValues" dxfId="25076" priority="25089"/>
    <cfRule type="duplicateValues" dxfId="25075" priority="25088"/>
    <cfRule type="duplicateValues" dxfId="25074" priority="25087"/>
    <cfRule type="duplicateValues" dxfId="25073" priority="25086"/>
    <cfRule type="duplicateValues" dxfId="25072" priority="25085"/>
    <cfRule type="duplicateValues" dxfId="25071" priority="25084"/>
    <cfRule type="duplicateValues" dxfId="25070" priority="25083"/>
    <cfRule type="duplicateValues" dxfId="25069" priority="25082"/>
    <cfRule type="duplicateValues" dxfId="25068" priority="25081"/>
    <cfRule type="duplicateValues" dxfId="25067" priority="25080"/>
    <cfRule type="duplicateValues" dxfId="25066" priority="25079"/>
    <cfRule type="duplicateValues" dxfId="25065" priority="25078"/>
    <cfRule type="duplicateValues" dxfId="25064" priority="25077"/>
    <cfRule type="duplicateValues" dxfId="25063" priority="25076"/>
    <cfRule type="duplicateValues" dxfId="25062" priority="25075"/>
    <cfRule type="duplicateValues" dxfId="25061" priority="25074"/>
    <cfRule type="duplicateValues" dxfId="25060" priority="25073"/>
    <cfRule type="duplicateValues" dxfId="25059" priority="25072"/>
    <cfRule type="duplicateValues" dxfId="25058" priority="25071"/>
    <cfRule type="duplicateValues" dxfId="25057" priority="25070"/>
    <cfRule type="duplicateValues" dxfId="25056" priority="25069"/>
    <cfRule type="duplicateValues" dxfId="25055" priority="25068"/>
    <cfRule type="duplicateValues" dxfId="25054" priority="25067"/>
    <cfRule type="duplicateValues" dxfId="25053" priority="25066"/>
    <cfRule type="duplicateValues" dxfId="25052" priority="25065"/>
    <cfRule type="duplicateValues" dxfId="25051" priority="25064"/>
    <cfRule type="duplicateValues" dxfId="25050" priority="25063"/>
    <cfRule type="duplicateValues" dxfId="25049" priority="24972"/>
    <cfRule type="duplicateValues" dxfId="25048" priority="25061"/>
    <cfRule type="duplicateValues" dxfId="25047" priority="25060"/>
    <cfRule type="duplicateValues" dxfId="25046" priority="25059"/>
    <cfRule type="duplicateValues" dxfId="25045" priority="25058"/>
    <cfRule type="duplicateValues" dxfId="25044" priority="25057"/>
    <cfRule type="duplicateValues" dxfId="25043" priority="25056"/>
    <cfRule type="duplicateValues" dxfId="25042" priority="25055"/>
    <cfRule type="duplicateValues" dxfId="25041" priority="25054"/>
    <cfRule type="duplicateValues" dxfId="25040" priority="25053"/>
    <cfRule type="duplicateValues" dxfId="25039" priority="25052"/>
    <cfRule type="duplicateValues" dxfId="25038" priority="25051"/>
    <cfRule type="duplicateValues" dxfId="25037" priority="25050"/>
    <cfRule type="duplicateValues" dxfId="25036" priority="25049"/>
    <cfRule type="duplicateValues" dxfId="25035" priority="25048"/>
    <cfRule type="duplicateValues" dxfId="25034" priority="25047"/>
    <cfRule type="duplicateValues" dxfId="25033" priority="25046"/>
    <cfRule type="duplicateValues" dxfId="25032" priority="25045"/>
    <cfRule type="duplicateValues" dxfId="25031" priority="25044"/>
    <cfRule type="duplicateValues" dxfId="25030" priority="25043"/>
    <cfRule type="duplicateValues" dxfId="25029" priority="25042"/>
    <cfRule type="duplicateValues" dxfId="25028" priority="25041"/>
    <cfRule type="duplicateValues" dxfId="25027" priority="25040"/>
    <cfRule type="duplicateValues" dxfId="25026" priority="25039"/>
    <cfRule type="duplicateValues" dxfId="25025" priority="25038"/>
    <cfRule type="duplicateValues" dxfId="25024" priority="25037"/>
    <cfRule type="duplicateValues" dxfId="25023" priority="25036"/>
    <cfRule type="duplicateValues" dxfId="25022" priority="25035"/>
    <cfRule type="duplicateValues" dxfId="25021" priority="25034"/>
    <cfRule type="duplicateValues" dxfId="25020" priority="25033"/>
    <cfRule type="duplicateValues" dxfId="25019" priority="25032"/>
    <cfRule type="duplicateValues" dxfId="25018" priority="25031"/>
    <cfRule type="duplicateValues" dxfId="25017" priority="25030"/>
    <cfRule type="duplicateValues" dxfId="25016" priority="25029"/>
    <cfRule type="duplicateValues" dxfId="25015" priority="25028"/>
    <cfRule type="duplicateValues" dxfId="25014" priority="25027"/>
    <cfRule type="duplicateValues" dxfId="25013" priority="25026"/>
    <cfRule type="duplicateValues" dxfId="25012" priority="25025"/>
    <cfRule type="duplicateValues" dxfId="25011" priority="25024"/>
    <cfRule type="duplicateValues" dxfId="25010" priority="25023"/>
    <cfRule type="duplicateValues" dxfId="25009" priority="25022"/>
    <cfRule type="duplicateValues" dxfId="25008" priority="25021"/>
    <cfRule type="duplicateValues" dxfId="25007" priority="25020"/>
    <cfRule type="duplicateValues" dxfId="25006" priority="25019"/>
    <cfRule type="duplicateValues" dxfId="25005" priority="25018"/>
    <cfRule type="duplicateValues" dxfId="25004" priority="25017"/>
    <cfRule type="duplicateValues" dxfId="25003" priority="25016"/>
    <cfRule type="duplicateValues" dxfId="25002" priority="25015"/>
    <cfRule type="duplicateValues" dxfId="25001" priority="25014"/>
    <cfRule type="duplicateValues" dxfId="25000" priority="25013"/>
    <cfRule type="duplicateValues" dxfId="24999" priority="25012"/>
    <cfRule type="duplicateValues" dxfId="24998" priority="25011"/>
    <cfRule type="duplicateValues" dxfId="24997" priority="25010"/>
    <cfRule type="duplicateValues" dxfId="24996" priority="25009"/>
    <cfRule type="duplicateValues" dxfId="24995" priority="25008"/>
    <cfRule type="duplicateValues" dxfId="24994" priority="25007"/>
    <cfRule type="duplicateValues" dxfId="24993" priority="25006"/>
    <cfRule type="duplicateValues" dxfId="24992" priority="25005"/>
    <cfRule type="duplicateValues" dxfId="24991" priority="25004"/>
    <cfRule type="duplicateValues" dxfId="24990" priority="25003"/>
    <cfRule type="duplicateValues" dxfId="24989" priority="25002"/>
    <cfRule type="duplicateValues" dxfId="24988" priority="25001"/>
    <cfRule type="duplicateValues" dxfId="24987" priority="25000"/>
    <cfRule type="duplicateValues" dxfId="24986" priority="24999"/>
    <cfRule type="duplicateValues" dxfId="24985" priority="24998"/>
    <cfRule type="duplicateValues" dxfId="24984" priority="24997"/>
    <cfRule type="duplicateValues" dxfId="24983" priority="24996"/>
    <cfRule type="duplicateValues" dxfId="24982" priority="24995"/>
    <cfRule type="duplicateValues" dxfId="24981" priority="24994"/>
    <cfRule type="duplicateValues" dxfId="24980" priority="24993"/>
    <cfRule type="duplicateValues" dxfId="24979" priority="24992"/>
    <cfRule type="duplicateValues" dxfId="24978" priority="24991"/>
    <cfRule type="duplicateValues" dxfId="24977" priority="24990"/>
    <cfRule type="duplicateValues" dxfId="24976" priority="24989"/>
    <cfRule type="duplicateValues" dxfId="24975" priority="24988"/>
    <cfRule type="duplicateValues" dxfId="24974" priority="24987"/>
    <cfRule type="duplicateValues" dxfId="24973" priority="24986"/>
    <cfRule type="duplicateValues" dxfId="24972" priority="24985"/>
    <cfRule type="duplicateValues" dxfId="24971" priority="24984"/>
    <cfRule type="duplicateValues" dxfId="24970" priority="24983"/>
    <cfRule type="duplicateValues" dxfId="24969" priority="24982"/>
    <cfRule type="duplicateValues" dxfId="24968" priority="24981"/>
    <cfRule type="duplicateValues" dxfId="24967" priority="24980"/>
    <cfRule type="duplicateValues" dxfId="24966" priority="24979"/>
    <cfRule type="duplicateValues" dxfId="24965" priority="24978"/>
    <cfRule type="duplicateValues" dxfId="24964" priority="24977"/>
    <cfRule type="duplicateValues" dxfId="24963" priority="24976"/>
  </conditionalFormatting>
  <conditionalFormatting sqref="B175">
    <cfRule type="duplicateValues" dxfId="24962" priority="24786"/>
    <cfRule type="duplicateValues" dxfId="24961" priority="24785"/>
    <cfRule type="duplicateValues" dxfId="24960" priority="24788"/>
    <cfRule type="duplicateValues" dxfId="24959" priority="24787"/>
    <cfRule type="duplicateValues" dxfId="24958" priority="24971"/>
    <cfRule type="duplicateValues" dxfId="24957" priority="24970"/>
    <cfRule type="duplicateValues" dxfId="24956" priority="24969"/>
    <cfRule type="duplicateValues" dxfId="24955" priority="24968"/>
    <cfRule type="duplicateValues" dxfId="24954" priority="24967"/>
    <cfRule type="duplicateValues" dxfId="24953" priority="24966"/>
    <cfRule type="duplicateValues" dxfId="24952" priority="24965"/>
    <cfRule type="duplicateValues" dxfId="24951" priority="24964"/>
    <cfRule type="duplicateValues" dxfId="24950" priority="24963"/>
    <cfRule type="duplicateValues" dxfId="24949" priority="24962"/>
    <cfRule type="duplicateValues" dxfId="24948" priority="24961"/>
    <cfRule type="duplicateValues" dxfId="24947" priority="24960"/>
    <cfRule type="duplicateValues" dxfId="24946" priority="24959"/>
    <cfRule type="duplicateValues" dxfId="24945" priority="24958"/>
    <cfRule type="duplicateValues" dxfId="24944" priority="24957"/>
    <cfRule type="duplicateValues" dxfId="24943" priority="24956"/>
    <cfRule type="duplicateValues" dxfId="24942" priority="24955"/>
    <cfRule type="duplicateValues" dxfId="24941" priority="24954"/>
    <cfRule type="duplicateValues" dxfId="24940" priority="24953"/>
    <cfRule type="duplicateValues" dxfId="24939" priority="24952"/>
    <cfRule type="duplicateValues" dxfId="24938" priority="24951"/>
    <cfRule type="duplicateValues" dxfId="24937" priority="24950"/>
    <cfRule type="duplicateValues" dxfId="24936" priority="24949"/>
    <cfRule type="duplicateValues" dxfId="24935" priority="24948"/>
    <cfRule type="duplicateValues" dxfId="24934" priority="24947"/>
    <cfRule type="duplicateValues" dxfId="24933" priority="24946"/>
    <cfRule type="duplicateValues" dxfId="24932" priority="24945"/>
    <cfRule type="duplicateValues" dxfId="24931" priority="24944"/>
    <cfRule type="duplicateValues" dxfId="24930" priority="24943"/>
    <cfRule type="duplicateValues" dxfId="24929" priority="24942"/>
    <cfRule type="duplicateValues" dxfId="24928" priority="24941"/>
    <cfRule type="duplicateValues" dxfId="24927" priority="24940"/>
    <cfRule type="duplicateValues" dxfId="24926" priority="24939"/>
    <cfRule type="duplicateValues" dxfId="24925" priority="24938"/>
    <cfRule type="duplicateValues" dxfId="24924" priority="24937"/>
    <cfRule type="duplicateValues" dxfId="24923" priority="24936"/>
    <cfRule type="duplicateValues" dxfId="24922" priority="24935"/>
    <cfRule type="duplicateValues" dxfId="24921" priority="24934"/>
    <cfRule type="duplicateValues" dxfId="24920" priority="24933"/>
    <cfRule type="duplicateValues" dxfId="24919" priority="24932"/>
    <cfRule type="duplicateValues" dxfId="24918" priority="24931"/>
    <cfRule type="duplicateValues" dxfId="24917" priority="24930"/>
    <cfRule type="duplicateValues" dxfId="24916" priority="24929"/>
    <cfRule type="duplicateValues" dxfId="24915" priority="24928"/>
    <cfRule type="duplicateValues" dxfId="24914" priority="24927"/>
    <cfRule type="duplicateValues" dxfId="24913" priority="24926"/>
    <cfRule type="duplicateValues" dxfId="24912" priority="24925"/>
    <cfRule type="duplicateValues" dxfId="24911" priority="24924"/>
    <cfRule type="duplicateValues" dxfId="24910" priority="24923"/>
    <cfRule type="duplicateValues" dxfId="24909" priority="24922"/>
    <cfRule type="duplicateValues" dxfId="24908" priority="24921"/>
    <cfRule type="duplicateValues" dxfId="24907" priority="24920"/>
    <cfRule type="duplicateValues" dxfId="24906" priority="24919"/>
    <cfRule type="duplicateValues" dxfId="24905" priority="24918"/>
    <cfRule type="duplicateValues" dxfId="24904" priority="24917"/>
    <cfRule type="duplicateValues" dxfId="24903" priority="24916"/>
    <cfRule type="duplicateValues" dxfId="24902" priority="24915"/>
    <cfRule type="duplicateValues" dxfId="24901" priority="24914"/>
    <cfRule type="duplicateValues" dxfId="24900" priority="24913"/>
    <cfRule type="duplicateValues" dxfId="24899" priority="24912"/>
    <cfRule type="duplicateValues" dxfId="24898" priority="24911"/>
    <cfRule type="duplicateValues" dxfId="24897" priority="24910"/>
    <cfRule type="duplicateValues" dxfId="24896" priority="24909"/>
    <cfRule type="duplicateValues" dxfId="24895" priority="24908"/>
    <cfRule type="duplicateValues" dxfId="24894" priority="24907"/>
    <cfRule type="duplicateValues" dxfId="24893" priority="24906"/>
    <cfRule type="duplicateValues" dxfId="24892" priority="24905"/>
    <cfRule type="duplicateValues" dxfId="24891" priority="24904"/>
    <cfRule type="duplicateValues" dxfId="24890" priority="24903"/>
    <cfRule type="duplicateValues" dxfId="24889" priority="24902"/>
    <cfRule type="duplicateValues" dxfId="24888" priority="24901"/>
    <cfRule type="duplicateValues" dxfId="24887" priority="24900"/>
    <cfRule type="duplicateValues" dxfId="24886" priority="24899"/>
    <cfRule type="duplicateValues" dxfId="24885" priority="24898"/>
    <cfRule type="duplicateValues" dxfId="24884" priority="24897"/>
    <cfRule type="duplicateValues" dxfId="24883" priority="24896"/>
    <cfRule type="duplicateValues" dxfId="24882" priority="24895"/>
    <cfRule type="duplicateValues" dxfId="24881" priority="24894"/>
    <cfRule type="duplicateValues" dxfId="24880" priority="24893"/>
    <cfRule type="duplicateValues" dxfId="24879" priority="24892"/>
    <cfRule type="duplicateValues" dxfId="24878" priority="24891"/>
    <cfRule type="duplicateValues" dxfId="24877" priority="24890"/>
    <cfRule type="duplicateValues" dxfId="24876" priority="24889"/>
    <cfRule type="duplicateValues" dxfId="24875" priority="24888"/>
    <cfRule type="duplicateValues" dxfId="24874" priority="24887"/>
    <cfRule type="duplicateValues" dxfId="24873" priority="24886"/>
    <cfRule type="duplicateValues" dxfId="24872" priority="24885"/>
    <cfRule type="duplicateValues" dxfId="24871" priority="24884"/>
    <cfRule type="duplicateValues" dxfId="24870" priority="24883"/>
    <cfRule type="duplicateValues" dxfId="24869" priority="24882"/>
    <cfRule type="duplicateValues" dxfId="24868" priority="24881"/>
    <cfRule type="duplicateValues" dxfId="24867" priority="24880"/>
    <cfRule type="duplicateValues" dxfId="24866" priority="24879"/>
    <cfRule type="duplicateValues" dxfId="24865" priority="24878"/>
    <cfRule type="duplicateValues" dxfId="24864" priority="24877"/>
    <cfRule type="duplicateValues" dxfId="24863" priority="24876"/>
    <cfRule type="duplicateValues" dxfId="24862" priority="24875"/>
    <cfRule type="duplicateValues" dxfId="24861" priority="24874"/>
    <cfRule type="duplicateValues" dxfId="24860" priority="24873"/>
    <cfRule type="duplicateValues" dxfId="24859" priority="24872"/>
    <cfRule type="duplicateValues" dxfId="24858" priority="24871"/>
    <cfRule type="duplicateValues" dxfId="24857" priority="24870"/>
    <cfRule type="duplicateValues" dxfId="24856" priority="24869"/>
    <cfRule type="duplicateValues" dxfId="24855" priority="24868"/>
    <cfRule type="duplicateValues" dxfId="24854" priority="24867"/>
    <cfRule type="duplicateValues" dxfId="24853" priority="24866"/>
    <cfRule type="duplicateValues" dxfId="24852" priority="24865"/>
    <cfRule type="duplicateValues" dxfId="24851" priority="24864"/>
    <cfRule type="duplicateValues" dxfId="24850" priority="24863"/>
    <cfRule type="duplicateValues" dxfId="24849" priority="24862"/>
    <cfRule type="duplicateValues" dxfId="24848" priority="24861"/>
    <cfRule type="duplicateValues" dxfId="24847" priority="24860"/>
    <cfRule type="duplicateValues" dxfId="24846" priority="24859"/>
    <cfRule type="duplicateValues" dxfId="24845" priority="24858"/>
    <cfRule type="duplicateValues" dxfId="24844" priority="24857"/>
    <cfRule type="duplicateValues" dxfId="24843" priority="24856"/>
    <cfRule type="duplicateValues" dxfId="24842" priority="24855"/>
    <cfRule type="duplicateValues" dxfId="24841" priority="24854"/>
    <cfRule type="duplicateValues" dxfId="24840" priority="24853"/>
    <cfRule type="duplicateValues" dxfId="24839" priority="24852"/>
    <cfRule type="duplicateValues" dxfId="24838" priority="24851"/>
    <cfRule type="duplicateValues" dxfId="24837" priority="24850"/>
    <cfRule type="duplicateValues" dxfId="24836" priority="24849"/>
    <cfRule type="duplicateValues" dxfId="24835" priority="24848"/>
    <cfRule type="duplicateValues" dxfId="24834" priority="24847"/>
    <cfRule type="duplicateValues" dxfId="24833" priority="24846"/>
    <cfRule type="duplicateValues" dxfId="24832" priority="24845"/>
    <cfRule type="duplicateValues" dxfId="24831" priority="24844"/>
    <cfRule type="duplicateValues" dxfId="24830" priority="24843"/>
    <cfRule type="duplicateValues" dxfId="24829" priority="24842"/>
    <cfRule type="duplicateValues" dxfId="24828" priority="24841"/>
    <cfRule type="duplicateValues" dxfId="24827" priority="24840"/>
    <cfRule type="duplicateValues" dxfId="24826" priority="24839"/>
    <cfRule type="duplicateValues" dxfId="24825" priority="24838"/>
    <cfRule type="duplicateValues" dxfId="24824" priority="24837"/>
    <cfRule type="duplicateValues" dxfId="24823" priority="24836"/>
    <cfRule type="duplicateValues" dxfId="24822" priority="24835"/>
    <cfRule type="duplicateValues" dxfId="24821" priority="24834"/>
    <cfRule type="duplicateValues" dxfId="24820" priority="24833"/>
    <cfRule type="duplicateValues" dxfId="24819" priority="24832"/>
    <cfRule type="duplicateValues" dxfId="24818" priority="24831"/>
    <cfRule type="duplicateValues" dxfId="24817" priority="24830"/>
    <cfRule type="duplicateValues" dxfId="24816" priority="24829"/>
    <cfRule type="duplicateValues" dxfId="24815" priority="24828"/>
    <cfRule type="duplicateValues" dxfId="24814" priority="24827"/>
    <cfRule type="duplicateValues" dxfId="24813" priority="24826"/>
    <cfRule type="duplicateValues" dxfId="24812" priority="24825"/>
    <cfRule type="duplicateValues" dxfId="24811" priority="24824"/>
    <cfRule type="duplicateValues" dxfId="24810" priority="24823"/>
    <cfRule type="duplicateValues" dxfId="24809" priority="24822"/>
    <cfRule type="duplicateValues" dxfId="24808" priority="24821"/>
    <cfRule type="duplicateValues" dxfId="24807" priority="24820"/>
    <cfRule type="duplicateValues" dxfId="24806" priority="24819"/>
    <cfRule type="duplicateValues" dxfId="24805" priority="24818"/>
    <cfRule type="duplicateValues" dxfId="24804" priority="24817"/>
    <cfRule type="duplicateValues" dxfId="24803" priority="24816"/>
    <cfRule type="duplicateValues" dxfId="24802" priority="24815"/>
    <cfRule type="duplicateValues" dxfId="24801" priority="24814"/>
    <cfRule type="duplicateValues" dxfId="24800" priority="24813"/>
    <cfRule type="duplicateValues" dxfId="24799" priority="24812"/>
    <cfRule type="duplicateValues" dxfId="24798" priority="24811"/>
    <cfRule type="duplicateValues" dxfId="24797" priority="24810"/>
    <cfRule type="duplicateValues" dxfId="24796" priority="24809"/>
    <cfRule type="duplicateValues" dxfId="24795" priority="24808"/>
    <cfRule type="duplicateValues" dxfId="24794" priority="24807"/>
    <cfRule type="duplicateValues" dxfId="24793" priority="24806"/>
    <cfRule type="duplicateValues" dxfId="24792" priority="24805"/>
    <cfRule type="duplicateValues" dxfId="24791" priority="24804"/>
    <cfRule type="duplicateValues" dxfId="24790" priority="24803"/>
    <cfRule type="duplicateValues" dxfId="24789" priority="24802"/>
    <cfRule type="duplicateValues" dxfId="24788" priority="24801"/>
    <cfRule type="duplicateValues" dxfId="24787" priority="24800"/>
    <cfRule type="duplicateValues" dxfId="24786" priority="24799"/>
    <cfRule type="duplicateValues" dxfId="24785" priority="24798"/>
    <cfRule type="duplicateValues" dxfId="24784" priority="24797"/>
    <cfRule type="duplicateValues" dxfId="24783" priority="24796"/>
    <cfRule type="duplicateValues" dxfId="24782" priority="24795"/>
    <cfRule type="duplicateValues" dxfId="24781" priority="24794"/>
    <cfRule type="duplicateValues" dxfId="24780" priority="24793"/>
    <cfRule type="duplicateValues" dxfId="24779" priority="24792"/>
    <cfRule type="duplicateValues" dxfId="24778" priority="24791"/>
    <cfRule type="duplicateValues" dxfId="24777" priority="24790"/>
    <cfRule type="duplicateValues" dxfId="24776" priority="24789"/>
  </conditionalFormatting>
  <conditionalFormatting sqref="B176">
    <cfRule type="duplicateValues" dxfId="24775" priority="24601"/>
    <cfRule type="duplicateValues" dxfId="24774" priority="24600"/>
    <cfRule type="duplicateValues" dxfId="24773" priority="24599"/>
    <cfRule type="duplicateValues" dxfId="24772" priority="24598"/>
    <cfRule type="duplicateValues" dxfId="24771" priority="24784"/>
    <cfRule type="duplicateValues" dxfId="24770" priority="24783"/>
    <cfRule type="duplicateValues" dxfId="24769" priority="24782"/>
    <cfRule type="duplicateValues" dxfId="24768" priority="24781"/>
    <cfRule type="duplicateValues" dxfId="24767" priority="24780"/>
    <cfRule type="duplicateValues" dxfId="24766" priority="24779"/>
    <cfRule type="duplicateValues" dxfId="24765" priority="24778"/>
    <cfRule type="duplicateValues" dxfId="24764" priority="24777"/>
    <cfRule type="duplicateValues" dxfId="24763" priority="24776"/>
    <cfRule type="duplicateValues" dxfId="24762" priority="24775"/>
    <cfRule type="duplicateValues" dxfId="24761" priority="24774"/>
    <cfRule type="duplicateValues" dxfId="24760" priority="24773"/>
    <cfRule type="duplicateValues" dxfId="24759" priority="24772"/>
    <cfRule type="duplicateValues" dxfId="24758" priority="24771"/>
    <cfRule type="duplicateValues" dxfId="24757" priority="24770"/>
    <cfRule type="duplicateValues" dxfId="24756" priority="24769"/>
    <cfRule type="duplicateValues" dxfId="24755" priority="24768"/>
    <cfRule type="duplicateValues" dxfId="24754" priority="24767"/>
    <cfRule type="duplicateValues" dxfId="24753" priority="24766"/>
    <cfRule type="duplicateValues" dxfId="24752" priority="24765"/>
    <cfRule type="duplicateValues" dxfId="24751" priority="24764"/>
    <cfRule type="duplicateValues" dxfId="24750" priority="24763"/>
    <cfRule type="duplicateValues" dxfId="24749" priority="24762"/>
    <cfRule type="duplicateValues" dxfId="24748" priority="24761"/>
    <cfRule type="duplicateValues" dxfId="24747" priority="24760"/>
    <cfRule type="duplicateValues" dxfId="24746" priority="24759"/>
    <cfRule type="duplicateValues" dxfId="24745" priority="24758"/>
    <cfRule type="duplicateValues" dxfId="24744" priority="24757"/>
    <cfRule type="duplicateValues" dxfId="24743" priority="24756"/>
    <cfRule type="duplicateValues" dxfId="24742" priority="24755"/>
    <cfRule type="duplicateValues" dxfId="24741" priority="24754"/>
    <cfRule type="duplicateValues" dxfId="24740" priority="24753"/>
    <cfRule type="duplicateValues" dxfId="24739" priority="24752"/>
    <cfRule type="duplicateValues" dxfId="24738" priority="24751"/>
    <cfRule type="duplicateValues" dxfId="24737" priority="24750"/>
    <cfRule type="duplicateValues" dxfId="24736" priority="24749"/>
    <cfRule type="duplicateValues" dxfId="24735" priority="24748"/>
    <cfRule type="duplicateValues" dxfId="24734" priority="24747"/>
    <cfRule type="duplicateValues" dxfId="24733" priority="24746"/>
    <cfRule type="duplicateValues" dxfId="24732" priority="24745"/>
    <cfRule type="duplicateValues" dxfId="24731" priority="24744"/>
    <cfRule type="duplicateValues" dxfId="24730" priority="24743"/>
    <cfRule type="duplicateValues" dxfId="24729" priority="24742"/>
    <cfRule type="duplicateValues" dxfId="24728" priority="24741"/>
    <cfRule type="duplicateValues" dxfId="24727" priority="24740"/>
    <cfRule type="duplicateValues" dxfId="24726" priority="24739"/>
    <cfRule type="duplicateValues" dxfId="24725" priority="24738"/>
    <cfRule type="duplicateValues" dxfId="24724" priority="24737"/>
    <cfRule type="duplicateValues" dxfId="24723" priority="24736"/>
    <cfRule type="duplicateValues" dxfId="24722" priority="24735"/>
    <cfRule type="duplicateValues" dxfId="24721" priority="24734"/>
    <cfRule type="duplicateValues" dxfId="24720" priority="24733"/>
    <cfRule type="duplicateValues" dxfId="24719" priority="24732"/>
    <cfRule type="duplicateValues" dxfId="24718" priority="24731"/>
    <cfRule type="duplicateValues" dxfId="24717" priority="24730"/>
    <cfRule type="duplicateValues" dxfId="24716" priority="24729"/>
    <cfRule type="duplicateValues" dxfId="24715" priority="24728"/>
    <cfRule type="duplicateValues" dxfId="24714" priority="24727"/>
    <cfRule type="duplicateValues" dxfId="24713" priority="24726"/>
    <cfRule type="duplicateValues" dxfId="24712" priority="24725"/>
    <cfRule type="duplicateValues" dxfId="24711" priority="24724"/>
    <cfRule type="duplicateValues" dxfId="24710" priority="24723"/>
    <cfRule type="duplicateValues" dxfId="24709" priority="24722"/>
    <cfRule type="duplicateValues" dxfId="24708" priority="24721"/>
    <cfRule type="duplicateValues" dxfId="24707" priority="24720"/>
    <cfRule type="duplicateValues" dxfId="24706" priority="24719"/>
    <cfRule type="duplicateValues" dxfId="24705" priority="24718"/>
    <cfRule type="duplicateValues" dxfId="24704" priority="24717"/>
    <cfRule type="duplicateValues" dxfId="24703" priority="24716"/>
    <cfRule type="duplicateValues" dxfId="24702" priority="24715"/>
    <cfRule type="duplicateValues" dxfId="24701" priority="24714"/>
    <cfRule type="duplicateValues" dxfId="24700" priority="24713"/>
    <cfRule type="duplicateValues" dxfId="24699" priority="24712"/>
    <cfRule type="duplicateValues" dxfId="24698" priority="24711"/>
    <cfRule type="duplicateValues" dxfId="24697" priority="24710"/>
    <cfRule type="duplicateValues" dxfId="24696" priority="24709"/>
    <cfRule type="duplicateValues" dxfId="24695" priority="24708"/>
    <cfRule type="duplicateValues" dxfId="24694" priority="24707"/>
    <cfRule type="duplicateValues" dxfId="24693" priority="24706"/>
    <cfRule type="duplicateValues" dxfId="24692" priority="24705"/>
    <cfRule type="duplicateValues" dxfId="24691" priority="24704"/>
    <cfRule type="duplicateValues" dxfId="24690" priority="24703"/>
    <cfRule type="duplicateValues" dxfId="24689" priority="24702"/>
    <cfRule type="duplicateValues" dxfId="24688" priority="24701"/>
    <cfRule type="duplicateValues" dxfId="24687" priority="24700"/>
    <cfRule type="duplicateValues" dxfId="24686" priority="24699"/>
    <cfRule type="duplicateValues" dxfId="24685" priority="24698"/>
    <cfRule type="duplicateValues" dxfId="24684" priority="24697"/>
    <cfRule type="duplicateValues" dxfId="24683" priority="24696"/>
    <cfRule type="duplicateValues" dxfId="24682" priority="24695"/>
    <cfRule type="duplicateValues" dxfId="24681" priority="24694"/>
    <cfRule type="duplicateValues" dxfId="24680" priority="24693"/>
    <cfRule type="duplicateValues" dxfId="24679" priority="24692"/>
    <cfRule type="duplicateValues" dxfId="24678" priority="24691"/>
    <cfRule type="duplicateValues" dxfId="24677" priority="24690"/>
    <cfRule type="duplicateValues" dxfId="24676" priority="24689"/>
    <cfRule type="duplicateValues" dxfId="24675" priority="24688"/>
    <cfRule type="duplicateValues" dxfId="24674" priority="24687"/>
    <cfRule type="duplicateValues" dxfId="24673" priority="24686"/>
    <cfRule type="duplicateValues" dxfId="24672" priority="24685"/>
    <cfRule type="duplicateValues" dxfId="24671" priority="24684"/>
    <cfRule type="duplicateValues" dxfId="24670" priority="24683"/>
    <cfRule type="duplicateValues" dxfId="24669" priority="24682"/>
    <cfRule type="duplicateValues" dxfId="24668" priority="24681"/>
    <cfRule type="duplicateValues" dxfId="24667" priority="24680"/>
    <cfRule type="duplicateValues" dxfId="24666" priority="24679"/>
    <cfRule type="duplicateValues" dxfId="24665" priority="24678"/>
    <cfRule type="duplicateValues" dxfId="24664" priority="24677"/>
    <cfRule type="duplicateValues" dxfId="24663" priority="24676"/>
    <cfRule type="duplicateValues" dxfId="24662" priority="24675"/>
    <cfRule type="duplicateValues" dxfId="24661" priority="24674"/>
    <cfRule type="duplicateValues" dxfId="24660" priority="24673"/>
    <cfRule type="duplicateValues" dxfId="24659" priority="24672"/>
    <cfRule type="duplicateValues" dxfId="24658" priority="24671"/>
    <cfRule type="duplicateValues" dxfId="24657" priority="24670"/>
    <cfRule type="duplicateValues" dxfId="24656" priority="24669"/>
    <cfRule type="duplicateValues" dxfId="24655" priority="24668"/>
    <cfRule type="duplicateValues" dxfId="24654" priority="24667"/>
    <cfRule type="duplicateValues" dxfId="24653" priority="24666"/>
    <cfRule type="duplicateValues" dxfId="24652" priority="24665"/>
    <cfRule type="duplicateValues" dxfId="24651" priority="24664"/>
    <cfRule type="duplicateValues" dxfId="24650" priority="24663"/>
    <cfRule type="duplicateValues" dxfId="24649" priority="24662"/>
    <cfRule type="duplicateValues" dxfId="24648" priority="24661"/>
    <cfRule type="duplicateValues" dxfId="24647" priority="24660"/>
    <cfRule type="duplicateValues" dxfId="24646" priority="24659"/>
    <cfRule type="duplicateValues" dxfId="24645" priority="24658"/>
    <cfRule type="duplicateValues" dxfId="24644" priority="24657"/>
    <cfRule type="duplicateValues" dxfId="24643" priority="24656"/>
    <cfRule type="duplicateValues" dxfId="24642" priority="24655"/>
    <cfRule type="duplicateValues" dxfId="24641" priority="24654"/>
    <cfRule type="duplicateValues" dxfId="24640" priority="24653"/>
    <cfRule type="duplicateValues" dxfId="24639" priority="24652"/>
    <cfRule type="duplicateValues" dxfId="24638" priority="24651"/>
    <cfRule type="duplicateValues" dxfId="24637" priority="24650"/>
    <cfRule type="duplicateValues" dxfId="24636" priority="24649"/>
    <cfRule type="duplicateValues" dxfId="24635" priority="24648"/>
    <cfRule type="duplicateValues" dxfId="24634" priority="24647"/>
    <cfRule type="duplicateValues" dxfId="24633" priority="24646"/>
    <cfRule type="duplicateValues" dxfId="24632" priority="24645"/>
    <cfRule type="duplicateValues" dxfId="24631" priority="24644"/>
    <cfRule type="duplicateValues" dxfId="24630" priority="24643"/>
    <cfRule type="duplicateValues" dxfId="24629" priority="24642"/>
    <cfRule type="duplicateValues" dxfId="24628" priority="24641"/>
    <cfRule type="duplicateValues" dxfId="24627" priority="24640"/>
    <cfRule type="duplicateValues" dxfId="24626" priority="24639"/>
    <cfRule type="duplicateValues" dxfId="24625" priority="24638"/>
    <cfRule type="duplicateValues" dxfId="24624" priority="24637"/>
    <cfRule type="duplicateValues" dxfId="24623" priority="24636"/>
    <cfRule type="duplicateValues" dxfId="24622" priority="24635"/>
    <cfRule type="duplicateValues" dxfId="24621" priority="24634"/>
    <cfRule type="duplicateValues" dxfId="24620" priority="24633"/>
    <cfRule type="duplicateValues" dxfId="24619" priority="24632"/>
    <cfRule type="duplicateValues" dxfId="24618" priority="24631"/>
    <cfRule type="duplicateValues" dxfId="24617" priority="24630"/>
    <cfRule type="duplicateValues" dxfId="24616" priority="24629"/>
    <cfRule type="duplicateValues" dxfId="24615" priority="24628"/>
    <cfRule type="duplicateValues" dxfId="24614" priority="24627"/>
    <cfRule type="duplicateValues" dxfId="24613" priority="24626"/>
    <cfRule type="duplicateValues" dxfId="24612" priority="24625"/>
    <cfRule type="duplicateValues" dxfId="24611" priority="24624"/>
    <cfRule type="duplicateValues" dxfId="24610" priority="24623"/>
    <cfRule type="duplicateValues" dxfId="24609" priority="24622"/>
    <cfRule type="duplicateValues" dxfId="24608" priority="24621"/>
    <cfRule type="duplicateValues" dxfId="24607" priority="24620"/>
    <cfRule type="duplicateValues" dxfId="24606" priority="24619"/>
    <cfRule type="duplicateValues" dxfId="24605" priority="24618"/>
    <cfRule type="duplicateValues" dxfId="24604" priority="24617"/>
    <cfRule type="duplicateValues" dxfId="24603" priority="24616"/>
    <cfRule type="duplicateValues" dxfId="24602" priority="24615"/>
    <cfRule type="duplicateValues" dxfId="24601" priority="24614"/>
    <cfRule type="duplicateValues" dxfId="24600" priority="24613"/>
    <cfRule type="duplicateValues" dxfId="24599" priority="24612"/>
    <cfRule type="duplicateValues" dxfId="24598" priority="24611"/>
    <cfRule type="duplicateValues" dxfId="24597" priority="24610"/>
    <cfRule type="duplicateValues" dxfId="24596" priority="24609"/>
    <cfRule type="duplicateValues" dxfId="24595" priority="24608"/>
    <cfRule type="duplicateValues" dxfId="24594" priority="24607"/>
    <cfRule type="duplicateValues" dxfId="24593" priority="24606"/>
    <cfRule type="duplicateValues" dxfId="24592" priority="24605"/>
    <cfRule type="duplicateValues" dxfId="24591" priority="24604"/>
    <cfRule type="duplicateValues" dxfId="24590" priority="24603"/>
    <cfRule type="duplicateValues" dxfId="24589" priority="24602"/>
  </conditionalFormatting>
  <conditionalFormatting sqref="B177:B178">
    <cfRule type="duplicateValues" dxfId="24588" priority="24485"/>
    <cfRule type="duplicateValues" dxfId="24587" priority="24414"/>
    <cfRule type="duplicateValues" dxfId="24586" priority="24413"/>
    <cfRule type="duplicateValues" dxfId="24585" priority="24573"/>
    <cfRule type="duplicateValues" dxfId="24584" priority="24597"/>
    <cfRule type="duplicateValues" dxfId="24583" priority="24596"/>
    <cfRule type="duplicateValues" dxfId="24582" priority="24595"/>
    <cfRule type="duplicateValues" dxfId="24581" priority="24594"/>
    <cfRule type="duplicateValues" dxfId="24580" priority="24593"/>
    <cfRule type="duplicateValues" dxfId="24579" priority="24592"/>
    <cfRule type="duplicateValues" dxfId="24578" priority="24591"/>
    <cfRule type="duplicateValues" dxfId="24577" priority="24590"/>
    <cfRule type="duplicateValues" dxfId="24576" priority="24589"/>
    <cfRule type="duplicateValues" dxfId="24575" priority="24588"/>
    <cfRule type="duplicateValues" dxfId="24574" priority="24587"/>
    <cfRule type="duplicateValues" dxfId="24573" priority="24586"/>
    <cfRule type="duplicateValues" dxfId="24572" priority="24585"/>
    <cfRule type="duplicateValues" dxfId="24571" priority="24584"/>
    <cfRule type="duplicateValues" dxfId="24570" priority="24583"/>
    <cfRule type="duplicateValues" dxfId="24569" priority="24582"/>
    <cfRule type="duplicateValues" dxfId="24568" priority="24581"/>
    <cfRule type="duplicateValues" dxfId="24567" priority="24580"/>
    <cfRule type="duplicateValues" dxfId="24566" priority="24579"/>
    <cfRule type="duplicateValues" dxfId="24565" priority="24578"/>
    <cfRule type="duplicateValues" dxfId="24564" priority="24577"/>
    <cfRule type="duplicateValues" dxfId="24563" priority="24576"/>
    <cfRule type="duplicateValues" dxfId="24562" priority="24575"/>
    <cfRule type="duplicateValues" dxfId="24561" priority="24574"/>
    <cfRule type="duplicateValues" dxfId="24560" priority="24412"/>
    <cfRule type="duplicateValues" dxfId="24559" priority="24572"/>
    <cfRule type="duplicateValues" dxfId="24558" priority="24571"/>
    <cfRule type="duplicateValues" dxfId="24557" priority="24570"/>
    <cfRule type="duplicateValues" dxfId="24556" priority="24569"/>
    <cfRule type="duplicateValues" dxfId="24555" priority="24568"/>
    <cfRule type="duplicateValues" dxfId="24554" priority="24567"/>
    <cfRule type="duplicateValues" dxfId="24553" priority="24566"/>
    <cfRule type="duplicateValues" dxfId="24552" priority="24565"/>
    <cfRule type="duplicateValues" dxfId="24551" priority="24564"/>
    <cfRule type="duplicateValues" dxfId="24550" priority="24563"/>
    <cfRule type="duplicateValues" dxfId="24549" priority="24562"/>
    <cfRule type="duplicateValues" dxfId="24548" priority="24561"/>
    <cfRule type="duplicateValues" dxfId="24547" priority="24560"/>
    <cfRule type="duplicateValues" dxfId="24546" priority="24559"/>
    <cfRule type="duplicateValues" dxfId="24545" priority="24558"/>
    <cfRule type="duplicateValues" dxfId="24544" priority="24557"/>
    <cfRule type="duplicateValues" dxfId="24543" priority="24556"/>
    <cfRule type="duplicateValues" dxfId="24542" priority="24555"/>
    <cfRule type="duplicateValues" dxfId="24541" priority="24554"/>
    <cfRule type="duplicateValues" dxfId="24540" priority="24553"/>
    <cfRule type="duplicateValues" dxfId="24539" priority="24552"/>
    <cfRule type="duplicateValues" dxfId="24538" priority="24551"/>
    <cfRule type="duplicateValues" dxfId="24537" priority="24550"/>
    <cfRule type="duplicateValues" dxfId="24536" priority="24549"/>
    <cfRule type="duplicateValues" dxfId="24535" priority="24548"/>
    <cfRule type="duplicateValues" dxfId="24534" priority="24547"/>
    <cfRule type="duplicateValues" dxfId="24533" priority="24546"/>
    <cfRule type="duplicateValues" dxfId="24532" priority="24545"/>
    <cfRule type="duplicateValues" dxfId="24531" priority="24544"/>
    <cfRule type="duplicateValues" dxfId="24530" priority="24543"/>
    <cfRule type="duplicateValues" dxfId="24529" priority="24542"/>
    <cfRule type="duplicateValues" dxfId="24528" priority="24541"/>
    <cfRule type="duplicateValues" dxfId="24527" priority="24540"/>
    <cfRule type="duplicateValues" dxfId="24526" priority="24539"/>
    <cfRule type="duplicateValues" dxfId="24525" priority="24538"/>
    <cfRule type="duplicateValues" dxfId="24524" priority="24537"/>
    <cfRule type="duplicateValues" dxfId="24523" priority="24536"/>
    <cfRule type="duplicateValues" dxfId="24522" priority="24535"/>
    <cfRule type="duplicateValues" dxfId="24521" priority="24534"/>
    <cfRule type="duplicateValues" dxfId="24520" priority="24533"/>
    <cfRule type="duplicateValues" dxfId="24519" priority="24532"/>
    <cfRule type="duplicateValues" dxfId="24518" priority="24531"/>
    <cfRule type="duplicateValues" dxfId="24517" priority="24530"/>
    <cfRule type="duplicateValues" dxfId="24516" priority="24529"/>
    <cfRule type="duplicateValues" dxfId="24515" priority="24528"/>
    <cfRule type="duplicateValues" dxfId="24514" priority="24527"/>
    <cfRule type="duplicateValues" dxfId="24513" priority="24526"/>
    <cfRule type="duplicateValues" dxfId="24512" priority="24525"/>
    <cfRule type="duplicateValues" dxfId="24511" priority="24524"/>
    <cfRule type="duplicateValues" dxfId="24510" priority="24523"/>
    <cfRule type="duplicateValues" dxfId="24509" priority="24522"/>
    <cfRule type="duplicateValues" dxfId="24508" priority="24521"/>
    <cfRule type="duplicateValues" dxfId="24507" priority="24520"/>
    <cfRule type="duplicateValues" dxfId="24506" priority="24519"/>
    <cfRule type="duplicateValues" dxfId="24505" priority="24518"/>
    <cfRule type="duplicateValues" dxfId="24504" priority="24517"/>
    <cfRule type="duplicateValues" dxfId="24503" priority="24516"/>
    <cfRule type="duplicateValues" dxfId="24502" priority="24515"/>
    <cfRule type="duplicateValues" dxfId="24501" priority="24514"/>
    <cfRule type="duplicateValues" dxfId="24500" priority="24513"/>
    <cfRule type="duplicateValues" dxfId="24499" priority="24512"/>
    <cfRule type="duplicateValues" dxfId="24498" priority="24511"/>
    <cfRule type="duplicateValues" dxfId="24497" priority="24510"/>
    <cfRule type="duplicateValues" dxfId="24496" priority="24509"/>
    <cfRule type="duplicateValues" dxfId="24495" priority="24508"/>
    <cfRule type="duplicateValues" dxfId="24494" priority="24507"/>
    <cfRule type="duplicateValues" dxfId="24493" priority="24506"/>
    <cfRule type="duplicateValues" dxfId="24492" priority="24505"/>
    <cfRule type="duplicateValues" dxfId="24491" priority="24504"/>
    <cfRule type="duplicateValues" dxfId="24490" priority="24503"/>
    <cfRule type="duplicateValues" dxfId="24489" priority="24502"/>
    <cfRule type="duplicateValues" dxfId="24488" priority="24501"/>
    <cfRule type="duplicateValues" dxfId="24487" priority="24500"/>
    <cfRule type="duplicateValues" dxfId="24486" priority="24499"/>
    <cfRule type="duplicateValues" dxfId="24485" priority="24498"/>
    <cfRule type="duplicateValues" dxfId="24484" priority="24497"/>
    <cfRule type="duplicateValues" dxfId="24483" priority="24496"/>
    <cfRule type="duplicateValues" dxfId="24482" priority="24495"/>
    <cfRule type="duplicateValues" dxfId="24481" priority="24494"/>
    <cfRule type="duplicateValues" dxfId="24480" priority="24493"/>
    <cfRule type="duplicateValues" dxfId="24479" priority="24492"/>
    <cfRule type="duplicateValues" dxfId="24478" priority="24491"/>
    <cfRule type="duplicateValues" dxfId="24477" priority="24490"/>
    <cfRule type="duplicateValues" dxfId="24476" priority="24489"/>
    <cfRule type="duplicateValues" dxfId="24475" priority="24488"/>
    <cfRule type="duplicateValues" dxfId="24474" priority="24487"/>
    <cfRule type="duplicateValues" dxfId="24473" priority="24486"/>
    <cfRule type="duplicateValues" dxfId="24472" priority="24411"/>
    <cfRule type="duplicateValues" dxfId="24471" priority="24484"/>
    <cfRule type="duplicateValues" dxfId="24470" priority="24483"/>
    <cfRule type="duplicateValues" dxfId="24469" priority="24482"/>
    <cfRule type="duplicateValues" dxfId="24468" priority="24481"/>
    <cfRule type="duplicateValues" dxfId="24467" priority="24480"/>
    <cfRule type="duplicateValues" dxfId="24466" priority="24479"/>
    <cfRule type="duplicateValues" dxfId="24465" priority="24478"/>
    <cfRule type="duplicateValues" dxfId="24464" priority="24477"/>
    <cfRule type="duplicateValues" dxfId="24463" priority="24476"/>
    <cfRule type="duplicateValues" dxfId="24462" priority="24475"/>
    <cfRule type="duplicateValues" dxfId="24461" priority="24474"/>
    <cfRule type="duplicateValues" dxfId="24460" priority="24473"/>
    <cfRule type="duplicateValues" dxfId="24459" priority="24472"/>
    <cfRule type="duplicateValues" dxfId="24458" priority="24471"/>
    <cfRule type="duplicateValues" dxfId="24457" priority="24470"/>
    <cfRule type="duplicateValues" dxfId="24456" priority="24469"/>
    <cfRule type="duplicateValues" dxfId="24455" priority="24468"/>
    <cfRule type="duplicateValues" dxfId="24454" priority="24467"/>
    <cfRule type="duplicateValues" dxfId="24453" priority="24466"/>
    <cfRule type="duplicateValues" dxfId="24452" priority="24465"/>
    <cfRule type="duplicateValues" dxfId="24451" priority="24464"/>
    <cfRule type="duplicateValues" dxfId="24450" priority="24463"/>
    <cfRule type="duplicateValues" dxfId="24449" priority="24462"/>
    <cfRule type="duplicateValues" dxfId="24448" priority="24461"/>
    <cfRule type="duplicateValues" dxfId="24447" priority="24460"/>
    <cfRule type="duplicateValues" dxfId="24446" priority="24459"/>
    <cfRule type="duplicateValues" dxfId="24445" priority="24458"/>
    <cfRule type="duplicateValues" dxfId="24444" priority="24457"/>
    <cfRule type="duplicateValues" dxfId="24443" priority="24456"/>
    <cfRule type="duplicateValues" dxfId="24442" priority="24455"/>
    <cfRule type="duplicateValues" dxfId="24441" priority="24454"/>
    <cfRule type="duplicateValues" dxfId="24440" priority="24453"/>
    <cfRule type="duplicateValues" dxfId="24439" priority="24452"/>
    <cfRule type="duplicateValues" dxfId="24438" priority="24451"/>
    <cfRule type="duplicateValues" dxfId="24437" priority="24450"/>
    <cfRule type="duplicateValues" dxfId="24436" priority="24449"/>
    <cfRule type="duplicateValues" dxfId="24435" priority="24448"/>
    <cfRule type="duplicateValues" dxfId="24434" priority="24447"/>
    <cfRule type="duplicateValues" dxfId="24433" priority="24446"/>
    <cfRule type="duplicateValues" dxfId="24432" priority="24445"/>
    <cfRule type="duplicateValues" dxfId="24431" priority="24444"/>
    <cfRule type="duplicateValues" dxfId="24430" priority="24443"/>
    <cfRule type="duplicateValues" dxfId="24429" priority="24442"/>
    <cfRule type="duplicateValues" dxfId="24428" priority="24441"/>
    <cfRule type="duplicateValues" dxfId="24427" priority="24440"/>
    <cfRule type="duplicateValues" dxfId="24426" priority="24439"/>
    <cfRule type="duplicateValues" dxfId="24425" priority="24438"/>
    <cfRule type="duplicateValues" dxfId="24424" priority="24437"/>
    <cfRule type="duplicateValues" dxfId="24423" priority="24436"/>
    <cfRule type="duplicateValues" dxfId="24422" priority="24435"/>
    <cfRule type="duplicateValues" dxfId="24421" priority="24434"/>
    <cfRule type="duplicateValues" dxfId="24420" priority="24433"/>
    <cfRule type="duplicateValues" dxfId="24419" priority="24432"/>
    <cfRule type="duplicateValues" dxfId="24418" priority="24431"/>
    <cfRule type="duplicateValues" dxfId="24417" priority="24430"/>
    <cfRule type="duplicateValues" dxfId="24416" priority="24429"/>
    <cfRule type="duplicateValues" dxfId="24415" priority="24428"/>
    <cfRule type="duplicateValues" dxfId="24414" priority="24427"/>
    <cfRule type="duplicateValues" dxfId="24413" priority="24426"/>
    <cfRule type="duplicateValues" dxfId="24412" priority="24425"/>
    <cfRule type="duplicateValues" dxfId="24411" priority="24424"/>
    <cfRule type="duplicateValues" dxfId="24410" priority="24423"/>
    <cfRule type="duplicateValues" dxfId="24409" priority="24422"/>
    <cfRule type="duplicateValues" dxfId="24408" priority="24421"/>
    <cfRule type="duplicateValues" dxfId="24407" priority="24420"/>
    <cfRule type="duplicateValues" dxfId="24406" priority="24419"/>
    <cfRule type="duplicateValues" dxfId="24405" priority="24418"/>
    <cfRule type="duplicateValues" dxfId="24404" priority="24417"/>
    <cfRule type="duplicateValues" dxfId="24403" priority="24416"/>
    <cfRule type="duplicateValues" dxfId="24402" priority="24415"/>
  </conditionalFormatting>
  <conditionalFormatting sqref="B179">
    <cfRule type="duplicateValues" dxfId="24401" priority="24227"/>
    <cfRule type="duplicateValues" dxfId="24400" priority="24226"/>
    <cfRule type="duplicateValues" dxfId="24399" priority="24225"/>
    <cfRule type="duplicateValues" dxfId="24398" priority="24344"/>
    <cfRule type="duplicateValues" dxfId="24397" priority="24410"/>
    <cfRule type="duplicateValues" dxfId="24396" priority="24409"/>
    <cfRule type="duplicateValues" dxfId="24395" priority="24408"/>
    <cfRule type="duplicateValues" dxfId="24394" priority="24407"/>
    <cfRule type="duplicateValues" dxfId="24393" priority="24406"/>
    <cfRule type="duplicateValues" dxfId="24392" priority="24405"/>
    <cfRule type="duplicateValues" dxfId="24391" priority="24404"/>
    <cfRule type="duplicateValues" dxfId="24390" priority="24403"/>
    <cfRule type="duplicateValues" dxfId="24389" priority="24402"/>
    <cfRule type="duplicateValues" dxfId="24388" priority="24401"/>
    <cfRule type="duplicateValues" dxfId="24387" priority="24400"/>
    <cfRule type="duplicateValues" dxfId="24386" priority="24399"/>
    <cfRule type="duplicateValues" dxfId="24385" priority="24398"/>
    <cfRule type="duplicateValues" dxfId="24384" priority="24397"/>
    <cfRule type="duplicateValues" dxfId="24383" priority="24396"/>
    <cfRule type="duplicateValues" dxfId="24382" priority="24395"/>
    <cfRule type="duplicateValues" dxfId="24381" priority="24394"/>
    <cfRule type="duplicateValues" dxfId="24380" priority="24393"/>
    <cfRule type="duplicateValues" dxfId="24379" priority="24392"/>
    <cfRule type="duplicateValues" dxfId="24378" priority="24391"/>
    <cfRule type="duplicateValues" dxfId="24377" priority="24390"/>
    <cfRule type="duplicateValues" dxfId="24376" priority="24389"/>
    <cfRule type="duplicateValues" dxfId="24375" priority="24388"/>
    <cfRule type="duplicateValues" dxfId="24374" priority="24387"/>
    <cfRule type="duplicateValues" dxfId="24373" priority="24386"/>
    <cfRule type="duplicateValues" dxfId="24372" priority="24385"/>
    <cfRule type="duplicateValues" dxfId="24371" priority="24384"/>
    <cfRule type="duplicateValues" dxfId="24370" priority="24383"/>
    <cfRule type="duplicateValues" dxfId="24369" priority="24382"/>
    <cfRule type="duplicateValues" dxfId="24368" priority="24381"/>
    <cfRule type="duplicateValues" dxfId="24367" priority="24380"/>
    <cfRule type="duplicateValues" dxfId="24366" priority="24379"/>
    <cfRule type="duplicateValues" dxfId="24365" priority="24378"/>
    <cfRule type="duplicateValues" dxfId="24364" priority="24377"/>
    <cfRule type="duplicateValues" dxfId="24363" priority="24376"/>
    <cfRule type="duplicateValues" dxfId="24362" priority="24375"/>
    <cfRule type="duplicateValues" dxfId="24361" priority="24374"/>
    <cfRule type="duplicateValues" dxfId="24360" priority="24373"/>
    <cfRule type="duplicateValues" dxfId="24359" priority="24372"/>
    <cfRule type="duplicateValues" dxfId="24358" priority="24371"/>
    <cfRule type="duplicateValues" dxfId="24357" priority="24370"/>
    <cfRule type="duplicateValues" dxfId="24356" priority="24369"/>
    <cfRule type="duplicateValues" dxfId="24355" priority="24368"/>
    <cfRule type="duplicateValues" dxfId="24354" priority="24367"/>
    <cfRule type="duplicateValues" dxfId="24353" priority="24366"/>
    <cfRule type="duplicateValues" dxfId="24352" priority="24365"/>
    <cfRule type="duplicateValues" dxfId="24351" priority="24364"/>
    <cfRule type="duplicateValues" dxfId="24350" priority="24363"/>
    <cfRule type="duplicateValues" dxfId="24349" priority="24362"/>
    <cfRule type="duplicateValues" dxfId="24348" priority="24361"/>
    <cfRule type="duplicateValues" dxfId="24347" priority="24360"/>
    <cfRule type="duplicateValues" dxfId="24346" priority="24359"/>
    <cfRule type="duplicateValues" dxfId="24345" priority="24358"/>
    <cfRule type="duplicateValues" dxfId="24344" priority="24357"/>
    <cfRule type="duplicateValues" dxfId="24343" priority="24356"/>
    <cfRule type="duplicateValues" dxfId="24342" priority="24355"/>
    <cfRule type="duplicateValues" dxfId="24341" priority="24354"/>
    <cfRule type="duplicateValues" dxfId="24340" priority="24353"/>
    <cfRule type="duplicateValues" dxfId="24339" priority="24352"/>
    <cfRule type="duplicateValues" dxfId="24338" priority="24351"/>
    <cfRule type="duplicateValues" dxfId="24337" priority="24350"/>
    <cfRule type="duplicateValues" dxfId="24336" priority="24349"/>
    <cfRule type="duplicateValues" dxfId="24335" priority="24348"/>
    <cfRule type="duplicateValues" dxfId="24334" priority="24347"/>
    <cfRule type="duplicateValues" dxfId="24333" priority="24346"/>
    <cfRule type="duplicateValues" dxfId="24332" priority="24345"/>
    <cfRule type="duplicateValues" dxfId="24331" priority="24224"/>
    <cfRule type="duplicateValues" dxfId="24330" priority="24343"/>
    <cfRule type="duplicateValues" dxfId="24329" priority="24342"/>
    <cfRule type="duplicateValues" dxfId="24328" priority="24341"/>
    <cfRule type="duplicateValues" dxfId="24327" priority="24340"/>
    <cfRule type="duplicateValues" dxfId="24326" priority="24339"/>
    <cfRule type="duplicateValues" dxfId="24325" priority="24338"/>
    <cfRule type="duplicateValues" dxfId="24324" priority="24337"/>
    <cfRule type="duplicateValues" dxfId="24323" priority="24336"/>
    <cfRule type="duplicateValues" dxfId="24322" priority="24335"/>
    <cfRule type="duplicateValues" dxfId="24321" priority="24334"/>
    <cfRule type="duplicateValues" dxfId="24320" priority="24333"/>
    <cfRule type="duplicateValues" dxfId="24319" priority="24332"/>
    <cfRule type="duplicateValues" dxfId="24318" priority="24331"/>
    <cfRule type="duplicateValues" dxfId="24317" priority="24330"/>
    <cfRule type="duplicateValues" dxfId="24316" priority="24329"/>
    <cfRule type="duplicateValues" dxfId="24315" priority="24328"/>
    <cfRule type="duplicateValues" dxfId="24314" priority="24327"/>
    <cfRule type="duplicateValues" dxfId="24313" priority="24326"/>
    <cfRule type="duplicateValues" dxfId="24312" priority="24325"/>
    <cfRule type="duplicateValues" dxfId="24311" priority="24324"/>
    <cfRule type="duplicateValues" dxfId="24310" priority="24323"/>
    <cfRule type="duplicateValues" dxfId="24309" priority="24322"/>
    <cfRule type="duplicateValues" dxfId="24308" priority="24321"/>
    <cfRule type="duplicateValues" dxfId="24307" priority="24320"/>
    <cfRule type="duplicateValues" dxfId="24306" priority="24319"/>
    <cfRule type="duplicateValues" dxfId="24305" priority="24318"/>
    <cfRule type="duplicateValues" dxfId="24304" priority="24317"/>
    <cfRule type="duplicateValues" dxfId="24303" priority="24316"/>
    <cfRule type="duplicateValues" dxfId="24302" priority="24315"/>
    <cfRule type="duplicateValues" dxfId="24301" priority="24314"/>
    <cfRule type="duplicateValues" dxfId="24300" priority="24313"/>
    <cfRule type="duplicateValues" dxfId="24299" priority="24312"/>
    <cfRule type="duplicateValues" dxfId="24298" priority="24311"/>
    <cfRule type="duplicateValues" dxfId="24297" priority="24310"/>
    <cfRule type="duplicateValues" dxfId="24296" priority="24309"/>
    <cfRule type="duplicateValues" dxfId="24295" priority="24308"/>
    <cfRule type="duplicateValues" dxfId="24294" priority="24307"/>
    <cfRule type="duplicateValues" dxfId="24293" priority="24306"/>
    <cfRule type="duplicateValues" dxfId="24292" priority="24305"/>
    <cfRule type="duplicateValues" dxfId="24291" priority="24304"/>
    <cfRule type="duplicateValues" dxfId="24290" priority="24303"/>
    <cfRule type="duplicateValues" dxfId="24289" priority="24302"/>
    <cfRule type="duplicateValues" dxfId="24288" priority="24301"/>
    <cfRule type="duplicateValues" dxfId="24287" priority="24300"/>
    <cfRule type="duplicateValues" dxfId="24286" priority="24299"/>
    <cfRule type="duplicateValues" dxfId="24285" priority="24298"/>
    <cfRule type="duplicateValues" dxfId="24284" priority="24297"/>
    <cfRule type="duplicateValues" dxfId="24283" priority="24296"/>
    <cfRule type="duplicateValues" dxfId="24282" priority="24295"/>
    <cfRule type="duplicateValues" dxfId="24281" priority="24294"/>
    <cfRule type="duplicateValues" dxfId="24280" priority="24293"/>
    <cfRule type="duplicateValues" dxfId="24279" priority="24292"/>
    <cfRule type="duplicateValues" dxfId="24278" priority="24291"/>
    <cfRule type="duplicateValues" dxfId="24277" priority="24290"/>
    <cfRule type="duplicateValues" dxfId="24276" priority="24289"/>
    <cfRule type="duplicateValues" dxfId="24275" priority="24288"/>
    <cfRule type="duplicateValues" dxfId="24274" priority="24287"/>
    <cfRule type="duplicateValues" dxfId="24273" priority="24286"/>
    <cfRule type="duplicateValues" dxfId="24272" priority="24285"/>
    <cfRule type="duplicateValues" dxfId="24271" priority="24284"/>
    <cfRule type="duplicateValues" dxfId="24270" priority="24283"/>
    <cfRule type="duplicateValues" dxfId="24269" priority="24282"/>
    <cfRule type="duplicateValues" dxfId="24268" priority="24281"/>
    <cfRule type="duplicateValues" dxfId="24267" priority="24280"/>
    <cfRule type="duplicateValues" dxfId="24266" priority="24279"/>
    <cfRule type="duplicateValues" dxfId="24265" priority="24278"/>
    <cfRule type="duplicateValues" dxfId="24264" priority="24277"/>
    <cfRule type="duplicateValues" dxfId="24263" priority="24276"/>
    <cfRule type="duplicateValues" dxfId="24262" priority="24275"/>
    <cfRule type="duplicateValues" dxfId="24261" priority="24274"/>
    <cfRule type="duplicateValues" dxfId="24260" priority="24273"/>
    <cfRule type="duplicateValues" dxfId="24259" priority="24272"/>
    <cfRule type="duplicateValues" dxfId="24258" priority="24271"/>
    <cfRule type="duplicateValues" dxfId="24257" priority="24270"/>
    <cfRule type="duplicateValues" dxfId="24256" priority="24269"/>
    <cfRule type="duplicateValues" dxfId="24255" priority="24268"/>
    <cfRule type="duplicateValues" dxfId="24254" priority="24267"/>
    <cfRule type="duplicateValues" dxfId="24253" priority="24266"/>
    <cfRule type="duplicateValues" dxfId="24252" priority="24265"/>
    <cfRule type="duplicateValues" dxfId="24251" priority="24264"/>
    <cfRule type="duplicateValues" dxfId="24250" priority="24263"/>
    <cfRule type="duplicateValues" dxfId="24249" priority="24262"/>
    <cfRule type="duplicateValues" dxfId="24248" priority="24261"/>
    <cfRule type="duplicateValues" dxfId="24247" priority="24260"/>
    <cfRule type="duplicateValues" dxfId="24246" priority="24259"/>
    <cfRule type="duplicateValues" dxfId="24245" priority="24258"/>
    <cfRule type="duplicateValues" dxfId="24244" priority="24257"/>
    <cfRule type="duplicateValues" dxfId="24243" priority="24256"/>
    <cfRule type="duplicateValues" dxfId="24242" priority="24255"/>
    <cfRule type="duplicateValues" dxfId="24241" priority="24254"/>
    <cfRule type="duplicateValues" dxfId="24240" priority="24253"/>
    <cfRule type="duplicateValues" dxfId="24239" priority="24252"/>
    <cfRule type="duplicateValues" dxfId="24238" priority="24251"/>
    <cfRule type="duplicateValues" dxfId="24237" priority="24250"/>
    <cfRule type="duplicateValues" dxfId="24236" priority="24249"/>
    <cfRule type="duplicateValues" dxfId="24235" priority="24248"/>
    <cfRule type="duplicateValues" dxfId="24234" priority="24247"/>
    <cfRule type="duplicateValues" dxfId="24233" priority="24246"/>
    <cfRule type="duplicateValues" dxfId="24232" priority="24245"/>
    <cfRule type="duplicateValues" dxfId="24231" priority="24244"/>
    <cfRule type="duplicateValues" dxfId="24230" priority="24243"/>
    <cfRule type="duplicateValues" dxfId="24229" priority="24242"/>
    <cfRule type="duplicateValues" dxfId="24228" priority="24241"/>
    <cfRule type="duplicateValues" dxfId="24227" priority="24240"/>
    <cfRule type="duplicateValues" dxfId="24226" priority="24239"/>
    <cfRule type="duplicateValues" dxfId="24225" priority="24238"/>
    <cfRule type="duplicateValues" dxfId="24224" priority="24237"/>
    <cfRule type="duplicateValues" dxfId="24223" priority="24236"/>
    <cfRule type="duplicateValues" dxfId="24222" priority="24235"/>
    <cfRule type="duplicateValues" dxfId="24221" priority="24234"/>
    <cfRule type="duplicateValues" dxfId="24220" priority="24233"/>
    <cfRule type="duplicateValues" dxfId="24219" priority="24232"/>
    <cfRule type="duplicateValues" dxfId="24218" priority="24231"/>
    <cfRule type="duplicateValues" dxfId="24217" priority="24230"/>
    <cfRule type="duplicateValues" dxfId="24216" priority="24229"/>
    <cfRule type="duplicateValues" dxfId="24215" priority="24228"/>
  </conditionalFormatting>
  <conditionalFormatting sqref="B180">
    <cfRule type="duplicateValues" dxfId="24214" priority="24039"/>
    <cfRule type="duplicateValues" dxfId="24213" priority="24038"/>
    <cfRule type="duplicateValues" dxfId="24212" priority="24037"/>
    <cfRule type="duplicateValues" dxfId="24211" priority="24087"/>
    <cfRule type="duplicateValues" dxfId="24210" priority="24223"/>
    <cfRule type="duplicateValues" dxfId="24209" priority="24222"/>
    <cfRule type="duplicateValues" dxfId="24208" priority="24221"/>
    <cfRule type="duplicateValues" dxfId="24207" priority="24220"/>
    <cfRule type="duplicateValues" dxfId="24206" priority="24219"/>
    <cfRule type="duplicateValues" dxfId="24205" priority="24218"/>
    <cfRule type="duplicateValues" dxfId="24204" priority="24217"/>
    <cfRule type="duplicateValues" dxfId="24203" priority="24216"/>
    <cfRule type="duplicateValues" dxfId="24202" priority="24215"/>
    <cfRule type="duplicateValues" dxfId="24201" priority="24214"/>
    <cfRule type="duplicateValues" dxfId="24200" priority="24213"/>
    <cfRule type="duplicateValues" dxfId="24199" priority="24212"/>
    <cfRule type="duplicateValues" dxfId="24198" priority="24211"/>
    <cfRule type="duplicateValues" dxfId="24197" priority="24210"/>
    <cfRule type="duplicateValues" dxfId="24196" priority="24209"/>
    <cfRule type="duplicateValues" dxfId="24195" priority="24208"/>
    <cfRule type="duplicateValues" dxfId="24194" priority="24207"/>
    <cfRule type="duplicateValues" dxfId="24193" priority="24206"/>
    <cfRule type="duplicateValues" dxfId="24192" priority="24205"/>
    <cfRule type="duplicateValues" dxfId="24191" priority="24204"/>
    <cfRule type="duplicateValues" dxfId="24190" priority="24203"/>
    <cfRule type="duplicateValues" dxfId="24189" priority="24202"/>
    <cfRule type="duplicateValues" dxfId="24188" priority="24201"/>
    <cfRule type="duplicateValues" dxfId="24187" priority="24200"/>
    <cfRule type="duplicateValues" dxfId="24186" priority="24199"/>
    <cfRule type="duplicateValues" dxfId="24185" priority="24198"/>
    <cfRule type="duplicateValues" dxfId="24184" priority="24197"/>
    <cfRule type="duplicateValues" dxfId="24183" priority="24196"/>
    <cfRule type="duplicateValues" dxfId="24182" priority="24195"/>
    <cfRule type="duplicateValues" dxfId="24181" priority="24194"/>
    <cfRule type="duplicateValues" dxfId="24180" priority="24193"/>
    <cfRule type="duplicateValues" dxfId="24179" priority="24192"/>
    <cfRule type="duplicateValues" dxfId="24178" priority="24191"/>
    <cfRule type="duplicateValues" dxfId="24177" priority="24190"/>
    <cfRule type="duplicateValues" dxfId="24176" priority="24189"/>
    <cfRule type="duplicateValues" dxfId="24175" priority="24188"/>
    <cfRule type="duplicateValues" dxfId="24174" priority="24187"/>
    <cfRule type="duplicateValues" dxfId="24173" priority="24186"/>
    <cfRule type="duplicateValues" dxfId="24172" priority="24185"/>
    <cfRule type="duplicateValues" dxfId="24171" priority="24184"/>
    <cfRule type="duplicateValues" dxfId="24170" priority="24183"/>
    <cfRule type="duplicateValues" dxfId="24169" priority="24182"/>
    <cfRule type="duplicateValues" dxfId="24168" priority="24181"/>
    <cfRule type="duplicateValues" dxfId="24167" priority="24180"/>
    <cfRule type="duplicateValues" dxfId="24166" priority="24179"/>
    <cfRule type="duplicateValues" dxfId="24165" priority="24178"/>
    <cfRule type="duplicateValues" dxfId="24164" priority="24177"/>
    <cfRule type="duplicateValues" dxfId="24163" priority="24176"/>
    <cfRule type="duplicateValues" dxfId="24162" priority="24175"/>
    <cfRule type="duplicateValues" dxfId="24161" priority="24174"/>
    <cfRule type="duplicateValues" dxfId="24160" priority="24173"/>
    <cfRule type="duplicateValues" dxfId="24159" priority="24172"/>
    <cfRule type="duplicateValues" dxfId="24158" priority="24171"/>
    <cfRule type="duplicateValues" dxfId="24157" priority="24170"/>
    <cfRule type="duplicateValues" dxfId="24156" priority="24169"/>
    <cfRule type="duplicateValues" dxfId="24155" priority="24168"/>
    <cfRule type="duplicateValues" dxfId="24154" priority="24167"/>
    <cfRule type="duplicateValues" dxfId="24153" priority="24166"/>
    <cfRule type="duplicateValues" dxfId="24152" priority="24165"/>
    <cfRule type="duplicateValues" dxfId="24151" priority="24164"/>
    <cfRule type="duplicateValues" dxfId="24150" priority="24163"/>
    <cfRule type="duplicateValues" dxfId="24149" priority="24162"/>
    <cfRule type="duplicateValues" dxfId="24148" priority="24161"/>
    <cfRule type="duplicateValues" dxfId="24147" priority="24160"/>
    <cfRule type="duplicateValues" dxfId="24146" priority="24159"/>
    <cfRule type="duplicateValues" dxfId="24145" priority="24158"/>
    <cfRule type="duplicateValues" dxfId="24144" priority="24157"/>
    <cfRule type="duplicateValues" dxfId="24143" priority="24156"/>
    <cfRule type="duplicateValues" dxfId="24142" priority="24155"/>
    <cfRule type="duplicateValues" dxfId="24141" priority="24154"/>
    <cfRule type="duplicateValues" dxfId="24140" priority="24153"/>
    <cfRule type="duplicateValues" dxfId="24139" priority="24152"/>
    <cfRule type="duplicateValues" dxfId="24138" priority="24151"/>
    <cfRule type="duplicateValues" dxfId="24137" priority="24150"/>
    <cfRule type="duplicateValues" dxfId="24136" priority="24149"/>
    <cfRule type="duplicateValues" dxfId="24135" priority="24148"/>
    <cfRule type="duplicateValues" dxfId="24134" priority="24147"/>
    <cfRule type="duplicateValues" dxfId="24133" priority="24146"/>
    <cfRule type="duplicateValues" dxfId="24132" priority="24145"/>
    <cfRule type="duplicateValues" dxfId="24131" priority="24144"/>
    <cfRule type="duplicateValues" dxfId="24130" priority="24143"/>
    <cfRule type="duplicateValues" dxfId="24129" priority="24142"/>
    <cfRule type="duplicateValues" dxfId="24128" priority="24141"/>
    <cfRule type="duplicateValues" dxfId="24127" priority="24140"/>
    <cfRule type="duplicateValues" dxfId="24126" priority="24139"/>
    <cfRule type="duplicateValues" dxfId="24125" priority="24138"/>
    <cfRule type="duplicateValues" dxfId="24124" priority="24137"/>
    <cfRule type="duplicateValues" dxfId="24123" priority="24136"/>
    <cfRule type="duplicateValues" dxfId="24122" priority="24135"/>
    <cfRule type="duplicateValues" dxfId="24121" priority="24134"/>
    <cfRule type="duplicateValues" dxfId="24120" priority="24133"/>
    <cfRule type="duplicateValues" dxfId="24119" priority="24132"/>
    <cfRule type="duplicateValues" dxfId="24118" priority="24131"/>
    <cfRule type="duplicateValues" dxfId="24117" priority="24130"/>
    <cfRule type="duplicateValues" dxfId="24116" priority="24129"/>
    <cfRule type="duplicateValues" dxfId="24115" priority="24128"/>
    <cfRule type="duplicateValues" dxfId="24114" priority="24127"/>
    <cfRule type="duplicateValues" dxfId="24113" priority="24126"/>
    <cfRule type="duplicateValues" dxfId="24112" priority="24125"/>
    <cfRule type="duplicateValues" dxfId="24111" priority="24124"/>
    <cfRule type="duplicateValues" dxfId="24110" priority="24123"/>
    <cfRule type="duplicateValues" dxfId="24109" priority="24122"/>
    <cfRule type="duplicateValues" dxfId="24108" priority="24121"/>
    <cfRule type="duplicateValues" dxfId="24107" priority="24120"/>
    <cfRule type="duplicateValues" dxfId="24106" priority="24119"/>
    <cfRule type="duplicateValues" dxfId="24105" priority="24118"/>
    <cfRule type="duplicateValues" dxfId="24104" priority="24117"/>
    <cfRule type="duplicateValues" dxfId="24103" priority="24116"/>
    <cfRule type="duplicateValues" dxfId="24102" priority="24115"/>
    <cfRule type="duplicateValues" dxfId="24101" priority="24114"/>
    <cfRule type="duplicateValues" dxfId="24100" priority="24113"/>
    <cfRule type="duplicateValues" dxfId="24099" priority="24112"/>
    <cfRule type="duplicateValues" dxfId="24098" priority="24111"/>
    <cfRule type="duplicateValues" dxfId="24097" priority="24110"/>
    <cfRule type="duplicateValues" dxfId="24096" priority="24109"/>
    <cfRule type="duplicateValues" dxfId="24095" priority="24108"/>
    <cfRule type="duplicateValues" dxfId="24094" priority="24107"/>
    <cfRule type="duplicateValues" dxfId="24093" priority="24106"/>
    <cfRule type="duplicateValues" dxfId="24092" priority="24105"/>
    <cfRule type="duplicateValues" dxfId="24091" priority="24104"/>
    <cfRule type="duplicateValues" dxfId="24090" priority="24103"/>
    <cfRule type="duplicateValues" dxfId="24089" priority="24102"/>
    <cfRule type="duplicateValues" dxfId="24088" priority="24101"/>
    <cfRule type="duplicateValues" dxfId="24087" priority="24100"/>
    <cfRule type="duplicateValues" dxfId="24086" priority="24099"/>
    <cfRule type="duplicateValues" dxfId="24085" priority="24098"/>
    <cfRule type="duplicateValues" dxfId="24084" priority="24097"/>
    <cfRule type="duplicateValues" dxfId="24083" priority="24096"/>
    <cfRule type="duplicateValues" dxfId="24082" priority="24095"/>
    <cfRule type="duplicateValues" dxfId="24081" priority="24094"/>
    <cfRule type="duplicateValues" dxfId="24080" priority="24093"/>
    <cfRule type="duplicateValues" dxfId="24079" priority="24092"/>
    <cfRule type="duplicateValues" dxfId="24078" priority="24091"/>
    <cfRule type="duplicateValues" dxfId="24077" priority="24090"/>
    <cfRule type="duplicateValues" dxfId="24076" priority="24089"/>
    <cfRule type="duplicateValues" dxfId="24075" priority="24088"/>
    <cfRule type="duplicateValues" dxfId="24074" priority="24086"/>
    <cfRule type="duplicateValues" dxfId="24073" priority="24085"/>
    <cfRule type="duplicateValues" dxfId="24072" priority="24084"/>
    <cfRule type="duplicateValues" dxfId="24071" priority="24083"/>
    <cfRule type="duplicateValues" dxfId="24070" priority="24082"/>
    <cfRule type="duplicateValues" dxfId="24069" priority="24081"/>
    <cfRule type="duplicateValues" dxfId="24068" priority="24080"/>
    <cfRule type="duplicateValues" dxfId="24067" priority="24079"/>
    <cfRule type="duplicateValues" dxfId="24066" priority="24078"/>
    <cfRule type="duplicateValues" dxfId="24065" priority="24077"/>
    <cfRule type="duplicateValues" dxfId="24064" priority="24076"/>
    <cfRule type="duplicateValues" dxfId="24063" priority="24075"/>
    <cfRule type="duplicateValues" dxfId="24062" priority="24074"/>
    <cfRule type="duplicateValues" dxfId="24061" priority="24073"/>
    <cfRule type="duplicateValues" dxfId="24060" priority="24072"/>
    <cfRule type="duplicateValues" dxfId="24059" priority="24071"/>
    <cfRule type="duplicateValues" dxfId="24058" priority="24070"/>
    <cfRule type="duplicateValues" dxfId="24057" priority="24069"/>
    <cfRule type="duplicateValues" dxfId="24056" priority="24068"/>
    <cfRule type="duplicateValues" dxfId="24055" priority="24067"/>
    <cfRule type="duplicateValues" dxfId="24054" priority="24066"/>
    <cfRule type="duplicateValues" dxfId="24053" priority="24065"/>
    <cfRule type="duplicateValues" dxfId="24052" priority="24064"/>
    <cfRule type="duplicateValues" dxfId="24051" priority="24063"/>
    <cfRule type="duplicateValues" dxfId="24050" priority="24062"/>
    <cfRule type="duplicateValues" dxfId="24049" priority="24061"/>
    <cfRule type="duplicateValues" dxfId="24048" priority="24060"/>
    <cfRule type="duplicateValues" dxfId="24047" priority="24059"/>
    <cfRule type="duplicateValues" dxfId="24046" priority="24058"/>
    <cfRule type="duplicateValues" dxfId="24045" priority="24057"/>
    <cfRule type="duplicateValues" dxfId="24044" priority="24056"/>
    <cfRule type="duplicateValues" dxfId="24043" priority="24055"/>
    <cfRule type="duplicateValues" dxfId="24042" priority="24054"/>
    <cfRule type="duplicateValues" dxfId="24041" priority="24053"/>
    <cfRule type="duplicateValues" dxfId="24040" priority="24052"/>
    <cfRule type="duplicateValues" dxfId="24039" priority="24051"/>
    <cfRule type="duplicateValues" dxfId="24038" priority="24050"/>
    <cfRule type="duplicateValues" dxfId="24037" priority="24049"/>
    <cfRule type="duplicateValues" dxfId="24036" priority="24048"/>
    <cfRule type="duplicateValues" dxfId="24035" priority="24047"/>
    <cfRule type="duplicateValues" dxfId="24034" priority="24046"/>
    <cfRule type="duplicateValues" dxfId="24033" priority="24045"/>
    <cfRule type="duplicateValues" dxfId="24032" priority="24044"/>
    <cfRule type="duplicateValues" dxfId="24031" priority="24043"/>
    <cfRule type="duplicateValues" dxfId="24030" priority="24042"/>
    <cfRule type="duplicateValues" dxfId="24029" priority="24041"/>
    <cfRule type="duplicateValues" dxfId="24028" priority="24040"/>
  </conditionalFormatting>
  <conditionalFormatting sqref="B181">
    <cfRule type="duplicateValues" dxfId="24027" priority="23994"/>
    <cfRule type="duplicateValues" dxfId="24026" priority="23853"/>
    <cfRule type="duplicateValues" dxfId="24025" priority="23852"/>
    <cfRule type="duplicateValues" dxfId="24024" priority="23851"/>
    <cfRule type="duplicateValues" dxfId="24023" priority="24036"/>
    <cfRule type="duplicateValues" dxfId="24022" priority="24035"/>
    <cfRule type="duplicateValues" dxfId="24021" priority="24034"/>
    <cfRule type="duplicateValues" dxfId="24020" priority="24033"/>
    <cfRule type="duplicateValues" dxfId="24019" priority="24032"/>
    <cfRule type="duplicateValues" dxfId="24018" priority="24031"/>
    <cfRule type="duplicateValues" dxfId="24017" priority="24030"/>
    <cfRule type="duplicateValues" dxfId="24016" priority="24029"/>
    <cfRule type="duplicateValues" dxfId="24015" priority="24028"/>
    <cfRule type="duplicateValues" dxfId="24014" priority="24027"/>
    <cfRule type="duplicateValues" dxfId="24013" priority="24026"/>
    <cfRule type="duplicateValues" dxfId="24012" priority="24025"/>
    <cfRule type="duplicateValues" dxfId="24011" priority="24024"/>
    <cfRule type="duplicateValues" dxfId="24010" priority="24023"/>
    <cfRule type="duplicateValues" dxfId="24009" priority="24022"/>
    <cfRule type="duplicateValues" dxfId="24008" priority="24021"/>
    <cfRule type="duplicateValues" dxfId="24007" priority="24020"/>
    <cfRule type="duplicateValues" dxfId="24006" priority="24019"/>
    <cfRule type="duplicateValues" dxfId="24005" priority="24018"/>
    <cfRule type="duplicateValues" dxfId="24004" priority="24017"/>
    <cfRule type="duplicateValues" dxfId="24003" priority="24016"/>
    <cfRule type="duplicateValues" dxfId="24002" priority="24015"/>
    <cfRule type="duplicateValues" dxfId="24001" priority="24014"/>
    <cfRule type="duplicateValues" dxfId="24000" priority="24013"/>
    <cfRule type="duplicateValues" dxfId="23999" priority="24012"/>
    <cfRule type="duplicateValues" dxfId="23998" priority="24011"/>
    <cfRule type="duplicateValues" dxfId="23997" priority="24010"/>
    <cfRule type="duplicateValues" dxfId="23996" priority="24009"/>
    <cfRule type="duplicateValues" dxfId="23995" priority="24008"/>
    <cfRule type="duplicateValues" dxfId="23994" priority="24007"/>
    <cfRule type="duplicateValues" dxfId="23993" priority="24006"/>
    <cfRule type="duplicateValues" dxfId="23992" priority="24005"/>
    <cfRule type="duplicateValues" dxfId="23991" priority="24004"/>
    <cfRule type="duplicateValues" dxfId="23990" priority="24003"/>
    <cfRule type="duplicateValues" dxfId="23989" priority="24002"/>
    <cfRule type="duplicateValues" dxfId="23988" priority="24001"/>
    <cfRule type="duplicateValues" dxfId="23987" priority="24000"/>
    <cfRule type="duplicateValues" dxfId="23986" priority="23999"/>
    <cfRule type="duplicateValues" dxfId="23985" priority="23998"/>
    <cfRule type="duplicateValues" dxfId="23984" priority="23997"/>
    <cfRule type="duplicateValues" dxfId="23983" priority="23996"/>
    <cfRule type="duplicateValues" dxfId="23982" priority="23995"/>
    <cfRule type="duplicateValues" dxfId="23981" priority="23948"/>
    <cfRule type="duplicateValues" dxfId="23980" priority="23993"/>
    <cfRule type="duplicateValues" dxfId="23979" priority="23992"/>
    <cfRule type="duplicateValues" dxfId="23978" priority="23991"/>
    <cfRule type="duplicateValues" dxfId="23977" priority="23990"/>
    <cfRule type="duplicateValues" dxfId="23976" priority="23989"/>
    <cfRule type="duplicateValues" dxfId="23975" priority="23988"/>
    <cfRule type="duplicateValues" dxfId="23974" priority="23987"/>
    <cfRule type="duplicateValues" dxfId="23973" priority="23986"/>
    <cfRule type="duplicateValues" dxfId="23972" priority="23985"/>
    <cfRule type="duplicateValues" dxfId="23971" priority="23984"/>
    <cfRule type="duplicateValues" dxfId="23970" priority="23983"/>
    <cfRule type="duplicateValues" dxfId="23969" priority="23982"/>
    <cfRule type="duplicateValues" dxfId="23968" priority="23981"/>
    <cfRule type="duplicateValues" dxfId="23967" priority="23980"/>
    <cfRule type="duplicateValues" dxfId="23966" priority="23979"/>
    <cfRule type="duplicateValues" dxfId="23965" priority="23978"/>
    <cfRule type="duplicateValues" dxfId="23964" priority="23977"/>
    <cfRule type="duplicateValues" dxfId="23963" priority="23976"/>
    <cfRule type="duplicateValues" dxfId="23962" priority="23975"/>
    <cfRule type="duplicateValues" dxfId="23961" priority="23974"/>
    <cfRule type="duplicateValues" dxfId="23960" priority="23973"/>
    <cfRule type="duplicateValues" dxfId="23959" priority="23972"/>
    <cfRule type="duplicateValues" dxfId="23958" priority="23971"/>
    <cfRule type="duplicateValues" dxfId="23957" priority="23970"/>
    <cfRule type="duplicateValues" dxfId="23956" priority="23969"/>
    <cfRule type="duplicateValues" dxfId="23955" priority="23968"/>
    <cfRule type="duplicateValues" dxfId="23954" priority="23967"/>
    <cfRule type="duplicateValues" dxfId="23953" priority="23966"/>
    <cfRule type="duplicateValues" dxfId="23952" priority="23965"/>
    <cfRule type="duplicateValues" dxfId="23951" priority="23964"/>
    <cfRule type="duplicateValues" dxfId="23950" priority="23963"/>
    <cfRule type="duplicateValues" dxfId="23949" priority="23962"/>
    <cfRule type="duplicateValues" dxfId="23948" priority="23961"/>
    <cfRule type="duplicateValues" dxfId="23947" priority="23960"/>
    <cfRule type="duplicateValues" dxfId="23946" priority="23959"/>
    <cfRule type="duplicateValues" dxfId="23945" priority="23958"/>
    <cfRule type="duplicateValues" dxfId="23944" priority="23957"/>
    <cfRule type="duplicateValues" dxfId="23943" priority="23956"/>
    <cfRule type="duplicateValues" dxfId="23942" priority="23955"/>
    <cfRule type="duplicateValues" dxfId="23941" priority="23954"/>
    <cfRule type="duplicateValues" dxfId="23940" priority="23953"/>
    <cfRule type="duplicateValues" dxfId="23939" priority="23952"/>
    <cfRule type="duplicateValues" dxfId="23938" priority="23951"/>
    <cfRule type="duplicateValues" dxfId="23937" priority="23950"/>
    <cfRule type="duplicateValues" dxfId="23936" priority="23949"/>
    <cfRule type="duplicateValues" dxfId="23935" priority="23850"/>
    <cfRule type="duplicateValues" dxfId="23934" priority="23947"/>
    <cfRule type="duplicateValues" dxfId="23933" priority="23946"/>
    <cfRule type="duplicateValues" dxfId="23932" priority="23945"/>
    <cfRule type="duplicateValues" dxfId="23931" priority="23944"/>
    <cfRule type="duplicateValues" dxfId="23930" priority="23943"/>
    <cfRule type="duplicateValues" dxfId="23929" priority="23942"/>
    <cfRule type="duplicateValues" dxfId="23928" priority="23941"/>
    <cfRule type="duplicateValues" dxfId="23927" priority="23940"/>
    <cfRule type="duplicateValues" dxfId="23926" priority="23939"/>
    <cfRule type="duplicateValues" dxfId="23925" priority="23938"/>
    <cfRule type="duplicateValues" dxfId="23924" priority="23937"/>
    <cfRule type="duplicateValues" dxfId="23923" priority="23936"/>
    <cfRule type="duplicateValues" dxfId="23922" priority="23935"/>
    <cfRule type="duplicateValues" dxfId="23921" priority="23934"/>
    <cfRule type="duplicateValues" dxfId="23920" priority="23933"/>
    <cfRule type="duplicateValues" dxfId="23919" priority="23932"/>
    <cfRule type="duplicateValues" dxfId="23918" priority="23931"/>
    <cfRule type="duplicateValues" dxfId="23917" priority="23930"/>
    <cfRule type="duplicateValues" dxfId="23916" priority="23929"/>
    <cfRule type="duplicateValues" dxfId="23915" priority="23928"/>
    <cfRule type="duplicateValues" dxfId="23914" priority="23927"/>
    <cfRule type="duplicateValues" dxfId="23913" priority="23926"/>
    <cfRule type="duplicateValues" dxfId="23912" priority="23925"/>
    <cfRule type="duplicateValues" dxfId="23911" priority="23924"/>
    <cfRule type="duplicateValues" dxfId="23910" priority="23923"/>
    <cfRule type="duplicateValues" dxfId="23909" priority="23922"/>
    <cfRule type="duplicateValues" dxfId="23908" priority="23921"/>
    <cfRule type="duplicateValues" dxfId="23907" priority="23920"/>
    <cfRule type="duplicateValues" dxfId="23906" priority="23919"/>
    <cfRule type="duplicateValues" dxfId="23905" priority="23918"/>
    <cfRule type="duplicateValues" dxfId="23904" priority="23917"/>
    <cfRule type="duplicateValues" dxfId="23903" priority="23916"/>
    <cfRule type="duplicateValues" dxfId="23902" priority="23915"/>
    <cfRule type="duplicateValues" dxfId="23901" priority="23914"/>
    <cfRule type="duplicateValues" dxfId="23900" priority="23913"/>
    <cfRule type="duplicateValues" dxfId="23899" priority="23912"/>
    <cfRule type="duplicateValues" dxfId="23898" priority="23911"/>
    <cfRule type="duplicateValues" dxfId="23897" priority="23910"/>
    <cfRule type="duplicateValues" dxfId="23896" priority="23909"/>
    <cfRule type="duplicateValues" dxfId="23895" priority="23908"/>
    <cfRule type="duplicateValues" dxfId="23894" priority="23907"/>
    <cfRule type="duplicateValues" dxfId="23893" priority="23906"/>
    <cfRule type="duplicateValues" dxfId="23892" priority="23905"/>
    <cfRule type="duplicateValues" dxfId="23891" priority="23904"/>
    <cfRule type="duplicateValues" dxfId="23890" priority="23903"/>
    <cfRule type="duplicateValues" dxfId="23889" priority="23902"/>
    <cfRule type="duplicateValues" dxfId="23888" priority="23901"/>
    <cfRule type="duplicateValues" dxfId="23887" priority="23900"/>
    <cfRule type="duplicateValues" dxfId="23886" priority="23899"/>
    <cfRule type="duplicateValues" dxfId="23885" priority="23898"/>
    <cfRule type="duplicateValues" dxfId="23884" priority="23897"/>
    <cfRule type="duplicateValues" dxfId="23883" priority="23896"/>
    <cfRule type="duplicateValues" dxfId="23882" priority="23895"/>
    <cfRule type="duplicateValues" dxfId="23881" priority="23894"/>
    <cfRule type="duplicateValues" dxfId="23880" priority="23893"/>
    <cfRule type="duplicateValues" dxfId="23879" priority="23892"/>
    <cfRule type="duplicateValues" dxfId="23878" priority="23891"/>
    <cfRule type="duplicateValues" dxfId="23877" priority="23890"/>
    <cfRule type="duplicateValues" dxfId="23876" priority="23889"/>
    <cfRule type="duplicateValues" dxfId="23875" priority="23888"/>
    <cfRule type="duplicateValues" dxfId="23874" priority="23887"/>
    <cfRule type="duplicateValues" dxfId="23873" priority="23886"/>
    <cfRule type="duplicateValues" dxfId="23872" priority="23885"/>
    <cfRule type="duplicateValues" dxfId="23871" priority="23884"/>
    <cfRule type="duplicateValues" dxfId="23870" priority="23883"/>
    <cfRule type="duplicateValues" dxfId="23869" priority="23882"/>
    <cfRule type="duplicateValues" dxfId="23868" priority="23881"/>
    <cfRule type="duplicateValues" dxfId="23867" priority="23880"/>
    <cfRule type="duplicateValues" dxfId="23866" priority="23879"/>
    <cfRule type="duplicateValues" dxfId="23865" priority="23878"/>
    <cfRule type="duplicateValues" dxfId="23864" priority="23877"/>
    <cfRule type="duplicateValues" dxfId="23863" priority="23876"/>
    <cfRule type="duplicateValues" dxfId="23862" priority="23875"/>
    <cfRule type="duplicateValues" dxfId="23861" priority="23874"/>
    <cfRule type="duplicateValues" dxfId="23860" priority="23873"/>
    <cfRule type="duplicateValues" dxfId="23859" priority="23872"/>
    <cfRule type="duplicateValues" dxfId="23858" priority="23871"/>
    <cfRule type="duplicateValues" dxfId="23857" priority="23870"/>
    <cfRule type="duplicateValues" dxfId="23856" priority="23869"/>
    <cfRule type="duplicateValues" dxfId="23855" priority="23868"/>
    <cfRule type="duplicateValues" dxfId="23854" priority="23867"/>
    <cfRule type="duplicateValues" dxfId="23853" priority="23866"/>
    <cfRule type="duplicateValues" dxfId="23852" priority="23865"/>
    <cfRule type="duplicateValues" dxfId="23851" priority="23864"/>
    <cfRule type="duplicateValues" dxfId="23850" priority="23863"/>
    <cfRule type="duplicateValues" dxfId="23849" priority="23862"/>
    <cfRule type="duplicateValues" dxfId="23848" priority="23861"/>
    <cfRule type="duplicateValues" dxfId="23847" priority="23860"/>
    <cfRule type="duplicateValues" dxfId="23846" priority="23859"/>
    <cfRule type="duplicateValues" dxfId="23845" priority="23858"/>
    <cfRule type="duplicateValues" dxfId="23844" priority="23857"/>
    <cfRule type="duplicateValues" dxfId="23843" priority="23856"/>
    <cfRule type="duplicateValues" dxfId="23842" priority="23855"/>
    <cfRule type="duplicateValues" dxfId="23841" priority="23854"/>
  </conditionalFormatting>
  <conditionalFormatting sqref="B182">
    <cfRule type="duplicateValues" dxfId="23840" priority="23665"/>
    <cfRule type="duplicateValues" dxfId="23839" priority="23664"/>
    <cfRule type="duplicateValues" dxfId="23838" priority="23663"/>
    <cfRule type="duplicateValues" dxfId="23837" priority="23666"/>
    <cfRule type="duplicateValues" dxfId="23836" priority="23849"/>
    <cfRule type="duplicateValues" dxfId="23835" priority="23848"/>
    <cfRule type="duplicateValues" dxfId="23834" priority="23847"/>
    <cfRule type="duplicateValues" dxfId="23833" priority="23846"/>
    <cfRule type="duplicateValues" dxfId="23832" priority="23845"/>
    <cfRule type="duplicateValues" dxfId="23831" priority="23844"/>
    <cfRule type="duplicateValues" dxfId="23830" priority="23843"/>
    <cfRule type="duplicateValues" dxfId="23829" priority="23842"/>
    <cfRule type="duplicateValues" dxfId="23828" priority="23841"/>
    <cfRule type="duplicateValues" dxfId="23827" priority="23840"/>
    <cfRule type="duplicateValues" dxfId="23826" priority="23839"/>
    <cfRule type="duplicateValues" dxfId="23825" priority="23838"/>
    <cfRule type="duplicateValues" dxfId="23824" priority="23837"/>
    <cfRule type="duplicateValues" dxfId="23823" priority="23836"/>
    <cfRule type="duplicateValues" dxfId="23822" priority="23835"/>
    <cfRule type="duplicateValues" dxfId="23821" priority="23834"/>
    <cfRule type="duplicateValues" dxfId="23820" priority="23833"/>
    <cfRule type="duplicateValues" dxfId="23819" priority="23832"/>
    <cfRule type="duplicateValues" dxfId="23818" priority="23831"/>
    <cfRule type="duplicateValues" dxfId="23817" priority="23830"/>
    <cfRule type="duplicateValues" dxfId="23816" priority="23829"/>
    <cfRule type="duplicateValues" dxfId="23815" priority="23828"/>
    <cfRule type="duplicateValues" dxfId="23814" priority="23827"/>
    <cfRule type="duplicateValues" dxfId="23813" priority="23826"/>
    <cfRule type="duplicateValues" dxfId="23812" priority="23825"/>
    <cfRule type="duplicateValues" dxfId="23811" priority="23824"/>
    <cfRule type="duplicateValues" dxfId="23810" priority="23823"/>
    <cfRule type="duplicateValues" dxfId="23809" priority="23822"/>
    <cfRule type="duplicateValues" dxfId="23808" priority="23821"/>
    <cfRule type="duplicateValues" dxfId="23807" priority="23820"/>
    <cfRule type="duplicateValues" dxfId="23806" priority="23819"/>
    <cfRule type="duplicateValues" dxfId="23805" priority="23818"/>
    <cfRule type="duplicateValues" dxfId="23804" priority="23817"/>
    <cfRule type="duplicateValues" dxfId="23803" priority="23816"/>
    <cfRule type="duplicateValues" dxfId="23802" priority="23815"/>
    <cfRule type="duplicateValues" dxfId="23801" priority="23814"/>
    <cfRule type="duplicateValues" dxfId="23800" priority="23813"/>
    <cfRule type="duplicateValues" dxfId="23799" priority="23812"/>
    <cfRule type="duplicateValues" dxfId="23798" priority="23811"/>
    <cfRule type="duplicateValues" dxfId="23797" priority="23810"/>
    <cfRule type="duplicateValues" dxfId="23796" priority="23809"/>
    <cfRule type="duplicateValues" dxfId="23795" priority="23808"/>
    <cfRule type="duplicateValues" dxfId="23794" priority="23807"/>
    <cfRule type="duplicateValues" dxfId="23793" priority="23806"/>
    <cfRule type="duplicateValues" dxfId="23792" priority="23805"/>
    <cfRule type="duplicateValues" dxfId="23791" priority="23804"/>
    <cfRule type="duplicateValues" dxfId="23790" priority="23803"/>
    <cfRule type="duplicateValues" dxfId="23789" priority="23802"/>
    <cfRule type="duplicateValues" dxfId="23788" priority="23801"/>
    <cfRule type="duplicateValues" dxfId="23787" priority="23800"/>
    <cfRule type="duplicateValues" dxfId="23786" priority="23799"/>
    <cfRule type="duplicateValues" dxfId="23785" priority="23798"/>
    <cfRule type="duplicateValues" dxfId="23784" priority="23797"/>
    <cfRule type="duplicateValues" dxfId="23783" priority="23796"/>
    <cfRule type="duplicateValues" dxfId="23782" priority="23795"/>
    <cfRule type="duplicateValues" dxfId="23781" priority="23794"/>
    <cfRule type="duplicateValues" dxfId="23780" priority="23793"/>
    <cfRule type="duplicateValues" dxfId="23779" priority="23792"/>
    <cfRule type="duplicateValues" dxfId="23778" priority="23791"/>
    <cfRule type="duplicateValues" dxfId="23777" priority="23790"/>
    <cfRule type="duplicateValues" dxfId="23776" priority="23789"/>
    <cfRule type="duplicateValues" dxfId="23775" priority="23788"/>
    <cfRule type="duplicateValues" dxfId="23774" priority="23787"/>
    <cfRule type="duplicateValues" dxfId="23773" priority="23786"/>
    <cfRule type="duplicateValues" dxfId="23772" priority="23785"/>
    <cfRule type="duplicateValues" dxfId="23771" priority="23784"/>
    <cfRule type="duplicateValues" dxfId="23770" priority="23783"/>
    <cfRule type="duplicateValues" dxfId="23769" priority="23782"/>
    <cfRule type="duplicateValues" dxfId="23768" priority="23781"/>
    <cfRule type="duplicateValues" dxfId="23767" priority="23780"/>
    <cfRule type="duplicateValues" dxfId="23766" priority="23779"/>
    <cfRule type="duplicateValues" dxfId="23765" priority="23778"/>
    <cfRule type="duplicateValues" dxfId="23764" priority="23777"/>
    <cfRule type="duplicateValues" dxfId="23763" priority="23776"/>
    <cfRule type="duplicateValues" dxfId="23762" priority="23775"/>
    <cfRule type="duplicateValues" dxfId="23761" priority="23774"/>
    <cfRule type="duplicateValues" dxfId="23760" priority="23773"/>
    <cfRule type="duplicateValues" dxfId="23759" priority="23772"/>
    <cfRule type="duplicateValues" dxfId="23758" priority="23771"/>
    <cfRule type="duplicateValues" dxfId="23757" priority="23770"/>
    <cfRule type="duplicateValues" dxfId="23756" priority="23769"/>
    <cfRule type="duplicateValues" dxfId="23755" priority="23768"/>
    <cfRule type="duplicateValues" dxfId="23754" priority="23767"/>
    <cfRule type="duplicateValues" dxfId="23753" priority="23766"/>
    <cfRule type="duplicateValues" dxfId="23752" priority="23765"/>
    <cfRule type="duplicateValues" dxfId="23751" priority="23764"/>
    <cfRule type="duplicateValues" dxfId="23750" priority="23763"/>
    <cfRule type="duplicateValues" dxfId="23749" priority="23762"/>
    <cfRule type="duplicateValues" dxfId="23748" priority="23761"/>
    <cfRule type="duplicateValues" dxfId="23747" priority="23760"/>
    <cfRule type="duplicateValues" dxfId="23746" priority="23759"/>
    <cfRule type="duplicateValues" dxfId="23745" priority="23758"/>
    <cfRule type="duplicateValues" dxfId="23744" priority="23757"/>
    <cfRule type="duplicateValues" dxfId="23743" priority="23756"/>
    <cfRule type="duplicateValues" dxfId="23742" priority="23755"/>
    <cfRule type="duplicateValues" dxfId="23741" priority="23754"/>
    <cfRule type="duplicateValues" dxfId="23740" priority="23753"/>
    <cfRule type="duplicateValues" dxfId="23739" priority="23752"/>
    <cfRule type="duplicateValues" dxfId="23738" priority="23751"/>
    <cfRule type="duplicateValues" dxfId="23737" priority="23750"/>
    <cfRule type="duplicateValues" dxfId="23736" priority="23749"/>
    <cfRule type="duplicateValues" dxfId="23735" priority="23748"/>
    <cfRule type="duplicateValues" dxfId="23734" priority="23747"/>
    <cfRule type="duplicateValues" dxfId="23733" priority="23746"/>
    <cfRule type="duplicateValues" dxfId="23732" priority="23745"/>
    <cfRule type="duplicateValues" dxfId="23731" priority="23744"/>
    <cfRule type="duplicateValues" dxfId="23730" priority="23743"/>
    <cfRule type="duplicateValues" dxfId="23729" priority="23742"/>
    <cfRule type="duplicateValues" dxfId="23728" priority="23741"/>
    <cfRule type="duplicateValues" dxfId="23727" priority="23740"/>
    <cfRule type="duplicateValues" dxfId="23726" priority="23739"/>
    <cfRule type="duplicateValues" dxfId="23725" priority="23738"/>
    <cfRule type="duplicateValues" dxfId="23724" priority="23737"/>
    <cfRule type="duplicateValues" dxfId="23723" priority="23736"/>
    <cfRule type="duplicateValues" dxfId="23722" priority="23735"/>
    <cfRule type="duplicateValues" dxfId="23721" priority="23734"/>
    <cfRule type="duplicateValues" dxfId="23720" priority="23733"/>
    <cfRule type="duplicateValues" dxfId="23719" priority="23732"/>
    <cfRule type="duplicateValues" dxfId="23718" priority="23731"/>
    <cfRule type="duplicateValues" dxfId="23717" priority="23730"/>
    <cfRule type="duplicateValues" dxfId="23716" priority="23729"/>
    <cfRule type="duplicateValues" dxfId="23715" priority="23728"/>
    <cfRule type="duplicateValues" dxfId="23714" priority="23727"/>
    <cfRule type="duplicateValues" dxfId="23713" priority="23726"/>
    <cfRule type="duplicateValues" dxfId="23712" priority="23725"/>
    <cfRule type="duplicateValues" dxfId="23711" priority="23724"/>
    <cfRule type="duplicateValues" dxfId="23710" priority="23723"/>
    <cfRule type="duplicateValues" dxfId="23709" priority="23722"/>
    <cfRule type="duplicateValues" dxfId="23708" priority="23721"/>
    <cfRule type="duplicateValues" dxfId="23707" priority="23720"/>
    <cfRule type="duplicateValues" dxfId="23706" priority="23719"/>
    <cfRule type="duplicateValues" dxfId="23705" priority="23718"/>
    <cfRule type="duplicateValues" dxfId="23704" priority="23717"/>
    <cfRule type="duplicateValues" dxfId="23703" priority="23716"/>
    <cfRule type="duplicateValues" dxfId="23702" priority="23715"/>
    <cfRule type="duplicateValues" dxfId="23701" priority="23714"/>
    <cfRule type="duplicateValues" dxfId="23700" priority="23713"/>
    <cfRule type="duplicateValues" dxfId="23699" priority="23712"/>
    <cfRule type="duplicateValues" dxfId="23698" priority="23711"/>
    <cfRule type="duplicateValues" dxfId="23697" priority="23710"/>
    <cfRule type="duplicateValues" dxfId="23696" priority="23709"/>
    <cfRule type="duplicateValues" dxfId="23695" priority="23708"/>
    <cfRule type="duplicateValues" dxfId="23694" priority="23707"/>
    <cfRule type="duplicateValues" dxfId="23693" priority="23706"/>
    <cfRule type="duplicateValues" dxfId="23692" priority="23705"/>
    <cfRule type="duplicateValues" dxfId="23691" priority="23704"/>
    <cfRule type="duplicateValues" dxfId="23690" priority="23703"/>
    <cfRule type="duplicateValues" dxfId="23689" priority="23702"/>
    <cfRule type="duplicateValues" dxfId="23688" priority="23701"/>
    <cfRule type="duplicateValues" dxfId="23687" priority="23700"/>
    <cfRule type="duplicateValues" dxfId="23686" priority="23699"/>
    <cfRule type="duplicateValues" dxfId="23685" priority="23698"/>
    <cfRule type="duplicateValues" dxfId="23684" priority="23697"/>
    <cfRule type="duplicateValues" dxfId="23683" priority="23696"/>
    <cfRule type="duplicateValues" dxfId="23682" priority="23695"/>
    <cfRule type="duplicateValues" dxfId="23681" priority="23694"/>
    <cfRule type="duplicateValues" dxfId="23680" priority="23693"/>
    <cfRule type="duplicateValues" dxfId="23679" priority="23692"/>
    <cfRule type="duplicateValues" dxfId="23678" priority="23691"/>
    <cfRule type="duplicateValues" dxfId="23677" priority="23690"/>
    <cfRule type="duplicateValues" dxfId="23676" priority="23689"/>
    <cfRule type="duplicateValues" dxfId="23675" priority="23688"/>
    <cfRule type="duplicateValues" dxfId="23674" priority="23687"/>
    <cfRule type="duplicateValues" dxfId="23673" priority="23686"/>
    <cfRule type="duplicateValues" dxfId="23672" priority="23685"/>
    <cfRule type="duplicateValues" dxfId="23671" priority="23684"/>
    <cfRule type="duplicateValues" dxfId="23670" priority="23683"/>
    <cfRule type="duplicateValues" dxfId="23669" priority="23682"/>
    <cfRule type="duplicateValues" dxfId="23668" priority="23681"/>
    <cfRule type="duplicateValues" dxfId="23667" priority="23680"/>
    <cfRule type="duplicateValues" dxfId="23666" priority="23679"/>
    <cfRule type="duplicateValues" dxfId="23665" priority="23678"/>
    <cfRule type="duplicateValues" dxfId="23664" priority="23677"/>
    <cfRule type="duplicateValues" dxfId="23663" priority="23676"/>
    <cfRule type="duplicateValues" dxfId="23662" priority="23675"/>
    <cfRule type="duplicateValues" dxfId="23661" priority="23674"/>
    <cfRule type="duplicateValues" dxfId="23660" priority="23673"/>
    <cfRule type="duplicateValues" dxfId="23659" priority="23672"/>
    <cfRule type="duplicateValues" dxfId="23658" priority="23671"/>
    <cfRule type="duplicateValues" dxfId="23657" priority="23670"/>
    <cfRule type="duplicateValues" dxfId="23656" priority="23669"/>
    <cfRule type="duplicateValues" dxfId="23655" priority="23668"/>
    <cfRule type="duplicateValues" dxfId="23654" priority="23667"/>
  </conditionalFormatting>
  <conditionalFormatting sqref="B183">
    <cfRule type="duplicateValues" dxfId="23653" priority="23479"/>
    <cfRule type="duplicateValues" dxfId="23652" priority="23478"/>
    <cfRule type="duplicateValues" dxfId="23651" priority="23477"/>
    <cfRule type="duplicateValues" dxfId="23650" priority="23476"/>
    <cfRule type="duplicateValues" dxfId="23649" priority="23662"/>
    <cfRule type="duplicateValues" dxfId="23648" priority="23661"/>
    <cfRule type="duplicateValues" dxfId="23647" priority="23660"/>
    <cfRule type="duplicateValues" dxfId="23646" priority="23659"/>
    <cfRule type="duplicateValues" dxfId="23645" priority="23658"/>
    <cfRule type="duplicateValues" dxfId="23644" priority="23657"/>
    <cfRule type="duplicateValues" dxfId="23643" priority="23656"/>
    <cfRule type="duplicateValues" dxfId="23642" priority="23655"/>
    <cfRule type="duplicateValues" dxfId="23641" priority="23654"/>
    <cfRule type="duplicateValues" dxfId="23640" priority="23653"/>
    <cfRule type="duplicateValues" dxfId="23639" priority="23652"/>
    <cfRule type="duplicateValues" dxfId="23638" priority="23651"/>
    <cfRule type="duplicateValues" dxfId="23637" priority="23650"/>
    <cfRule type="duplicateValues" dxfId="23636" priority="23649"/>
    <cfRule type="duplicateValues" dxfId="23635" priority="23648"/>
    <cfRule type="duplicateValues" dxfId="23634" priority="23647"/>
    <cfRule type="duplicateValues" dxfId="23633" priority="23646"/>
    <cfRule type="duplicateValues" dxfId="23632" priority="23645"/>
    <cfRule type="duplicateValues" dxfId="23631" priority="23644"/>
    <cfRule type="duplicateValues" dxfId="23630" priority="23643"/>
    <cfRule type="duplicateValues" dxfId="23629" priority="23642"/>
    <cfRule type="duplicateValues" dxfId="23628" priority="23641"/>
    <cfRule type="duplicateValues" dxfId="23627" priority="23640"/>
    <cfRule type="duplicateValues" dxfId="23626" priority="23639"/>
    <cfRule type="duplicateValues" dxfId="23625" priority="23638"/>
    <cfRule type="duplicateValues" dxfId="23624" priority="23637"/>
    <cfRule type="duplicateValues" dxfId="23623" priority="23636"/>
    <cfRule type="duplicateValues" dxfId="23622" priority="23635"/>
    <cfRule type="duplicateValues" dxfId="23621" priority="23634"/>
    <cfRule type="duplicateValues" dxfId="23620" priority="23633"/>
    <cfRule type="duplicateValues" dxfId="23619" priority="23632"/>
    <cfRule type="duplicateValues" dxfId="23618" priority="23631"/>
    <cfRule type="duplicateValues" dxfId="23617" priority="23630"/>
    <cfRule type="duplicateValues" dxfId="23616" priority="23629"/>
    <cfRule type="duplicateValues" dxfId="23615" priority="23628"/>
    <cfRule type="duplicateValues" dxfId="23614" priority="23627"/>
    <cfRule type="duplicateValues" dxfId="23613" priority="23626"/>
    <cfRule type="duplicateValues" dxfId="23612" priority="23625"/>
    <cfRule type="duplicateValues" dxfId="23611" priority="23624"/>
    <cfRule type="duplicateValues" dxfId="23610" priority="23623"/>
    <cfRule type="duplicateValues" dxfId="23609" priority="23622"/>
    <cfRule type="duplicateValues" dxfId="23608" priority="23621"/>
    <cfRule type="duplicateValues" dxfId="23607" priority="23620"/>
    <cfRule type="duplicateValues" dxfId="23606" priority="23619"/>
    <cfRule type="duplicateValues" dxfId="23605" priority="23618"/>
    <cfRule type="duplicateValues" dxfId="23604" priority="23617"/>
    <cfRule type="duplicateValues" dxfId="23603" priority="23616"/>
    <cfRule type="duplicateValues" dxfId="23602" priority="23615"/>
    <cfRule type="duplicateValues" dxfId="23601" priority="23614"/>
    <cfRule type="duplicateValues" dxfId="23600" priority="23613"/>
    <cfRule type="duplicateValues" dxfId="23599" priority="23612"/>
    <cfRule type="duplicateValues" dxfId="23598" priority="23611"/>
    <cfRule type="duplicateValues" dxfId="23597" priority="23610"/>
    <cfRule type="duplicateValues" dxfId="23596" priority="23609"/>
    <cfRule type="duplicateValues" dxfId="23595" priority="23608"/>
    <cfRule type="duplicateValues" dxfId="23594" priority="23607"/>
    <cfRule type="duplicateValues" dxfId="23593" priority="23606"/>
    <cfRule type="duplicateValues" dxfId="23592" priority="23605"/>
    <cfRule type="duplicateValues" dxfId="23591" priority="23604"/>
    <cfRule type="duplicateValues" dxfId="23590" priority="23603"/>
    <cfRule type="duplicateValues" dxfId="23589" priority="23602"/>
    <cfRule type="duplicateValues" dxfId="23588" priority="23601"/>
    <cfRule type="duplicateValues" dxfId="23587" priority="23600"/>
    <cfRule type="duplicateValues" dxfId="23586" priority="23599"/>
    <cfRule type="duplicateValues" dxfId="23585" priority="23598"/>
    <cfRule type="duplicateValues" dxfId="23584" priority="23597"/>
    <cfRule type="duplicateValues" dxfId="23583" priority="23596"/>
    <cfRule type="duplicateValues" dxfId="23582" priority="23595"/>
    <cfRule type="duplicateValues" dxfId="23581" priority="23594"/>
    <cfRule type="duplicateValues" dxfId="23580" priority="23593"/>
    <cfRule type="duplicateValues" dxfId="23579" priority="23592"/>
    <cfRule type="duplicateValues" dxfId="23578" priority="23591"/>
    <cfRule type="duplicateValues" dxfId="23577" priority="23590"/>
    <cfRule type="duplicateValues" dxfId="23576" priority="23589"/>
    <cfRule type="duplicateValues" dxfId="23575" priority="23588"/>
    <cfRule type="duplicateValues" dxfId="23574" priority="23587"/>
    <cfRule type="duplicateValues" dxfId="23573" priority="23586"/>
    <cfRule type="duplicateValues" dxfId="23572" priority="23585"/>
    <cfRule type="duplicateValues" dxfId="23571" priority="23584"/>
    <cfRule type="duplicateValues" dxfId="23570" priority="23583"/>
    <cfRule type="duplicateValues" dxfId="23569" priority="23582"/>
    <cfRule type="duplicateValues" dxfId="23568" priority="23581"/>
    <cfRule type="duplicateValues" dxfId="23567" priority="23580"/>
    <cfRule type="duplicateValues" dxfId="23566" priority="23579"/>
    <cfRule type="duplicateValues" dxfId="23565" priority="23578"/>
    <cfRule type="duplicateValues" dxfId="23564" priority="23577"/>
    <cfRule type="duplicateValues" dxfId="23563" priority="23576"/>
    <cfRule type="duplicateValues" dxfId="23562" priority="23575"/>
    <cfRule type="duplicateValues" dxfId="23561" priority="23574"/>
    <cfRule type="duplicateValues" dxfId="23560" priority="23573"/>
    <cfRule type="duplicateValues" dxfId="23559" priority="23572"/>
    <cfRule type="duplicateValues" dxfId="23558" priority="23571"/>
    <cfRule type="duplicateValues" dxfId="23557" priority="23570"/>
    <cfRule type="duplicateValues" dxfId="23556" priority="23569"/>
    <cfRule type="duplicateValues" dxfId="23555" priority="23568"/>
    <cfRule type="duplicateValues" dxfId="23554" priority="23567"/>
    <cfRule type="duplicateValues" dxfId="23553" priority="23566"/>
    <cfRule type="duplicateValues" dxfId="23552" priority="23565"/>
    <cfRule type="duplicateValues" dxfId="23551" priority="23564"/>
    <cfRule type="duplicateValues" dxfId="23550" priority="23563"/>
    <cfRule type="duplicateValues" dxfId="23549" priority="23562"/>
    <cfRule type="duplicateValues" dxfId="23548" priority="23561"/>
    <cfRule type="duplicateValues" dxfId="23547" priority="23560"/>
    <cfRule type="duplicateValues" dxfId="23546" priority="23559"/>
    <cfRule type="duplicateValues" dxfId="23545" priority="23558"/>
    <cfRule type="duplicateValues" dxfId="23544" priority="23557"/>
    <cfRule type="duplicateValues" dxfId="23543" priority="23556"/>
    <cfRule type="duplicateValues" dxfId="23542" priority="23555"/>
    <cfRule type="duplicateValues" dxfId="23541" priority="23554"/>
    <cfRule type="duplicateValues" dxfId="23540" priority="23553"/>
    <cfRule type="duplicateValues" dxfId="23539" priority="23552"/>
    <cfRule type="duplicateValues" dxfId="23538" priority="23551"/>
    <cfRule type="duplicateValues" dxfId="23537" priority="23550"/>
    <cfRule type="duplicateValues" dxfId="23536" priority="23549"/>
    <cfRule type="duplicateValues" dxfId="23535" priority="23548"/>
    <cfRule type="duplicateValues" dxfId="23534" priority="23547"/>
    <cfRule type="duplicateValues" dxfId="23533" priority="23546"/>
    <cfRule type="duplicateValues" dxfId="23532" priority="23545"/>
    <cfRule type="duplicateValues" dxfId="23531" priority="23544"/>
    <cfRule type="duplicateValues" dxfId="23530" priority="23543"/>
    <cfRule type="duplicateValues" dxfId="23529" priority="23542"/>
    <cfRule type="duplicateValues" dxfId="23528" priority="23541"/>
    <cfRule type="duplicateValues" dxfId="23527" priority="23540"/>
    <cfRule type="duplicateValues" dxfId="23526" priority="23539"/>
    <cfRule type="duplicateValues" dxfId="23525" priority="23538"/>
    <cfRule type="duplicateValues" dxfId="23524" priority="23537"/>
    <cfRule type="duplicateValues" dxfId="23523" priority="23536"/>
    <cfRule type="duplicateValues" dxfId="23522" priority="23535"/>
    <cfRule type="duplicateValues" dxfId="23521" priority="23534"/>
    <cfRule type="duplicateValues" dxfId="23520" priority="23533"/>
    <cfRule type="duplicateValues" dxfId="23519" priority="23532"/>
    <cfRule type="duplicateValues" dxfId="23518" priority="23531"/>
    <cfRule type="duplicateValues" dxfId="23517" priority="23530"/>
    <cfRule type="duplicateValues" dxfId="23516" priority="23529"/>
    <cfRule type="duplicateValues" dxfId="23515" priority="23528"/>
    <cfRule type="duplicateValues" dxfId="23514" priority="23527"/>
    <cfRule type="duplicateValues" dxfId="23513" priority="23526"/>
    <cfRule type="duplicateValues" dxfId="23512" priority="23525"/>
    <cfRule type="duplicateValues" dxfId="23511" priority="23524"/>
    <cfRule type="duplicateValues" dxfId="23510" priority="23523"/>
    <cfRule type="duplicateValues" dxfId="23509" priority="23522"/>
    <cfRule type="duplicateValues" dxfId="23508" priority="23521"/>
    <cfRule type="duplicateValues" dxfId="23507" priority="23520"/>
    <cfRule type="duplicateValues" dxfId="23506" priority="23519"/>
    <cfRule type="duplicateValues" dxfId="23505" priority="23518"/>
    <cfRule type="duplicateValues" dxfId="23504" priority="23517"/>
    <cfRule type="duplicateValues" dxfId="23503" priority="23516"/>
    <cfRule type="duplicateValues" dxfId="23502" priority="23515"/>
    <cfRule type="duplicateValues" dxfId="23501" priority="23514"/>
    <cfRule type="duplicateValues" dxfId="23500" priority="23513"/>
    <cfRule type="duplicateValues" dxfId="23499" priority="23512"/>
    <cfRule type="duplicateValues" dxfId="23498" priority="23511"/>
    <cfRule type="duplicateValues" dxfId="23497" priority="23510"/>
    <cfRule type="duplicateValues" dxfId="23496" priority="23509"/>
    <cfRule type="duplicateValues" dxfId="23495" priority="23508"/>
    <cfRule type="duplicateValues" dxfId="23494" priority="23507"/>
    <cfRule type="duplicateValues" dxfId="23493" priority="23506"/>
    <cfRule type="duplicateValues" dxfId="23492" priority="23505"/>
    <cfRule type="duplicateValues" dxfId="23491" priority="23504"/>
    <cfRule type="duplicateValues" dxfId="23490" priority="23503"/>
    <cfRule type="duplicateValues" dxfId="23489" priority="23502"/>
    <cfRule type="duplicateValues" dxfId="23488" priority="23501"/>
    <cfRule type="duplicateValues" dxfId="23487" priority="23500"/>
    <cfRule type="duplicateValues" dxfId="23486" priority="23499"/>
    <cfRule type="duplicateValues" dxfId="23485" priority="23498"/>
    <cfRule type="duplicateValues" dxfId="23484" priority="23497"/>
    <cfRule type="duplicateValues" dxfId="23483" priority="23496"/>
    <cfRule type="duplicateValues" dxfId="23482" priority="23495"/>
    <cfRule type="duplicateValues" dxfId="23481" priority="23494"/>
    <cfRule type="duplicateValues" dxfId="23480" priority="23493"/>
    <cfRule type="duplicateValues" dxfId="23479" priority="23492"/>
    <cfRule type="duplicateValues" dxfId="23478" priority="23491"/>
    <cfRule type="duplicateValues" dxfId="23477" priority="23490"/>
    <cfRule type="duplicateValues" dxfId="23476" priority="23489"/>
    <cfRule type="duplicateValues" dxfId="23475" priority="23488"/>
    <cfRule type="duplicateValues" dxfId="23474" priority="23487"/>
    <cfRule type="duplicateValues" dxfId="23473" priority="23486"/>
    <cfRule type="duplicateValues" dxfId="23472" priority="23485"/>
    <cfRule type="duplicateValues" dxfId="23471" priority="23484"/>
    <cfRule type="duplicateValues" dxfId="23470" priority="23483"/>
    <cfRule type="duplicateValues" dxfId="23469" priority="23482"/>
    <cfRule type="duplicateValues" dxfId="23468" priority="23481"/>
    <cfRule type="duplicateValues" dxfId="23467" priority="23480"/>
  </conditionalFormatting>
  <conditionalFormatting sqref="B184">
    <cfRule type="duplicateValues" dxfId="23466" priority="23363"/>
    <cfRule type="duplicateValues" dxfId="23465" priority="23292"/>
    <cfRule type="duplicateValues" dxfId="23464" priority="23291"/>
    <cfRule type="duplicateValues" dxfId="23463" priority="23290"/>
    <cfRule type="duplicateValues" dxfId="23462" priority="23475"/>
    <cfRule type="duplicateValues" dxfId="23461" priority="23474"/>
    <cfRule type="duplicateValues" dxfId="23460" priority="23473"/>
    <cfRule type="duplicateValues" dxfId="23459" priority="23472"/>
    <cfRule type="duplicateValues" dxfId="23458" priority="23471"/>
    <cfRule type="duplicateValues" dxfId="23457" priority="23470"/>
    <cfRule type="duplicateValues" dxfId="23456" priority="23469"/>
    <cfRule type="duplicateValues" dxfId="23455" priority="23468"/>
    <cfRule type="duplicateValues" dxfId="23454" priority="23467"/>
    <cfRule type="duplicateValues" dxfId="23453" priority="23466"/>
    <cfRule type="duplicateValues" dxfId="23452" priority="23465"/>
    <cfRule type="duplicateValues" dxfId="23451" priority="23464"/>
    <cfRule type="duplicateValues" dxfId="23450" priority="23463"/>
    <cfRule type="duplicateValues" dxfId="23449" priority="23462"/>
    <cfRule type="duplicateValues" dxfId="23448" priority="23461"/>
    <cfRule type="duplicateValues" dxfId="23447" priority="23460"/>
    <cfRule type="duplicateValues" dxfId="23446" priority="23459"/>
    <cfRule type="duplicateValues" dxfId="23445" priority="23458"/>
    <cfRule type="duplicateValues" dxfId="23444" priority="23457"/>
    <cfRule type="duplicateValues" dxfId="23443" priority="23456"/>
    <cfRule type="duplicateValues" dxfId="23442" priority="23455"/>
    <cfRule type="duplicateValues" dxfId="23441" priority="23454"/>
    <cfRule type="duplicateValues" dxfId="23440" priority="23453"/>
    <cfRule type="duplicateValues" dxfId="23439" priority="23452"/>
    <cfRule type="duplicateValues" dxfId="23438" priority="23451"/>
    <cfRule type="duplicateValues" dxfId="23437" priority="23450"/>
    <cfRule type="duplicateValues" dxfId="23436" priority="23449"/>
    <cfRule type="duplicateValues" dxfId="23435" priority="23448"/>
    <cfRule type="duplicateValues" dxfId="23434" priority="23447"/>
    <cfRule type="duplicateValues" dxfId="23433" priority="23446"/>
    <cfRule type="duplicateValues" dxfId="23432" priority="23445"/>
    <cfRule type="duplicateValues" dxfId="23431" priority="23444"/>
    <cfRule type="duplicateValues" dxfId="23430" priority="23443"/>
    <cfRule type="duplicateValues" dxfId="23429" priority="23442"/>
    <cfRule type="duplicateValues" dxfId="23428" priority="23441"/>
    <cfRule type="duplicateValues" dxfId="23427" priority="23440"/>
    <cfRule type="duplicateValues" dxfId="23426" priority="23439"/>
    <cfRule type="duplicateValues" dxfId="23425" priority="23438"/>
    <cfRule type="duplicateValues" dxfId="23424" priority="23437"/>
    <cfRule type="duplicateValues" dxfId="23423" priority="23436"/>
    <cfRule type="duplicateValues" dxfId="23422" priority="23435"/>
    <cfRule type="duplicateValues" dxfId="23421" priority="23434"/>
    <cfRule type="duplicateValues" dxfId="23420" priority="23433"/>
    <cfRule type="duplicateValues" dxfId="23419" priority="23432"/>
    <cfRule type="duplicateValues" dxfId="23418" priority="23431"/>
    <cfRule type="duplicateValues" dxfId="23417" priority="23430"/>
    <cfRule type="duplicateValues" dxfId="23416" priority="23429"/>
    <cfRule type="duplicateValues" dxfId="23415" priority="23428"/>
    <cfRule type="duplicateValues" dxfId="23414" priority="23427"/>
    <cfRule type="duplicateValues" dxfId="23413" priority="23426"/>
    <cfRule type="duplicateValues" dxfId="23412" priority="23425"/>
    <cfRule type="duplicateValues" dxfId="23411" priority="23424"/>
    <cfRule type="duplicateValues" dxfId="23410" priority="23423"/>
    <cfRule type="duplicateValues" dxfId="23409" priority="23422"/>
    <cfRule type="duplicateValues" dxfId="23408" priority="23421"/>
    <cfRule type="duplicateValues" dxfId="23407" priority="23420"/>
    <cfRule type="duplicateValues" dxfId="23406" priority="23419"/>
    <cfRule type="duplicateValues" dxfId="23405" priority="23418"/>
    <cfRule type="duplicateValues" dxfId="23404" priority="23417"/>
    <cfRule type="duplicateValues" dxfId="23403" priority="23416"/>
    <cfRule type="duplicateValues" dxfId="23402" priority="23415"/>
    <cfRule type="duplicateValues" dxfId="23401" priority="23414"/>
    <cfRule type="duplicateValues" dxfId="23400" priority="23413"/>
    <cfRule type="duplicateValues" dxfId="23399" priority="23412"/>
    <cfRule type="duplicateValues" dxfId="23398" priority="23411"/>
    <cfRule type="duplicateValues" dxfId="23397" priority="23410"/>
    <cfRule type="duplicateValues" dxfId="23396" priority="23409"/>
    <cfRule type="duplicateValues" dxfId="23395" priority="23408"/>
    <cfRule type="duplicateValues" dxfId="23394" priority="23407"/>
    <cfRule type="duplicateValues" dxfId="23393" priority="23406"/>
    <cfRule type="duplicateValues" dxfId="23392" priority="23405"/>
    <cfRule type="duplicateValues" dxfId="23391" priority="23404"/>
    <cfRule type="duplicateValues" dxfId="23390" priority="23403"/>
    <cfRule type="duplicateValues" dxfId="23389" priority="23402"/>
    <cfRule type="duplicateValues" dxfId="23388" priority="23401"/>
    <cfRule type="duplicateValues" dxfId="23387" priority="23400"/>
    <cfRule type="duplicateValues" dxfId="23386" priority="23399"/>
    <cfRule type="duplicateValues" dxfId="23385" priority="23398"/>
    <cfRule type="duplicateValues" dxfId="23384" priority="23397"/>
    <cfRule type="duplicateValues" dxfId="23383" priority="23396"/>
    <cfRule type="duplicateValues" dxfId="23382" priority="23395"/>
    <cfRule type="duplicateValues" dxfId="23381" priority="23394"/>
    <cfRule type="duplicateValues" dxfId="23380" priority="23393"/>
    <cfRule type="duplicateValues" dxfId="23379" priority="23392"/>
    <cfRule type="duplicateValues" dxfId="23378" priority="23391"/>
    <cfRule type="duplicateValues" dxfId="23377" priority="23390"/>
    <cfRule type="duplicateValues" dxfId="23376" priority="23389"/>
    <cfRule type="duplicateValues" dxfId="23375" priority="23388"/>
    <cfRule type="duplicateValues" dxfId="23374" priority="23387"/>
    <cfRule type="duplicateValues" dxfId="23373" priority="23386"/>
    <cfRule type="duplicateValues" dxfId="23372" priority="23385"/>
    <cfRule type="duplicateValues" dxfId="23371" priority="23384"/>
    <cfRule type="duplicateValues" dxfId="23370" priority="23383"/>
    <cfRule type="duplicateValues" dxfId="23369" priority="23382"/>
    <cfRule type="duplicateValues" dxfId="23368" priority="23381"/>
    <cfRule type="duplicateValues" dxfId="23367" priority="23380"/>
    <cfRule type="duplicateValues" dxfId="23366" priority="23379"/>
    <cfRule type="duplicateValues" dxfId="23365" priority="23378"/>
    <cfRule type="duplicateValues" dxfId="23364" priority="23377"/>
    <cfRule type="duplicateValues" dxfId="23363" priority="23376"/>
    <cfRule type="duplicateValues" dxfId="23362" priority="23375"/>
    <cfRule type="duplicateValues" dxfId="23361" priority="23374"/>
    <cfRule type="duplicateValues" dxfId="23360" priority="23373"/>
    <cfRule type="duplicateValues" dxfId="23359" priority="23372"/>
    <cfRule type="duplicateValues" dxfId="23358" priority="23371"/>
    <cfRule type="duplicateValues" dxfId="23357" priority="23370"/>
    <cfRule type="duplicateValues" dxfId="23356" priority="23369"/>
    <cfRule type="duplicateValues" dxfId="23355" priority="23368"/>
    <cfRule type="duplicateValues" dxfId="23354" priority="23367"/>
    <cfRule type="duplicateValues" dxfId="23353" priority="23366"/>
    <cfRule type="duplicateValues" dxfId="23352" priority="23365"/>
    <cfRule type="duplicateValues" dxfId="23351" priority="23364"/>
    <cfRule type="duplicateValues" dxfId="23350" priority="23289"/>
    <cfRule type="duplicateValues" dxfId="23349" priority="23362"/>
    <cfRule type="duplicateValues" dxfId="23348" priority="23361"/>
    <cfRule type="duplicateValues" dxfId="23347" priority="23360"/>
    <cfRule type="duplicateValues" dxfId="23346" priority="23359"/>
    <cfRule type="duplicateValues" dxfId="23345" priority="23358"/>
    <cfRule type="duplicateValues" dxfId="23344" priority="23357"/>
    <cfRule type="duplicateValues" dxfId="23343" priority="23356"/>
    <cfRule type="duplicateValues" dxfId="23342" priority="23355"/>
    <cfRule type="duplicateValues" dxfId="23341" priority="23354"/>
    <cfRule type="duplicateValues" dxfId="23340" priority="23353"/>
    <cfRule type="duplicateValues" dxfId="23339" priority="23352"/>
    <cfRule type="duplicateValues" dxfId="23338" priority="23351"/>
    <cfRule type="duplicateValues" dxfId="23337" priority="23350"/>
    <cfRule type="duplicateValues" dxfId="23336" priority="23349"/>
    <cfRule type="duplicateValues" dxfId="23335" priority="23348"/>
    <cfRule type="duplicateValues" dxfId="23334" priority="23347"/>
    <cfRule type="duplicateValues" dxfId="23333" priority="23346"/>
    <cfRule type="duplicateValues" dxfId="23332" priority="23345"/>
    <cfRule type="duplicateValues" dxfId="23331" priority="23344"/>
    <cfRule type="duplicateValues" dxfId="23330" priority="23343"/>
    <cfRule type="duplicateValues" dxfId="23329" priority="23342"/>
    <cfRule type="duplicateValues" dxfId="23328" priority="23341"/>
    <cfRule type="duplicateValues" dxfId="23327" priority="23340"/>
    <cfRule type="duplicateValues" dxfId="23326" priority="23339"/>
    <cfRule type="duplicateValues" dxfId="23325" priority="23338"/>
    <cfRule type="duplicateValues" dxfId="23324" priority="23337"/>
    <cfRule type="duplicateValues" dxfId="23323" priority="23336"/>
    <cfRule type="duplicateValues" dxfId="23322" priority="23335"/>
    <cfRule type="duplicateValues" dxfId="23321" priority="23334"/>
    <cfRule type="duplicateValues" dxfId="23320" priority="23333"/>
    <cfRule type="duplicateValues" dxfId="23319" priority="23332"/>
    <cfRule type="duplicateValues" dxfId="23318" priority="23331"/>
    <cfRule type="duplicateValues" dxfId="23317" priority="23330"/>
    <cfRule type="duplicateValues" dxfId="23316" priority="23329"/>
    <cfRule type="duplicateValues" dxfId="23315" priority="23328"/>
    <cfRule type="duplicateValues" dxfId="23314" priority="23327"/>
    <cfRule type="duplicateValues" dxfId="23313" priority="23326"/>
    <cfRule type="duplicateValues" dxfId="23312" priority="23325"/>
    <cfRule type="duplicateValues" dxfId="23311" priority="23324"/>
    <cfRule type="duplicateValues" dxfId="23310" priority="23323"/>
    <cfRule type="duplicateValues" dxfId="23309" priority="23322"/>
    <cfRule type="duplicateValues" dxfId="23308" priority="23321"/>
    <cfRule type="duplicateValues" dxfId="23307" priority="23320"/>
    <cfRule type="duplicateValues" dxfId="23306" priority="23319"/>
    <cfRule type="duplicateValues" dxfId="23305" priority="23318"/>
    <cfRule type="duplicateValues" dxfId="23304" priority="23317"/>
    <cfRule type="duplicateValues" dxfId="23303" priority="23316"/>
    <cfRule type="duplicateValues" dxfId="23302" priority="23315"/>
    <cfRule type="duplicateValues" dxfId="23301" priority="23314"/>
    <cfRule type="duplicateValues" dxfId="23300" priority="23313"/>
    <cfRule type="duplicateValues" dxfId="23299" priority="23312"/>
    <cfRule type="duplicateValues" dxfId="23298" priority="23311"/>
    <cfRule type="duplicateValues" dxfId="23297" priority="23310"/>
    <cfRule type="duplicateValues" dxfId="23296" priority="23309"/>
    <cfRule type="duplicateValues" dxfId="23295" priority="23308"/>
    <cfRule type="duplicateValues" dxfId="23294" priority="23307"/>
    <cfRule type="duplicateValues" dxfId="23293" priority="23306"/>
    <cfRule type="duplicateValues" dxfId="23292" priority="23305"/>
    <cfRule type="duplicateValues" dxfId="23291" priority="23304"/>
    <cfRule type="duplicateValues" dxfId="23290" priority="23303"/>
    <cfRule type="duplicateValues" dxfId="23289" priority="23302"/>
    <cfRule type="duplicateValues" dxfId="23288" priority="23301"/>
    <cfRule type="duplicateValues" dxfId="23287" priority="23300"/>
    <cfRule type="duplicateValues" dxfId="23286" priority="23299"/>
    <cfRule type="duplicateValues" dxfId="23285" priority="23298"/>
    <cfRule type="duplicateValues" dxfId="23284" priority="23297"/>
    <cfRule type="duplicateValues" dxfId="23283" priority="23296"/>
    <cfRule type="duplicateValues" dxfId="23282" priority="23295"/>
    <cfRule type="duplicateValues" dxfId="23281" priority="23294"/>
    <cfRule type="duplicateValues" dxfId="23280" priority="23293"/>
  </conditionalFormatting>
  <conditionalFormatting sqref="B185:B187">
    <cfRule type="duplicateValues" dxfId="23279" priority="23105"/>
    <cfRule type="duplicateValues" dxfId="23278" priority="23104"/>
    <cfRule type="duplicateValues" dxfId="23277" priority="23103"/>
    <cfRule type="duplicateValues" dxfId="23276" priority="23247"/>
    <cfRule type="duplicateValues" dxfId="23275" priority="23288"/>
    <cfRule type="duplicateValues" dxfId="23274" priority="23287"/>
    <cfRule type="duplicateValues" dxfId="23273" priority="23286"/>
    <cfRule type="duplicateValues" dxfId="23272" priority="23285"/>
    <cfRule type="duplicateValues" dxfId="23271" priority="23284"/>
    <cfRule type="duplicateValues" dxfId="23270" priority="23283"/>
    <cfRule type="duplicateValues" dxfId="23269" priority="23282"/>
    <cfRule type="duplicateValues" dxfId="23268" priority="23281"/>
    <cfRule type="duplicateValues" dxfId="23267" priority="23280"/>
    <cfRule type="duplicateValues" dxfId="23266" priority="23279"/>
    <cfRule type="duplicateValues" dxfId="23265" priority="23278"/>
    <cfRule type="duplicateValues" dxfId="23264" priority="23277"/>
    <cfRule type="duplicateValues" dxfId="23263" priority="23276"/>
    <cfRule type="duplicateValues" dxfId="23262" priority="23275"/>
    <cfRule type="duplicateValues" dxfId="23261" priority="23274"/>
    <cfRule type="duplicateValues" dxfId="23260" priority="23273"/>
    <cfRule type="duplicateValues" dxfId="23259" priority="23272"/>
    <cfRule type="duplicateValues" dxfId="23258" priority="23271"/>
    <cfRule type="duplicateValues" dxfId="23257" priority="23270"/>
    <cfRule type="duplicateValues" dxfId="23256" priority="23269"/>
    <cfRule type="duplicateValues" dxfId="23255" priority="23268"/>
    <cfRule type="duplicateValues" dxfId="23254" priority="23267"/>
    <cfRule type="duplicateValues" dxfId="23253" priority="23266"/>
    <cfRule type="duplicateValues" dxfId="23252" priority="23265"/>
    <cfRule type="duplicateValues" dxfId="23251" priority="23264"/>
    <cfRule type="duplicateValues" dxfId="23250" priority="23263"/>
    <cfRule type="duplicateValues" dxfId="23249" priority="23262"/>
    <cfRule type="duplicateValues" dxfId="23248" priority="23261"/>
    <cfRule type="duplicateValues" dxfId="23247" priority="23260"/>
    <cfRule type="duplicateValues" dxfId="23246" priority="23259"/>
    <cfRule type="duplicateValues" dxfId="23245" priority="23258"/>
    <cfRule type="duplicateValues" dxfId="23244" priority="23257"/>
    <cfRule type="duplicateValues" dxfId="23243" priority="23256"/>
    <cfRule type="duplicateValues" dxfId="23242" priority="23255"/>
    <cfRule type="duplicateValues" dxfId="23241" priority="23254"/>
    <cfRule type="duplicateValues" dxfId="23240" priority="23253"/>
    <cfRule type="duplicateValues" dxfId="23239" priority="23252"/>
    <cfRule type="duplicateValues" dxfId="23238" priority="23251"/>
    <cfRule type="duplicateValues" dxfId="23237" priority="23250"/>
    <cfRule type="duplicateValues" dxfId="23236" priority="23249"/>
    <cfRule type="duplicateValues" dxfId="23235" priority="23248"/>
    <cfRule type="duplicateValues" dxfId="23234" priority="23102"/>
    <cfRule type="duplicateValues" dxfId="23233" priority="23246"/>
    <cfRule type="duplicateValues" dxfId="23232" priority="23245"/>
    <cfRule type="duplicateValues" dxfId="23231" priority="23244"/>
    <cfRule type="duplicateValues" dxfId="23230" priority="23243"/>
    <cfRule type="duplicateValues" dxfId="23229" priority="23242"/>
    <cfRule type="duplicateValues" dxfId="23228" priority="23241"/>
    <cfRule type="duplicateValues" dxfId="23227" priority="23240"/>
    <cfRule type="duplicateValues" dxfId="23226" priority="23239"/>
    <cfRule type="duplicateValues" dxfId="23225" priority="23238"/>
    <cfRule type="duplicateValues" dxfId="23224" priority="23237"/>
    <cfRule type="duplicateValues" dxfId="23223" priority="23236"/>
    <cfRule type="duplicateValues" dxfId="23222" priority="23235"/>
    <cfRule type="duplicateValues" dxfId="23221" priority="23234"/>
    <cfRule type="duplicateValues" dxfId="23220" priority="23233"/>
    <cfRule type="duplicateValues" dxfId="23219" priority="23232"/>
    <cfRule type="duplicateValues" dxfId="23218" priority="23231"/>
    <cfRule type="duplicateValues" dxfId="23217" priority="23230"/>
    <cfRule type="duplicateValues" dxfId="23216" priority="23229"/>
    <cfRule type="duplicateValues" dxfId="23215" priority="23228"/>
    <cfRule type="duplicateValues" dxfId="23214" priority="23227"/>
    <cfRule type="duplicateValues" dxfId="23213" priority="23226"/>
    <cfRule type="duplicateValues" dxfId="23212" priority="23225"/>
    <cfRule type="duplicateValues" dxfId="23211" priority="23224"/>
    <cfRule type="duplicateValues" dxfId="23210" priority="23223"/>
    <cfRule type="duplicateValues" dxfId="23209" priority="23222"/>
    <cfRule type="duplicateValues" dxfId="23208" priority="23221"/>
    <cfRule type="duplicateValues" dxfId="23207" priority="23220"/>
    <cfRule type="duplicateValues" dxfId="23206" priority="23219"/>
    <cfRule type="duplicateValues" dxfId="23205" priority="23218"/>
    <cfRule type="duplicateValues" dxfId="23204" priority="23217"/>
    <cfRule type="duplicateValues" dxfId="23203" priority="23216"/>
    <cfRule type="duplicateValues" dxfId="23202" priority="23215"/>
    <cfRule type="duplicateValues" dxfId="23201" priority="23214"/>
    <cfRule type="duplicateValues" dxfId="23200" priority="23213"/>
    <cfRule type="duplicateValues" dxfId="23199" priority="23212"/>
    <cfRule type="duplicateValues" dxfId="23198" priority="23211"/>
    <cfRule type="duplicateValues" dxfId="23197" priority="23210"/>
    <cfRule type="duplicateValues" dxfId="23196" priority="23209"/>
    <cfRule type="duplicateValues" dxfId="23195" priority="23208"/>
    <cfRule type="duplicateValues" dxfId="23194" priority="23207"/>
    <cfRule type="duplicateValues" dxfId="23193" priority="23206"/>
    <cfRule type="duplicateValues" dxfId="23192" priority="23205"/>
    <cfRule type="duplicateValues" dxfId="23191" priority="23204"/>
    <cfRule type="duplicateValues" dxfId="23190" priority="23203"/>
    <cfRule type="duplicateValues" dxfId="23189" priority="23202"/>
    <cfRule type="duplicateValues" dxfId="23188" priority="23201"/>
    <cfRule type="duplicateValues" dxfId="23187" priority="23200"/>
    <cfRule type="duplicateValues" dxfId="23186" priority="23199"/>
    <cfRule type="duplicateValues" dxfId="23185" priority="23198"/>
    <cfRule type="duplicateValues" dxfId="23184" priority="23197"/>
    <cfRule type="duplicateValues" dxfId="23183" priority="23196"/>
    <cfRule type="duplicateValues" dxfId="23182" priority="23195"/>
    <cfRule type="duplicateValues" dxfId="23181" priority="23194"/>
    <cfRule type="duplicateValues" dxfId="23180" priority="23193"/>
    <cfRule type="duplicateValues" dxfId="23179" priority="23192"/>
    <cfRule type="duplicateValues" dxfId="23178" priority="23191"/>
    <cfRule type="duplicateValues" dxfId="23177" priority="23190"/>
    <cfRule type="duplicateValues" dxfId="23176" priority="23189"/>
    <cfRule type="duplicateValues" dxfId="23175" priority="23188"/>
    <cfRule type="duplicateValues" dxfId="23174" priority="23187"/>
    <cfRule type="duplicateValues" dxfId="23173" priority="23186"/>
    <cfRule type="duplicateValues" dxfId="23172" priority="23185"/>
    <cfRule type="duplicateValues" dxfId="23171" priority="23184"/>
    <cfRule type="duplicateValues" dxfId="23170" priority="23183"/>
    <cfRule type="duplicateValues" dxfId="23169" priority="23182"/>
    <cfRule type="duplicateValues" dxfId="23168" priority="23181"/>
    <cfRule type="duplicateValues" dxfId="23167" priority="23180"/>
    <cfRule type="duplicateValues" dxfId="23166" priority="23179"/>
    <cfRule type="duplicateValues" dxfId="23165" priority="23178"/>
    <cfRule type="duplicateValues" dxfId="23164" priority="23177"/>
    <cfRule type="duplicateValues" dxfId="23163" priority="23176"/>
    <cfRule type="duplicateValues" dxfId="23162" priority="23175"/>
    <cfRule type="duplicateValues" dxfId="23161" priority="23174"/>
    <cfRule type="duplicateValues" dxfId="23160" priority="23173"/>
    <cfRule type="duplicateValues" dxfId="23159" priority="23172"/>
    <cfRule type="duplicateValues" dxfId="23158" priority="23171"/>
    <cfRule type="duplicateValues" dxfId="23157" priority="23170"/>
    <cfRule type="duplicateValues" dxfId="23156" priority="23169"/>
    <cfRule type="duplicateValues" dxfId="23155" priority="23168"/>
    <cfRule type="duplicateValues" dxfId="23154" priority="23167"/>
    <cfRule type="duplicateValues" dxfId="23153" priority="23166"/>
    <cfRule type="duplicateValues" dxfId="23152" priority="23165"/>
    <cfRule type="duplicateValues" dxfId="23151" priority="23164"/>
    <cfRule type="duplicateValues" dxfId="23150" priority="23163"/>
    <cfRule type="duplicateValues" dxfId="23149" priority="23162"/>
    <cfRule type="duplicateValues" dxfId="23148" priority="23161"/>
    <cfRule type="duplicateValues" dxfId="23147" priority="23160"/>
    <cfRule type="duplicateValues" dxfId="23146" priority="23159"/>
    <cfRule type="duplicateValues" dxfId="23145" priority="23158"/>
    <cfRule type="duplicateValues" dxfId="23144" priority="23157"/>
    <cfRule type="duplicateValues" dxfId="23143" priority="23156"/>
    <cfRule type="duplicateValues" dxfId="23142" priority="23155"/>
    <cfRule type="duplicateValues" dxfId="23141" priority="23154"/>
    <cfRule type="duplicateValues" dxfId="23140" priority="23153"/>
    <cfRule type="duplicateValues" dxfId="23139" priority="23152"/>
    <cfRule type="duplicateValues" dxfId="23138" priority="23151"/>
    <cfRule type="duplicateValues" dxfId="23137" priority="23150"/>
    <cfRule type="duplicateValues" dxfId="23136" priority="23149"/>
    <cfRule type="duplicateValues" dxfId="23135" priority="23148"/>
    <cfRule type="duplicateValues" dxfId="23134" priority="23147"/>
    <cfRule type="duplicateValues" dxfId="23133" priority="23146"/>
    <cfRule type="duplicateValues" dxfId="23132" priority="23145"/>
    <cfRule type="duplicateValues" dxfId="23131" priority="23144"/>
    <cfRule type="duplicateValues" dxfId="23130" priority="23143"/>
    <cfRule type="duplicateValues" dxfId="23129" priority="23142"/>
    <cfRule type="duplicateValues" dxfId="23128" priority="23141"/>
    <cfRule type="duplicateValues" dxfId="23127" priority="23140"/>
    <cfRule type="duplicateValues" dxfId="23126" priority="23139"/>
    <cfRule type="duplicateValues" dxfId="23125" priority="23138"/>
    <cfRule type="duplicateValues" dxfId="23124" priority="23137"/>
    <cfRule type="duplicateValues" dxfId="23123" priority="23136"/>
    <cfRule type="duplicateValues" dxfId="23122" priority="23135"/>
    <cfRule type="duplicateValues" dxfId="23121" priority="23134"/>
    <cfRule type="duplicateValues" dxfId="23120" priority="23133"/>
    <cfRule type="duplicateValues" dxfId="23119" priority="23132"/>
    <cfRule type="duplicateValues" dxfId="23118" priority="23131"/>
    <cfRule type="duplicateValues" dxfId="23117" priority="23130"/>
    <cfRule type="duplicateValues" dxfId="23116" priority="23129"/>
    <cfRule type="duplicateValues" dxfId="23115" priority="23128"/>
    <cfRule type="duplicateValues" dxfId="23114" priority="23127"/>
    <cfRule type="duplicateValues" dxfId="23113" priority="23126"/>
    <cfRule type="duplicateValues" dxfId="23112" priority="23125"/>
    <cfRule type="duplicateValues" dxfId="23111" priority="23124"/>
    <cfRule type="duplicateValues" dxfId="23110" priority="23123"/>
    <cfRule type="duplicateValues" dxfId="23109" priority="23122"/>
    <cfRule type="duplicateValues" dxfId="23108" priority="23121"/>
    <cfRule type="duplicateValues" dxfId="23107" priority="23120"/>
    <cfRule type="duplicateValues" dxfId="23106" priority="23119"/>
    <cfRule type="duplicateValues" dxfId="23105" priority="23118"/>
    <cfRule type="duplicateValues" dxfId="23104" priority="23117"/>
    <cfRule type="duplicateValues" dxfId="23103" priority="23116"/>
    <cfRule type="duplicateValues" dxfId="23102" priority="23115"/>
    <cfRule type="duplicateValues" dxfId="23101" priority="23114"/>
    <cfRule type="duplicateValues" dxfId="23100" priority="23113"/>
    <cfRule type="duplicateValues" dxfId="23099" priority="23112"/>
    <cfRule type="duplicateValues" dxfId="23098" priority="23111"/>
    <cfRule type="duplicateValues" dxfId="23097" priority="23110"/>
    <cfRule type="duplicateValues" dxfId="23096" priority="23109"/>
    <cfRule type="duplicateValues" dxfId="23095" priority="23108"/>
    <cfRule type="duplicateValues" dxfId="23094" priority="23107"/>
    <cfRule type="duplicateValues" dxfId="23093" priority="23106"/>
  </conditionalFormatting>
  <conditionalFormatting sqref="B188">
    <cfRule type="duplicateValues" dxfId="23092" priority="22918"/>
    <cfRule type="duplicateValues" dxfId="23091" priority="22917"/>
    <cfRule type="duplicateValues" dxfId="23090" priority="22916"/>
    <cfRule type="duplicateValues" dxfId="23089" priority="22915"/>
    <cfRule type="duplicateValues" dxfId="23088" priority="23101"/>
    <cfRule type="duplicateValues" dxfId="23087" priority="23100"/>
    <cfRule type="duplicateValues" dxfId="23086" priority="23099"/>
    <cfRule type="duplicateValues" dxfId="23085" priority="23098"/>
    <cfRule type="duplicateValues" dxfId="23084" priority="23097"/>
    <cfRule type="duplicateValues" dxfId="23083" priority="23096"/>
    <cfRule type="duplicateValues" dxfId="23082" priority="23095"/>
    <cfRule type="duplicateValues" dxfId="23081" priority="23094"/>
    <cfRule type="duplicateValues" dxfId="23080" priority="23093"/>
    <cfRule type="duplicateValues" dxfId="23079" priority="23092"/>
    <cfRule type="duplicateValues" dxfId="23078" priority="23091"/>
    <cfRule type="duplicateValues" dxfId="23077" priority="23090"/>
    <cfRule type="duplicateValues" dxfId="23076" priority="23089"/>
    <cfRule type="duplicateValues" dxfId="23075" priority="23088"/>
    <cfRule type="duplicateValues" dxfId="23074" priority="23087"/>
    <cfRule type="duplicateValues" dxfId="23073" priority="23086"/>
    <cfRule type="duplicateValues" dxfId="23072" priority="23085"/>
    <cfRule type="duplicateValues" dxfId="23071" priority="23084"/>
    <cfRule type="duplicateValues" dxfId="23070" priority="23083"/>
    <cfRule type="duplicateValues" dxfId="23069" priority="23082"/>
    <cfRule type="duplicateValues" dxfId="23068" priority="23081"/>
    <cfRule type="duplicateValues" dxfId="23067" priority="23080"/>
    <cfRule type="duplicateValues" dxfId="23066" priority="23079"/>
    <cfRule type="duplicateValues" dxfId="23065" priority="23078"/>
    <cfRule type="duplicateValues" dxfId="23064" priority="23077"/>
    <cfRule type="duplicateValues" dxfId="23063" priority="23076"/>
    <cfRule type="duplicateValues" dxfId="23062" priority="23075"/>
    <cfRule type="duplicateValues" dxfId="23061" priority="23074"/>
    <cfRule type="duplicateValues" dxfId="23060" priority="23073"/>
    <cfRule type="duplicateValues" dxfId="23059" priority="23072"/>
    <cfRule type="duplicateValues" dxfId="23058" priority="23071"/>
    <cfRule type="duplicateValues" dxfId="23057" priority="23070"/>
    <cfRule type="duplicateValues" dxfId="23056" priority="23069"/>
    <cfRule type="duplicateValues" dxfId="23055" priority="23068"/>
    <cfRule type="duplicateValues" dxfId="23054" priority="23067"/>
    <cfRule type="duplicateValues" dxfId="23053" priority="23066"/>
    <cfRule type="duplicateValues" dxfId="23052" priority="23065"/>
    <cfRule type="duplicateValues" dxfId="23051" priority="23064"/>
    <cfRule type="duplicateValues" dxfId="23050" priority="23063"/>
    <cfRule type="duplicateValues" dxfId="23049" priority="23062"/>
    <cfRule type="duplicateValues" dxfId="23048" priority="23061"/>
    <cfRule type="duplicateValues" dxfId="23047" priority="23060"/>
    <cfRule type="duplicateValues" dxfId="23046" priority="23059"/>
    <cfRule type="duplicateValues" dxfId="23045" priority="23058"/>
    <cfRule type="duplicateValues" dxfId="23044" priority="23057"/>
    <cfRule type="duplicateValues" dxfId="23043" priority="23056"/>
    <cfRule type="duplicateValues" dxfId="23042" priority="23055"/>
    <cfRule type="duplicateValues" dxfId="23041" priority="23054"/>
    <cfRule type="duplicateValues" dxfId="23040" priority="23053"/>
    <cfRule type="duplicateValues" dxfId="23039" priority="23052"/>
    <cfRule type="duplicateValues" dxfId="23038" priority="23051"/>
    <cfRule type="duplicateValues" dxfId="23037" priority="23050"/>
    <cfRule type="duplicateValues" dxfId="23036" priority="23049"/>
    <cfRule type="duplicateValues" dxfId="23035" priority="23048"/>
    <cfRule type="duplicateValues" dxfId="23034" priority="23047"/>
    <cfRule type="duplicateValues" dxfId="23033" priority="23046"/>
    <cfRule type="duplicateValues" dxfId="23032" priority="23045"/>
    <cfRule type="duplicateValues" dxfId="23031" priority="23044"/>
    <cfRule type="duplicateValues" dxfId="23030" priority="23043"/>
    <cfRule type="duplicateValues" dxfId="23029" priority="23042"/>
    <cfRule type="duplicateValues" dxfId="23028" priority="23041"/>
    <cfRule type="duplicateValues" dxfId="23027" priority="23040"/>
    <cfRule type="duplicateValues" dxfId="23026" priority="23039"/>
    <cfRule type="duplicateValues" dxfId="23025" priority="23038"/>
    <cfRule type="duplicateValues" dxfId="23024" priority="23037"/>
    <cfRule type="duplicateValues" dxfId="23023" priority="23036"/>
    <cfRule type="duplicateValues" dxfId="23022" priority="23035"/>
    <cfRule type="duplicateValues" dxfId="23021" priority="23034"/>
    <cfRule type="duplicateValues" dxfId="23020" priority="23033"/>
    <cfRule type="duplicateValues" dxfId="23019" priority="23032"/>
    <cfRule type="duplicateValues" dxfId="23018" priority="23031"/>
    <cfRule type="duplicateValues" dxfId="23017" priority="23030"/>
    <cfRule type="duplicateValues" dxfId="23016" priority="23029"/>
    <cfRule type="duplicateValues" dxfId="23015" priority="23028"/>
    <cfRule type="duplicateValues" dxfId="23014" priority="23027"/>
    <cfRule type="duplicateValues" dxfId="23013" priority="23026"/>
    <cfRule type="duplicateValues" dxfId="23012" priority="23025"/>
    <cfRule type="duplicateValues" dxfId="23011" priority="23024"/>
    <cfRule type="duplicateValues" dxfId="23010" priority="23023"/>
    <cfRule type="duplicateValues" dxfId="23009" priority="23022"/>
    <cfRule type="duplicateValues" dxfId="23008" priority="23021"/>
    <cfRule type="duplicateValues" dxfId="23007" priority="23020"/>
    <cfRule type="duplicateValues" dxfId="23006" priority="23019"/>
    <cfRule type="duplicateValues" dxfId="23005" priority="23018"/>
    <cfRule type="duplicateValues" dxfId="23004" priority="23017"/>
    <cfRule type="duplicateValues" dxfId="23003" priority="23016"/>
    <cfRule type="duplicateValues" dxfId="23002" priority="23015"/>
    <cfRule type="duplicateValues" dxfId="23001" priority="23014"/>
    <cfRule type="duplicateValues" dxfId="23000" priority="23013"/>
    <cfRule type="duplicateValues" dxfId="22999" priority="23012"/>
    <cfRule type="duplicateValues" dxfId="22998" priority="23011"/>
    <cfRule type="duplicateValues" dxfId="22997" priority="23010"/>
    <cfRule type="duplicateValues" dxfId="22996" priority="23009"/>
    <cfRule type="duplicateValues" dxfId="22995" priority="23008"/>
    <cfRule type="duplicateValues" dxfId="22994" priority="23007"/>
    <cfRule type="duplicateValues" dxfId="22993" priority="23006"/>
    <cfRule type="duplicateValues" dxfId="22992" priority="23005"/>
    <cfRule type="duplicateValues" dxfId="22991" priority="23004"/>
    <cfRule type="duplicateValues" dxfId="22990" priority="23003"/>
    <cfRule type="duplicateValues" dxfId="22989" priority="23002"/>
    <cfRule type="duplicateValues" dxfId="22988" priority="23001"/>
    <cfRule type="duplicateValues" dxfId="22987" priority="23000"/>
    <cfRule type="duplicateValues" dxfId="22986" priority="22999"/>
    <cfRule type="duplicateValues" dxfId="22985" priority="22998"/>
    <cfRule type="duplicateValues" dxfId="22984" priority="22997"/>
    <cfRule type="duplicateValues" dxfId="22983" priority="22996"/>
    <cfRule type="duplicateValues" dxfId="22982" priority="22995"/>
    <cfRule type="duplicateValues" dxfId="22981" priority="22994"/>
    <cfRule type="duplicateValues" dxfId="22980" priority="22993"/>
    <cfRule type="duplicateValues" dxfId="22979" priority="22992"/>
    <cfRule type="duplicateValues" dxfId="22978" priority="22991"/>
    <cfRule type="duplicateValues" dxfId="22977" priority="22990"/>
    <cfRule type="duplicateValues" dxfId="22976" priority="22989"/>
    <cfRule type="duplicateValues" dxfId="22975" priority="22988"/>
    <cfRule type="duplicateValues" dxfId="22974" priority="22987"/>
    <cfRule type="duplicateValues" dxfId="22973" priority="22986"/>
    <cfRule type="duplicateValues" dxfId="22972" priority="22985"/>
    <cfRule type="duplicateValues" dxfId="22971" priority="22984"/>
    <cfRule type="duplicateValues" dxfId="22970" priority="22983"/>
    <cfRule type="duplicateValues" dxfId="22969" priority="22982"/>
    <cfRule type="duplicateValues" dxfId="22968" priority="22981"/>
    <cfRule type="duplicateValues" dxfId="22967" priority="22980"/>
    <cfRule type="duplicateValues" dxfId="22966" priority="22979"/>
    <cfRule type="duplicateValues" dxfId="22965" priority="22978"/>
    <cfRule type="duplicateValues" dxfId="22964" priority="22977"/>
    <cfRule type="duplicateValues" dxfId="22963" priority="22976"/>
    <cfRule type="duplicateValues" dxfId="22962" priority="22975"/>
    <cfRule type="duplicateValues" dxfId="22961" priority="22974"/>
    <cfRule type="duplicateValues" dxfId="22960" priority="22973"/>
    <cfRule type="duplicateValues" dxfId="22959" priority="22972"/>
    <cfRule type="duplicateValues" dxfId="22958" priority="22971"/>
    <cfRule type="duplicateValues" dxfId="22957" priority="22970"/>
    <cfRule type="duplicateValues" dxfId="22956" priority="22969"/>
    <cfRule type="duplicateValues" dxfId="22955" priority="22968"/>
    <cfRule type="duplicateValues" dxfId="22954" priority="22967"/>
    <cfRule type="duplicateValues" dxfId="22953" priority="22966"/>
    <cfRule type="duplicateValues" dxfId="22952" priority="22965"/>
    <cfRule type="duplicateValues" dxfId="22951" priority="22964"/>
    <cfRule type="duplicateValues" dxfId="22950" priority="22963"/>
    <cfRule type="duplicateValues" dxfId="22949" priority="22962"/>
    <cfRule type="duplicateValues" dxfId="22948" priority="22961"/>
    <cfRule type="duplicateValues" dxfId="22947" priority="22960"/>
    <cfRule type="duplicateValues" dxfId="22946" priority="22959"/>
    <cfRule type="duplicateValues" dxfId="22945" priority="22958"/>
    <cfRule type="duplicateValues" dxfId="22944" priority="22957"/>
    <cfRule type="duplicateValues" dxfId="22943" priority="22956"/>
    <cfRule type="duplicateValues" dxfId="22942" priority="22955"/>
    <cfRule type="duplicateValues" dxfId="22941" priority="22954"/>
    <cfRule type="duplicateValues" dxfId="22940" priority="22953"/>
    <cfRule type="duplicateValues" dxfId="22939" priority="22952"/>
    <cfRule type="duplicateValues" dxfId="22938" priority="22951"/>
    <cfRule type="duplicateValues" dxfId="22937" priority="22950"/>
    <cfRule type="duplicateValues" dxfId="22936" priority="22949"/>
    <cfRule type="duplicateValues" dxfId="22935" priority="22948"/>
    <cfRule type="duplicateValues" dxfId="22934" priority="22947"/>
    <cfRule type="duplicateValues" dxfId="22933" priority="22946"/>
    <cfRule type="duplicateValues" dxfId="22932" priority="22945"/>
    <cfRule type="duplicateValues" dxfId="22931" priority="22944"/>
    <cfRule type="duplicateValues" dxfId="22930" priority="22943"/>
    <cfRule type="duplicateValues" dxfId="22929" priority="22942"/>
    <cfRule type="duplicateValues" dxfId="22928" priority="22941"/>
    <cfRule type="duplicateValues" dxfId="22927" priority="22940"/>
    <cfRule type="duplicateValues" dxfId="22926" priority="22939"/>
    <cfRule type="duplicateValues" dxfId="22925" priority="22938"/>
    <cfRule type="duplicateValues" dxfId="22924" priority="22937"/>
    <cfRule type="duplicateValues" dxfId="22923" priority="22936"/>
    <cfRule type="duplicateValues" dxfId="22922" priority="22935"/>
    <cfRule type="duplicateValues" dxfId="22921" priority="22934"/>
    <cfRule type="duplicateValues" dxfId="22920" priority="22933"/>
    <cfRule type="duplicateValues" dxfId="22919" priority="22932"/>
    <cfRule type="duplicateValues" dxfId="22918" priority="22931"/>
    <cfRule type="duplicateValues" dxfId="22917" priority="22930"/>
    <cfRule type="duplicateValues" dxfId="22916" priority="22929"/>
    <cfRule type="duplicateValues" dxfId="22915" priority="22928"/>
    <cfRule type="duplicateValues" dxfId="22914" priority="22927"/>
    <cfRule type="duplicateValues" dxfId="22913" priority="22926"/>
    <cfRule type="duplicateValues" dxfId="22912" priority="22925"/>
    <cfRule type="duplicateValues" dxfId="22911" priority="22924"/>
    <cfRule type="duplicateValues" dxfId="22910" priority="22923"/>
    <cfRule type="duplicateValues" dxfId="22909" priority="22922"/>
    <cfRule type="duplicateValues" dxfId="22908" priority="22921"/>
    <cfRule type="duplicateValues" dxfId="22907" priority="22920"/>
    <cfRule type="duplicateValues" dxfId="22906" priority="22919"/>
  </conditionalFormatting>
  <conditionalFormatting sqref="B189">
    <cfRule type="duplicateValues" dxfId="22905" priority="22872"/>
    <cfRule type="duplicateValues" dxfId="22904" priority="22731"/>
    <cfRule type="duplicateValues" dxfId="22903" priority="22730"/>
    <cfRule type="duplicateValues" dxfId="22902" priority="22729"/>
    <cfRule type="duplicateValues" dxfId="22901" priority="22914"/>
    <cfRule type="duplicateValues" dxfId="22900" priority="22913"/>
    <cfRule type="duplicateValues" dxfId="22899" priority="22912"/>
    <cfRule type="duplicateValues" dxfId="22898" priority="22911"/>
    <cfRule type="duplicateValues" dxfId="22897" priority="22910"/>
    <cfRule type="duplicateValues" dxfId="22896" priority="22909"/>
    <cfRule type="duplicateValues" dxfId="22895" priority="22908"/>
    <cfRule type="duplicateValues" dxfId="22894" priority="22907"/>
    <cfRule type="duplicateValues" dxfId="22893" priority="22906"/>
    <cfRule type="duplicateValues" dxfId="22892" priority="22905"/>
    <cfRule type="duplicateValues" dxfId="22891" priority="22904"/>
    <cfRule type="duplicateValues" dxfId="22890" priority="22903"/>
    <cfRule type="duplicateValues" dxfId="22889" priority="22902"/>
    <cfRule type="duplicateValues" dxfId="22888" priority="22901"/>
    <cfRule type="duplicateValues" dxfId="22887" priority="22900"/>
    <cfRule type="duplicateValues" dxfId="22886" priority="22899"/>
    <cfRule type="duplicateValues" dxfId="22885" priority="22898"/>
    <cfRule type="duplicateValues" dxfId="22884" priority="22897"/>
    <cfRule type="duplicateValues" dxfId="22883" priority="22896"/>
    <cfRule type="duplicateValues" dxfId="22882" priority="22895"/>
    <cfRule type="duplicateValues" dxfId="22881" priority="22894"/>
    <cfRule type="duplicateValues" dxfId="22880" priority="22893"/>
    <cfRule type="duplicateValues" dxfId="22879" priority="22892"/>
    <cfRule type="duplicateValues" dxfId="22878" priority="22891"/>
    <cfRule type="duplicateValues" dxfId="22877" priority="22890"/>
    <cfRule type="duplicateValues" dxfId="22876" priority="22889"/>
    <cfRule type="duplicateValues" dxfId="22875" priority="22888"/>
    <cfRule type="duplicateValues" dxfId="22874" priority="22887"/>
    <cfRule type="duplicateValues" dxfId="22873" priority="22886"/>
    <cfRule type="duplicateValues" dxfId="22872" priority="22885"/>
    <cfRule type="duplicateValues" dxfId="22871" priority="22884"/>
    <cfRule type="duplicateValues" dxfId="22870" priority="22883"/>
    <cfRule type="duplicateValues" dxfId="22869" priority="22882"/>
    <cfRule type="duplicateValues" dxfId="22868" priority="22881"/>
    <cfRule type="duplicateValues" dxfId="22867" priority="22880"/>
    <cfRule type="duplicateValues" dxfId="22866" priority="22879"/>
    <cfRule type="duplicateValues" dxfId="22865" priority="22878"/>
    <cfRule type="duplicateValues" dxfId="22864" priority="22877"/>
    <cfRule type="duplicateValues" dxfId="22863" priority="22876"/>
    <cfRule type="duplicateValues" dxfId="22862" priority="22875"/>
    <cfRule type="duplicateValues" dxfId="22861" priority="22874"/>
    <cfRule type="duplicateValues" dxfId="22860" priority="22873"/>
    <cfRule type="duplicateValues" dxfId="22859" priority="22826"/>
    <cfRule type="duplicateValues" dxfId="22858" priority="22871"/>
    <cfRule type="duplicateValues" dxfId="22857" priority="22870"/>
    <cfRule type="duplicateValues" dxfId="22856" priority="22869"/>
    <cfRule type="duplicateValues" dxfId="22855" priority="22868"/>
    <cfRule type="duplicateValues" dxfId="22854" priority="22867"/>
    <cfRule type="duplicateValues" dxfId="22853" priority="22866"/>
    <cfRule type="duplicateValues" dxfId="22852" priority="22865"/>
    <cfRule type="duplicateValues" dxfId="22851" priority="22864"/>
    <cfRule type="duplicateValues" dxfId="22850" priority="22863"/>
    <cfRule type="duplicateValues" dxfId="22849" priority="22862"/>
    <cfRule type="duplicateValues" dxfId="22848" priority="22861"/>
    <cfRule type="duplicateValues" dxfId="22847" priority="22860"/>
    <cfRule type="duplicateValues" dxfId="22846" priority="22859"/>
    <cfRule type="duplicateValues" dxfId="22845" priority="22858"/>
    <cfRule type="duplicateValues" dxfId="22844" priority="22857"/>
    <cfRule type="duplicateValues" dxfId="22843" priority="22856"/>
    <cfRule type="duplicateValues" dxfId="22842" priority="22855"/>
    <cfRule type="duplicateValues" dxfId="22841" priority="22854"/>
    <cfRule type="duplicateValues" dxfId="22840" priority="22853"/>
    <cfRule type="duplicateValues" dxfId="22839" priority="22852"/>
    <cfRule type="duplicateValues" dxfId="22838" priority="22851"/>
    <cfRule type="duplicateValues" dxfId="22837" priority="22850"/>
    <cfRule type="duplicateValues" dxfId="22836" priority="22849"/>
    <cfRule type="duplicateValues" dxfId="22835" priority="22848"/>
    <cfRule type="duplicateValues" dxfId="22834" priority="22847"/>
    <cfRule type="duplicateValues" dxfId="22833" priority="22846"/>
    <cfRule type="duplicateValues" dxfId="22832" priority="22845"/>
    <cfRule type="duplicateValues" dxfId="22831" priority="22844"/>
    <cfRule type="duplicateValues" dxfId="22830" priority="22843"/>
    <cfRule type="duplicateValues" dxfId="22829" priority="22842"/>
    <cfRule type="duplicateValues" dxfId="22828" priority="22841"/>
    <cfRule type="duplicateValues" dxfId="22827" priority="22840"/>
    <cfRule type="duplicateValues" dxfId="22826" priority="22839"/>
    <cfRule type="duplicateValues" dxfId="22825" priority="22838"/>
    <cfRule type="duplicateValues" dxfId="22824" priority="22837"/>
    <cfRule type="duplicateValues" dxfId="22823" priority="22836"/>
    <cfRule type="duplicateValues" dxfId="22822" priority="22835"/>
    <cfRule type="duplicateValues" dxfId="22821" priority="22834"/>
    <cfRule type="duplicateValues" dxfId="22820" priority="22833"/>
    <cfRule type="duplicateValues" dxfId="22819" priority="22832"/>
    <cfRule type="duplicateValues" dxfId="22818" priority="22831"/>
    <cfRule type="duplicateValues" dxfId="22817" priority="22830"/>
    <cfRule type="duplicateValues" dxfId="22816" priority="22829"/>
    <cfRule type="duplicateValues" dxfId="22815" priority="22828"/>
    <cfRule type="duplicateValues" dxfId="22814" priority="22827"/>
    <cfRule type="duplicateValues" dxfId="22813" priority="22728"/>
    <cfRule type="duplicateValues" dxfId="22812" priority="22825"/>
    <cfRule type="duplicateValues" dxfId="22811" priority="22824"/>
    <cfRule type="duplicateValues" dxfId="22810" priority="22823"/>
    <cfRule type="duplicateValues" dxfId="22809" priority="22822"/>
    <cfRule type="duplicateValues" dxfId="22808" priority="22821"/>
    <cfRule type="duplicateValues" dxfId="22807" priority="22820"/>
    <cfRule type="duplicateValues" dxfId="22806" priority="22819"/>
    <cfRule type="duplicateValues" dxfId="22805" priority="22818"/>
    <cfRule type="duplicateValues" dxfId="22804" priority="22817"/>
    <cfRule type="duplicateValues" dxfId="22803" priority="22816"/>
    <cfRule type="duplicateValues" dxfId="22802" priority="22815"/>
    <cfRule type="duplicateValues" dxfId="22801" priority="22814"/>
    <cfRule type="duplicateValues" dxfId="22800" priority="22813"/>
    <cfRule type="duplicateValues" dxfId="22799" priority="22812"/>
    <cfRule type="duplicateValues" dxfId="22798" priority="22811"/>
    <cfRule type="duplicateValues" dxfId="22797" priority="22810"/>
    <cfRule type="duplicateValues" dxfId="22796" priority="22809"/>
    <cfRule type="duplicateValues" dxfId="22795" priority="22808"/>
    <cfRule type="duplicateValues" dxfId="22794" priority="22807"/>
    <cfRule type="duplicateValues" dxfId="22793" priority="22806"/>
    <cfRule type="duplicateValues" dxfId="22792" priority="22805"/>
    <cfRule type="duplicateValues" dxfId="22791" priority="22804"/>
    <cfRule type="duplicateValues" dxfId="22790" priority="22803"/>
    <cfRule type="duplicateValues" dxfId="22789" priority="22802"/>
    <cfRule type="duplicateValues" dxfId="22788" priority="22801"/>
    <cfRule type="duplicateValues" dxfId="22787" priority="22800"/>
    <cfRule type="duplicateValues" dxfId="22786" priority="22799"/>
    <cfRule type="duplicateValues" dxfId="22785" priority="22798"/>
    <cfRule type="duplicateValues" dxfId="22784" priority="22797"/>
    <cfRule type="duplicateValues" dxfId="22783" priority="22796"/>
    <cfRule type="duplicateValues" dxfId="22782" priority="22795"/>
    <cfRule type="duplicateValues" dxfId="22781" priority="22794"/>
    <cfRule type="duplicateValues" dxfId="22780" priority="22793"/>
    <cfRule type="duplicateValues" dxfId="22779" priority="22792"/>
    <cfRule type="duplicateValues" dxfId="22778" priority="22791"/>
    <cfRule type="duplicateValues" dxfId="22777" priority="22790"/>
    <cfRule type="duplicateValues" dxfId="22776" priority="22789"/>
    <cfRule type="duplicateValues" dxfId="22775" priority="22788"/>
    <cfRule type="duplicateValues" dxfId="22774" priority="22787"/>
    <cfRule type="duplicateValues" dxfId="22773" priority="22786"/>
    <cfRule type="duplicateValues" dxfId="22772" priority="22785"/>
    <cfRule type="duplicateValues" dxfId="22771" priority="22784"/>
    <cfRule type="duplicateValues" dxfId="22770" priority="22783"/>
    <cfRule type="duplicateValues" dxfId="22769" priority="22782"/>
    <cfRule type="duplicateValues" dxfId="22768" priority="22781"/>
    <cfRule type="duplicateValues" dxfId="22767" priority="22780"/>
    <cfRule type="duplicateValues" dxfId="22766" priority="22779"/>
    <cfRule type="duplicateValues" dxfId="22765" priority="22778"/>
    <cfRule type="duplicateValues" dxfId="22764" priority="22777"/>
    <cfRule type="duplicateValues" dxfId="22763" priority="22776"/>
    <cfRule type="duplicateValues" dxfId="22762" priority="22775"/>
    <cfRule type="duplicateValues" dxfId="22761" priority="22774"/>
    <cfRule type="duplicateValues" dxfId="22760" priority="22773"/>
    <cfRule type="duplicateValues" dxfId="22759" priority="22772"/>
    <cfRule type="duplicateValues" dxfId="22758" priority="22771"/>
    <cfRule type="duplicateValues" dxfId="22757" priority="22770"/>
    <cfRule type="duplicateValues" dxfId="22756" priority="22769"/>
    <cfRule type="duplicateValues" dxfId="22755" priority="22768"/>
    <cfRule type="duplicateValues" dxfId="22754" priority="22767"/>
    <cfRule type="duplicateValues" dxfId="22753" priority="22766"/>
    <cfRule type="duplicateValues" dxfId="22752" priority="22765"/>
    <cfRule type="duplicateValues" dxfId="22751" priority="22764"/>
    <cfRule type="duplicateValues" dxfId="22750" priority="22763"/>
    <cfRule type="duplicateValues" dxfId="22749" priority="22762"/>
    <cfRule type="duplicateValues" dxfId="22748" priority="22761"/>
    <cfRule type="duplicateValues" dxfId="22747" priority="22760"/>
    <cfRule type="duplicateValues" dxfId="22746" priority="22759"/>
    <cfRule type="duplicateValues" dxfId="22745" priority="22758"/>
    <cfRule type="duplicateValues" dxfId="22744" priority="22757"/>
    <cfRule type="duplicateValues" dxfId="22743" priority="22756"/>
    <cfRule type="duplicateValues" dxfId="22742" priority="22755"/>
    <cfRule type="duplicateValues" dxfId="22741" priority="22754"/>
    <cfRule type="duplicateValues" dxfId="22740" priority="22753"/>
    <cfRule type="duplicateValues" dxfId="22739" priority="22752"/>
    <cfRule type="duplicateValues" dxfId="22738" priority="22751"/>
    <cfRule type="duplicateValues" dxfId="22737" priority="22750"/>
    <cfRule type="duplicateValues" dxfId="22736" priority="22749"/>
    <cfRule type="duplicateValues" dxfId="22735" priority="22748"/>
    <cfRule type="duplicateValues" dxfId="22734" priority="22747"/>
    <cfRule type="duplicateValues" dxfId="22733" priority="22746"/>
    <cfRule type="duplicateValues" dxfId="22732" priority="22745"/>
    <cfRule type="duplicateValues" dxfId="22731" priority="22744"/>
    <cfRule type="duplicateValues" dxfId="22730" priority="22743"/>
    <cfRule type="duplicateValues" dxfId="22729" priority="22742"/>
    <cfRule type="duplicateValues" dxfId="22728" priority="22741"/>
    <cfRule type="duplicateValues" dxfId="22727" priority="22740"/>
    <cfRule type="duplicateValues" dxfId="22726" priority="22739"/>
    <cfRule type="duplicateValues" dxfId="22725" priority="22738"/>
    <cfRule type="duplicateValues" dxfId="22724" priority="22737"/>
    <cfRule type="duplicateValues" dxfId="22723" priority="22736"/>
    <cfRule type="duplicateValues" dxfId="22722" priority="22735"/>
    <cfRule type="duplicateValues" dxfId="22721" priority="22734"/>
    <cfRule type="duplicateValues" dxfId="22720" priority="22733"/>
    <cfRule type="duplicateValues" dxfId="22719" priority="22732"/>
  </conditionalFormatting>
  <conditionalFormatting sqref="B190">
    <cfRule type="duplicateValues" dxfId="22718" priority="22541"/>
    <cfRule type="duplicateValues" dxfId="22717" priority="22544"/>
    <cfRule type="duplicateValues" dxfId="22716" priority="22543"/>
    <cfRule type="duplicateValues" dxfId="22715" priority="22542"/>
    <cfRule type="duplicateValues" dxfId="22714" priority="22727"/>
    <cfRule type="duplicateValues" dxfId="22713" priority="22726"/>
    <cfRule type="duplicateValues" dxfId="22712" priority="22725"/>
    <cfRule type="duplicateValues" dxfId="22711" priority="22724"/>
    <cfRule type="duplicateValues" dxfId="22710" priority="22723"/>
    <cfRule type="duplicateValues" dxfId="22709" priority="22722"/>
    <cfRule type="duplicateValues" dxfId="22708" priority="22721"/>
    <cfRule type="duplicateValues" dxfId="22707" priority="22720"/>
    <cfRule type="duplicateValues" dxfId="22706" priority="22719"/>
    <cfRule type="duplicateValues" dxfId="22705" priority="22718"/>
    <cfRule type="duplicateValues" dxfId="22704" priority="22717"/>
    <cfRule type="duplicateValues" dxfId="22703" priority="22716"/>
    <cfRule type="duplicateValues" dxfId="22702" priority="22715"/>
    <cfRule type="duplicateValues" dxfId="22701" priority="22714"/>
    <cfRule type="duplicateValues" dxfId="22700" priority="22713"/>
    <cfRule type="duplicateValues" dxfId="22699" priority="22712"/>
    <cfRule type="duplicateValues" dxfId="22698" priority="22711"/>
    <cfRule type="duplicateValues" dxfId="22697" priority="22710"/>
    <cfRule type="duplicateValues" dxfId="22696" priority="22709"/>
    <cfRule type="duplicateValues" dxfId="22695" priority="22708"/>
    <cfRule type="duplicateValues" dxfId="22694" priority="22707"/>
    <cfRule type="duplicateValues" dxfId="22693" priority="22706"/>
    <cfRule type="duplicateValues" dxfId="22692" priority="22705"/>
    <cfRule type="duplicateValues" dxfId="22691" priority="22704"/>
    <cfRule type="duplicateValues" dxfId="22690" priority="22703"/>
    <cfRule type="duplicateValues" dxfId="22689" priority="22702"/>
    <cfRule type="duplicateValues" dxfId="22688" priority="22701"/>
    <cfRule type="duplicateValues" dxfId="22687" priority="22700"/>
    <cfRule type="duplicateValues" dxfId="22686" priority="22699"/>
    <cfRule type="duplicateValues" dxfId="22685" priority="22698"/>
    <cfRule type="duplicateValues" dxfId="22684" priority="22697"/>
    <cfRule type="duplicateValues" dxfId="22683" priority="22696"/>
    <cfRule type="duplicateValues" dxfId="22682" priority="22695"/>
    <cfRule type="duplicateValues" dxfId="22681" priority="22694"/>
    <cfRule type="duplicateValues" dxfId="22680" priority="22693"/>
    <cfRule type="duplicateValues" dxfId="22679" priority="22692"/>
    <cfRule type="duplicateValues" dxfId="22678" priority="22691"/>
    <cfRule type="duplicateValues" dxfId="22677" priority="22690"/>
    <cfRule type="duplicateValues" dxfId="22676" priority="22689"/>
    <cfRule type="duplicateValues" dxfId="22675" priority="22688"/>
    <cfRule type="duplicateValues" dxfId="22674" priority="22687"/>
    <cfRule type="duplicateValues" dxfId="22673" priority="22686"/>
    <cfRule type="duplicateValues" dxfId="22672" priority="22685"/>
    <cfRule type="duplicateValues" dxfId="22671" priority="22684"/>
    <cfRule type="duplicateValues" dxfId="22670" priority="22683"/>
    <cfRule type="duplicateValues" dxfId="22669" priority="22682"/>
    <cfRule type="duplicateValues" dxfId="22668" priority="22681"/>
    <cfRule type="duplicateValues" dxfId="22667" priority="22680"/>
    <cfRule type="duplicateValues" dxfId="22666" priority="22679"/>
    <cfRule type="duplicateValues" dxfId="22665" priority="22678"/>
    <cfRule type="duplicateValues" dxfId="22664" priority="22677"/>
    <cfRule type="duplicateValues" dxfId="22663" priority="22676"/>
    <cfRule type="duplicateValues" dxfId="22662" priority="22675"/>
    <cfRule type="duplicateValues" dxfId="22661" priority="22674"/>
    <cfRule type="duplicateValues" dxfId="22660" priority="22673"/>
    <cfRule type="duplicateValues" dxfId="22659" priority="22672"/>
    <cfRule type="duplicateValues" dxfId="22658" priority="22671"/>
    <cfRule type="duplicateValues" dxfId="22657" priority="22670"/>
    <cfRule type="duplicateValues" dxfId="22656" priority="22669"/>
    <cfRule type="duplicateValues" dxfId="22655" priority="22668"/>
    <cfRule type="duplicateValues" dxfId="22654" priority="22667"/>
    <cfRule type="duplicateValues" dxfId="22653" priority="22666"/>
    <cfRule type="duplicateValues" dxfId="22652" priority="22665"/>
    <cfRule type="duplicateValues" dxfId="22651" priority="22664"/>
    <cfRule type="duplicateValues" dxfId="22650" priority="22663"/>
    <cfRule type="duplicateValues" dxfId="22649" priority="22662"/>
    <cfRule type="duplicateValues" dxfId="22648" priority="22661"/>
    <cfRule type="duplicateValues" dxfId="22647" priority="22660"/>
    <cfRule type="duplicateValues" dxfId="22646" priority="22659"/>
    <cfRule type="duplicateValues" dxfId="22645" priority="22658"/>
    <cfRule type="duplicateValues" dxfId="22644" priority="22657"/>
    <cfRule type="duplicateValues" dxfId="22643" priority="22656"/>
    <cfRule type="duplicateValues" dxfId="22642" priority="22655"/>
    <cfRule type="duplicateValues" dxfId="22641" priority="22654"/>
    <cfRule type="duplicateValues" dxfId="22640" priority="22653"/>
    <cfRule type="duplicateValues" dxfId="22639" priority="22652"/>
    <cfRule type="duplicateValues" dxfId="22638" priority="22651"/>
    <cfRule type="duplicateValues" dxfId="22637" priority="22650"/>
    <cfRule type="duplicateValues" dxfId="22636" priority="22649"/>
    <cfRule type="duplicateValues" dxfId="22635" priority="22648"/>
    <cfRule type="duplicateValues" dxfId="22634" priority="22647"/>
    <cfRule type="duplicateValues" dxfId="22633" priority="22646"/>
    <cfRule type="duplicateValues" dxfId="22632" priority="22645"/>
    <cfRule type="duplicateValues" dxfId="22631" priority="22644"/>
    <cfRule type="duplicateValues" dxfId="22630" priority="22643"/>
    <cfRule type="duplicateValues" dxfId="22629" priority="22642"/>
    <cfRule type="duplicateValues" dxfId="22628" priority="22641"/>
    <cfRule type="duplicateValues" dxfId="22627" priority="22640"/>
    <cfRule type="duplicateValues" dxfId="22626" priority="22639"/>
    <cfRule type="duplicateValues" dxfId="22625" priority="22638"/>
    <cfRule type="duplicateValues" dxfId="22624" priority="22637"/>
    <cfRule type="duplicateValues" dxfId="22623" priority="22636"/>
    <cfRule type="duplicateValues" dxfId="22622" priority="22635"/>
    <cfRule type="duplicateValues" dxfId="22621" priority="22634"/>
    <cfRule type="duplicateValues" dxfId="22620" priority="22633"/>
    <cfRule type="duplicateValues" dxfId="22619" priority="22632"/>
    <cfRule type="duplicateValues" dxfId="22618" priority="22631"/>
    <cfRule type="duplicateValues" dxfId="22617" priority="22630"/>
    <cfRule type="duplicateValues" dxfId="22616" priority="22629"/>
    <cfRule type="duplicateValues" dxfId="22615" priority="22628"/>
    <cfRule type="duplicateValues" dxfId="22614" priority="22627"/>
    <cfRule type="duplicateValues" dxfId="22613" priority="22626"/>
    <cfRule type="duplicateValues" dxfId="22612" priority="22625"/>
    <cfRule type="duplicateValues" dxfId="22611" priority="22624"/>
    <cfRule type="duplicateValues" dxfId="22610" priority="22623"/>
    <cfRule type="duplicateValues" dxfId="22609" priority="22622"/>
    <cfRule type="duplicateValues" dxfId="22608" priority="22621"/>
    <cfRule type="duplicateValues" dxfId="22607" priority="22620"/>
    <cfRule type="duplicateValues" dxfId="22606" priority="22619"/>
    <cfRule type="duplicateValues" dxfId="22605" priority="22618"/>
    <cfRule type="duplicateValues" dxfId="22604" priority="22617"/>
    <cfRule type="duplicateValues" dxfId="22603" priority="22616"/>
    <cfRule type="duplicateValues" dxfId="22602" priority="22615"/>
    <cfRule type="duplicateValues" dxfId="22601" priority="22614"/>
    <cfRule type="duplicateValues" dxfId="22600" priority="22613"/>
    <cfRule type="duplicateValues" dxfId="22599" priority="22612"/>
    <cfRule type="duplicateValues" dxfId="22598" priority="22611"/>
    <cfRule type="duplicateValues" dxfId="22597" priority="22610"/>
    <cfRule type="duplicateValues" dxfId="22596" priority="22609"/>
    <cfRule type="duplicateValues" dxfId="22595" priority="22608"/>
    <cfRule type="duplicateValues" dxfId="22594" priority="22607"/>
    <cfRule type="duplicateValues" dxfId="22593" priority="22606"/>
    <cfRule type="duplicateValues" dxfId="22592" priority="22605"/>
    <cfRule type="duplicateValues" dxfId="22591" priority="22604"/>
    <cfRule type="duplicateValues" dxfId="22590" priority="22603"/>
    <cfRule type="duplicateValues" dxfId="22589" priority="22602"/>
    <cfRule type="duplicateValues" dxfId="22588" priority="22601"/>
    <cfRule type="duplicateValues" dxfId="22587" priority="22600"/>
    <cfRule type="duplicateValues" dxfId="22586" priority="22599"/>
    <cfRule type="duplicateValues" dxfId="22585" priority="22598"/>
    <cfRule type="duplicateValues" dxfId="22584" priority="22597"/>
    <cfRule type="duplicateValues" dxfId="22583" priority="22596"/>
    <cfRule type="duplicateValues" dxfId="22582" priority="22595"/>
    <cfRule type="duplicateValues" dxfId="22581" priority="22594"/>
    <cfRule type="duplicateValues" dxfId="22580" priority="22593"/>
    <cfRule type="duplicateValues" dxfId="22579" priority="22592"/>
    <cfRule type="duplicateValues" dxfId="22578" priority="22591"/>
    <cfRule type="duplicateValues" dxfId="22577" priority="22590"/>
    <cfRule type="duplicateValues" dxfId="22576" priority="22589"/>
    <cfRule type="duplicateValues" dxfId="22575" priority="22588"/>
    <cfRule type="duplicateValues" dxfId="22574" priority="22587"/>
    <cfRule type="duplicateValues" dxfId="22573" priority="22586"/>
    <cfRule type="duplicateValues" dxfId="22572" priority="22585"/>
    <cfRule type="duplicateValues" dxfId="22571" priority="22584"/>
    <cfRule type="duplicateValues" dxfId="22570" priority="22583"/>
    <cfRule type="duplicateValues" dxfId="22569" priority="22582"/>
    <cfRule type="duplicateValues" dxfId="22568" priority="22581"/>
    <cfRule type="duplicateValues" dxfId="22567" priority="22580"/>
    <cfRule type="duplicateValues" dxfId="22566" priority="22579"/>
    <cfRule type="duplicateValues" dxfId="22565" priority="22578"/>
    <cfRule type="duplicateValues" dxfId="22564" priority="22577"/>
    <cfRule type="duplicateValues" dxfId="22563" priority="22576"/>
    <cfRule type="duplicateValues" dxfId="22562" priority="22575"/>
    <cfRule type="duplicateValues" dxfId="22561" priority="22574"/>
    <cfRule type="duplicateValues" dxfId="22560" priority="22573"/>
    <cfRule type="duplicateValues" dxfId="22559" priority="22572"/>
    <cfRule type="duplicateValues" dxfId="22558" priority="22571"/>
    <cfRule type="duplicateValues" dxfId="22557" priority="22570"/>
    <cfRule type="duplicateValues" dxfId="22556" priority="22569"/>
    <cfRule type="duplicateValues" dxfId="22555" priority="22568"/>
    <cfRule type="duplicateValues" dxfId="22554" priority="22567"/>
    <cfRule type="duplicateValues" dxfId="22553" priority="22566"/>
    <cfRule type="duplicateValues" dxfId="22552" priority="22565"/>
    <cfRule type="duplicateValues" dxfId="22551" priority="22564"/>
    <cfRule type="duplicateValues" dxfId="22550" priority="22563"/>
    <cfRule type="duplicateValues" dxfId="22549" priority="22562"/>
    <cfRule type="duplicateValues" dxfId="22548" priority="22561"/>
    <cfRule type="duplicateValues" dxfId="22547" priority="22560"/>
    <cfRule type="duplicateValues" dxfId="22546" priority="22559"/>
    <cfRule type="duplicateValues" dxfId="22545" priority="22558"/>
    <cfRule type="duplicateValues" dxfId="22544" priority="22557"/>
    <cfRule type="duplicateValues" dxfId="22543" priority="22556"/>
    <cfRule type="duplicateValues" dxfId="22542" priority="22555"/>
    <cfRule type="duplicateValues" dxfId="22541" priority="22554"/>
    <cfRule type="duplicateValues" dxfId="22540" priority="22553"/>
    <cfRule type="duplicateValues" dxfId="22539" priority="22552"/>
    <cfRule type="duplicateValues" dxfId="22538" priority="22551"/>
    <cfRule type="duplicateValues" dxfId="22537" priority="22550"/>
    <cfRule type="duplicateValues" dxfId="22536" priority="22549"/>
    <cfRule type="duplicateValues" dxfId="22535" priority="22548"/>
    <cfRule type="duplicateValues" dxfId="22534" priority="22547"/>
    <cfRule type="duplicateValues" dxfId="22533" priority="22546"/>
    <cfRule type="duplicateValues" dxfId="22532" priority="22545"/>
  </conditionalFormatting>
  <conditionalFormatting sqref="B191">
    <cfRule type="duplicateValues" dxfId="22531" priority="22356"/>
    <cfRule type="duplicateValues" dxfId="22530" priority="22355"/>
    <cfRule type="duplicateValues" dxfId="22529" priority="22354"/>
    <cfRule type="duplicateValues" dxfId="22528" priority="22514"/>
    <cfRule type="duplicateValues" dxfId="22527" priority="22540"/>
    <cfRule type="duplicateValues" dxfId="22526" priority="22539"/>
    <cfRule type="duplicateValues" dxfId="22525" priority="22538"/>
    <cfRule type="duplicateValues" dxfId="22524" priority="22537"/>
    <cfRule type="duplicateValues" dxfId="22523" priority="22536"/>
    <cfRule type="duplicateValues" dxfId="22522" priority="22535"/>
    <cfRule type="duplicateValues" dxfId="22521" priority="22534"/>
    <cfRule type="duplicateValues" dxfId="22520" priority="22533"/>
    <cfRule type="duplicateValues" dxfId="22519" priority="22532"/>
    <cfRule type="duplicateValues" dxfId="22518" priority="22531"/>
    <cfRule type="duplicateValues" dxfId="22517" priority="22530"/>
    <cfRule type="duplicateValues" dxfId="22516" priority="22529"/>
    <cfRule type="duplicateValues" dxfId="22515" priority="22528"/>
    <cfRule type="duplicateValues" dxfId="22514" priority="22527"/>
    <cfRule type="duplicateValues" dxfId="22513" priority="22526"/>
    <cfRule type="duplicateValues" dxfId="22512" priority="22525"/>
    <cfRule type="duplicateValues" dxfId="22511" priority="22524"/>
    <cfRule type="duplicateValues" dxfId="22510" priority="22523"/>
    <cfRule type="duplicateValues" dxfId="22509" priority="22522"/>
    <cfRule type="duplicateValues" dxfId="22508" priority="22521"/>
    <cfRule type="duplicateValues" dxfId="22507" priority="22520"/>
    <cfRule type="duplicateValues" dxfId="22506" priority="22519"/>
    <cfRule type="duplicateValues" dxfId="22505" priority="22518"/>
    <cfRule type="duplicateValues" dxfId="22504" priority="22517"/>
    <cfRule type="duplicateValues" dxfId="22503" priority="22516"/>
    <cfRule type="duplicateValues" dxfId="22502" priority="22515"/>
    <cfRule type="duplicateValues" dxfId="22501" priority="22513"/>
    <cfRule type="duplicateValues" dxfId="22500" priority="22512"/>
    <cfRule type="duplicateValues" dxfId="22499" priority="22511"/>
    <cfRule type="duplicateValues" dxfId="22498" priority="22510"/>
    <cfRule type="duplicateValues" dxfId="22497" priority="22509"/>
    <cfRule type="duplicateValues" dxfId="22496" priority="22508"/>
    <cfRule type="duplicateValues" dxfId="22495" priority="22507"/>
    <cfRule type="duplicateValues" dxfId="22494" priority="22506"/>
    <cfRule type="duplicateValues" dxfId="22493" priority="22505"/>
    <cfRule type="duplicateValues" dxfId="22492" priority="22504"/>
    <cfRule type="duplicateValues" dxfId="22491" priority="22503"/>
    <cfRule type="duplicateValues" dxfId="22490" priority="22502"/>
    <cfRule type="duplicateValues" dxfId="22489" priority="22501"/>
    <cfRule type="duplicateValues" dxfId="22488" priority="22500"/>
    <cfRule type="duplicateValues" dxfId="22487" priority="22499"/>
    <cfRule type="duplicateValues" dxfId="22486" priority="22498"/>
    <cfRule type="duplicateValues" dxfId="22485" priority="22497"/>
    <cfRule type="duplicateValues" dxfId="22484" priority="22496"/>
    <cfRule type="duplicateValues" dxfId="22483" priority="22495"/>
    <cfRule type="duplicateValues" dxfId="22482" priority="22494"/>
    <cfRule type="duplicateValues" dxfId="22481" priority="22493"/>
    <cfRule type="duplicateValues" dxfId="22480" priority="22492"/>
    <cfRule type="duplicateValues" dxfId="22479" priority="22491"/>
    <cfRule type="duplicateValues" dxfId="22478" priority="22490"/>
    <cfRule type="duplicateValues" dxfId="22477" priority="22489"/>
    <cfRule type="duplicateValues" dxfId="22476" priority="22488"/>
    <cfRule type="duplicateValues" dxfId="22475" priority="22487"/>
    <cfRule type="duplicateValues" dxfId="22474" priority="22486"/>
    <cfRule type="duplicateValues" dxfId="22473" priority="22485"/>
    <cfRule type="duplicateValues" dxfId="22472" priority="22484"/>
    <cfRule type="duplicateValues" dxfId="22471" priority="22483"/>
    <cfRule type="duplicateValues" dxfId="22470" priority="22482"/>
    <cfRule type="duplicateValues" dxfId="22469" priority="22481"/>
    <cfRule type="duplicateValues" dxfId="22468" priority="22480"/>
    <cfRule type="duplicateValues" dxfId="22467" priority="22479"/>
    <cfRule type="duplicateValues" dxfId="22466" priority="22478"/>
    <cfRule type="duplicateValues" dxfId="22465" priority="22477"/>
    <cfRule type="duplicateValues" dxfId="22464" priority="22476"/>
    <cfRule type="duplicateValues" dxfId="22463" priority="22475"/>
    <cfRule type="duplicateValues" dxfId="22462" priority="22474"/>
    <cfRule type="duplicateValues" dxfId="22461" priority="22473"/>
    <cfRule type="duplicateValues" dxfId="22460" priority="22472"/>
    <cfRule type="duplicateValues" dxfId="22459" priority="22471"/>
    <cfRule type="duplicateValues" dxfId="22458" priority="22470"/>
    <cfRule type="duplicateValues" dxfId="22457" priority="22469"/>
    <cfRule type="duplicateValues" dxfId="22456" priority="22468"/>
    <cfRule type="duplicateValues" dxfId="22455" priority="22467"/>
    <cfRule type="duplicateValues" dxfId="22454" priority="22466"/>
    <cfRule type="duplicateValues" dxfId="22453" priority="22465"/>
    <cfRule type="duplicateValues" dxfId="22452" priority="22464"/>
    <cfRule type="duplicateValues" dxfId="22451" priority="22463"/>
    <cfRule type="duplicateValues" dxfId="22450" priority="22462"/>
    <cfRule type="duplicateValues" dxfId="22449" priority="22461"/>
    <cfRule type="duplicateValues" dxfId="22448" priority="22460"/>
    <cfRule type="duplicateValues" dxfId="22447" priority="22459"/>
    <cfRule type="duplicateValues" dxfId="22446" priority="22458"/>
    <cfRule type="duplicateValues" dxfId="22445" priority="22457"/>
    <cfRule type="duplicateValues" dxfId="22444" priority="22456"/>
    <cfRule type="duplicateValues" dxfId="22443" priority="22455"/>
    <cfRule type="duplicateValues" dxfId="22442" priority="22454"/>
    <cfRule type="duplicateValues" dxfId="22441" priority="22453"/>
    <cfRule type="duplicateValues" dxfId="22440" priority="22452"/>
    <cfRule type="duplicateValues" dxfId="22439" priority="22451"/>
    <cfRule type="duplicateValues" dxfId="22438" priority="22450"/>
    <cfRule type="duplicateValues" dxfId="22437" priority="22449"/>
    <cfRule type="duplicateValues" dxfId="22436" priority="22448"/>
    <cfRule type="duplicateValues" dxfId="22435" priority="22447"/>
    <cfRule type="duplicateValues" dxfId="22434" priority="22446"/>
    <cfRule type="duplicateValues" dxfId="22433" priority="22445"/>
    <cfRule type="duplicateValues" dxfId="22432" priority="22444"/>
    <cfRule type="duplicateValues" dxfId="22431" priority="22443"/>
    <cfRule type="duplicateValues" dxfId="22430" priority="22442"/>
    <cfRule type="duplicateValues" dxfId="22429" priority="22441"/>
    <cfRule type="duplicateValues" dxfId="22428" priority="22440"/>
    <cfRule type="duplicateValues" dxfId="22427" priority="22439"/>
    <cfRule type="duplicateValues" dxfId="22426" priority="22438"/>
    <cfRule type="duplicateValues" dxfId="22425" priority="22437"/>
    <cfRule type="duplicateValues" dxfId="22424" priority="22436"/>
    <cfRule type="duplicateValues" dxfId="22423" priority="22435"/>
    <cfRule type="duplicateValues" dxfId="22422" priority="22434"/>
    <cfRule type="duplicateValues" dxfId="22421" priority="22433"/>
    <cfRule type="duplicateValues" dxfId="22420" priority="22432"/>
    <cfRule type="duplicateValues" dxfId="22419" priority="22431"/>
    <cfRule type="duplicateValues" dxfId="22418" priority="22430"/>
    <cfRule type="duplicateValues" dxfId="22417" priority="22429"/>
    <cfRule type="duplicateValues" dxfId="22416" priority="22428"/>
    <cfRule type="duplicateValues" dxfId="22415" priority="22427"/>
    <cfRule type="duplicateValues" dxfId="22414" priority="22426"/>
    <cfRule type="duplicateValues" dxfId="22413" priority="22425"/>
    <cfRule type="duplicateValues" dxfId="22412" priority="22424"/>
    <cfRule type="duplicateValues" dxfId="22411" priority="22423"/>
    <cfRule type="duplicateValues" dxfId="22410" priority="22422"/>
    <cfRule type="duplicateValues" dxfId="22409" priority="22421"/>
    <cfRule type="duplicateValues" dxfId="22408" priority="22420"/>
    <cfRule type="duplicateValues" dxfId="22407" priority="22419"/>
    <cfRule type="duplicateValues" dxfId="22406" priority="22418"/>
    <cfRule type="duplicateValues" dxfId="22405" priority="22417"/>
    <cfRule type="duplicateValues" dxfId="22404" priority="22416"/>
    <cfRule type="duplicateValues" dxfId="22403" priority="22415"/>
    <cfRule type="duplicateValues" dxfId="22402" priority="22414"/>
    <cfRule type="duplicateValues" dxfId="22401" priority="22413"/>
    <cfRule type="duplicateValues" dxfId="22400" priority="22412"/>
    <cfRule type="duplicateValues" dxfId="22399" priority="22411"/>
    <cfRule type="duplicateValues" dxfId="22398" priority="22410"/>
    <cfRule type="duplicateValues" dxfId="22397" priority="22409"/>
    <cfRule type="duplicateValues" dxfId="22396" priority="22408"/>
    <cfRule type="duplicateValues" dxfId="22395" priority="22407"/>
    <cfRule type="duplicateValues" dxfId="22394" priority="22406"/>
    <cfRule type="duplicateValues" dxfId="22393" priority="22405"/>
    <cfRule type="duplicateValues" dxfId="22392" priority="22404"/>
    <cfRule type="duplicateValues" dxfId="22391" priority="22403"/>
    <cfRule type="duplicateValues" dxfId="22390" priority="22402"/>
    <cfRule type="duplicateValues" dxfId="22389" priority="22401"/>
    <cfRule type="duplicateValues" dxfId="22388" priority="22400"/>
    <cfRule type="duplicateValues" dxfId="22387" priority="22399"/>
    <cfRule type="duplicateValues" dxfId="22386" priority="22398"/>
    <cfRule type="duplicateValues" dxfId="22385" priority="22397"/>
    <cfRule type="duplicateValues" dxfId="22384" priority="22396"/>
    <cfRule type="duplicateValues" dxfId="22383" priority="22395"/>
    <cfRule type="duplicateValues" dxfId="22382" priority="22394"/>
    <cfRule type="duplicateValues" dxfId="22381" priority="22393"/>
    <cfRule type="duplicateValues" dxfId="22380" priority="22392"/>
    <cfRule type="duplicateValues" dxfId="22379" priority="22391"/>
    <cfRule type="duplicateValues" dxfId="22378" priority="22390"/>
    <cfRule type="duplicateValues" dxfId="22377" priority="22389"/>
    <cfRule type="duplicateValues" dxfId="22376" priority="22388"/>
    <cfRule type="duplicateValues" dxfId="22375" priority="22387"/>
    <cfRule type="duplicateValues" dxfId="22374" priority="22386"/>
    <cfRule type="duplicateValues" dxfId="22373" priority="22385"/>
    <cfRule type="duplicateValues" dxfId="22372" priority="22384"/>
    <cfRule type="duplicateValues" dxfId="22371" priority="22383"/>
    <cfRule type="duplicateValues" dxfId="22370" priority="22382"/>
    <cfRule type="duplicateValues" dxfId="22369" priority="22381"/>
    <cfRule type="duplicateValues" dxfId="22368" priority="22380"/>
    <cfRule type="duplicateValues" dxfId="22367" priority="22379"/>
    <cfRule type="duplicateValues" dxfId="22366" priority="22378"/>
    <cfRule type="duplicateValues" dxfId="22365" priority="22377"/>
    <cfRule type="duplicateValues" dxfId="22364" priority="22376"/>
    <cfRule type="duplicateValues" dxfId="22363" priority="22375"/>
    <cfRule type="duplicateValues" dxfId="22362" priority="22374"/>
    <cfRule type="duplicateValues" dxfId="22361" priority="22373"/>
    <cfRule type="duplicateValues" dxfId="22360" priority="22372"/>
    <cfRule type="duplicateValues" dxfId="22359" priority="22371"/>
    <cfRule type="duplicateValues" dxfId="22358" priority="22370"/>
    <cfRule type="duplicateValues" dxfId="22357" priority="22369"/>
    <cfRule type="duplicateValues" dxfId="22356" priority="22368"/>
    <cfRule type="duplicateValues" dxfId="22355" priority="22367"/>
    <cfRule type="duplicateValues" dxfId="22354" priority="22366"/>
    <cfRule type="duplicateValues" dxfId="22353" priority="22365"/>
    <cfRule type="duplicateValues" dxfId="22352" priority="22364"/>
    <cfRule type="duplicateValues" dxfId="22351" priority="22363"/>
    <cfRule type="duplicateValues" dxfId="22350" priority="22362"/>
    <cfRule type="duplicateValues" dxfId="22349" priority="22361"/>
    <cfRule type="duplicateValues" dxfId="22348" priority="22360"/>
    <cfRule type="duplicateValues" dxfId="22347" priority="22359"/>
    <cfRule type="duplicateValues" dxfId="22346" priority="22358"/>
    <cfRule type="duplicateValues" dxfId="22345" priority="22357"/>
  </conditionalFormatting>
  <conditionalFormatting sqref="B192">
    <cfRule type="duplicateValues" dxfId="22344" priority="22241"/>
    <cfRule type="duplicateValues" dxfId="22343" priority="22170"/>
    <cfRule type="duplicateValues" dxfId="22342" priority="22169"/>
    <cfRule type="duplicateValues" dxfId="22341" priority="22168"/>
    <cfRule type="duplicateValues" dxfId="22340" priority="22352"/>
    <cfRule type="duplicateValues" dxfId="22339" priority="22351"/>
    <cfRule type="duplicateValues" dxfId="22338" priority="22350"/>
    <cfRule type="duplicateValues" dxfId="22337" priority="22349"/>
    <cfRule type="duplicateValues" dxfId="22336" priority="22348"/>
    <cfRule type="duplicateValues" dxfId="22335" priority="22347"/>
    <cfRule type="duplicateValues" dxfId="22334" priority="22346"/>
    <cfRule type="duplicateValues" dxfId="22333" priority="22345"/>
    <cfRule type="duplicateValues" dxfId="22332" priority="22344"/>
    <cfRule type="duplicateValues" dxfId="22331" priority="22343"/>
    <cfRule type="duplicateValues" dxfId="22330" priority="22342"/>
    <cfRule type="duplicateValues" dxfId="22329" priority="22341"/>
    <cfRule type="duplicateValues" dxfId="22328" priority="22340"/>
    <cfRule type="duplicateValues" dxfId="22327" priority="22339"/>
    <cfRule type="duplicateValues" dxfId="22326" priority="22338"/>
    <cfRule type="duplicateValues" dxfId="22325" priority="22337"/>
    <cfRule type="duplicateValues" dxfId="22324" priority="22336"/>
    <cfRule type="duplicateValues" dxfId="22323" priority="22335"/>
    <cfRule type="duplicateValues" dxfId="22322" priority="22334"/>
    <cfRule type="duplicateValues" dxfId="22321" priority="22333"/>
    <cfRule type="duplicateValues" dxfId="22320" priority="22332"/>
    <cfRule type="duplicateValues" dxfId="22319" priority="22331"/>
    <cfRule type="duplicateValues" dxfId="22318" priority="22330"/>
    <cfRule type="duplicateValues" dxfId="22317" priority="22353"/>
    <cfRule type="duplicateValues" dxfId="22316" priority="22329"/>
    <cfRule type="duplicateValues" dxfId="22315" priority="22328"/>
    <cfRule type="duplicateValues" dxfId="22314" priority="22327"/>
    <cfRule type="duplicateValues" dxfId="22313" priority="22326"/>
    <cfRule type="duplicateValues" dxfId="22312" priority="22325"/>
    <cfRule type="duplicateValues" dxfId="22311" priority="22324"/>
    <cfRule type="duplicateValues" dxfId="22310" priority="22323"/>
    <cfRule type="duplicateValues" dxfId="22309" priority="22322"/>
    <cfRule type="duplicateValues" dxfId="22308" priority="22321"/>
    <cfRule type="duplicateValues" dxfId="22307" priority="22320"/>
    <cfRule type="duplicateValues" dxfId="22306" priority="22319"/>
    <cfRule type="duplicateValues" dxfId="22305" priority="22318"/>
    <cfRule type="duplicateValues" dxfId="22304" priority="22317"/>
    <cfRule type="duplicateValues" dxfId="22303" priority="22316"/>
    <cfRule type="duplicateValues" dxfId="22302" priority="22315"/>
    <cfRule type="duplicateValues" dxfId="22301" priority="22314"/>
    <cfRule type="duplicateValues" dxfId="22300" priority="22313"/>
    <cfRule type="duplicateValues" dxfId="22299" priority="22312"/>
    <cfRule type="duplicateValues" dxfId="22298" priority="22311"/>
    <cfRule type="duplicateValues" dxfId="22297" priority="22310"/>
    <cfRule type="duplicateValues" dxfId="22296" priority="22309"/>
    <cfRule type="duplicateValues" dxfId="22295" priority="22308"/>
    <cfRule type="duplicateValues" dxfId="22294" priority="22307"/>
    <cfRule type="duplicateValues" dxfId="22293" priority="22306"/>
    <cfRule type="duplicateValues" dxfId="22292" priority="22305"/>
    <cfRule type="duplicateValues" dxfId="22291" priority="22304"/>
    <cfRule type="duplicateValues" dxfId="22290" priority="22303"/>
    <cfRule type="duplicateValues" dxfId="22289" priority="22302"/>
    <cfRule type="duplicateValues" dxfId="22288" priority="22301"/>
    <cfRule type="duplicateValues" dxfId="22287" priority="22300"/>
    <cfRule type="duplicateValues" dxfId="22286" priority="22299"/>
    <cfRule type="duplicateValues" dxfId="22285" priority="22298"/>
    <cfRule type="duplicateValues" dxfId="22284" priority="22297"/>
    <cfRule type="duplicateValues" dxfId="22283" priority="22296"/>
    <cfRule type="duplicateValues" dxfId="22282" priority="22295"/>
    <cfRule type="duplicateValues" dxfId="22281" priority="22294"/>
    <cfRule type="duplicateValues" dxfId="22280" priority="22293"/>
    <cfRule type="duplicateValues" dxfId="22279" priority="22292"/>
    <cfRule type="duplicateValues" dxfId="22278" priority="22291"/>
    <cfRule type="duplicateValues" dxfId="22277" priority="22290"/>
    <cfRule type="duplicateValues" dxfId="22276" priority="22289"/>
    <cfRule type="duplicateValues" dxfId="22275" priority="22288"/>
    <cfRule type="duplicateValues" dxfId="22274" priority="22287"/>
    <cfRule type="duplicateValues" dxfId="22273" priority="22286"/>
    <cfRule type="duplicateValues" dxfId="22272" priority="22285"/>
    <cfRule type="duplicateValues" dxfId="22271" priority="22284"/>
    <cfRule type="duplicateValues" dxfId="22270" priority="22283"/>
    <cfRule type="duplicateValues" dxfId="22269" priority="22282"/>
    <cfRule type="duplicateValues" dxfId="22268" priority="22281"/>
    <cfRule type="duplicateValues" dxfId="22267" priority="22280"/>
    <cfRule type="duplicateValues" dxfId="22266" priority="22279"/>
    <cfRule type="duplicateValues" dxfId="22265" priority="22278"/>
    <cfRule type="duplicateValues" dxfId="22264" priority="22277"/>
    <cfRule type="duplicateValues" dxfId="22263" priority="22276"/>
    <cfRule type="duplicateValues" dxfId="22262" priority="22275"/>
    <cfRule type="duplicateValues" dxfId="22261" priority="22274"/>
    <cfRule type="duplicateValues" dxfId="22260" priority="22273"/>
    <cfRule type="duplicateValues" dxfId="22259" priority="22272"/>
    <cfRule type="duplicateValues" dxfId="22258" priority="22271"/>
    <cfRule type="duplicateValues" dxfId="22257" priority="22270"/>
    <cfRule type="duplicateValues" dxfId="22256" priority="22269"/>
    <cfRule type="duplicateValues" dxfId="22255" priority="22268"/>
    <cfRule type="duplicateValues" dxfId="22254" priority="22267"/>
    <cfRule type="duplicateValues" dxfId="22253" priority="22266"/>
    <cfRule type="duplicateValues" dxfId="22252" priority="22265"/>
    <cfRule type="duplicateValues" dxfId="22251" priority="22264"/>
    <cfRule type="duplicateValues" dxfId="22250" priority="22263"/>
    <cfRule type="duplicateValues" dxfId="22249" priority="22262"/>
    <cfRule type="duplicateValues" dxfId="22248" priority="22261"/>
    <cfRule type="duplicateValues" dxfId="22247" priority="22260"/>
    <cfRule type="duplicateValues" dxfId="22246" priority="22259"/>
    <cfRule type="duplicateValues" dxfId="22245" priority="22258"/>
    <cfRule type="duplicateValues" dxfId="22244" priority="22257"/>
    <cfRule type="duplicateValues" dxfId="22243" priority="22256"/>
    <cfRule type="duplicateValues" dxfId="22242" priority="22255"/>
    <cfRule type="duplicateValues" dxfId="22241" priority="22254"/>
    <cfRule type="duplicateValues" dxfId="22240" priority="22253"/>
    <cfRule type="duplicateValues" dxfId="22239" priority="22252"/>
    <cfRule type="duplicateValues" dxfId="22238" priority="22251"/>
    <cfRule type="duplicateValues" dxfId="22237" priority="22250"/>
    <cfRule type="duplicateValues" dxfId="22236" priority="22249"/>
    <cfRule type="duplicateValues" dxfId="22235" priority="22248"/>
    <cfRule type="duplicateValues" dxfId="22234" priority="22247"/>
    <cfRule type="duplicateValues" dxfId="22233" priority="22246"/>
    <cfRule type="duplicateValues" dxfId="22232" priority="22245"/>
    <cfRule type="duplicateValues" dxfId="22231" priority="22244"/>
    <cfRule type="duplicateValues" dxfId="22230" priority="22243"/>
    <cfRule type="duplicateValues" dxfId="22229" priority="22242"/>
    <cfRule type="duplicateValues" dxfId="22228" priority="22167"/>
    <cfRule type="duplicateValues" dxfId="22227" priority="22240"/>
    <cfRule type="duplicateValues" dxfId="22226" priority="22239"/>
    <cfRule type="duplicateValues" dxfId="22225" priority="22238"/>
    <cfRule type="duplicateValues" dxfId="22224" priority="22237"/>
    <cfRule type="duplicateValues" dxfId="22223" priority="22236"/>
    <cfRule type="duplicateValues" dxfId="22222" priority="22235"/>
    <cfRule type="duplicateValues" dxfId="22221" priority="22234"/>
    <cfRule type="duplicateValues" dxfId="22220" priority="22233"/>
    <cfRule type="duplicateValues" dxfId="22219" priority="22232"/>
    <cfRule type="duplicateValues" dxfId="22218" priority="22231"/>
    <cfRule type="duplicateValues" dxfId="22217" priority="22230"/>
    <cfRule type="duplicateValues" dxfId="22216" priority="22229"/>
    <cfRule type="duplicateValues" dxfId="22215" priority="22228"/>
    <cfRule type="duplicateValues" dxfId="22214" priority="22227"/>
    <cfRule type="duplicateValues" dxfId="22213" priority="22226"/>
    <cfRule type="duplicateValues" dxfId="22212" priority="22225"/>
    <cfRule type="duplicateValues" dxfId="22211" priority="22224"/>
    <cfRule type="duplicateValues" dxfId="22210" priority="22223"/>
    <cfRule type="duplicateValues" dxfId="22209" priority="22222"/>
    <cfRule type="duplicateValues" dxfId="22208" priority="22221"/>
    <cfRule type="duplicateValues" dxfId="22207" priority="22220"/>
    <cfRule type="duplicateValues" dxfId="22206" priority="22219"/>
    <cfRule type="duplicateValues" dxfId="22205" priority="22218"/>
    <cfRule type="duplicateValues" dxfId="22204" priority="22217"/>
    <cfRule type="duplicateValues" dxfId="22203" priority="22216"/>
    <cfRule type="duplicateValues" dxfId="22202" priority="22215"/>
    <cfRule type="duplicateValues" dxfId="22201" priority="22214"/>
    <cfRule type="duplicateValues" dxfId="22200" priority="22213"/>
    <cfRule type="duplicateValues" dxfId="22199" priority="22212"/>
    <cfRule type="duplicateValues" dxfId="22198" priority="22211"/>
    <cfRule type="duplicateValues" dxfId="22197" priority="22210"/>
    <cfRule type="duplicateValues" dxfId="22196" priority="22209"/>
    <cfRule type="duplicateValues" dxfId="22195" priority="22208"/>
    <cfRule type="duplicateValues" dxfId="22194" priority="22207"/>
    <cfRule type="duplicateValues" dxfId="22193" priority="22206"/>
    <cfRule type="duplicateValues" dxfId="22192" priority="22205"/>
    <cfRule type="duplicateValues" dxfId="22191" priority="22204"/>
    <cfRule type="duplicateValues" dxfId="22190" priority="22203"/>
    <cfRule type="duplicateValues" dxfId="22189" priority="22202"/>
    <cfRule type="duplicateValues" dxfId="22188" priority="22201"/>
    <cfRule type="duplicateValues" dxfId="22187" priority="22200"/>
    <cfRule type="duplicateValues" dxfId="22186" priority="22199"/>
    <cfRule type="duplicateValues" dxfId="22185" priority="22198"/>
    <cfRule type="duplicateValues" dxfId="22184" priority="22197"/>
    <cfRule type="duplicateValues" dxfId="22183" priority="22196"/>
    <cfRule type="duplicateValues" dxfId="22182" priority="22195"/>
    <cfRule type="duplicateValues" dxfId="22181" priority="22194"/>
    <cfRule type="duplicateValues" dxfId="22180" priority="22193"/>
    <cfRule type="duplicateValues" dxfId="22179" priority="22192"/>
    <cfRule type="duplicateValues" dxfId="22178" priority="22191"/>
    <cfRule type="duplicateValues" dxfId="22177" priority="22190"/>
    <cfRule type="duplicateValues" dxfId="22176" priority="22189"/>
    <cfRule type="duplicateValues" dxfId="22175" priority="22188"/>
    <cfRule type="duplicateValues" dxfId="22174" priority="22187"/>
    <cfRule type="duplicateValues" dxfId="22173" priority="22186"/>
    <cfRule type="duplicateValues" dxfId="22172" priority="22185"/>
    <cfRule type="duplicateValues" dxfId="22171" priority="22184"/>
    <cfRule type="duplicateValues" dxfId="22170" priority="22183"/>
    <cfRule type="duplicateValues" dxfId="22169" priority="22182"/>
    <cfRule type="duplicateValues" dxfId="22168" priority="22181"/>
    <cfRule type="duplicateValues" dxfId="22167" priority="22180"/>
    <cfRule type="duplicateValues" dxfId="22166" priority="22179"/>
    <cfRule type="duplicateValues" dxfId="22165" priority="22178"/>
    <cfRule type="duplicateValues" dxfId="22164" priority="22177"/>
    <cfRule type="duplicateValues" dxfId="22163" priority="22176"/>
    <cfRule type="duplicateValues" dxfId="22162" priority="22175"/>
    <cfRule type="duplicateValues" dxfId="22161" priority="22174"/>
    <cfRule type="duplicateValues" dxfId="22160" priority="22173"/>
    <cfRule type="duplicateValues" dxfId="22159" priority="22172"/>
    <cfRule type="duplicateValues" dxfId="22158" priority="22171"/>
  </conditionalFormatting>
  <conditionalFormatting sqref="B193">
    <cfRule type="duplicateValues" dxfId="22157" priority="21983"/>
    <cfRule type="duplicateValues" dxfId="22156" priority="21982"/>
    <cfRule type="duplicateValues" dxfId="22155" priority="21981"/>
    <cfRule type="duplicateValues" dxfId="22154" priority="22100"/>
    <cfRule type="duplicateValues" dxfId="22153" priority="22166"/>
    <cfRule type="duplicateValues" dxfId="22152" priority="22165"/>
    <cfRule type="duplicateValues" dxfId="22151" priority="22164"/>
    <cfRule type="duplicateValues" dxfId="22150" priority="22163"/>
    <cfRule type="duplicateValues" dxfId="22149" priority="22162"/>
    <cfRule type="duplicateValues" dxfId="22148" priority="22161"/>
    <cfRule type="duplicateValues" dxfId="22147" priority="22160"/>
    <cfRule type="duplicateValues" dxfId="22146" priority="22159"/>
    <cfRule type="duplicateValues" dxfId="22145" priority="22158"/>
    <cfRule type="duplicateValues" dxfId="22144" priority="22157"/>
    <cfRule type="duplicateValues" dxfId="22143" priority="22156"/>
    <cfRule type="duplicateValues" dxfId="22142" priority="22155"/>
    <cfRule type="duplicateValues" dxfId="22141" priority="22154"/>
    <cfRule type="duplicateValues" dxfId="22140" priority="22153"/>
    <cfRule type="duplicateValues" dxfId="22139" priority="22152"/>
    <cfRule type="duplicateValues" dxfId="22138" priority="22151"/>
    <cfRule type="duplicateValues" dxfId="22137" priority="22150"/>
    <cfRule type="duplicateValues" dxfId="22136" priority="22149"/>
    <cfRule type="duplicateValues" dxfId="22135" priority="22148"/>
    <cfRule type="duplicateValues" dxfId="22134" priority="22147"/>
    <cfRule type="duplicateValues" dxfId="22133" priority="22146"/>
    <cfRule type="duplicateValues" dxfId="22132" priority="22145"/>
    <cfRule type="duplicateValues" dxfId="22131" priority="22144"/>
    <cfRule type="duplicateValues" dxfId="22130" priority="22143"/>
    <cfRule type="duplicateValues" dxfId="22129" priority="22142"/>
    <cfRule type="duplicateValues" dxfId="22128" priority="22141"/>
    <cfRule type="duplicateValues" dxfId="22127" priority="22140"/>
    <cfRule type="duplicateValues" dxfId="22126" priority="22139"/>
    <cfRule type="duplicateValues" dxfId="22125" priority="22138"/>
    <cfRule type="duplicateValues" dxfId="22124" priority="22137"/>
    <cfRule type="duplicateValues" dxfId="22123" priority="22136"/>
    <cfRule type="duplicateValues" dxfId="22122" priority="22135"/>
    <cfRule type="duplicateValues" dxfId="22121" priority="22134"/>
    <cfRule type="duplicateValues" dxfId="22120" priority="22133"/>
    <cfRule type="duplicateValues" dxfId="22119" priority="22132"/>
    <cfRule type="duplicateValues" dxfId="22118" priority="22131"/>
    <cfRule type="duplicateValues" dxfId="22117" priority="22130"/>
    <cfRule type="duplicateValues" dxfId="22116" priority="22129"/>
    <cfRule type="duplicateValues" dxfId="22115" priority="22128"/>
    <cfRule type="duplicateValues" dxfId="22114" priority="22127"/>
    <cfRule type="duplicateValues" dxfId="22113" priority="22126"/>
    <cfRule type="duplicateValues" dxfId="22112" priority="22125"/>
    <cfRule type="duplicateValues" dxfId="22111" priority="22124"/>
    <cfRule type="duplicateValues" dxfId="22110" priority="22123"/>
    <cfRule type="duplicateValues" dxfId="22109" priority="22122"/>
    <cfRule type="duplicateValues" dxfId="22108" priority="22121"/>
    <cfRule type="duplicateValues" dxfId="22107" priority="22120"/>
    <cfRule type="duplicateValues" dxfId="22106" priority="22119"/>
    <cfRule type="duplicateValues" dxfId="22105" priority="22118"/>
    <cfRule type="duplicateValues" dxfId="22104" priority="22117"/>
    <cfRule type="duplicateValues" dxfId="22103" priority="22116"/>
    <cfRule type="duplicateValues" dxfId="22102" priority="22115"/>
    <cfRule type="duplicateValues" dxfId="22101" priority="22114"/>
    <cfRule type="duplicateValues" dxfId="22100" priority="22113"/>
    <cfRule type="duplicateValues" dxfId="22099" priority="22112"/>
    <cfRule type="duplicateValues" dxfId="22098" priority="22111"/>
    <cfRule type="duplicateValues" dxfId="22097" priority="22110"/>
    <cfRule type="duplicateValues" dxfId="22096" priority="22109"/>
    <cfRule type="duplicateValues" dxfId="22095" priority="22108"/>
    <cfRule type="duplicateValues" dxfId="22094" priority="22107"/>
    <cfRule type="duplicateValues" dxfId="22093" priority="22106"/>
    <cfRule type="duplicateValues" dxfId="22092" priority="22105"/>
    <cfRule type="duplicateValues" dxfId="22091" priority="22104"/>
    <cfRule type="duplicateValues" dxfId="22090" priority="22103"/>
    <cfRule type="duplicateValues" dxfId="22089" priority="22102"/>
    <cfRule type="duplicateValues" dxfId="22088" priority="22101"/>
    <cfRule type="duplicateValues" dxfId="22087" priority="21980"/>
    <cfRule type="duplicateValues" dxfId="22086" priority="22099"/>
    <cfRule type="duplicateValues" dxfId="22085" priority="22098"/>
    <cfRule type="duplicateValues" dxfId="22084" priority="22097"/>
    <cfRule type="duplicateValues" dxfId="22083" priority="22096"/>
    <cfRule type="duplicateValues" dxfId="22082" priority="22095"/>
    <cfRule type="duplicateValues" dxfId="22081" priority="22094"/>
    <cfRule type="duplicateValues" dxfId="22080" priority="22093"/>
    <cfRule type="duplicateValues" dxfId="22079" priority="22092"/>
    <cfRule type="duplicateValues" dxfId="22078" priority="22091"/>
    <cfRule type="duplicateValues" dxfId="22077" priority="22090"/>
    <cfRule type="duplicateValues" dxfId="22076" priority="22089"/>
    <cfRule type="duplicateValues" dxfId="22075" priority="22088"/>
    <cfRule type="duplicateValues" dxfId="22074" priority="22087"/>
    <cfRule type="duplicateValues" dxfId="22073" priority="22086"/>
    <cfRule type="duplicateValues" dxfId="22072" priority="22085"/>
    <cfRule type="duplicateValues" dxfId="22071" priority="22084"/>
    <cfRule type="duplicateValues" dxfId="22070" priority="22083"/>
    <cfRule type="duplicateValues" dxfId="22069" priority="22082"/>
    <cfRule type="duplicateValues" dxfId="22068" priority="22081"/>
    <cfRule type="duplicateValues" dxfId="22067" priority="22080"/>
    <cfRule type="duplicateValues" dxfId="22066" priority="22079"/>
    <cfRule type="duplicateValues" dxfId="22065" priority="22078"/>
    <cfRule type="duplicateValues" dxfId="22064" priority="22077"/>
    <cfRule type="duplicateValues" dxfId="22063" priority="22076"/>
    <cfRule type="duplicateValues" dxfId="22062" priority="22075"/>
    <cfRule type="duplicateValues" dxfId="22061" priority="22074"/>
    <cfRule type="duplicateValues" dxfId="22060" priority="22073"/>
    <cfRule type="duplicateValues" dxfId="22059" priority="22072"/>
    <cfRule type="duplicateValues" dxfId="22058" priority="22071"/>
    <cfRule type="duplicateValues" dxfId="22057" priority="22070"/>
    <cfRule type="duplicateValues" dxfId="22056" priority="22069"/>
    <cfRule type="duplicateValues" dxfId="22055" priority="22068"/>
    <cfRule type="duplicateValues" dxfId="22054" priority="22067"/>
    <cfRule type="duplicateValues" dxfId="22053" priority="22066"/>
    <cfRule type="duplicateValues" dxfId="22052" priority="22065"/>
    <cfRule type="duplicateValues" dxfId="22051" priority="22064"/>
    <cfRule type="duplicateValues" dxfId="22050" priority="22063"/>
    <cfRule type="duplicateValues" dxfId="22049" priority="22062"/>
    <cfRule type="duplicateValues" dxfId="22048" priority="22061"/>
    <cfRule type="duplicateValues" dxfId="22047" priority="22060"/>
    <cfRule type="duplicateValues" dxfId="22046" priority="22059"/>
    <cfRule type="duplicateValues" dxfId="22045" priority="22058"/>
    <cfRule type="duplicateValues" dxfId="22044" priority="22057"/>
    <cfRule type="duplicateValues" dxfId="22043" priority="22056"/>
    <cfRule type="duplicateValues" dxfId="22042" priority="22055"/>
    <cfRule type="duplicateValues" dxfId="22041" priority="22054"/>
    <cfRule type="duplicateValues" dxfId="22040" priority="22053"/>
    <cfRule type="duplicateValues" dxfId="22039" priority="22052"/>
    <cfRule type="duplicateValues" dxfId="22038" priority="22051"/>
    <cfRule type="duplicateValues" dxfId="22037" priority="22050"/>
    <cfRule type="duplicateValues" dxfId="22036" priority="22049"/>
    <cfRule type="duplicateValues" dxfId="22035" priority="22048"/>
    <cfRule type="duplicateValues" dxfId="22034" priority="22047"/>
    <cfRule type="duplicateValues" dxfId="22033" priority="22046"/>
    <cfRule type="duplicateValues" dxfId="22032" priority="22045"/>
    <cfRule type="duplicateValues" dxfId="22031" priority="22044"/>
    <cfRule type="duplicateValues" dxfId="22030" priority="22043"/>
    <cfRule type="duplicateValues" dxfId="22029" priority="22042"/>
    <cfRule type="duplicateValues" dxfId="22028" priority="22041"/>
    <cfRule type="duplicateValues" dxfId="22027" priority="22040"/>
    <cfRule type="duplicateValues" dxfId="22026" priority="22039"/>
    <cfRule type="duplicateValues" dxfId="22025" priority="22038"/>
    <cfRule type="duplicateValues" dxfId="22024" priority="22037"/>
    <cfRule type="duplicateValues" dxfId="22023" priority="22036"/>
    <cfRule type="duplicateValues" dxfId="22022" priority="22035"/>
    <cfRule type="duplicateValues" dxfId="22021" priority="22034"/>
    <cfRule type="duplicateValues" dxfId="22020" priority="22033"/>
    <cfRule type="duplicateValues" dxfId="22019" priority="22032"/>
    <cfRule type="duplicateValues" dxfId="22018" priority="22031"/>
    <cfRule type="duplicateValues" dxfId="22017" priority="22030"/>
    <cfRule type="duplicateValues" dxfId="22016" priority="22029"/>
    <cfRule type="duplicateValues" dxfId="22015" priority="22028"/>
    <cfRule type="duplicateValues" dxfId="22014" priority="22027"/>
    <cfRule type="duplicateValues" dxfId="22013" priority="22026"/>
    <cfRule type="duplicateValues" dxfId="22012" priority="22025"/>
    <cfRule type="duplicateValues" dxfId="22011" priority="22024"/>
    <cfRule type="duplicateValues" dxfId="22010" priority="22023"/>
    <cfRule type="duplicateValues" dxfId="22009" priority="22022"/>
    <cfRule type="duplicateValues" dxfId="22008" priority="22021"/>
    <cfRule type="duplicateValues" dxfId="22007" priority="22020"/>
    <cfRule type="duplicateValues" dxfId="22006" priority="22019"/>
    <cfRule type="duplicateValues" dxfId="22005" priority="22018"/>
    <cfRule type="duplicateValues" dxfId="22004" priority="22017"/>
    <cfRule type="duplicateValues" dxfId="22003" priority="22016"/>
    <cfRule type="duplicateValues" dxfId="22002" priority="22015"/>
    <cfRule type="duplicateValues" dxfId="22001" priority="22014"/>
    <cfRule type="duplicateValues" dxfId="22000" priority="22013"/>
    <cfRule type="duplicateValues" dxfId="21999" priority="22012"/>
    <cfRule type="duplicateValues" dxfId="21998" priority="22011"/>
    <cfRule type="duplicateValues" dxfId="21997" priority="22010"/>
    <cfRule type="duplicateValues" dxfId="21996" priority="22009"/>
    <cfRule type="duplicateValues" dxfId="21995" priority="22008"/>
    <cfRule type="duplicateValues" dxfId="21994" priority="22007"/>
    <cfRule type="duplicateValues" dxfId="21993" priority="22006"/>
    <cfRule type="duplicateValues" dxfId="21992" priority="22005"/>
    <cfRule type="duplicateValues" dxfId="21991" priority="22004"/>
    <cfRule type="duplicateValues" dxfId="21990" priority="22003"/>
    <cfRule type="duplicateValues" dxfId="21989" priority="22002"/>
    <cfRule type="duplicateValues" dxfId="21988" priority="22001"/>
    <cfRule type="duplicateValues" dxfId="21987" priority="22000"/>
    <cfRule type="duplicateValues" dxfId="21986" priority="21999"/>
    <cfRule type="duplicateValues" dxfId="21985" priority="21998"/>
    <cfRule type="duplicateValues" dxfId="21984" priority="21997"/>
    <cfRule type="duplicateValues" dxfId="21983" priority="21996"/>
    <cfRule type="duplicateValues" dxfId="21982" priority="21995"/>
    <cfRule type="duplicateValues" dxfId="21981" priority="21994"/>
    <cfRule type="duplicateValues" dxfId="21980" priority="21993"/>
    <cfRule type="duplicateValues" dxfId="21979" priority="21992"/>
    <cfRule type="duplicateValues" dxfId="21978" priority="21991"/>
    <cfRule type="duplicateValues" dxfId="21977" priority="21990"/>
    <cfRule type="duplicateValues" dxfId="21976" priority="21989"/>
    <cfRule type="duplicateValues" dxfId="21975" priority="21988"/>
    <cfRule type="duplicateValues" dxfId="21974" priority="21987"/>
    <cfRule type="duplicateValues" dxfId="21973" priority="21986"/>
    <cfRule type="duplicateValues" dxfId="21972" priority="21985"/>
    <cfRule type="duplicateValues" dxfId="21971" priority="21984"/>
  </conditionalFormatting>
  <conditionalFormatting sqref="B194:B195">
    <cfRule type="duplicateValues" dxfId="21970" priority="21795"/>
    <cfRule type="duplicateValues" dxfId="21969" priority="21794"/>
    <cfRule type="duplicateValues" dxfId="21968" priority="21793"/>
    <cfRule type="duplicateValues" dxfId="21967" priority="21820"/>
    <cfRule type="duplicateValues" dxfId="21966" priority="21979"/>
    <cfRule type="duplicateValues" dxfId="21965" priority="21978"/>
    <cfRule type="duplicateValues" dxfId="21964" priority="21977"/>
    <cfRule type="duplicateValues" dxfId="21963" priority="21976"/>
    <cfRule type="duplicateValues" dxfId="21962" priority="21975"/>
    <cfRule type="duplicateValues" dxfId="21961" priority="21974"/>
    <cfRule type="duplicateValues" dxfId="21960" priority="21973"/>
    <cfRule type="duplicateValues" dxfId="21959" priority="21972"/>
    <cfRule type="duplicateValues" dxfId="21958" priority="21971"/>
    <cfRule type="duplicateValues" dxfId="21957" priority="21970"/>
    <cfRule type="duplicateValues" dxfId="21956" priority="21969"/>
    <cfRule type="duplicateValues" dxfId="21955" priority="21968"/>
    <cfRule type="duplicateValues" dxfId="21954" priority="21967"/>
    <cfRule type="duplicateValues" dxfId="21953" priority="21966"/>
    <cfRule type="duplicateValues" dxfId="21952" priority="21965"/>
    <cfRule type="duplicateValues" dxfId="21951" priority="21964"/>
    <cfRule type="duplicateValues" dxfId="21950" priority="21963"/>
    <cfRule type="duplicateValues" dxfId="21949" priority="21962"/>
    <cfRule type="duplicateValues" dxfId="21948" priority="21961"/>
    <cfRule type="duplicateValues" dxfId="21947" priority="21960"/>
    <cfRule type="duplicateValues" dxfId="21946" priority="21959"/>
    <cfRule type="duplicateValues" dxfId="21945" priority="21958"/>
    <cfRule type="duplicateValues" dxfId="21944" priority="21957"/>
    <cfRule type="duplicateValues" dxfId="21943" priority="21956"/>
    <cfRule type="duplicateValues" dxfId="21942" priority="21955"/>
    <cfRule type="duplicateValues" dxfId="21941" priority="21954"/>
    <cfRule type="duplicateValues" dxfId="21940" priority="21953"/>
    <cfRule type="duplicateValues" dxfId="21939" priority="21952"/>
    <cfRule type="duplicateValues" dxfId="21938" priority="21951"/>
    <cfRule type="duplicateValues" dxfId="21937" priority="21950"/>
    <cfRule type="duplicateValues" dxfId="21936" priority="21949"/>
    <cfRule type="duplicateValues" dxfId="21935" priority="21948"/>
    <cfRule type="duplicateValues" dxfId="21934" priority="21947"/>
    <cfRule type="duplicateValues" dxfId="21933" priority="21946"/>
    <cfRule type="duplicateValues" dxfId="21932" priority="21945"/>
    <cfRule type="duplicateValues" dxfId="21931" priority="21944"/>
    <cfRule type="duplicateValues" dxfId="21930" priority="21943"/>
    <cfRule type="duplicateValues" dxfId="21929" priority="21942"/>
    <cfRule type="duplicateValues" dxfId="21928" priority="21941"/>
    <cfRule type="duplicateValues" dxfId="21927" priority="21940"/>
    <cfRule type="duplicateValues" dxfId="21926" priority="21939"/>
    <cfRule type="duplicateValues" dxfId="21925" priority="21938"/>
    <cfRule type="duplicateValues" dxfId="21924" priority="21937"/>
    <cfRule type="duplicateValues" dxfId="21923" priority="21936"/>
    <cfRule type="duplicateValues" dxfId="21922" priority="21935"/>
    <cfRule type="duplicateValues" dxfId="21921" priority="21934"/>
    <cfRule type="duplicateValues" dxfId="21920" priority="21933"/>
    <cfRule type="duplicateValues" dxfId="21919" priority="21932"/>
    <cfRule type="duplicateValues" dxfId="21918" priority="21931"/>
    <cfRule type="duplicateValues" dxfId="21917" priority="21930"/>
    <cfRule type="duplicateValues" dxfId="21916" priority="21929"/>
    <cfRule type="duplicateValues" dxfId="21915" priority="21928"/>
    <cfRule type="duplicateValues" dxfId="21914" priority="21927"/>
    <cfRule type="duplicateValues" dxfId="21913" priority="21926"/>
    <cfRule type="duplicateValues" dxfId="21912" priority="21925"/>
    <cfRule type="duplicateValues" dxfId="21911" priority="21924"/>
    <cfRule type="duplicateValues" dxfId="21910" priority="21923"/>
    <cfRule type="duplicateValues" dxfId="21909" priority="21922"/>
    <cfRule type="duplicateValues" dxfId="21908" priority="21921"/>
    <cfRule type="duplicateValues" dxfId="21907" priority="21920"/>
    <cfRule type="duplicateValues" dxfId="21906" priority="21919"/>
    <cfRule type="duplicateValues" dxfId="21905" priority="21918"/>
    <cfRule type="duplicateValues" dxfId="21904" priority="21917"/>
    <cfRule type="duplicateValues" dxfId="21903" priority="21916"/>
    <cfRule type="duplicateValues" dxfId="21902" priority="21915"/>
    <cfRule type="duplicateValues" dxfId="21901" priority="21914"/>
    <cfRule type="duplicateValues" dxfId="21900" priority="21913"/>
    <cfRule type="duplicateValues" dxfId="21899" priority="21912"/>
    <cfRule type="duplicateValues" dxfId="21898" priority="21911"/>
    <cfRule type="duplicateValues" dxfId="21897" priority="21910"/>
    <cfRule type="duplicateValues" dxfId="21896" priority="21909"/>
    <cfRule type="duplicateValues" dxfId="21895" priority="21908"/>
    <cfRule type="duplicateValues" dxfId="21894" priority="21907"/>
    <cfRule type="duplicateValues" dxfId="21893" priority="21906"/>
    <cfRule type="duplicateValues" dxfId="21892" priority="21905"/>
    <cfRule type="duplicateValues" dxfId="21891" priority="21904"/>
    <cfRule type="duplicateValues" dxfId="21890" priority="21903"/>
    <cfRule type="duplicateValues" dxfId="21889" priority="21902"/>
    <cfRule type="duplicateValues" dxfId="21888" priority="21901"/>
    <cfRule type="duplicateValues" dxfId="21887" priority="21900"/>
    <cfRule type="duplicateValues" dxfId="21886" priority="21899"/>
    <cfRule type="duplicateValues" dxfId="21885" priority="21898"/>
    <cfRule type="duplicateValues" dxfId="21884" priority="21897"/>
    <cfRule type="duplicateValues" dxfId="21883" priority="21896"/>
    <cfRule type="duplicateValues" dxfId="21882" priority="21895"/>
    <cfRule type="duplicateValues" dxfId="21881" priority="21894"/>
    <cfRule type="duplicateValues" dxfId="21880" priority="21893"/>
    <cfRule type="duplicateValues" dxfId="21879" priority="21892"/>
    <cfRule type="duplicateValues" dxfId="21878" priority="21891"/>
    <cfRule type="duplicateValues" dxfId="21877" priority="21890"/>
    <cfRule type="duplicateValues" dxfId="21876" priority="21889"/>
    <cfRule type="duplicateValues" dxfId="21875" priority="21888"/>
    <cfRule type="duplicateValues" dxfId="21874" priority="21887"/>
    <cfRule type="duplicateValues" dxfId="21873" priority="21886"/>
    <cfRule type="duplicateValues" dxfId="21872" priority="21885"/>
    <cfRule type="duplicateValues" dxfId="21871" priority="21884"/>
    <cfRule type="duplicateValues" dxfId="21870" priority="21883"/>
    <cfRule type="duplicateValues" dxfId="21869" priority="21882"/>
    <cfRule type="duplicateValues" dxfId="21868" priority="21881"/>
    <cfRule type="duplicateValues" dxfId="21867" priority="21880"/>
    <cfRule type="duplicateValues" dxfId="21866" priority="21879"/>
    <cfRule type="duplicateValues" dxfId="21865" priority="21878"/>
    <cfRule type="duplicateValues" dxfId="21864" priority="21877"/>
    <cfRule type="duplicateValues" dxfId="21863" priority="21876"/>
    <cfRule type="duplicateValues" dxfId="21862" priority="21875"/>
    <cfRule type="duplicateValues" dxfId="21861" priority="21874"/>
    <cfRule type="duplicateValues" dxfId="21860" priority="21873"/>
    <cfRule type="duplicateValues" dxfId="21859" priority="21872"/>
    <cfRule type="duplicateValues" dxfId="21858" priority="21871"/>
    <cfRule type="duplicateValues" dxfId="21857" priority="21870"/>
    <cfRule type="duplicateValues" dxfId="21856" priority="21869"/>
    <cfRule type="duplicateValues" dxfId="21855" priority="21868"/>
    <cfRule type="duplicateValues" dxfId="21854" priority="21867"/>
    <cfRule type="duplicateValues" dxfId="21853" priority="21866"/>
    <cfRule type="duplicateValues" dxfId="21852" priority="21865"/>
    <cfRule type="duplicateValues" dxfId="21851" priority="21864"/>
    <cfRule type="duplicateValues" dxfId="21850" priority="21863"/>
    <cfRule type="duplicateValues" dxfId="21849" priority="21862"/>
    <cfRule type="duplicateValues" dxfId="21848" priority="21861"/>
    <cfRule type="duplicateValues" dxfId="21847" priority="21860"/>
    <cfRule type="duplicateValues" dxfId="21846" priority="21859"/>
    <cfRule type="duplicateValues" dxfId="21845" priority="21858"/>
    <cfRule type="duplicateValues" dxfId="21844" priority="21857"/>
    <cfRule type="duplicateValues" dxfId="21843" priority="21856"/>
    <cfRule type="duplicateValues" dxfId="21842" priority="21855"/>
    <cfRule type="duplicateValues" dxfId="21841" priority="21854"/>
    <cfRule type="duplicateValues" dxfId="21840" priority="21853"/>
    <cfRule type="duplicateValues" dxfId="21839" priority="21852"/>
    <cfRule type="duplicateValues" dxfId="21838" priority="21851"/>
    <cfRule type="duplicateValues" dxfId="21837" priority="21850"/>
    <cfRule type="duplicateValues" dxfId="21836" priority="21849"/>
    <cfRule type="duplicateValues" dxfId="21835" priority="21848"/>
    <cfRule type="duplicateValues" dxfId="21834" priority="21847"/>
    <cfRule type="duplicateValues" dxfId="21833" priority="21846"/>
    <cfRule type="duplicateValues" dxfId="21832" priority="21845"/>
    <cfRule type="duplicateValues" dxfId="21831" priority="21844"/>
    <cfRule type="duplicateValues" dxfId="21830" priority="21843"/>
    <cfRule type="duplicateValues" dxfId="21829" priority="21842"/>
    <cfRule type="duplicateValues" dxfId="21828" priority="21841"/>
    <cfRule type="duplicateValues" dxfId="21827" priority="21840"/>
    <cfRule type="duplicateValues" dxfId="21826" priority="21839"/>
    <cfRule type="duplicateValues" dxfId="21825" priority="21838"/>
    <cfRule type="duplicateValues" dxfId="21824" priority="21837"/>
    <cfRule type="duplicateValues" dxfId="21823" priority="21836"/>
    <cfRule type="duplicateValues" dxfId="21822" priority="21835"/>
    <cfRule type="duplicateValues" dxfId="21821" priority="21834"/>
    <cfRule type="duplicateValues" dxfId="21820" priority="21833"/>
    <cfRule type="duplicateValues" dxfId="21819" priority="21832"/>
    <cfRule type="duplicateValues" dxfId="21818" priority="21831"/>
    <cfRule type="duplicateValues" dxfId="21817" priority="21830"/>
    <cfRule type="duplicateValues" dxfId="21816" priority="21829"/>
    <cfRule type="duplicateValues" dxfId="21815" priority="21828"/>
    <cfRule type="duplicateValues" dxfId="21814" priority="21827"/>
    <cfRule type="duplicateValues" dxfId="21813" priority="21826"/>
    <cfRule type="duplicateValues" dxfId="21812" priority="21825"/>
    <cfRule type="duplicateValues" dxfId="21811" priority="21824"/>
    <cfRule type="duplicateValues" dxfId="21810" priority="21823"/>
    <cfRule type="duplicateValues" dxfId="21809" priority="21822"/>
    <cfRule type="duplicateValues" dxfId="21808" priority="21821"/>
    <cfRule type="duplicateValues" dxfId="21807" priority="21819"/>
    <cfRule type="duplicateValues" dxfId="21806" priority="21818"/>
    <cfRule type="duplicateValues" dxfId="21805" priority="21817"/>
    <cfRule type="duplicateValues" dxfId="21804" priority="21816"/>
    <cfRule type="duplicateValues" dxfId="21803" priority="21815"/>
    <cfRule type="duplicateValues" dxfId="21802" priority="21814"/>
    <cfRule type="duplicateValues" dxfId="21801" priority="21813"/>
    <cfRule type="duplicateValues" dxfId="21800" priority="21812"/>
    <cfRule type="duplicateValues" dxfId="21799" priority="21811"/>
    <cfRule type="duplicateValues" dxfId="21798" priority="21810"/>
    <cfRule type="duplicateValues" dxfId="21797" priority="21809"/>
    <cfRule type="duplicateValues" dxfId="21796" priority="21808"/>
    <cfRule type="duplicateValues" dxfId="21795" priority="21807"/>
    <cfRule type="duplicateValues" dxfId="21794" priority="21806"/>
    <cfRule type="duplicateValues" dxfId="21793" priority="21805"/>
    <cfRule type="duplicateValues" dxfId="21792" priority="21804"/>
    <cfRule type="duplicateValues" dxfId="21791" priority="21803"/>
    <cfRule type="duplicateValues" dxfId="21790" priority="21802"/>
    <cfRule type="duplicateValues" dxfId="21789" priority="21801"/>
    <cfRule type="duplicateValues" dxfId="21788" priority="21800"/>
    <cfRule type="duplicateValues" dxfId="21787" priority="21799"/>
    <cfRule type="duplicateValues" dxfId="21786" priority="21798"/>
    <cfRule type="duplicateValues" dxfId="21785" priority="21797"/>
    <cfRule type="duplicateValues" dxfId="21784" priority="21796"/>
  </conditionalFormatting>
  <conditionalFormatting sqref="B196">
    <cfRule type="duplicateValues" dxfId="21783" priority="21750"/>
    <cfRule type="duplicateValues" dxfId="21782" priority="21609"/>
    <cfRule type="duplicateValues" dxfId="21781" priority="21608"/>
    <cfRule type="duplicateValues" dxfId="21780" priority="21607"/>
    <cfRule type="duplicateValues" dxfId="21779" priority="21792"/>
    <cfRule type="duplicateValues" dxfId="21778" priority="21791"/>
    <cfRule type="duplicateValues" dxfId="21777" priority="21790"/>
    <cfRule type="duplicateValues" dxfId="21776" priority="21789"/>
    <cfRule type="duplicateValues" dxfId="21775" priority="21788"/>
    <cfRule type="duplicateValues" dxfId="21774" priority="21787"/>
    <cfRule type="duplicateValues" dxfId="21773" priority="21786"/>
    <cfRule type="duplicateValues" dxfId="21772" priority="21785"/>
    <cfRule type="duplicateValues" dxfId="21771" priority="21784"/>
    <cfRule type="duplicateValues" dxfId="21770" priority="21783"/>
    <cfRule type="duplicateValues" dxfId="21769" priority="21782"/>
    <cfRule type="duplicateValues" dxfId="21768" priority="21781"/>
    <cfRule type="duplicateValues" dxfId="21767" priority="21780"/>
    <cfRule type="duplicateValues" dxfId="21766" priority="21779"/>
    <cfRule type="duplicateValues" dxfId="21765" priority="21778"/>
    <cfRule type="duplicateValues" dxfId="21764" priority="21777"/>
    <cfRule type="duplicateValues" dxfId="21763" priority="21776"/>
    <cfRule type="duplicateValues" dxfId="21762" priority="21775"/>
    <cfRule type="duplicateValues" dxfId="21761" priority="21774"/>
    <cfRule type="duplicateValues" dxfId="21760" priority="21773"/>
    <cfRule type="duplicateValues" dxfId="21759" priority="21772"/>
    <cfRule type="duplicateValues" dxfId="21758" priority="21771"/>
    <cfRule type="duplicateValues" dxfId="21757" priority="21770"/>
    <cfRule type="duplicateValues" dxfId="21756" priority="21769"/>
    <cfRule type="duplicateValues" dxfId="21755" priority="21768"/>
    <cfRule type="duplicateValues" dxfId="21754" priority="21767"/>
    <cfRule type="duplicateValues" dxfId="21753" priority="21766"/>
    <cfRule type="duplicateValues" dxfId="21752" priority="21765"/>
    <cfRule type="duplicateValues" dxfId="21751" priority="21764"/>
    <cfRule type="duplicateValues" dxfId="21750" priority="21763"/>
    <cfRule type="duplicateValues" dxfId="21749" priority="21762"/>
    <cfRule type="duplicateValues" dxfId="21748" priority="21761"/>
    <cfRule type="duplicateValues" dxfId="21747" priority="21760"/>
    <cfRule type="duplicateValues" dxfId="21746" priority="21759"/>
    <cfRule type="duplicateValues" dxfId="21745" priority="21758"/>
    <cfRule type="duplicateValues" dxfId="21744" priority="21757"/>
    <cfRule type="duplicateValues" dxfId="21743" priority="21756"/>
    <cfRule type="duplicateValues" dxfId="21742" priority="21755"/>
    <cfRule type="duplicateValues" dxfId="21741" priority="21754"/>
    <cfRule type="duplicateValues" dxfId="21740" priority="21753"/>
    <cfRule type="duplicateValues" dxfId="21739" priority="21752"/>
    <cfRule type="duplicateValues" dxfId="21738" priority="21751"/>
    <cfRule type="duplicateValues" dxfId="21737" priority="21704"/>
    <cfRule type="duplicateValues" dxfId="21736" priority="21749"/>
    <cfRule type="duplicateValues" dxfId="21735" priority="21748"/>
    <cfRule type="duplicateValues" dxfId="21734" priority="21747"/>
    <cfRule type="duplicateValues" dxfId="21733" priority="21746"/>
    <cfRule type="duplicateValues" dxfId="21732" priority="21745"/>
    <cfRule type="duplicateValues" dxfId="21731" priority="21744"/>
    <cfRule type="duplicateValues" dxfId="21730" priority="21743"/>
    <cfRule type="duplicateValues" dxfId="21729" priority="21742"/>
    <cfRule type="duplicateValues" dxfId="21728" priority="21741"/>
    <cfRule type="duplicateValues" dxfId="21727" priority="21740"/>
    <cfRule type="duplicateValues" dxfId="21726" priority="21739"/>
    <cfRule type="duplicateValues" dxfId="21725" priority="21738"/>
    <cfRule type="duplicateValues" dxfId="21724" priority="21737"/>
    <cfRule type="duplicateValues" dxfId="21723" priority="21736"/>
    <cfRule type="duplicateValues" dxfId="21722" priority="21735"/>
    <cfRule type="duplicateValues" dxfId="21721" priority="21734"/>
    <cfRule type="duplicateValues" dxfId="21720" priority="21733"/>
    <cfRule type="duplicateValues" dxfId="21719" priority="21732"/>
    <cfRule type="duplicateValues" dxfId="21718" priority="21731"/>
    <cfRule type="duplicateValues" dxfId="21717" priority="21730"/>
    <cfRule type="duplicateValues" dxfId="21716" priority="21729"/>
    <cfRule type="duplicateValues" dxfId="21715" priority="21728"/>
    <cfRule type="duplicateValues" dxfId="21714" priority="21727"/>
    <cfRule type="duplicateValues" dxfId="21713" priority="21726"/>
    <cfRule type="duplicateValues" dxfId="21712" priority="21725"/>
    <cfRule type="duplicateValues" dxfId="21711" priority="21724"/>
    <cfRule type="duplicateValues" dxfId="21710" priority="21723"/>
    <cfRule type="duplicateValues" dxfId="21709" priority="21722"/>
    <cfRule type="duplicateValues" dxfId="21708" priority="21721"/>
    <cfRule type="duplicateValues" dxfId="21707" priority="21720"/>
    <cfRule type="duplicateValues" dxfId="21706" priority="21719"/>
    <cfRule type="duplicateValues" dxfId="21705" priority="21718"/>
    <cfRule type="duplicateValues" dxfId="21704" priority="21717"/>
    <cfRule type="duplicateValues" dxfId="21703" priority="21716"/>
    <cfRule type="duplicateValues" dxfId="21702" priority="21715"/>
    <cfRule type="duplicateValues" dxfId="21701" priority="21714"/>
    <cfRule type="duplicateValues" dxfId="21700" priority="21713"/>
    <cfRule type="duplicateValues" dxfId="21699" priority="21712"/>
    <cfRule type="duplicateValues" dxfId="21698" priority="21711"/>
    <cfRule type="duplicateValues" dxfId="21697" priority="21710"/>
    <cfRule type="duplicateValues" dxfId="21696" priority="21709"/>
    <cfRule type="duplicateValues" dxfId="21695" priority="21708"/>
    <cfRule type="duplicateValues" dxfId="21694" priority="21707"/>
    <cfRule type="duplicateValues" dxfId="21693" priority="21706"/>
    <cfRule type="duplicateValues" dxfId="21692" priority="21705"/>
    <cfRule type="duplicateValues" dxfId="21691" priority="21606"/>
    <cfRule type="duplicateValues" dxfId="21690" priority="21703"/>
    <cfRule type="duplicateValues" dxfId="21689" priority="21702"/>
    <cfRule type="duplicateValues" dxfId="21688" priority="21701"/>
    <cfRule type="duplicateValues" dxfId="21687" priority="21700"/>
    <cfRule type="duplicateValues" dxfId="21686" priority="21699"/>
    <cfRule type="duplicateValues" dxfId="21685" priority="21698"/>
    <cfRule type="duplicateValues" dxfId="21684" priority="21697"/>
    <cfRule type="duplicateValues" dxfId="21683" priority="21696"/>
    <cfRule type="duplicateValues" dxfId="21682" priority="21695"/>
    <cfRule type="duplicateValues" dxfId="21681" priority="21694"/>
    <cfRule type="duplicateValues" dxfId="21680" priority="21693"/>
    <cfRule type="duplicateValues" dxfId="21679" priority="21692"/>
    <cfRule type="duplicateValues" dxfId="21678" priority="21691"/>
    <cfRule type="duplicateValues" dxfId="21677" priority="21690"/>
    <cfRule type="duplicateValues" dxfId="21676" priority="21689"/>
    <cfRule type="duplicateValues" dxfId="21675" priority="21688"/>
    <cfRule type="duplicateValues" dxfId="21674" priority="21687"/>
    <cfRule type="duplicateValues" dxfId="21673" priority="21686"/>
    <cfRule type="duplicateValues" dxfId="21672" priority="21685"/>
    <cfRule type="duplicateValues" dxfId="21671" priority="21684"/>
    <cfRule type="duplicateValues" dxfId="21670" priority="21683"/>
    <cfRule type="duplicateValues" dxfId="21669" priority="21682"/>
    <cfRule type="duplicateValues" dxfId="21668" priority="21681"/>
    <cfRule type="duplicateValues" dxfId="21667" priority="21680"/>
    <cfRule type="duplicateValues" dxfId="21666" priority="21679"/>
    <cfRule type="duplicateValues" dxfId="21665" priority="21678"/>
    <cfRule type="duplicateValues" dxfId="21664" priority="21677"/>
    <cfRule type="duplicateValues" dxfId="21663" priority="21676"/>
    <cfRule type="duplicateValues" dxfId="21662" priority="21675"/>
    <cfRule type="duplicateValues" dxfId="21661" priority="21674"/>
    <cfRule type="duplicateValues" dxfId="21660" priority="21673"/>
    <cfRule type="duplicateValues" dxfId="21659" priority="21672"/>
    <cfRule type="duplicateValues" dxfId="21658" priority="21671"/>
    <cfRule type="duplicateValues" dxfId="21657" priority="21670"/>
    <cfRule type="duplicateValues" dxfId="21656" priority="21669"/>
    <cfRule type="duplicateValues" dxfId="21655" priority="21668"/>
    <cfRule type="duplicateValues" dxfId="21654" priority="21667"/>
    <cfRule type="duplicateValues" dxfId="21653" priority="21666"/>
    <cfRule type="duplicateValues" dxfId="21652" priority="21665"/>
    <cfRule type="duplicateValues" dxfId="21651" priority="21664"/>
    <cfRule type="duplicateValues" dxfId="21650" priority="21663"/>
    <cfRule type="duplicateValues" dxfId="21649" priority="21662"/>
    <cfRule type="duplicateValues" dxfId="21648" priority="21661"/>
    <cfRule type="duplicateValues" dxfId="21647" priority="21660"/>
    <cfRule type="duplicateValues" dxfId="21646" priority="21659"/>
    <cfRule type="duplicateValues" dxfId="21645" priority="21658"/>
    <cfRule type="duplicateValues" dxfId="21644" priority="21657"/>
    <cfRule type="duplicateValues" dxfId="21643" priority="21656"/>
    <cfRule type="duplicateValues" dxfId="21642" priority="21655"/>
    <cfRule type="duplicateValues" dxfId="21641" priority="21654"/>
    <cfRule type="duplicateValues" dxfId="21640" priority="21653"/>
    <cfRule type="duplicateValues" dxfId="21639" priority="21652"/>
    <cfRule type="duplicateValues" dxfId="21638" priority="21651"/>
    <cfRule type="duplicateValues" dxfId="21637" priority="21650"/>
    <cfRule type="duplicateValues" dxfId="21636" priority="21649"/>
    <cfRule type="duplicateValues" dxfId="21635" priority="21648"/>
    <cfRule type="duplicateValues" dxfId="21634" priority="21647"/>
    <cfRule type="duplicateValues" dxfId="21633" priority="21646"/>
    <cfRule type="duplicateValues" dxfId="21632" priority="21645"/>
    <cfRule type="duplicateValues" dxfId="21631" priority="21644"/>
    <cfRule type="duplicateValues" dxfId="21630" priority="21643"/>
    <cfRule type="duplicateValues" dxfId="21629" priority="21642"/>
    <cfRule type="duplicateValues" dxfId="21628" priority="21641"/>
    <cfRule type="duplicateValues" dxfId="21627" priority="21640"/>
    <cfRule type="duplicateValues" dxfId="21626" priority="21639"/>
    <cfRule type="duplicateValues" dxfId="21625" priority="21638"/>
    <cfRule type="duplicateValues" dxfId="21624" priority="21637"/>
    <cfRule type="duplicateValues" dxfId="21623" priority="21636"/>
    <cfRule type="duplicateValues" dxfId="21622" priority="21635"/>
    <cfRule type="duplicateValues" dxfId="21621" priority="21634"/>
    <cfRule type="duplicateValues" dxfId="21620" priority="21633"/>
    <cfRule type="duplicateValues" dxfId="21619" priority="21632"/>
    <cfRule type="duplicateValues" dxfId="21618" priority="21631"/>
    <cfRule type="duplicateValues" dxfId="21617" priority="21630"/>
    <cfRule type="duplicateValues" dxfId="21616" priority="21629"/>
    <cfRule type="duplicateValues" dxfId="21615" priority="21628"/>
    <cfRule type="duplicateValues" dxfId="21614" priority="21627"/>
    <cfRule type="duplicateValues" dxfId="21613" priority="21626"/>
    <cfRule type="duplicateValues" dxfId="21612" priority="21625"/>
    <cfRule type="duplicateValues" dxfId="21611" priority="21624"/>
    <cfRule type="duplicateValues" dxfId="21610" priority="21623"/>
    <cfRule type="duplicateValues" dxfId="21609" priority="21622"/>
    <cfRule type="duplicateValues" dxfId="21608" priority="21621"/>
    <cfRule type="duplicateValues" dxfId="21607" priority="21620"/>
    <cfRule type="duplicateValues" dxfId="21606" priority="21619"/>
    <cfRule type="duplicateValues" dxfId="21605" priority="21618"/>
    <cfRule type="duplicateValues" dxfId="21604" priority="21617"/>
    <cfRule type="duplicateValues" dxfId="21603" priority="21616"/>
    <cfRule type="duplicateValues" dxfId="21602" priority="21615"/>
    <cfRule type="duplicateValues" dxfId="21601" priority="21614"/>
    <cfRule type="duplicateValues" dxfId="21600" priority="21613"/>
    <cfRule type="duplicateValues" dxfId="21599" priority="21612"/>
    <cfRule type="duplicateValues" dxfId="21598" priority="21611"/>
    <cfRule type="duplicateValues" dxfId="21597" priority="21610"/>
  </conditionalFormatting>
  <conditionalFormatting sqref="B197">
    <cfRule type="duplicateValues" dxfId="21596" priority="21421"/>
    <cfRule type="duplicateValues" dxfId="21595" priority="21420"/>
    <cfRule type="duplicateValues" dxfId="21594" priority="21419"/>
    <cfRule type="duplicateValues" dxfId="21593" priority="21422"/>
    <cfRule type="duplicateValues" dxfId="21592" priority="21605"/>
    <cfRule type="duplicateValues" dxfId="21591" priority="21604"/>
    <cfRule type="duplicateValues" dxfId="21590" priority="21603"/>
    <cfRule type="duplicateValues" dxfId="21589" priority="21602"/>
    <cfRule type="duplicateValues" dxfId="21588" priority="21601"/>
    <cfRule type="duplicateValues" dxfId="21587" priority="21600"/>
    <cfRule type="duplicateValues" dxfId="21586" priority="21599"/>
    <cfRule type="duplicateValues" dxfId="21585" priority="21598"/>
    <cfRule type="duplicateValues" dxfId="21584" priority="21597"/>
    <cfRule type="duplicateValues" dxfId="21583" priority="21596"/>
    <cfRule type="duplicateValues" dxfId="21582" priority="21595"/>
    <cfRule type="duplicateValues" dxfId="21581" priority="21594"/>
    <cfRule type="duplicateValues" dxfId="21580" priority="21593"/>
    <cfRule type="duplicateValues" dxfId="21579" priority="21592"/>
    <cfRule type="duplicateValues" dxfId="21578" priority="21591"/>
    <cfRule type="duplicateValues" dxfId="21577" priority="21590"/>
    <cfRule type="duplicateValues" dxfId="21576" priority="21589"/>
    <cfRule type="duplicateValues" dxfId="21575" priority="21588"/>
    <cfRule type="duplicateValues" dxfId="21574" priority="21587"/>
    <cfRule type="duplicateValues" dxfId="21573" priority="21586"/>
    <cfRule type="duplicateValues" dxfId="21572" priority="21585"/>
    <cfRule type="duplicateValues" dxfId="21571" priority="21584"/>
    <cfRule type="duplicateValues" dxfId="21570" priority="21583"/>
    <cfRule type="duplicateValues" dxfId="21569" priority="21582"/>
    <cfRule type="duplicateValues" dxfId="21568" priority="21581"/>
    <cfRule type="duplicateValues" dxfId="21567" priority="21580"/>
    <cfRule type="duplicateValues" dxfId="21566" priority="21579"/>
    <cfRule type="duplicateValues" dxfId="21565" priority="21578"/>
    <cfRule type="duplicateValues" dxfId="21564" priority="21577"/>
    <cfRule type="duplicateValues" dxfId="21563" priority="21576"/>
    <cfRule type="duplicateValues" dxfId="21562" priority="21575"/>
    <cfRule type="duplicateValues" dxfId="21561" priority="21574"/>
    <cfRule type="duplicateValues" dxfId="21560" priority="21573"/>
    <cfRule type="duplicateValues" dxfId="21559" priority="21572"/>
    <cfRule type="duplicateValues" dxfId="21558" priority="21571"/>
    <cfRule type="duplicateValues" dxfId="21557" priority="21570"/>
    <cfRule type="duplicateValues" dxfId="21556" priority="21569"/>
    <cfRule type="duplicateValues" dxfId="21555" priority="21568"/>
    <cfRule type="duplicateValues" dxfId="21554" priority="21567"/>
    <cfRule type="duplicateValues" dxfId="21553" priority="21566"/>
    <cfRule type="duplicateValues" dxfId="21552" priority="21565"/>
    <cfRule type="duplicateValues" dxfId="21551" priority="21564"/>
    <cfRule type="duplicateValues" dxfId="21550" priority="21563"/>
    <cfRule type="duplicateValues" dxfId="21549" priority="21562"/>
    <cfRule type="duplicateValues" dxfId="21548" priority="21561"/>
    <cfRule type="duplicateValues" dxfId="21547" priority="21560"/>
    <cfRule type="duplicateValues" dxfId="21546" priority="21559"/>
    <cfRule type="duplicateValues" dxfId="21545" priority="21558"/>
    <cfRule type="duplicateValues" dxfId="21544" priority="21557"/>
    <cfRule type="duplicateValues" dxfId="21543" priority="21556"/>
    <cfRule type="duplicateValues" dxfId="21542" priority="21555"/>
    <cfRule type="duplicateValues" dxfId="21541" priority="21554"/>
    <cfRule type="duplicateValues" dxfId="21540" priority="21553"/>
    <cfRule type="duplicateValues" dxfId="21539" priority="21552"/>
    <cfRule type="duplicateValues" dxfId="21538" priority="21551"/>
    <cfRule type="duplicateValues" dxfId="21537" priority="21550"/>
    <cfRule type="duplicateValues" dxfId="21536" priority="21549"/>
    <cfRule type="duplicateValues" dxfId="21535" priority="21548"/>
    <cfRule type="duplicateValues" dxfId="21534" priority="21547"/>
    <cfRule type="duplicateValues" dxfId="21533" priority="21546"/>
    <cfRule type="duplicateValues" dxfId="21532" priority="21545"/>
    <cfRule type="duplicateValues" dxfId="21531" priority="21544"/>
    <cfRule type="duplicateValues" dxfId="21530" priority="21543"/>
    <cfRule type="duplicateValues" dxfId="21529" priority="21542"/>
    <cfRule type="duplicateValues" dxfId="21528" priority="21541"/>
    <cfRule type="duplicateValues" dxfId="21527" priority="21540"/>
    <cfRule type="duplicateValues" dxfId="21526" priority="21539"/>
    <cfRule type="duplicateValues" dxfId="21525" priority="21538"/>
    <cfRule type="duplicateValues" dxfId="21524" priority="21537"/>
    <cfRule type="duplicateValues" dxfId="21523" priority="21536"/>
    <cfRule type="duplicateValues" dxfId="21522" priority="21535"/>
    <cfRule type="duplicateValues" dxfId="21521" priority="21534"/>
    <cfRule type="duplicateValues" dxfId="21520" priority="21533"/>
    <cfRule type="duplicateValues" dxfId="21519" priority="21532"/>
    <cfRule type="duplicateValues" dxfId="21518" priority="21531"/>
    <cfRule type="duplicateValues" dxfId="21517" priority="21530"/>
    <cfRule type="duplicateValues" dxfId="21516" priority="21529"/>
    <cfRule type="duplicateValues" dxfId="21515" priority="21528"/>
    <cfRule type="duplicateValues" dxfId="21514" priority="21527"/>
    <cfRule type="duplicateValues" dxfId="21513" priority="21526"/>
    <cfRule type="duplicateValues" dxfId="21512" priority="21525"/>
    <cfRule type="duplicateValues" dxfId="21511" priority="21524"/>
    <cfRule type="duplicateValues" dxfId="21510" priority="21523"/>
    <cfRule type="duplicateValues" dxfId="21509" priority="21522"/>
    <cfRule type="duplicateValues" dxfId="21508" priority="21521"/>
    <cfRule type="duplicateValues" dxfId="21507" priority="21520"/>
    <cfRule type="duplicateValues" dxfId="21506" priority="21519"/>
    <cfRule type="duplicateValues" dxfId="21505" priority="21518"/>
    <cfRule type="duplicateValues" dxfId="21504" priority="21517"/>
    <cfRule type="duplicateValues" dxfId="21503" priority="21516"/>
    <cfRule type="duplicateValues" dxfId="21502" priority="21515"/>
    <cfRule type="duplicateValues" dxfId="21501" priority="21514"/>
    <cfRule type="duplicateValues" dxfId="21500" priority="21513"/>
    <cfRule type="duplicateValues" dxfId="21499" priority="21512"/>
    <cfRule type="duplicateValues" dxfId="21498" priority="21511"/>
    <cfRule type="duplicateValues" dxfId="21497" priority="21510"/>
    <cfRule type="duplicateValues" dxfId="21496" priority="21509"/>
    <cfRule type="duplicateValues" dxfId="21495" priority="21508"/>
    <cfRule type="duplicateValues" dxfId="21494" priority="21507"/>
    <cfRule type="duplicateValues" dxfId="21493" priority="21506"/>
    <cfRule type="duplicateValues" dxfId="21492" priority="21505"/>
    <cfRule type="duplicateValues" dxfId="21491" priority="21504"/>
    <cfRule type="duplicateValues" dxfId="21490" priority="21503"/>
    <cfRule type="duplicateValues" dxfId="21489" priority="21502"/>
    <cfRule type="duplicateValues" dxfId="21488" priority="21501"/>
    <cfRule type="duplicateValues" dxfId="21487" priority="21500"/>
    <cfRule type="duplicateValues" dxfId="21486" priority="21499"/>
    <cfRule type="duplicateValues" dxfId="21485" priority="21498"/>
    <cfRule type="duplicateValues" dxfId="21484" priority="21497"/>
    <cfRule type="duplicateValues" dxfId="21483" priority="21496"/>
    <cfRule type="duplicateValues" dxfId="21482" priority="21495"/>
    <cfRule type="duplicateValues" dxfId="21481" priority="21494"/>
    <cfRule type="duplicateValues" dxfId="21480" priority="21493"/>
    <cfRule type="duplicateValues" dxfId="21479" priority="21492"/>
    <cfRule type="duplicateValues" dxfId="21478" priority="21491"/>
    <cfRule type="duplicateValues" dxfId="21477" priority="21490"/>
    <cfRule type="duplicateValues" dxfId="21476" priority="21489"/>
    <cfRule type="duplicateValues" dxfId="21475" priority="21488"/>
    <cfRule type="duplicateValues" dxfId="21474" priority="21487"/>
    <cfRule type="duplicateValues" dxfId="21473" priority="21486"/>
    <cfRule type="duplicateValues" dxfId="21472" priority="21485"/>
    <cfRule type="duplicateValues" dxfId="21471" priority="21484"/>
    <cfRule type="duplicateValues" dxfId="21470" priority="21483"/>
    <cfRule type="duplicateValues" dxfId="21469" priority="21482"/>
    <cfRule type="duplicateValues" dxfId="21468" priority="21481"/>
    <cfRule type="duplicateValues" dxfId="21467" priority="21480"/>
    <cfRule type="duplicateValues" dxfId="21466" priority="21479"/>
    <cfRule type="duplicateValues" dxfId="21465" priority="21478"/>
    <cfRule type="duplicateValues" dxfId="21464" priority="21477"/>
    <cfRule type="duplicateValues" dxfId="21463" priority="21476"/>
    <cfRule type="duplicateValues" dxfId="21462" priority="21475"/>
    <cfRule type="duplicateValues" dxfId="21461" priority="21474"/>
    <cfRule type="duplicateValues" dxfId="21460" priority="21473"/>
    <cfRule type="duplicateValues" dxfId="21459" priority="21472"/>
    <cfRule type="duplicateValues" dxfId="21458" priority="21471"/>
    <cfRule type="duplicateValues" dxfId="21457" priority="21470"/>
    <cfRule type="duplicateValues" dxfId="21456" priority="21469"/>
    <cfRule type="duplicateValues" dxfId="21455" priority="21468"/>
    <cfRule type="duplicateValues" dxfId="21454" priority="21467"/>
    <cfRule type="duplicateValues" dxfId="21453" priority="21466"/>
    <cfRule type="duplicateValues" dxfId="21452" priority="21465"/>
    <cfRule type="duplicateValues" dxfId="21451" priority="21464"/>
    <cfRule type="duplicateValues" dxfId="21450" priority="21463"/>
    <cfRule type="duplicateValues" dxfId="21449" priority="21462"/>
    <cfRule type="duplicateValues" dxfId="21448" priority="21461"/>
    <cfRule type="duplicateValues" dxfId="21447" priority="21460"/>
    <cfRule type="duplicateValues" dxfId="21446" priority="21459"/>
    <cfRule type="duplicateValues" dxfId="21445" priority="21458"/>
    <cfRule type="duplicateValues" dxfId="21444" priority="21457"/>
    <cfRule type="duplicateValues" dxfId="21443" priority="21456"/>
    <cfRule type="duplicateValues" dxfId="21442" priority="21455"/>
    <cfRule type="duplicateValues" dxfId="21441" priority="21454"/>
    <cfRule type="duplicateValues" dxfId="21440" priority="21453"/>
    <cfRule type="duplicateValues" dxfId="21439" priority="21452"/>
    <cfRule type="duplicateValues" dxfId="21438" priority="21451"/>
    <cfRule type="duplicateValues" dxfId="21437" priority="21450"/>
    <cfRule type="duplicateValues" dxfId="21436" priority="21449"/>
    <cfRule type="duplicateValues" dxfId="21435" priority="21448"/>
    <cfRule type="duplicateValues" dxfId="21434" priority="21447"/>
    <cfRule type="duplicateValues" dxfId="21433" priority="21446"/>
    <cfRule type="duplicateValues" dxfId="21432" priority="21445"/>
    <cfRule type="duplicateValues" dxfId="21431" priority="21444"/>
    <cfRule type="duplicateValues" dxfId="21430" priority="21443"/>
    <cfRule type="duplicateValues" dxfId="21429" priority="21442"/>
    <cfRule type="duplicateValues" dxfId="21428" priority="21441"/>
    <cfRule type="duplicateValues" dxfId="21427" priority="21440"/>
    <cfRule type="duplicateValues" dxfId="21426" priority="21439"/>
    <cfRule type="duplicateValues" dxfId="21425" priority="21438"/>
    <cfRule type="duplicateValues" dxfId="21424" priority="21437"/>
    <cfRule type="duplicateValues" dxfId="21423" priority="21436"/>
    <cfRule type="duplicateValues" dxfId="21422" priority="21435"/>
    <cfRule type="duplicateValues" dxfId="21421" priority="21434"/>
    <cfRule type="duplicateValues" dxfId="21420" priority="21433"/>
    <cfRule type="duplicateValues" dxfId="21419" priority="21432"/>
    <cfRule type="duplicateValues" dxfId="21418" priority="21431"/>
    <cfRule type="duplicateValues" dxfId="21417" priority="21430"/>
    <cfRule type="duplicateValues" dxfId="21416" priority="21429"/>
    <cfRule type="duplicateValues" dxfId="21415" priority="21428"/>
    <cfRule type="duplicateValues" dxfId="21414" priority="21427"/>
    <cfRule type="duplicateValues" dxfId="21413" priority="21426"/>
    <cfRule type="duplicateValues" dxfId="21412" priority="21425"/>
    <cfRule type="duplicateValues" dxfId="21411" priority="21424"/>
    <cfRule type="duplicateValues" dxfId="21410" priority="21423"/>
  </conditionalFormatting>
  <conditionalFormatting sqref="B198">
    <cfRule type="duplicateValues" dxfId="21409" priority="21234"/>
    <cfRule type="duplicateValues" dxfId="21408" priority="21233"/>
    <cfRule type="duplicateValues" dxfId="21407" priority="21232"/>
    <cfRule type="duplicateValues" dxfId="21406" priority="21283"/>
    <cfRule type="duplicateValues" dxfId="21405" priority="21418"/>
    <cfRule type="duplicateValues" dxfId="21404" priority="21417"/>
    <cfRule type="duplicateValues" dxfId="21403" priority="21416"/>
    <cfRule type="duplicateValues" dxfId="21402" priority="21415"/>
    <cfRule type="duplicateValues" dxfId="21401" priority="21414"/>
    <cfRule type="duplicateValues" dxfId="21400" priority="21413"/>
    <cfRule type="duplicateValues" dxfId="21399" priority="21412"/>
    <cfRule type="duplicateValues" dxfId="21398" priority="21411"/>
    <cfRule type="duplicateValues" dxfId="21397" priority="21410"/>
    <cfRule type="duplicateValues" dxfId="21396" priority="21409"/>
    <cfRule type="duplicateValues" dxfId="21395" priority="21408"/>
    <cfRule type="duplicateValues" dxfId="21394" priority="21407"/>
    <cfRule type="duplicateValues" dxfId="21393" priority="21406"/>
    <cfRule type="duplicateValues" dxfId="21392" priority="21405"/>
    <cfRule type="duplicateValues" dxfId="21391" priority="21404"/>
    <cfRule type="duplicateValues" dxfId="21390" priority="21403"/>
    <cfRule type="duplicateValues" dxfId="21389" priority="21402"/>
    <cfRule type="duplicateValues" dxfId="21388" priority="21401"/>
    <cfRule type="duplicateValues" dxfId="21387" priority="21400"/>
    <cfRule type="duplicateValues" dxfId="21386" priority="21399"/>
    <cfRule type="duplicateValues" dxfId="21385" priority="21398"/>
    <cfRule type="duplicateValues" dxfId="21384" priority="21397"/>
    <cfRule type="duplicateValues" dxfId="21383" priority="21396"/>
    <cfRule type="duplicateValues" dxfId="21382" priority="21395"/>
    <cfRule type="duplicateValues" dxfId="21381" priority="21394"/>
    <cfRule type="duplicateValues" dxfId="21380" priority="21393"/>
    <cfRule type="duplicateValues" dxfId="21379" priority="21392"/>
    <cfRule type="duplicateValues" dxfId="21378" priority="21391"/>
    <cfRule type="duplicateValues" dxfId="21377" priority="21390"/>
    <cfRule type="duplicateValues" dxfId="21376" priority="21389"/>
    <cfRule type="duplicateValues" dxfId="21375" priority="21388"/>
    <cfRule type="duplicateValues" dxfId="21374" priority="21387"/>
    <cfRule type="duplicateValues" dxfId="21373" priority="21386"/>
    <cfRule type="duplicateValues" dxfId="21372" priority="21385"/>
    <cfRule type="duplicateValues" dxfId="21371" priority="21384"/>
    <cfRule type="duplicateValues" dxfId="21370" priority="21383"/>
    <cfRule type="duplicateValues" dxfId="21369" priority="21382"/>
    <cfRule type="duplicateValues" dxfId="21368" priority="21381"/>
    <cfRule type="duplicateValues" dxfId="21367" priority="21380"/>
    <cfRule type="duplicateValues" dxfId="21366" priority="21379"/>
    <cfRule type="duplicateValues" dxfId="21365" priority="21378"/>
    <cfRule type="duplicateValues" dxfId="21364" priority="21377"/>
    <cfRule type="duplicateValues" dxfId="21363" priority="21376"/>
    <cfRule type="duplicateValues" dxfId="21362" priority="21375"/>
    <cfRule type="duplicateValues" dxfId="21361" priority="21374"/>
    <cfRule type="duplicateValues" dxfId="21360" priority="21373"/>
    <cfRule type="duplicateValues" dxfId="21359" priority="21372"/>
    <cfRule type="duplicateValues" dxfId="21358" priority="21371"/>
    <cfRule type="duplicateValues" dxfId="21357" priority="21370"/>
    <cfRule type="duplicateValues" dxfId="21356" priority="21369"/>
    <cfRule type="duplicateValues" dxfId="21355" priority="21368"/>
    <cfRule type="duplicateValues" dxfId="21354" priority="21367"/>
    <cfRule type="duplicateValues" dxfId="21353" priority="21366"/>
    <cfRule type="duplicateValues" dxfId="21352" priority="21365"/>
    <cfRule type="duplicateValues" dxfId="21351" priority="21364"/>
    <cfRule type="duplicateValues" dxfId="21350" priority="21363"/>
    <cfRule type="duplicateValues" dxfId="21349" priority="21362"/>
    <cfRule type="duplicateValues" dxfId="21348" priority="21361"/>
    <cfRule type="duplicateValues" dxfId="21347" priority="21360"/>
    <cfRule type="duplicateValues" dxfId="21346" priority="21359"/>
    <cfRule type="duplicateValues" dxfId="21345" priority="21358"/>
    <cfRule type="duplicateValues" dxfId="21344" priority="21357"/>
    <cfRule type="duplicateValues" dxfId="21343" priority="21356"/>
    <cfRule type="duplicateValues" dxfId="21342" priority="21355"/>
    <cfRule type="duplicateValues" dxfId="21341" priority="21354"/>
    <cfRule type="duplicateValues" dxfId="21340" priority="21353"/>
    <cfRule type="duplicateValues" dxfId="21339" priority="21352"/>
    <cfRule type="duplicateValues" dxfId="21338" priority="21351"/>
    <cfRule type="duplicateValues" dxfId="21337" priority="21350"/>
    <cfRule type="duplicateValues" dxfId="21336" priority="21349"/>
    <cfRule type="duplicateValues" dxfId="21335" priority="21348"/>
    <cfRule type="duplicateValues" dxfId="21334" priority="21347"/>
    <cfRule type="duplicateValues" dxfId="21333" priority="21346"/>
    <cfRule type="duplicateValues" dxfId="21332" priority="21345"/>
    <cfRule type="duplicateValues" dxfId="21331" priority="21344"/>
    <cfRule type="duplicateValues" dxfId="21330" priority="21343"/>
    <cfRule type="duplicateValues" dxfId="21329" priority="21342"/>
    <cfRule type="duplicateValues" dxfId="21328" priority="21341"/>
    <cfRule type="duplicateValues" dxfId="21327" priority="21340"/>
    <cfRule type="duplicateValues" dxfId="21326" priority="21339"/>
    <cfRule type="duplicateValues" dxfId="21325" priority="21338"/>
    <cfRule type="duplicateValues" dxfId="21324" priority="21337"/>
    <cfRule type="duplicateValues" dxfId="21323" priority="21336"/>
    <cfRule type="duplicateValues" dxfId="21322" priority="21335"/>
    <cfRule type="duplicateValues" dxfId="21321" priority="21334"/>
    <cfRule type="duplicateValues" dxfId="21320" priority="21333"/>
    <cfRule type="duplicateValues" dxfId="21319" priority="21332"/>
    <cfRule type="duplicateValues" dxfId="21318" priority="21331"/>
    <cfRule type="duplicateValues" dxfId="21317" priority="21330"/>
    <cfRule type="duplicateValues" dxfId="21316" priority="21329"/>
    <cfRule type="duplicateValues" dxfId="21315" priority="21328"/>
    <cfRule type="duplicateValues" dxfId="21314" priority="21327"/>
    <cfRule type="duplicateValues" dxfId="21313" priority="21326"/>
    <cfRule type="duplicateValues" dxfId="21312" priority="21325"/>
    <cfRule type="duplicateValues" dxfId="21311" priority="21324"/>
    <cfRule type="duplicateValues" dxfId="21310" priority="21323"/>
    <cfRule type="duplicateValues" dxfId="21309" priority="21322"/>
    <cfRule type="duplicateValues" dxfId="21308" priority="21321"/>
    <cfRule type="duplicateValues" dxfId="21307" priority="21320"/>
    <cfRule type="duplicateValues" dxfId="21306" priority="21319"/>
    <cfRule type="duplicateValues" dxfId="21305" priority="21318"/>
    <cfRule type="duplicateValues" dxfId="21304" priority="21317"/>
    <cfRule type="duplicateValues" dxfId="21303" priority="21316"/>
    <cfRule type="duplicateValues" dxfId="21302" priority="21315"/>
    <cfRule type="duplicateValues" dxfId="21301" priority="21314"/>
    <cfRule type="duplicateValues" dxfId="21300" priority="21313"/>
    <cfRule type="duplicateValues" dxfId="21299" priority="21312"/>
    <cfRule type="duplicateValues" dxfId="21298" priority="21311"/>
    <cfRule type="duplicateValues" dxfId="21297" priority="21310"/>
    <cfRule type="duplicateValues" dxfId="21296" priority="21309"/>
    <cfRule type="duplicateValues" dxfId="21295" priority="21308"/>
    <cfRule type="duplicateValues" dxfId="21294" priority="21307"/>
    <cfRule type="duplicateValues" dxfId="21293" priority="21306"/>
    <cfRule type="duplicateValues" dxfId="21292" priority="21305"/>
    <cfRule type="duplicateValues" dxfId="21291" priority="21304"/>
    <cfRule type="duplicateValues" dxfId="21290" priority="21303"/>
    <cfRule type="duplicateValues" dxfId="21289" priority="21302"/>
    <cfRule type="duplicateValues" dxfId="21288" priority="21301"/>
    <cfRule type="duplicateValues" dxfId="21287" priority="21300"/>
    <cfRule type="duplicateValues" dxfId="21286" priority="21299"/>
    <cfRule type="duplicateValues" dxfId="21285" priority="21298"/>
    <cfRule type="duplicateValues" dxfId="21284" priority="21297"/>
    <cfRule type="duplicateValues" dxfId="21283" priority="21296"/>
    <cfRule type="duplicateValues" dxfId="21282" priority="21295"/>
    <cfRule type="duplicateValues" dxfId="21281" priority="21294"/>
    <cfRule type="duplicateValues" dxfId="21280" priority="21293"/>
    <cfRule type="duplicateValues" dxfId="21279" priority="21292"/>
    <cfRule type="duplicateValues" dxfId="21278" priority="21291"/>
    <cfRule type="duplicateValues" dxfId="21277" priority="21290"/>
    <cfRule type="duplicateValues" dxfId="21276" priority="21289"/>
    <cfRule type="duplicateValues" dxfId="21275" priority="21288"/>
    <cfRule type="duplicateValues" dxfId="21274" priority="21287"/>
    <cfRule type="duplicateValues" dxfId="21273" priority="21286"/>
    <cfRule type="duplicateValues" dxfId="21272" priority="21285"/>
    <cfRule type="duplicateValues" dxfId="21271" priority="21284"/>
    <cfRule type="duplicateValues" dxfId="21270" priority="21282"/>
    <cfRule type="duplicateValues" dxfId="21269" priority="21281"/>
    <cfRule type="duplicateValues" dxfId="21268" priority="21280"/>
    <cfRule type="duplicateValues" dxfId="21267" priority="21279"/>
    <cfRule type="duplicateValues" dxfId="21266" priority="21278"/>
    <cfRule type="duplicateValues" dxfId="21265" priority="21277"/>
    <cfRule type="duplicateValues" dxfId="21264" priority="21276"/>
    <cfRule type="duplicateValues" dxfId="21263" priority="21275"/>
    <cfRule type="duplicateValues" dxfId="21262" priority="21274"/>
    <cfRule type="duplicateValues" dxfId="21261" priority="21273"/>
    <cfRule type="duplicateValues" dxfId="21260" priority="21272"/>
    <cfRule type="duplicateValues" dxfId="21259" priority="21271"/>
    <cfRule type="duplicateValues" dxfId="21258" priority="21270"/>
    <cfRule type="duplicateValues" dxfId="21257" priority="21269"/>
    <cfRule type="duplicateValues" dxfId="21256" priority="21268"/>
    <cfRule type="duplicateValues" dxfId="21255" priority="21267"/>
    <cfRule type="duplicateValues" dxfId="21254" priority="21266"/>
    <cfRule type="duplicateValues" dxfId="21253" priority="21265"/>
    <cfRule type="duplicateValues" dxfId="21252" priority="21264"/>
    <cfRule type="duplicateValues" dxfId="21251" priority="21263"/>
    <cfRule type="duplicateValues" dxfId="21250" priority="21262"/>
    <cfRule type="duplicateValues" dxfId="21249" priority="21261"/>
    <cfRule type="duplicateValues" dxfId="21248" priority="21260"/>
    <cfRule type="duplicateValues" dxfId="21247" priority="21259"/>
    <cfRule type="duplicateValues" dxfId="21246" priority="21258"/>
    <cfRule type="duplicateValues" dxfId="21245" priority="21257"/>
    <cfRule type="duplicateValues" dxfId="21244" priority="21256"/>
    <cfRule type="duplicateValues" dxfId="21243" priority="21255"/>
    <cfRule type="duplicateValues" dxfId="21242" priority="21254"/>
    <cfRule type="duplicateValues" dxfId="21241" priority="21253"/>
    <cfRule type="duplicateValues" dxfId="21240" priority="21252"/>
    <cfRule type="duplicateValues" dxfId="21239" priority="21251"/>
    <cfRule type="duplicateValues" dxfId="21238" priority="21250"/>
    <cfRule type="duplicateValues" dxfId="21237" priority="21249"/>
    <cfRule type="duplicateValues" dxfId="21236" priority="21248"/>
    <cfRule type="duplicateValues" dxfId="21235" priority="21247"/>
    <cfRule type="duplicateValues" dxfId="21234" priority="21246"/>
    <cfRule type="duplicateValues" dxfId="21233" priority="21245"/>
    <cfRule type="duplicateValues" dxfId="21232" priority="21244"/>
    <cfRule type="duplicateValues" dxfId="21231" priority="21243"/>
    <cfRule type="duplicateValues" dxfId="21230" priority="21242"/>
    <cfRule type="duplicateValues" dxfId="21229" priority="21241"/>
    <cfRule type="duplicateValues" dxfId="21228" priority="21240"/>
    <cfRule type="duplicateValues" dxfId="21227" priority="21239"/>
    <cfRule type="duplicateValues" dxfId="21226" priority="21238"/>
    <cfRule type="duplicateValues" dxfId="21225" priority="21237"/>
    <cfRule type="duplicateValues" dxfId="21224" priority="21236"/>
    <cfRule type="duplicateValues" dxfId="21223" priority="21235"/>
  </conditionalFormatting>
  <conditionalFormatting sqref="B199">
    <cfRule type="duplicateValues" dxfId="21222" priority="21119"/>
    <cfRule type="duplicateValues" dxfId="21221" priority="21048"/>
    <cfRule type="duplicateValues" dxfId="21220" priority="21047"/>
    <cfRule type="duplicateValues" dxfId="21219" priority="21046"/>
    <cfRule type="duplicateValues" dxfId="21218" priority="21231"/>
    <cfRule type="duplicateValues" dxfId="21217" priority="21230"/>
    <cfRule type="duplicateValues" dxfId="21216" priority="21229"/>
    <cfRule type="duplicateValues" dxfId="21215" priority="21228"/>
    <cfRule type="duplicateValues" dxfId="21214" priority="21227"/>
    <cfRule type="duplicateValues" dxfId="21213" priority="21226"/>
    <cfRule type="duplicateValues" dxfId="21212" priority="21225"/>
    <cfRule type="duplicateValues" dxfId="21211" priority="21224"/>
    <cfRule type="duplicateValues" dxfId="21210" priority="21223"/>
    <cfRule type="duplicateValues" dxfId="21209" priority="21222"/>
    <cfRule type="duplicateValues" dxfId="21208" priority="21221"/>
    <cfRule type="duplicateValues" dxfId="21207" priority="21220"/>
    <cfRule type="duplicateValues" dxfId="21206" priority="21219"/>
    <cfRule type="duplicateValues" dxfId="21205" priority="21218"/>
    <cfRule type="duplicateValues" dxfId="21204" priority="21217"/>
    <cfRule type="duplicateValues" dxfId="21203" priority="21216"/>
    <cfRule type="duplicateValues" dxfId="21202" priority="21215"/>
    <cfRule type="duplicateValues" dxfId="21201" priority="21214"/>
    <cfRule type="duplicateValues" dxfId="21200" priority="21213"/>
    <cfRule type="duplicateValues" dxfId="21199" priority="21212"/>
    <cfRule type="duplicateValues" dxfId="21198" priority="21211"/>
    <cfRule type="duplicateValues" dxfId="21197" priority="21210"/>
    <cfRule type="duplicateValues" dxfId="21196" priority="21209"/>
    <cfRule type="duplicateValues" dxfId="21195" priority="21208"/>
    <cfRule type="duplicateValues" dxfId="21194" priority="21207"/>
    <cfRule type="duplicateValues" dxfId="21193" priority="21206"/>
    <cfRule type="duplicateValues" dxfId="21192" priority="21205"/>
    <cfRule type="duplicateValues" dxfId="21191" priority="21204"/>
    <cfRule type="duplicateValues" dxfId="21190" priority="21203"/>
    <cfRule type="duplicateValues" dxfId="21189" priority="21202"/>
    <cfRule type="duplicateValues" dxfId="21188" priority="21201"/>
    <cfRule type="duplicateValues" dxfId="21187" priority="21200"/>
    <cfRule type="duplicateValues" dxfId="21186" priority="21199"/>
    <cfRule type="duplicateValues" dxfId="21185" priority="21198"/>
    <cfRule type="duplicateValues" dxfId="21184" priority="21197"/>
    <cfRule type="duplicateValues" dxfId="21183" priority="21196"/>
    <cfRule type="duplicateValues" dxfId="21182" priority="21195"/>
    <cfRule type="duplicateValues" dxfId="21181" priority="21194"/>
    <cfRule type="duplicateValues" dxfId="21180" priority="21193"/>
    <cfRule type="duplicateValues" dxfId="21179" priority="21192"/>
    <cfRule type="duplicateValues" dxfId="21178" priority="21191"/>
    <cfRule type="duplicateValues" dxfId="21177" priority="21190"/>
    <cfRule type="duplicateValues" dxfId="21176" priority="21189"/>
    <cfRule type="duplicateValues" dxfId="21175" priority="21188"/>
    <cfRule type="duplicateValues" dxfId="21174" priority="21187"/>
    <cfRule type="duplicateValues" dxfId="21173" priority="21186"/>
    <cfRule type="duplicateValues" dxfId="21172" priority="21185"/>
    <cfRule type="duplicateValues" dxfId="21171" priority="21184"/>
    <cfRule type="duplicateValues" dxfId="21170" priority="21183"/>
    <cfRule type="duplicateValues" dxfId="21169" priority="21182"/>
    <cfRule type="duplicateValues" dxfId="21168" priority="21181"/>
    <cfRule type="duplicateValues" dxfId="21167" priority="21180"/>
    <cfRule type="duplicateValues" dxfId="21166" priority="21179"/>
    <cfRule type="duplicateValues" dxfId="21165" priority="21178"/>
    <cfRule type="duplicateValues" dxfId="21164" priority="21177"/>
    <cfRule type="duplicateValues" dxfId="21163" priority="21176"/>
    <cfRule type="duplicateValues" dxfId="21162" priority="21175"/>
    <cfRule type="duplicateValues" dxfId="21161" priority="21174"/>
    <cfRule type="duplicateValues" dxfId="21160" priority="21173"/>
    <cfRule type="duplicateValues" dxfId="21159" priority="21172"/>
    <cfRule type="duplicateValues" dxfId="21158" priority="21171"/>
    <cfRule type="duplicateValues" dxfId="21157" priority="21170"/>
    <cfRule type="duplicateValues" dxfId="21156" priority="21169"/>
    <cfRule type="duplicateValues" dxfId="21155" priority="21168"/>
    <cfRule type="duplicateValues" dxfId="21154" priority="21167"/>
    <cfRule type="duplicateValues" dxfId="21153" priority="21166"/>
    <cfRule type="duplicateValues" dxfId="21152" priority="21165"/>
    <cfRule type="duplicateValues" dxfId="21151" priority="21164"/>
    <cfRule type="duplicateValues" dxfId="21150" priority="21163"/>
    <cfRule type="duplicateValues" dxfId="21149" priority="21162"/>
    <cfRule type="duplicateValues" dxfId="21148" priority="21161"/>
    <cfRule type="duplicateValues" dxfId="21147" priority="21160"/>
    <cfRule type="duplicateValues" dxfId="21146" priority="21159"/>
    <cfRule type="duplicateValues" dxfId="21145" priority="21158"/>
    <cfRule type="duplicateValues" dxfId="21144" priority="21157"/>
    <cfRule type="duplicateValues" dxfId="21143" priority="21156"/>
    <cfRule type="duplicateValues" dxfId="21142" priority="21155"/>
    <cfRule type="duplicateValues" dxfId="21141" priority="21154"/>
    <cfRule type="duplicateValues" dxfId="21140" priority="21153"/>
    <cfRule type="duplicateValues" dxfId="21139" priority="21152"/>
    <cfRule type="duplicateValues" dxfId="21138" priority="21151"/>
    <cfRule type="duplicateValues" dxfId="21137" priority="21150"/>
    <cfRule type="duplicateValues" dxfId="21136" priority="21149"/>
    <cfRule type="duplicateValues" dxfId="21135" priority="21148"/>
    <cfRule type="duplicateValues" dxfId="21134" priority="21147"/>
    <cfRule type="duplicateValues" dxfId="21133" priority="21146"/>
    <cfRule type="duplicateValues" dxfId="21132" priority="21145"/>
    <cfRule type="duplicateValues" dxfId="21131" priority="21144"/>
    <cfRule type="duplicateValues" dxfId="21130" priority="21143"/>
    <cfRule type="duplicateValues" dxfId="21129" priority="21142"/>
    <cfRule type="duplicateValues" dxfId="21128" priority="21141"/>
    <cfRule type="duplicateValues" dxfId="21127" priority="21140"/>
    <cfRule type="duplicateValues" dxfId="21126" priority="21139"/>
    <cfRule type="duplicateValues" dxfId="21125" priority="21138"/>
    <cfRule type="duplicateValues" dxfId="21124" priority="21137"/>
    <cfRule type="duplicateValues" dxfId="21123" priority="21136"/>
    <cfRule type="duplicateValues" dxfId="21122" priority="21135"/>
    <cfRule type="duplicateValues" dxfId="21121" priority="21134"/>
    <cfRule type="duplicateValues" dxfId="21120" priority="21133"/>
    <cfRule type="duplicateValues" dxfId="21119" priority="21132"/>
    <cfRule type="duplicateValues" dxfId="21118" priority="21131"/>
    <cfRule type="duplicateValues" dxfId="21117" priority="21130"/>
    <cfRule type="duplicateValues" dxfId="21116" priority="21129"/>
    <cfRule type="duplicateValues" dxfId="21115" priority="21128"/>
    <cfRule type="duplicateValues" dxfId="21114" priority="21127"/>
    <cfRule type="duplicateValues" dxfId="21113" priority="21126"/>
    <cfRule type="duplicateValues" dxfId="21112" priority="21125"/>
    <cfRule type="duplicateValues" dxfId="21111" priority="21124"/>
    <cfRule type="duplicateValues" dxfId="21110" priority="21123"/>
    <cfRule type="duplicateValues" dxfId="21109" priority="21122"/>
    <cfRule type="duplicateValues" dxfId="21108" priority="21121"/>
    <cfRule type="duplicateValues" dxfId="21107" priority="21120"/>
    <cfRule type="duplicateValues" dxfId="21106" priority="21045"/>
    <cfRule type="duplicateValues" dxfId="21105" priority="21118"/>
    <cfRule type="duplicateValues" dxfId="21104" priority="21117"/>
    <cfRule type="duplicateValues" dxfId="21103" priority="21116"/>
    <cfRule type="duplicateValues" dxfId="21102" priority="21115"/>
    <cfRule type="duplicateValues" dxfId="21101" priority="21114"/>
    <cfRule type="duplicateValues" dxfId="21100" priority="21113"/>
    <cfRule type="duplicateValues" dxfId="21099" priority="21112"/>
    <cfRule type="duplicateValues" dxfId="21098" priority="21111"/>
    <cfRule type="duplicateValues" dxfId="21097" priority="21110"/>
    <cfRule type="duplicateValues" dxfId="21096" priority="21109"/>
    <cfRule type="duplicateValues" dxfId="21095" priority="21108"/>
    <cfRule type="duplicateValues" dxfId="21094" priority="21107"/>
    <cfRule type="duplicateValues" dxfId="21093" priority="21106"/>
    <cfRule type="duplicateValues" dxfId="21092" priority="21105"/>
    <cfRule type="duplicateValues" dxfId="21091" priority="21104"/>
    <cfRule type="duplicateValues" dxfId="21090" priority="21103"/>
    <cfRule type="duplicateValues" dxfId="21089" priority="21102"/>
    <cfRule type="duplicateValues" dxfId="21088" priority="21101"/>
    <cfRule type="duplicateValues" dxfId="21087" priority="21100"/>
    <cfRule type="duplicateValues" dxfId="21086" priority="21099"/>
    <cfRule type="duplicateValues" dxfId="21085" priority="21098"/>
    <cfRule type="duplicateValues" dxfId="21084" priority="21097"/>
    <cfRule type="duplicateValues" dxfId="21083" priority="21096"/>
    <cfRule type="duplicateValues" dxfId="21082" priority="21095"/>
    <cfRule type="duplicateValues" dxfId="21081" priority="21094"/>
    <cfRule type="duplicateValues" dxfId="21080" priority="21093"/>
    <cfRule type="duplicateValues" dxfId="21079" priority="21092"/>
    <cfRule type="duplicateValues" dxfId="21078" priority="21091"/>
    <cfRule type="duplicateValues" dxfId="21077" priority="21090"/>
    <cfRule type="duplicateValues" dxfId="21076" priority="21089"/>
    <cfRule type="duplicateValues" dxfId="21075" priority="21088"/>
    <cfRule type="duplicateValues" dxfId="21074" priority="21087"/>
    <cfRule type="duplicateValues" dxfId="21073" priority="21086"/>
    <cfRule type="duplicateValues" dxfId="21072" priority="21085"/>
    <cfRule type="duplicateValues" dxfId="21071" priority="21084"/>
    <cfRule type="duplicateValues" dxfId="21070" priority="21083"/>
    <cfRule type="duplicateValues" dxfId="21069" priority="21082"/>
    <cfRule type="duplicateValues" dxfId="21068" priority="21081"/>
    <cfRule type="duplicateValues" dxfId="21067" priority="21080"/>
    <cfRule type="duplicateValues" dxfId="21066" priority="21079"/>
    <cfRule type="duplicateValues" dxfId="21065" priority="21078"/>
    <cfRule type="duplicateValues" dxfId="21064" priority="21077"/>
    <cfRule type="duplicateValues" dxfId="21063" priority="21076"/>
    <cfRule type="duplicateValues" dxfId="21062" priority="21075"/>
    <cfRule type="duplicateValues" dxfId="21061" priority="21074"/>
    <cfRule type="duplicateValues" dxfId="21060" priority="21073"/>
    <cfRule type="duplicateValues" dxfId="21059" priority="21072"/>
    <cfRule type="duplicateValues" dxfId="21058" priority="21071"/>
    <cfRule type="duplicateValues" dxfId="21057" priority="21070"/>
    <cfRule type="duplicateValues" dxfId="21056" priority="21069"/>
    <cfRule type="duplicateValues" dxfId="21055" priority="21068"/>
    <cfRule type="duplicateValues" dxfId="21054" priority="21067"/>
    <cfRule type="duplicateValues" dxfId="21053" priority="21066"/>
    <cfRule type="duplicateValues" dxfId="21052" priority="21065"/>
    <cfRule type="duplicateValues" dxfId="21051" priority="21064"/>
    <cfRule type="duplicateValues" dxfId="21050" priority="21063"/>
    <cfRule type="duplicateValues" dxfId="21049" priority="21062"/>
    <cfRule type="duplicateValues" dxfId="21048" priority="21061"/>
    <cfRule type="duplicateValues" dxfId="21047" priority="21060"/>
    <cfRule type="duplicateValues" dxfId="21046" priority="21059"/>
    <cfRule type="duplicateValues" dxfId="21045" priority="21058"/>
    <cfRule type="duplicateValues" dxfId="21044" priority="21057"/>
    <cfRule type="duplicateValues" dxfId="21043" priority="21056"/>
    <cfRule type="duplicateValues" dxfId="21042" priority="21055"/>
    <cfRule type="duplicateValues" dxfId="21041" priority="21054"/>
    <cfRule type="duplicateValues" dxfId="21040" priority="21053"/>
    <cfRule type="duplicateValues" dxfId="21039" priority="21052"/>
    <cfRule type="duplicateValues" dxfId="21038" priority="21051"/>
    <cfRule type="duplicateValues" dxfId="21037" priority="21050"/>
    <cfRule type="duplicateValues" dxfId="21036" priority="21049"/>
  </conditionalFormatting>
  <conditionalFormatting sqref="B200">
    <cfRule type="duplicateValues" dxfId="21035" priority="20861"/>
    <cfRule type="duplicateValues" dxfId="21034" priority="20860"/>
    <cfRule type="duplicateValues" dxfId="21033" priority="20859"/>
    <cfRule type="duplicateValues" dxfId="21032" priority="21003"/>
    <cfRule type="duplicateValues" dxfId="21031" priority="21044"/>
    <cfRule type="duplicateValues" dxfId="21030" priority="21043"/>
    <cfRule type="duplicateValues" dxfId="21029" priority="21042"/>
    <cfRule type="duplicateValues" dxfId="21028" priority="21041"/>
    <cfRule type="duplicateValues" dxfId="21027" priority="21040"/>
    <cfRule type="duplicateValues" dxfId="21026" priority="21039"/>
    <cfRule type="duplicateValues" dxfId="21025" priority="21038"/>
    <cfRule type="duplicateValues" dxfId="21024" priority="21037"/>
    <cfRule type="duplicateValues" dxfId="21023" priority="21036"/>
    <cfRule type="duplicateValues" dxfId="21022" priority="21035"/>
    <cfRule type="duplicateValues" dxfId="21021" priority="21034"/>
    <cfRule type="duplicateValues" dxfId="21020" priority="21033"/>
    <cfRule type="duplicateValues" dxfId="21019" priority="21032"/>
    <cfRule type="duplicateValues" dxfId="21018" priority="21031"/>
    <cfRule type="duplicateValues" dxfId="21017" priority="21030"/>
    <cfRule type="duplicateValues" dxfId="21016" priority="21029"/>
    <cfRule type="duplicateValues" dxfId="21015" priority="21028"/>
    <cfRule type="duplicateValues" dxfId="21014" priority="21027"/>
    <cfRule type="duplicateValues" dxfId="21013" priority="21026"/>
    <cfRule type="duplicateValues" dxfId="21012" priority="21025"/>
    <cfRule type="duplicateValues" dxfId="21011" priority="21024"/>
    <cfRule type="duplicateValues" dxfId="21010" priority="21023"/>
    <cfRule type="duplicateValues" dxfId="21009" priority="21022"/>
    <cfRule type="duplicateValues" dxfId="21008" priority="21021"/>
    <cfRule type="duplicateValues" dxfId="21007" priority="21020"/>
    <cfRule type="duplicateValues" dxfId="21006" priority="21019"/>
    <cfRule type="duplicateValues" dxfId="21005" priority="21018"/>
    <cfRule type="duplicateValues" dxfId="21004" priority="21017"/>
    <cfRule type="duplicateValues" dxfId="21003" priority="21016"/>
    <cfRule type="duplicateValues" dxfId="21002" priority="21015"/>
    <cfRule type="duplicateValues" dxfId="21001" priority="21014"/>
    <cfRule type="duplicateValues" dxfId="21000" priority="21013"/>
    <cfRule type="duplicateValues" dxfId="20999" priority="21012"/>
    <cfRule type="duplicateValues" dxfId="20998" priority="21011"/>
    <cfRule type="duplicateValues" dxfId="20997" priority="21010"/>
    <cfRule type="duplicateValues" dxfId="20996" priority="21009"/>
    <cfRule type="duplicateValues" dxfId="20995" priority="21008"/>
    <cfRule type="duplicateValues" dxfId="20994" priority="21007"/>
    <cfRule type="duplicateValues" dxfId="20993" priority="21006"/>
    <cfRule type="duplicateValues" dxfId="20992" priority="21005"/>
    <cfRule type="duplicateValues" dxfId="20991" priority="21004"/>
    <cfRule type="duplicateValues" dxfId="20990" priority="20858"/>
    <cfRule type="duplicateValues" dxfId="20989" priority="21002"/>
    <cfRule type="duplicateValues" dxfId="20988" priority="21001"/>
    <cfRule type="duplicateValues" dxfId="20987" priority="21000"/>
    <cfRule type="duplicateValues" dxfId="20986" priority="20999"/>
    <cfRule type="duplicateValues" dxfId="20985" priority="20998"/>
    <cfRule type="duplicateValues" dxfId="20984" priority="20997"/>
    <cfRule type="duplicateValues" dxfId="20983" priority="20996"/>
    <cfRule type="duplicateValues" dxfId="20982" priority="20995"/>
    <cfRule type="duplicateValues" dxfId="20981" priority="20994"/>
    <cfRule type="duplicateValues" dxfId="20980" priority="20993"/>
    <cfRule type="duplicateValues" dxfId="20979" priority="20992"/>
    <cfRule type="duplicateValues" dxfId="20978" priority="20991"/>
    <cfRule type="duplicateValues" dxfId="20977" priority="20990"/>
    <cfRule type="duplicateValues" dxfId="20976" priority="20989"/>
    <cfRule type="duplicateValues" dxfId="20975" priority="20988"/>
    <cfRule type="duplicateValues" dxfId="20974" priority="20987"/>
    <cfRule type="duplicateValues" dxfId="20973" priority="20986"/>
    <cfRule type="duplicateValues" dxfId="20972" priority="20985"/>
    <cfRule type="duplicateValues" dxfId="20971" priority="20984"/>
    <cfRule type="duplicateValues" dxfId="20970" priority="20983"/>
    <cfRule type="duplicateValues" dxfId="20969" priority="20982"/>
    <cfRule type="duplicateValues" dxfId="20968" priority="20981"/>
    <cfRule type="duplicateValues" dxfId="20967" priority="20980"/>
    <cfRule type="duplicateValues" dxfId="20966" priority="20979"/>
    <cfRule type="duplicateValues" dxfId="20965" priority="20978"/>
    <cfRule type="duplicateValues" dxfId="20964" priority="20977"/>
    <cfRule type="duplicateValues" dxfId="20963" priority="20976"/>
    <cfRule type="duplicateValues" dxfId="20962" priority="20975"/>
    <cfRule type="duplicateValues" dxfId="20961" priority="20974"/>
    <cfRule type="duplicateValues" dxfId="20960" priority="20973"/>
    <cfRule type="duplicateValues" dxfId="20959" priority="20972"/>
    <cfRule type="duplicateValues" dxfId="20958" priority="20971"/>
    <cfRule type="duplicateValues" dxfId="20957" priority="20970"/>
    <cfRule type="duplicateValues" dxfId="20956" priority="20969"/>
    <cfRule type="duplicateValues" dxfId="20955" priority="20968"/>
    <cfRule type="duplicateValues" dxfId="20954" priority="20967"/>
    <cfRule type="duplicateValues" dxfId="20953" priority="20966"/>
    <cfRule type="duplicateValues" dxfId="20952" priority="20965"/>
    <cfRule type="duplicateValues" dxfId="20951" priority="20964"/>
    <cfRule type="duplicateValues" dxfId="20950" priority="20963"/>
    <cfRule type="duplicateValues" dxfId="20949" priority="20962"/>
    <cfRule type="duplicateValues" dxfId="20948" priority="20961"/>
    <cfRule type="duplicateValues" dxfId="20947" priority="20960"/>
    <cfRule type="duplicateValues" dxfId="20946" priority="20959"/>
    <cfRule type="duplicateValues" dxfId="20945" priority="20958"/>
    <cfRule type="duplicateValues" dxfId="20944" priority="20957"/>
    <cfRule type="duplicateValues" dxfId="20943" priority="20956"/>
    <cfRule type="duplicateValues" dxfId="20942" priority="20955"/>
    <cfRule type="duplicateValues" dxfId="20941" priority="20954"/>
    <cfRule type="duplicateValues" dxfId="20940" priority="20953"/>
    <cfRule type="duplicateValues" dxfId="20939" priority="20952"/>
    <cfRule type="duplicateValues" dxfId="20938" priority="20951"/>
    <cfRule type="duplicateValues" dxfId="20937" priority="20950"/>
    <cfRule type="duplicateValues" dxfId="20936" priority="20949"/>
    <cfRule type="duplicateValues" dxfId="20935" priority="20948"/>
    <cfRule type="duplicateValues" dxfId="20934" priority="20947"/>
    <cfRule type="duplicateValues" dxfId="20933" priority="20946"/>
    <cfRule type="duplicateValues" dxfId="20932" priority="20945"/>
    <cfRule type="duplicateValues" dxfId="20931" priority="20944"/>
    <cfRule type="duplicateValues" dxfId="20930" priority="20943"/>
    <cfRule type="duplicateValues" dxfId="20929" priority="20942"/>
    <cfRule type="duplicateValues" dxfId="20928" priority="20941"/>
    <cfRule type="duplicateValues" dxfId="20927" priority="20940"/>
    <cfRule type="duplicateValues" dxfId="20926" priority="20939"/>
    <cfRule type="duplicateValues" dxfId="20925" priority="20938"/>
    <cfRule type="duplicateValues" dxfId="20924" priority="20937"/>
    <cfRule type="duplicateValues" dxfId="20923" priority="20936"/>
    <cfRule type="duplicateValues" dxfId="20922" priority="20935"/>
    <cfRule type="duplicateValues" dxfId="20921" priority="20934"/>
    <cfRule type="duplicateValues" dxfId="20920" priority="20933"/>
    <cfRule type="duplicateValues" dxfId="20919" priority="20932"/>
    <cfRule type="duplicateValues" dxfId="20918" priority="20931"/>
    <cfRule type="duplicateValues" dxfId="20917" priority="20930"/>
    <cfRule type="duplicateValues" dxfId="20916" priority="20929"/>
    <cfRule type="duplicateValues" dxfId="20915" priority="20928"/>
    <cfRule type="duplicateValues" dxfId="20914" priority="20927"/>
    <cfRule type="duplicateValues" dxfId="20913" priority="20926"/>
    <cfRule type="duplicateValues" dxfId="20912" priority="20925"/>
    <cfRule type="duplicateValues" dxfId="20911" priority="20924"/>
    <cfRule type="duplicateValues" dxfId="20910" priority="20923"/>
    <cfRule type="duplicateValues" dxfId="20909" priority="20922"/>
    <cfRule type="duplicateValues" dxfId="20908" priority="20921"/>
    <cfRule type="duplicateValues" dxfId="20907" priority="20920"/>
    <cfRule type="duplicateValues" dxfId="20906" priority="20919"/>
    <cfRule type="duplicateValues" dxfId="20905" priority="20918"/>
    <cfRule type="duplicateValues" dxfId="20904" priority="20917"/>
    <cfRule type="duplicateValues" dxfId="20903" priority="20916"/>
    <cfRule type="duplicateValues" dxfId="20902" priority="20915"/>
    <cfRule type="duplicateValues" dxfId="20901" priority="20914"/>
    <cfRule type="duplicateValues" dxfId="20900" priority="20913"/>
    <cfRule type="duplicateValues" dxfId="20899" priority="20912"/>
    <cfRule type="duplicateValues" dxfId="20898" priority="20911"/>
    <cfRule type="duplicateValues" dxfId="20897" priority="20910"/>
    <cfRule type="duplicateValues" dxfId="20896" priority="20909"/>
    <cfRule type="duplicateValues" dxfId="20895" priority="20908"/>
    <cfRule type="duplicateValues" dxfId="20894" priority="20907"/>
    <cfRule type="duplicateValues" dxfId="20893" priority="20906"/>
    <cfRule type="duplicateValues" dxfId="20892" priority="20905"/>
    <cfRule type="duplicateValues" dxfId="20891" priority="20904"/>
    <cfRule type="duplicateValues" dxfId="20890" priority="20903"/>
    <cfRule type="duplicateValues" dxfId="20889" priority="20902"/>
    <cfRule type="duplicateValues" dxfId="20888" priority="20901"/>
    <cfRule type="duplicateValues" dxfId="20887" priority="20900"/>
    <cfRule type="duplicateValues" dxfId="20886" priority="20899"/>
    <cfRule type="duplicateValues" dxfId="20885" priority="20898"/>
    <cfRule type="duplicateValues" dxfId="20884" priority="20897"/>
    <cfRule type="duplicateValues" dxfId="20883" priority="20896"/>
    <cfRule type="duplicateValues" dxfId="20882" priority="20895"/>
    <cfRule type="duplicateValues" dxfId="20881" priority="20894"/>
    <cfRule type="duplicateValues" dxfId="20880" priority="20893"/>
    <cfRule type="duplicateValues" dxfId="20879" priority="20892"/>
    <cfRule type="duplicateValues" dxfId="20878" priority="20891"/>
    <cfRule type="duplicateValues" dxfId="20877" priority="20890"/>
    <cfRule type="duplicateValues" dxfId="20876" priority="20889"/>
    <cfRule type="duplicateValues" dxfId="20875" priority="20888"/>
    <cfRule type="duplicateValues" dxfId="20874" priority="20887"/>
    <cfRule type="duplicateValues" dxfId="20873" priority="20886"/>
    <cfRule type="duplicateValues" dxfId="20872" priority="20885"/>
    <cfRule type="duplicateValues" dxfId="20871" priority="20884"/>
    <cfRule type="duplicateValues" dxfId="20870" priority="20883"/>
    <cfRule type="duplicateValues" dxfId="20869" priority="20882"/>
    <cfRule type="duplicateValues" dxfId="20868" priority="20881"/>
    <cfRule type="duplicateValues" dxfId="20867" priority="20880"/>
    <cfRule type="duplicateValues" dxfId="20866" priority="20879"/>
    <cfRule type="duplicateValues" dxfId="20865" priority="20878"/>
    <cfRule type="duplicateValues" dxfId="20864" priority="20877"/>
    <cfRule type="duplicateValues" dxfId="20863" priority="20876"/>
    <cfRule type="duplicateValues" dxfId="20862" priority="20875"/>
    <cfRule type="duplicateValues" dxfId="20861" priority="20874"/>
    <cfRule type="duplicateValues" dxfId="20860" priority="20873"/>
    <cfRule type="duplicateValues" dxfId="20859" priority="20872"/>
    <cfRule type="duplicateValues" dxfId="20858" priority="20871"/>
    <cfRule type="duplicateValues" dxfId="20857" priority="20870"/>
    <cfRule type="duplicateValues" dxfId="20856" priority="20869"/>
    <cfRule type="duplicateValues" dxfId="20855" priority="20868"/>
    <cfRule type="duplicateValues" dxfId="20854" priority="20867"/>
    <cfRule type="duplicateValues" dxfId="20853" priority="20866"/>
    <cfRule type="duplicateValues" dxfId="20852" priority="20865"/>
    <cfRule type="duplicateValues" dxfId="20851" priority="20864"/>
    <cfRule type="duplicateValues" dxfId="20850" priority="20863"/>
    <cfRule type="duplicateValues" dxfId="20849" priority="20862"/>
  </conditionalFormatting>
  <conditionalFormatting sqref="B201">
    <cfRule type="duplicateValues" dxfId="20848" priority="20674"/>
    <cfRule type="duplicateValues" dxfId="20847" priority="20673"/>
    <cfRule type="duplicateValues" dxfId="20846" priority="20672"/>
    <cfRule type="duplicateValues" dxfId="20845" priority="20671"/>
    <cfRule type="duplicateValues" dxfId="20844" priority="20857"/>
    <cfRule type="duplicateValues" dxfId="20843" priority="20856"/>
    <cfRule type="duplicateValues" dxfId="20842" priority="20855"/>
    <cfRule type="duplicateValues" dxfId="20841" priority="20854"/>
    <cfRule type="duplicateValues" dxfId="20840" priority="20853"/>
    <cfRule type="duplicateValues" dxfId="20839" priority="20852"/>
    <cfRule type="duplicateValues" dxfId="20838" priority="20851"/>
    <cfRule type="duplicateValues" dxfId="20837" priority="20850"/>
    <cfRule type="duplicateValues" dxfId="20836" priority="20849"/>
    <cfRule type="duplicateValues" dxfId="20835" priority="20848"/>
    <cfRule type="duplicateValues" dxfId="20834" priority="20847"/>
    <cfRule type="duplicateValues" dxfId="20833" priority="20846"/>
    <cfRule type="duplicateValues" dxfId="20832" priority="20845"/>
    <cfRule type="duplicateValues" dxfId="20831" priority="20844"/>
    <cfRule type="duplicateValues" dxfId="20830" priority="20843"/>
    <cfRule type="duplicateValues" dxfId="20829" priority="20842"/>
    <cfRule type="duplicateValues" dxfId="20828" priority="20841"/>
    <cfRule type="duplicateValues" dxfId="20827" priority="20840"/>
    <cfRule type="duplicateValues" dxfId="20826" priority="20839"/>
    <cfRule type="duplicateValues" dxfId="20825" priority="20838"/>
    <cfRule type="duplicateValues" dxfId="20824" priority="20837"/>
    <cfRule type="duplicateValues" dxfId="20823" priority="20836"/>
    <cfRule type="duplicateValues" dxfId="20822" priority="20835"/>
    <cfRule type="duplicateValues" dxfId="20821" priority="20834"/>
    <cfRule type="duplicateValues" dxfId="20820" priority="20833"/>
    <cfRule type="duplicateValues" dxfId="20819" priority="20832"/>
    <cfRule type="duplicateValues" dxfId="20818" priority="20831"/>
    <cfRule type="duplicateValues" dxfId="20817" priority="20830"/>
    <cfRule type="duplicateValues" dxfId="20816" priority="20829"/>
    <cfRule type="duplicateValues" dxfId="20815" priority="20828"/>
    <cfRule type="duplicateValues" dxfId="20814" priority="20827"/>
    <cfRule type="duplicateValues" dxfId="20813" priority="20826"/>
    <cfRule type="duplicateValues" dxfId="20812" priority="20825"/>
    <cfRule type="duplicateValues" dxfId="20811" priority="20824"/>
    <cfRule type="duplicateValues" dxfId="20810" priority="20823"/>
    <cfRule type="duplicateValues" dxfId="20809" priority="20822"/>
    <cfRule type="duplicateValues" dxfId="20808" priority="20821"/>
    <cfRule type="duplicateValues" dxfId="20807" priority="20820"/>
    <cfRule type="duplicateValues" dxfId="20806" priority="20819"/>
    <cfRule type="duplicateValues" dxfId="20805" priority="20818"/>
    <cfRule type="duplicateValues" dxfId="20804" priority="20817"/>
    <cfRule type="duplicateValues" dxfId="20803" priority="20816"/>
    <cfRule type="duplicateValues" dxfId="20802" priority="20815"/>
    <cfRule type="duplicateValues" dxfId="20801" priority="20814"/>
    <cfRule type="duplicateValues" dxfId="20800" priority="20813"/>
    <cfRule type="duplicateValues" dxfId="20799" priority="20812"/>
    <cfRule type="duplicateValues" dxfId="20798" priority="20811"/>
    <cfRule type="duplicateValues" dxfId="20797" priority="20810"/>
    <cfRule type="duplicateValues" dxfId="20796" priority="20809"/>
    <cfRule type="duplicateValues" dxfId="20795" priority="20808"/>
    <cfRule type="duplicateValues" dxfId="20794" priority="20807"/>
    <cfRule type="duplicateValues" dxfId="20793" priority="20806"/>
    <cfRule type="duplicateValues" dxfId="20792" priority="20805"/>
    <cfRule type="duplicateValues" dxfId="20791" priority="20804"/>
    <cfRule type="duplicateValues" dxfId="20790" priority="20803"/>
    <cfRule type="duplicateValues" dxfId="20789" priority="20802"/>
    <cfRule type="duplicateValues" dxfId="20788" priority="20801"/>
    <cfRule type="duplicateValues" dxfId="20787" priority="20800"/>
    <cfRule type="duplicateValues" dxfId="20786" priority="20799"/>
    <cfRule type="duplicateValues" dxfId="20785" priority="20798"/>
    <cfRule type="duplicateValues" dxfId="20784" priority="20797"/>
    <cfRule type="duplicateValues" dxfId="20783" priority="20796"/>
    <cfRule type="duplicateValues" dxfId="20782" priority="20795"/>
    <cfRule type="duplicateValues" dxfId="20781" priority="20794"/>
    <cfRule type="duplicateValues" dxfId="20780" priority="20793"/>
    <cfRule type="duplicateValues" dxfId="20779" priority="20792"/>
    <cfRule type="duplicateValues" dxfId="20778" priority="20791"/>
    <cfRule type="duplicateValues" dxfId="20777" priority="20790"/>
    <cfRule type="duplicateValues" dxfId="20776" priority="20789"/>
    <cfRule type="duplicateValues" dxfId="20775" priority="20788"/>
    <cfRule type="duplicateValues" dxfId="20774" priority="20787"/>
    <cfRule type="duplicateValues" dxfId="20773" priority="20786"/>
    <cfRule type="duplicateValues" dxfId="20772" priority="20785"/>
    <cfRule type="duplicateValues" dxfId="20771" priority="20784"/>
    <cfRule type="duplicateValues" dxfId="20770" priority="20783"/>
    <cfRule type="duplicateValues" dxfId="20769" priority="20782"/>
    <cfRule type="duplicateValues" dxfId="20768" priority="20781"/>
    <cfRule type="duplicateValues" dxfId="20767" priority="20780"/>
    <cfRule type="duplicateValues" dxfId="20766" priority="20779"/>
    <cfRule type="duplicateValues" dxfId="20765" priority="20778"/>
    <cfRule type="duplicateValues" dxfId="20764" priority="20777"/>
    <cfRule type="duplicateValues" dxfId="20763" priority="20776"/>
    <cfRule type="duplicateValues" dxfId="20762" priority="20775"/>
    <cfRule type="duplicateValues" dxfId="20761" priority="20774"/>
    <cfRule type="duplicateValues" dxfId="20760" priority="20773"/>
    <cfRule type="duplicateValues" dxfId="20759" priority="20772"/>
    <cfRule type="duplicateValues" dxfId="20758" priority="20771"/>
    <cfRule type="duplicateValues" dxfId="20757" priority="20770"/>
    <cfRule type="duplicateValues" dxfId="20756" priority="20769"/>
    <cfRule type="duplicateValues" dxfId="20755" priority="20768"/>
    <cfRule type="duplicateValues" dxfId="20754" priority="20767"/>
    <cfRule type="duplicateValues" dxfId="20753" priority="20766"/>
    <cfRule type="duplicateValues" dxfId="20752" priority="20765"/>
    <cfRule type="duplicateValues" dxfId="20751" priority="20764"/>
    <cfRule type="duplicateValues" dxfId="20750" priority="20763"/>
    <cfRule type="duplicateValues" dxfId="20749" priority="20762"/>
    <cfRule type="duplicateValues" dxfId="20748" priority="20761"/>
    <cfRule type="duplicateValues" dxfId="20747" priority="20760"/>
    <cfRule type="duplicateValues" dxfId="20746" priority="20759"/>
    <cfRule type="duplicateValues" dxfId="20745" priority="20758"/>
    <cfRule type="duplicateValues" dxfId="20744" priority="20757"/>
    <cfRule type="duplicateValues" dxfId="20743" priority="20756"/>
    <cfRule type="duplicateValues" dxfId="20742" priority="20755"/>
    <cfRule type="duplicateValues" dxfId="20741" priority="20754"/>
    <cfRule type="duplicateValues" dxfId="20740" priority="20753"/>
    <cfRule type="duplicateValues" dxfId="20739" priority="20752"/>
    <cfRule type="duplicateValues" dxfId="20738" priority="20751"/>
    <cfRule type="duplicateValues" dxfId="20737" priority="20750"/>
    <cfRule type="duplicateValues" dxfId="20736" priority="20749"/>
    <cfRule type="duplicateValues" dxfId="20735" priority="20748"/>
    <cfRule type="duplicateValues" dxfId="20734" priority="20747"/>
    <cfRule type="duplicateValues" dxfId="20733" priority="20746"/>
    <cfRule type="duplicateValues" dxfId="20732" priority="20745"/>
    <cfRule type="duplicateValues" dxfId="20731" priority="20744"/>
    <cfRule type="duplicateValues" dxfId="20730" priority="20743"/>
    <cfRule type="duplicateValues" dxfId="20729" priority="20742"/>
    <cfRule type="duplicateValues" dxfId="20728" priority="20741"/>
    <cfRule type="duplicateValues" dxfId="20727" priority="20740"/>
    <cfRule type="duplicateValues" dxfId="20726" priority="20739"/>
    <cfRule type="duplicateValues" dxfId="20725" priority="20738"/>
    <cfRule type="duplicateValues" dxfId="20724" priority="20737"/>
    <cfRule type="duplicateValues" dxfId="20723" priority="20736"/>
    <cfRule type="duplicateValues" dxfId="20722" priority="20735"/>
    <cfRule type="duplicateValues" dxfId="20721" priority="20734"/>
    <cfRule type="duplicateValues" dxfId="20720" priority="20733"/>
    <cfRule type="duplicateValues" dxfId="20719" priority="20732"/>
    <cfRule type="duplicateValues" dxfId="20718" priority="20731"/>
    <cfRule type="duplicateValues" dxfId="20717" priority="20730"/>
    <cfRule type="duplicateValues" dxfId="20716" priority="20729"/>
    <cfRule type="duplicateValues" dxfId="20715" priority="20728"/>
    <cfRule type="duplicateValues" dxfId="20714" priority="20727"/>
    <cfRule type="duplicateValues" dxfId="20713" priority="20726"/>
    <cfRule type="duplicateValues" dxfId="20712" priority="20725"/>
    <cfRule type="duplicateValues" dxfId="20711" priority="20724"/>
    <cfRule type="duplicateValues" dxfId="20710" priority="20723"/>
    <cfRule type="duplicateValues" dxfId="20709" priority="20722"/>
    <cfRule type="duplicateValues" dxfId="20708" priority="20721"/>
    <cfRule type="duplicateValues" dxfId="20707" priority="20720"/>
    <cfRule type="duplicateValues" dxfId="20706" priority="20719"/>
    <cfRule type="duplicateValues" dxfId="20705" priority="20718"/>
    <cfRule type="duplicateValues" dxfId="20704" priority="20717"/>
    <cfRule type="duplicateValues" dxfId="20703" priority="20716"/>
    <cfRule type="duplicateValues" dxfId="20702" priority="20715"/>
    <cfRule type="duplicateValues" dxfId="20701" priority="20714"/>
    <cfRule type="duplicateValues" dxfId="20700" priority="20713"/>
    <cfRule type="duplicateValues" dxfId="20699" priority="20712"/>
    <cfRule type="duplicateValues" dxfId="20698" priority="20711"/>
    <cfRule type="duplicateValues" dxfId="20697" priority="20710"/>
    <cfRule type="duplicateValues" dxfId="20696" priority="20709"/>
    <cfRule type="duplicateValues" dxfId="20695" priority="20708"/>
    <cfRule type="duplicateValues" dxfId="20694" priority="20707"/>
    <cfRule type="duplicateValues" dxfId="20693" priority="20706"/>
    <cfRule type="duplicateValues" dxfId="20692" priority="20705"/>
    <cfRule type="duplicateValues" dxfId="20691" priority="20704"/>
    <cfRule type="duplicateValues" dxfId="20690" priority="20703"/>
    <cfRule type="duplicateValues" dxfId="20689" priority="20702"/>
    <cfRule type="duplicateValues" dxfId="20688" priority="20701"/>
    <cfRule type="duplicateValues" dxfId="20687" priority="20700"/>
    <cfRule type="duplicateValues" dxfId="20686" priority="20699"/>
    <cfRule type="duplicateValues" dxfId="20685" priority="20698"/>
    <cfRule type="duplicateValues" dxfId="20684" priority="20697"/>
    <cfRule type="duplicateValues" dxfId="20683" priority="20696"/>
    <cfRule type="duplicateValues" dxfId="20682" priority="20695"/>
    <cfRule type="duplicateValues" dxfId="20681" priority="20694"/>
    <cfRule type="duplicateValues" dxfId="20680" priority="20693"/>
    <cfRule type="duplicateValues" dxfId="20679" priority="20692"/>
    <cfRule type="duplicateValues" dxfId="20678" priority="20691"/>
    <cfRule type="duplicateValues" dxfId="20677" priority="20690"/>
    <cfRule type="duplicateValues" dxfId="20676" priority="20689"/>
    <cfRule type="duplicateValues" dxfId="20675" priority="20688"/>
    <cfRule type="duplicateValues" dxfId="20674" priority="20687"/>
    <cfRule type="duplicateValues" dxfId="20673" priority="20686"/>
    <cfRule type="duplicateValues" dxfId="20672" priority="20685"/>
    <cfRule type="duplicateValues" dxfId="20671" priority="20684"/>
    <cfRule type="duplicateValues" dxfId="20670" priority="20683"/>
    <cfRule type="duplicateValues" dxfId="20669" priority="20682"/>
    <cfRule type="duplicateValues" dxfId="20668" priority="20681"/>
    <cfRule type="duplicateValues" dxfId="20667" priority="20680"/>
    <cfRule type="duplicateValues" dxfId="20666" priority="20679"/>
    <cfRule type="duplicateValues" dxfId="20665" priority="20678"/>
    <cfRule type="duplicateValues" dxfId="20664" priority="20677"/>
    <cfRule type="duplicateValues" dxfId="20663" priority="20676"/>
    <cfRule type="duplicateValues" dxfId="20662" priority="20675"/>
  </conditionalFormatting>
  <conditionalFormatting sqref="B202">
    <cfRule type="duplicateValues" dxfId="20661" priority="20628"/>
    <cfRule type="duplicateValues" dxfId="20660" priority="20487"/>
    <cfRule type="duplicateValues" dxfId="20659" priority="20486"/>
    <cfRule type="duplicateValues" dxfId="20658" priority="20485"/>
    <cfRule type="duplicateValues" dxfId="20657" priority="20670"/>
    <cfRule type="duplicateValues" dxfId="20656" priority="20669"/>
    <cfRule type="duplicateValues" dxfId="20655" priority="20668"/>
    <cfRule type="duplicateValues" dxfId="20654" priority="20667"/>
    <cfRule type="duplicateValues" dxfId="20653" priority="20666"/>
    <cfRule type="duplicateValues" dxfId="20652" priority="20665"/>
    <cfRule type="duplicateValues" dxfId="20651" priority="20664"/>
    <cfRule type="duplicateValues" dxfId="20650" priority="20663"/>
    <cfRule type="duplicateValues" dxfId="20649" priority="20662"/>
    <cfRule type="duplicateValues" dxfId="20648" priority="20661"/>
    <cfRule type="duplicateValues" dxfId="20647" priority="20660"/>
    <cfRule type="duplicateValues" dxfId="20646" priority="20659"/>
    <cfRule type="duplicateValues" dxfId="20645" priority="20658"/>
    <cfRule type="duplicateValues" dxfId="20644" priority="20657"/>
    <cfRule type="duplicateValues" dxfId="20643" priority="20656"/>
    <cfRule type="duplicateValues" dxfId="20642" priority="20655"/>
    <cfRule type="duplicateValues" dxfId="20641" priority="20654"/>
    <cfRule type="duplicateValues" dxfId="20640" priority="20653"/>
    <cfRule type="duplicateValues" dxfId="20639" priority="20652"/>
    <cfRule type="duplicateValues" dxfId="20638" priority="20651"/>
    <cfRule type="duplicateValues" dxfId="20637" priority="20650"/>
    <cfRule type="duplicateValues" dxfId="20636" priority="20649"/>
    <cfRule type="duplicateValues" dxfId="20635" priority="20648"/>
    <cfRule type="duplicateValues" dxfId="20634" priority="20647"/>
    <cfRule type="duplicateValues" dxfId="20633" priority="20646"/>
    <cfRule type="duplicateValues" dxfId="20632" priority="20645"/>
    <cfRule type="duplicateValues" dxfId="20631" priority="20644"/>
    <cfRule type="duplicateValues" dxfId="20630" priority="20643"/>
    <cfRule type="duplicateValues" dxfId="20629" priority="20642"/>
    <cfRule type="duplicateValues" dxfId="20628" priority="20641"/>
    <cfRule type="duplicateValues" dxfId="20627" priority="20640"/>
    <cfRule type="duplicateValues" dxfId="20626" priority="20639"/>
    <cfRule type="duplicateValues" dxfId="20625" priority="20638"/>
    <cfRule type="duplicateValues" dxfId="20624" priority="20637"/>
    <cfRule type="duplicateValues" dxfId="20623" priority="20636"/>
    <cfRule type="duplicateValues" dxfId="20622" priority="20635"/>
    <cfRule type="duplicateValues" dxfId="20621" priority="20634"/>
    <cfRule type="duplicateValues" dxfId="20620" priority="20633"/>
    <cfRule type="duplicateValues" dxfId="20619" priority="20632"/>
    <cfRule type="duplicateValues" dxfId="20618" priority="20631"/>
    <cfRule type="duplicateValues" dxfId="20617" priority="20630"/>
    <cfRule type="duplicateValues" dxfId="20616" priority="20629"/>
    <cfRule type="duplicateValues" dxfId="20615" priority="20582"/>
    <cfRule type="duplicateValues" dxfId="20614" priority="20627"/>
    <cfRule type="duplicateValues" dxfId="20613" priority="20626"/>
    <cfRule type="duplicateValues" dxfId="20612" priority="20625"/>
    <cfRule type="duplicateValues" dxfId="20611" priority="20624"/>
    <cfRule type="duplicateValues" dxfId="20610" priority="20623"/>
    <cfRule type="duplicateValues" dxfId="20609" priority="20622"/>
    <cfRule type="duplicateValues" dxfId="20608" priority="20621"/>
    <cfRule type="duplicateValues" dxfId="20607" priority="20620"/>
    <cfRule type="duplicateValues" dxfId="20606" priority="20619"/>
    <cfRule type="duplicateValues" dxfId="20605" priority="20618"/>
    <cfRule type="duplicateValues" dxfId="20604" priority="20617"/>
    <cfRule type="duplicateValues" dxfId="20603" priority="20616"/>
    <cfRule type="duplicateValues" dxfId="20602" priority="20615"/>
    <cfRule type="duplicateValues" dxfId="20601" priority="20614"/>
    <cfRule type="duplicateValues" dxfId="20600" priority="20613"/>
    <cfRule type="duplicateValues" dxfId="20599" priority="20612"/>
    <cfRule type="duplicateValues" dxfId="20598" priority="20611"/>
    <cfRule type="duplicateValues" dxfId="20597" priority="20610"/>
    <cfRule type="duplicateValues" dxfId="20596" priority="20609"/>
    <cfRule type="duplicateValues" dxfId="20595" priority="20608"/>
    <cfRule type="duplicateValues" dxfId="20594" priority="20607"/>
    <cfRule type="duplicateValues" dxfId="20593" priority="20606"/>
    <cfRule type="duplicateValues" dxfId="20592" priority="20605"/>
    <cfRule type="duplicateValues" dxfId="20591" priority="20604"/>
    <cfRule type="duplicateValues" dxfId="20590" priority="20603"/>
    <cfRule type="duplicateValues" dxfId="20589" priority="20602"/>
    <cfRule type="duplicateValues" dxfId="20588" priority="20601"/>
    <cfRule type="duplicateValues" dxfId="20587" priority="20600"/>
    <cfRule type="duplicateValues" dxfId="20586" priority="20599"/>
    <cfRule type="duplicateValues" dxfId="20585" priority="20598"/>
    <cfRule type="duplicateValues" dxfId="20584" priority="20597"/>
    <cfRule type="duplicateValues" dxfId="20583" priority="20596"/>
    <cfRule type="duplicateValues" dxfId="20582" priority="20595"/>
    <cfRule type="duplicateValues" dxfId="20581" priority="20594"/>
    <cfRule type="duplicateValues" dxfId="20580" priority="20593"/>
    <cfRule type="duplicateValues" dxfId="20579" priority="20592"/>
    <cfRule type="duplicateValues" dxfId="20578" priority="20591"/>
    <cfRule type="duplicateValues" dxfId="20577" priority="20590"/>
    <cfRule type="duplicateValues" dxfId="20576" priority="20589"/>
    <cfRule type="duplicateValues" dxfId="20575" priority="20588"/>
    <cfRule type="duplicateValues" dxfId="20574" priority="20587"/>
    <cfRule type="duplicateValues" dxfId="20573" priority="20586"/>
    <cfRule type="duplicateValues" dxfId="20572" priority="20585"/>
    <cfRule type="duplicateValues" dxfId="20571" priority="20584"/>
    <cfRule type="duplicateValues" dxfId="20570" priority="20583"/>
    <cfRule type="duplicateValues" dxfId="20569" priority="20484"/>
    <cfRule type="duplicateValues" dxfId="20568" priority="20581"/>
    <cfRule type="duplicateValues" dxfId="20567" priority="20580"/>
    <cfRule type="duplicateValues" dxfId="20566" priority="20579"/>
    <cfRule type="duplicateValues" dxfId="20565" priority="20578"/>
    <cfRule type="duplicateValues" dxfId="20564" priority="20577"/>
    <cfRule type="duplicateValues" dxfId="20563" priority="20576"/>
    <cfRule type="duplicateValues" dxfId="20562" priority="20575"/>
    <cfRule type="duplicateValues" dxfId="20561" priority="20574"/>
    <cfRule type="duplicateValues" dxfId="20560" priority="20573"/>
    <cfRule type="duplicateValues" dxfId="20559" priority="20572"/>
    <cfRule type="duplicateValues" dxfId="20558" priority="20571"/>
    <cfRule type="duplicateValues" dxfId="20557" priority="20570"/>
    <cfRule type="duplicateValues" dxfId="20556" priority="20569"/>
    <cfRule type="duplicateValues" dxfId="20555" priority="20568"/>
    <cfRule type="duplicateValues" dxfId="20554" priority="20567"/>
    <cfRule type="duplicateValues" dxfId="20553" priority="20566"/>
    <cfRule type="duplicateValues" dxfId="20552" priority="20565"/>
    <cfRule type="duplicateValues" dxfId="20551" priority="20564"/>
    <cfRule type="duplicateValues" dxfId="20550" priority="20563"/>
    <cfRule type="duplicateValues" dxfId="20549" priority="20562"/>
    <cfRule type="duplicateValues" dxfId="20548" priority="20561"/>
    <cfRule type="duplicateValues" dxfId="20547" priority="20560"/>
    <cfRule type="duplicateValues" dxfId="20546" priority="20559"/>
    <cfRule type="duplicateValues" dxfId="20545" priority="20558"/>
    <cfRule type="duplicateValues" dxfId="20544" priority="20557"/>
    <cfRule type="duplicateValues" dxfId="20543" priority="20556"/>
    <cfRule type="duplicateValues" dxfId="20542" priority="20555"/>
    <cfRule type="duplicateValues" dxfId="20541" priority="20554"/>
    <cfRule type="duplicateValues" dxfId="20540" priority="20553"/>
    <cfRule type="duplicateValues" dxfId="20539" priority="20552"/>
    <cfRule type="duplicateValues" dxfId="20538" priority="20551"/>
    <cfRule type="duplicateValues" dxfId="20537" priority="20550"/>
    <cfRule type="duplicateValues" dxfId="20536" priority="20549"/>
    <cfRule type="duplicateValues" dxfId="20535" priority="20548"/>
    <cfRule type="duplicateValues" dxfId="20534" priority="20547"/>
    <cfRule type="duplicateValues" dxfId="20533" priority="20546"/>
    <cfRule type="duplicateValues" dxfId="20532" priority="20545"/>
    <cfRule type="duplicateValues" dxfId="20531" priority="20544"/>
    <cfRule type="duplicateValues" dxfId="20530" priority="20543"/>
    <cfRule type="duplicateValues" dxfId="20529" priority="20542"/>
    <cfRule type="duplicateValues" dxfId="20528" priority="20541"/>
    <cfRule type="duplicateValues" dxfId="20527" priority="20540"/>
    <cfRule type="duplicateValues" dxfId="20526" priority="20539"/>
    <cfRule type="duplicateValues" dxfId="20525" priority="20538"/>
    <cfRule type="duplicateValues" dxfId="20524" priority="20537"/>
    <cfRule type="duplicateValues" dxfId="20523" priority="20536"/>
    <cfRule type="duplicateValues" dxfId="20522" priority="20535"/>
    <cfRule type="duplicateValues" dxfId="20521" priority="20534"/>
    <cfRule type="duplicateValues" dxfId="20520" priority="20533"/>
    <cfRule type="duplicateValues" dxfId="20519" priority="20532"/>
    <cfRule type="duplicateValues" dxfId="20518" priority="20531"/>
    <cfRule type="duplicateValues" dxfId="20517" priority="20530"/>
    <cfRule type="duplicateValues" dxfId="20516" priority="20529"/>
    <cfRule type="duplicateValues" dxfId="20515" priority="20528"/>
    <cfRule type="duplicateValues" dxfId="20514" priority="20527"/>
    <cfRule type="duplicateValues" dxfId="20513" priority="20526"/>
    <cfRule type="duplicateValues" dxfId="20512" priority="20525"/>
    <cfRule type="duplicateValues" dxfId="20511" priority="20524"/>
    <cfRule type="duplicateValues" dxfId="20510" priority="20523"/>
    <cfRule type="duplicateValues" dxfId="20509" priority="20522"/>
    <cfRule type="duplicateValues" dxfId="20508" priority="20521"/>
    <cfRule type="duplicateValues" dxfId="20507" priority="20520"/>
    <cfRule type="duplicateValues" dxfId="20506" priority="20519"/>
    <cfRule type="duplicateValues" dxfId="20505" priority="20518"/>
    <cfRule type="duplicateValues" dxfId="20504" priority="20517"/>
    <cfRule type="duplicateValues" dxfId="20503" priority="20516"/>
    <cfRule type="duplicateValues" dxfId="20502" priority="20515"/>
    <cfRule type="duplicateValues" dxfId="20501" priority="20514"/>
    <cfRule type="duplicateValues" dxfId="20500" priority="20513"/>
    <cfRule type="duplicateValues" dxfId="20499" priority="20512"/>
    <cfRule type="duplicateValues" dxfId="20498" priority="20511"/>
    <cfRule type="duplicateValues" dxfId="20497" priority="20510"/>
    <cfRule type="duplicateValues" dxfId="20496" priority="20509"/>
    <cfRule type="duplicateValues" dxfId="20495" priority="20508"/>
    <cfRule type="duplicateValues" dxfId="20494" priority="20507"/>
    <cfRule type="duplicateValues" dxfId="20493" priority="20506"/>
    <cfRule type="duplicateValues" dxfId="20492" priority="20505"/>
    <cfRule type="duplicateValues" dxfId="20491" priority="20504"/>
    <cfRule type="duplicateValues" dxfId="20490" priority="20503"/>
    <cfRule type="duplicateValues" dxfId="20489" priority="20502"/>
    <cfRule type="duplicateValues" dxfId="20488" priority="20501"/>
    <cfRule type="duplicateValues" dxfId="20487" priority="20500"/>
    <cfRule type="duplicateValues" dxfId="20486" priority="20499"/>
    <cfRule type="duplicateValues" dxfId="20485" priority="20498"/>
    <cfRule type="duplicateValues" dxfId="20484" priority="20497"/>
    <cfRule type="duplicateValues" dxfId="20483" priority="20496"/>
    <cfRule type="duplicateValues" dxfId="20482" priority="20495"/>
    <cfRule type="duplicateValues" dxfId="20481" priority="20494"/>
    <cfRule type="duplicateValues" dxfId="20480" priority="20493"/>
    <cfRule type="duplicateValues" dxfId="20479" priority="20492"/>
    <cfRule type="duplicateValues" dxfId="20478" priority="20491"/>
    <cfRule type="duplicateValues" dxfId="20477" priority="20490"/>
    <cfRule type="duplicateValues" dxfId="20476" priority="20489"/>
    <cfRule type="duplicateValues" dxfId="20475" priority="20488"/>
  </conditionalFormatting>
  <conditionalFormatting sqref="B203:B204">
    <cfRule type="duplicateValues" dxfId="20474" priority="20298"/>
    <cfRule type="duplicateValues" dxfId="20473" priority="20297"/>
    <cfRule type="duplicateValues" dxfId="20472" priority="20300"/>
    <cfRule type="duplicateValues" dxfId="20471" priority="20299"/>
    <cfRule type="duplicateValues" dxfId="20470" priority="20483"/>
    <cfRule type="duplicateValues" dxfId="20469" priority="20482"/>
    <cfRule type="duplicateValues" dxfId="20468" priority="20481"/>
    <cfRule type="duplicateValues" dxfId="20467" priority="20480"/>
    <cfRule type="duplicateValues" dxfId="20466" priority="20479"/>
    <cfRule type="duplicateValues" dxfId="20465" priority="20478"/>
    <cfRule type="duplicateValues" dxfId="20464" priority="20477"/>
    <cfRule type="duplicateValues" dxfId="20463" priority="20476"/>
    <cfRule type="duplicateValues" dxfId="20462" priority="20475"/>
    <cfRule type="duplicateValues" dxfId="20461" priority="20474"/>
    <cfRule type="duplicateValues" dxfId="20460" priority="20473"/>
    <cfRule type="duplicateValues" dxfId="20459" priority="20472"/>
    <cfRule type="duplicateValues" dxfId="20458" priority="20471"/>
    <cfRule type="duplicateValues" dxfId="20457" priority="20470"/>
    <cfRule type="duplicateValues" dxfId="20456" priority="20469"/>
    <cfRule type="duplicateValues" dxfId="20455" priority="20468"/>
    <cfRule type="duplicateValues" dxfId="20454" priority="20467"/>
    <cfRule type="duplicateValues" dxfId="20453" priority="20466"/>
    <cfRule type="duplicateValues" dxfId="20452" priority="20465"/>
    <cfRule type="duplicateValues" dxfId="20451" priority="20464"/>
    <cfRule type="duplicateValues" dxfId="20450" priority="20463"/>
    <cfRule type="duplicateValues" dxfId="20449" priority="20462"/>
    <cfRule type="duplicateValues" dxfId="20448" priority="20461"/>
    <cfRule type="duplicateValues" dxfId="20447" priority="20460"/>
    <cfRule type="duplicateValues" dxfId="20446" priority="20459"/>
    <cfRule type="duplicateValues" dxfId="20445" priority="20458"/>
    <cfRule type="duplicateValues" dxfId="20444" priority="20457"/>
    <cfRule type="duplicateValues" dxfId="20443" priority="20456"/>
    <cfRule type="duplicateValues" dxfId="20442" priority="20455"/>
    <cfRule type="duplicateValues" dxfId="20441" priority="20454"/>
    <cfRule type="duplicateValues" dxfId="20440" priority="20453"/>
    <cfRule type="duplicateValues" dxfId="20439" priority="20452"/>
    <cfRule type="duplicateValues" dxfId="20438" priority="20451"/>
    <cfRule type="duplicateValues" dxfId="20437" priority="20450"/>
    <cfRule type="duplicateValues" dxfId="20436" priority="20449"/>
    <cfRule type="duplicateValues" dxfId="20435" priority="20448"/>
    <cfRule type="duplicateValues" dxfId="20434" priority="20447"/>
    <cfRule type="duplicateValues" dxfId="20433" priority="20446"/>
    <cfRule type="duplicateValues" dxfId="20432" priority="20445"/>
    <cfRule type="duplicateValues" dxfId="20431" priority="20444"/>
    <cfRule type="duplicateValues" dxfId="20430" priority="20443"/>
    <cfRule type="duplicateValues" dxfId="20429" priority="20442"/>
    <cfRule type="duplicateValues" dxfId="20428" priority="20441"/>
    <cfRule type="duplicateValues" dxfId="20427" priority="20440"/>
    <cfRule type="duplicateValues" dxfId="20426" priority="20439"/>
    <cfRule type="duplicateValues" dxfId="20425" priority="20438"/>
    <cfRule type="duplicateValues" dxfId="20424" priority="20437"/>
    <cfRule type="duplicateValues" dxfId="20423" priority="20436"/>
    <cfRule type="duplicateValues" dxfId="20422" priority="20435"/>
    <cfRule type="duplicateValues" dxfId="20421" priority="20434"/>
    <cfRule type="duplicateValues" dxfId="20420" priority="20433"/>
    <cfRule type="duplicateValues" dxfId="20419" priority="20432"/>
    <cfRule type="duplicateValues" dxfId="20418" priority="20431"/>
    <cfRule type="duplicateValues" dxfId="20417" priority="20430"/>
    <cfRule type="duplicateValues" dxfId="20416" priority="20429"/>
    <cfRule type="duplicateValues" dxfId="20415" priority="20428"/>
    <cfRule type="duplicateValues" dxfId="20414" priority="20427"/>
    <cfRule type="duplicateValues" dxfId="20413" priority="20426"/>
    <cfRule type="duplicateValues" dxfId="20412" priority="20425"/>
    <cfRule type="duplicateValues" dxfId="20411" priority="20424"/>
    <cfRule type="duplicateValues" dxfId="20410" priority="20423"/>
    <cfRule type="duplicateValues" dxfId="20409" priority="20422"/>
    <cfRule type="duplicateValues" dxfId="20408" priority="20421"/>
    <cfRule type="duplicateValues" dxfId="20407" priority="20420"/>
    <cfRule type="duplicateValues" dxfId="20406" priority="20419"/>
    <cfRule type="duplicateValues" dxfId="20405" priority="20418"/>
    <cfRule type="duplicateValues" dxfId="20404" priority="20417"/>
    <cfRule type="duplicateValues" dxfId="20403" priority="20416"/>
    <cfRule type="duplicateValues" dxfId="20402" priority="20415"/>
    <cfRule type="duplicateValues" dxfId="20401" priority="20414"/>
    <cfRule type="duplicateValues" dxfId="20400" priority="20413"/>
    <cfRule type="duplicateValues" dxfId="20399" priority="20412"/>
    <cfRule type="duplicateValues" dxfId="20398" priority="20411"/>
    <cfRule type="duplicateValues" dxfId="20397" priority="20410"/>
    <cfRule type="duplicateValues" dxfId="20396" priority="20409"/>
    <cfRule type="duplicateValues" dxfId="20395" priority="20408"/>
    <cfRule type="duplicateValues" dxfId="20394" priority="20407"/>
    <cfRule type="duplicateValues" dxfId="20393" priority="20406"/>
    <cfRule type="duplicateValues" dxfId="20392" priority="20405"/>
    <cfRule type="duplicateValues" dxfId="20391" priority="20404"/>
    <cfRule type="duplicateValues" dxfId="20390" priority="20403"/>
    <cfRule type="duplicateValues" dxfId="20389" priority="20402"/>
    <cfRule type="duplicateValues" dxfId="20388" priority="20401"/>
    <cfRule type="duplicateValues" dxfId="20387" priority="20400"/>
    <cfRule type="duplicateValues" dxfId="20386" priority="20399"/>
    <cfRule type="duplicateValues" dxfId="20385" priority="20398"/>
    <cfRule type="duplicateValues" dxfId="20384" priority="20397"/>
    <cfRule type="duplicateValues" dxfId="20383" priority="20396"/>
    <cfRule type="duplicateValues" dxfId="20382" priority="20395"/>
    <cfRule type="duplicateValues" dxfId="20381" priority="20394"/>
    <cfRule type="duplicateValues" dxfId="20380" priority="20393"/>
    <cfRule type="duplicateValues" dxfId="20379" priority="20392"/>
    <cfRule type="duplicateValues" dxfId="20378" priority="20391"/>
    <cfRule type="duplicateValues" dxfId="20377" priority="20390"/>
    <cfRule type="duplicateValues" dxfId="20376" priority="20389"/>
    <cfRule type="duplicateValues" dxfId="20375" priority="20388"/>
    <cfRule type="duplicateValues" dxfId="20374" priority="20387"/>
    <cfRule type="duplicateValues" dxfId="20373" priority="20386"/>
    <cfRule type="duplicateValues" dxfId="20372" priority="20385"/>
    <cfRule type="duplicateValues" dxfId="20371" priority="20384"/>
    <cfRule type="duplicateValues" dxfId="20370" priority="20383"/>
    <cfRule type="duplicateValues" dxfId="20369" priority="20382"/>
    <cfRule type="duplicateValues" dxfId="20368" priority="20381"/>
    <cfRule type="duplicateValues" dxfId="20367" priority="20380"/>
    <cfRule type="duplicateValues" dxfId="20366" priority="20379"/>
    <cfRule type="duplicateValues" dxfId="20365" priority="20378"/>
    <cfRule type="duplicateValues" dxfId="20364" priority="20377"/>
    <cfRule type="duplicateValues" dxfId="20363" priority="20376"/>
    <cfRule type="duplicateValues" dxfId="20362" priority="20375"/>
    <cfRule type="duplicateValues" dxfId="20361" priority="20374"/>
    <cfRule type="duplicateValues" dxfId="20360" priority="20373"/>
    <cfRule type="duplicateValues" dxfId="20359" priority="20372"/>
    <cfRule type="duplicateValues" dxfId="20358" priority="20371"/>
    <cfRule type="duplicateValues" dxfId="20357" priority="20370"/>
    <cfRule type="duplicateValues" dxfId="20356" priority="20369"/>
    <cfRule type="duplicateValues" dxfId="20355" priority="20368"/>
    <cfRule type="duplicateValues" dxfId="20354" priority="20367"/>
    <cfRule type="duplicateValues" dxfId="20353" priority="20366"/>
    <cfRule type="duplicateValues" dxfId="20352" priority="20365"/>
    <cfRule type="duplicateValues" dxfId="20351" priority="20364"/>
    <cfRule type="duplicateValues" dxfId="20350" priority="20363"/>
    <cfRule type="duplicateValues" dxfId="20349" priority="20362"/>
    <cfRule type="duplicateValues" dxfId="20348" priority="20361"/>
    <cfRule type="duplicateValues" dxfId="20347" priority="20360"/>
    <cfRule type="duplicateValues" dxfId="20346" priority="20359"/>
    <cfRule type="duplicateValues" dxfId="20345" priority="20358"/>
    <cfRule type="duplicateValues" dxfId="20344" priority="20357"/>
    <cfRule type="duplicateValues" dxfId="20343" priority="20356"/>
    <cfRule type="duplicateValues" dxfId="20342" priority="20355"/>
    <cfRule type="duplicateValues" dxfId="20341" priority="20354"/>
    <cfRule type="duplicateValues" dxfId="20340" priority="20353"/>
    <cfRule type="duplicateValues" dxfId="20339" priority="20352"/>
    <cfRule type="duplicateValues" dxfId="20338" priority="20351"/>
    <cfRule type="duplicateValues" dxfId="20337" priority="20350"/>
    <cfRule type="duplicateValues" dxfId="20336" priority="20349"/>
    <cfRule type="duplicateValues" dxfId="20335" priority="20348"/>
    <cfRule type="duplicateValues" dxfId="20334" priority="20347"/>
    <cfRule type="duplicateValues" dxfId="20333" priority="20346"/>
    <cfRule type="duplicateValues" dxfId="20332" priority="20345"/>
    <cfRule type="duplicateValues" dxfId="20331" priority="20344"/>
    <cfRule type="duplicateValues" dxfId="20330" priority="20343"/>
    <cfRule type="duplicateValues" dxfId="20329" priority="20342"/>
    <cfRule type="duplicateValues" dxfId="20328" priority="20341"/>
    <cfRule type="duplicateValues" dxfId="20327" priority="20340"/>
    <cfRule type="duplicateValues" dxfId="20326" priority="20339"/>
    <cfRule type="duplicateValues" dxfId="20325" priority="20338"/>
    <cfRule type="duplicateValues" dxfId="20324" priority="20337"/>
    <cfRule type="duplicateValues" dxfId="20323" priority="20336"/>
    <cfRule type="duplicateValues" dxfId="20322" priority="20335"/>
    <cfRule type="duplicateValues" dxfId="20321" priority="20334"/>
    <cfRule type="duplicateValues" dxfId="20320" priority="20333"/>
    <cfRule type="duplicateValues" dxfId="20319" priority="20332"/>
    <cfRule type="duplicateValues" dxfId="20318" priority="20331"/>
    <cfRule type="duplicateValues" dxfId="20317" priority="20330"/>
    <cfRule type="duplicateValues" dxfId="20316" priority="20329"/>
    <cfRule type="duplicateValues" dxfId="20315" priority="20328"/>
    <cfRule type="duplicateValues" dxfId="20314" priority="20327"/>
    <cfRule type="duplicateValues" dxfId="20313" priority="20326"/>
    <cfRule type="duplicateValues" dxfId="20312" priority="20325"/>
    <cfRule type="duplicateValues" dxfId="20311" priority="20324"/>
    <cfRule type="duplicateValues" dxfId="20310" priority="20323"/>
    <cfRule type="duplicateValues" dxfId="20309" priority="20322"/>
    <cfRule type="duplicateValues" dxfId="20308" priority="20321"/>
    <cfRule type="duplicateValues" dxfId="20307" priority="20320"/>
    <cfRule type="duplicateValues" dxfId="20306" priority="20319"/>
    <cfRule type="duplicateValues" dxfId="20305" priority="20318"/>
    <cfRule type="duplicateValues" dxfId="20304" priority="20317"/>
    <cfRule type="duplicateValues" dxfId="20303" priority="20316"/>
    <cfRule type="duplicateValues" dxfId="20302" priority="20315"/>
    <cfRule type="duplicateValues" dxfId="20301" priority="20314"/>
    <cfRule type="duplicateValues" dxfId="20300" priority="20313"/>
    <cfRule type="duplicateValues" dxfId="20299" priority="20312"/>
    <cfRule type="duplicateValues" dxfId="20298" priority="20311"/>
    <cfRule type="duplicateValues" dxfId="20297" priority="20310"/>
    <cfRule type="duplicateValues" dxfId="20296" priority="20309"/>
    <cfRule type="duplicateValues" dxfId="20295" priority="20308"/>
    <cfRule type="duplicateValues" dxfId="20294" priority="20307"/>
    <cfRule type="duplicateValues" dxfId="20293" priority="20306"/>
    <cfRule type="duplicateValues" dxfId="20292" priority="20305"/>
    <cfRule type="duplicateValues" dxfId="20291" priority="20304"/>
    <cfRule type="duplicateValues" dxfId="20290" priority="20303"/>
    <cfRule type="duplicateValues" dxfId="20289" priority="20302"/>
    <cfRule type="duplicateValues" dxfId="20288" priority="20301"/>
  </conditionalFormatting>
  <conditionalFormatting sqref="B205">
    <cfRule type="duplicateValues" dxfId="20287" priority="20113"/>
    <cfRule type="duplicateValues" dxfId="20286" priority="20112"/>
    <cfRule type="duplicateValues" dxfId="20285" priority="20111"/>
    <cfRule type="duplicateValues" dxfId="20284" priority="20110"/>
    <cfRule type="duplicateValues" dxfId="20283" priority="20296"/>
    <cfRule type="duplicateValues" dxfId="20282" priority="20295"/>
    <cfRule type="duplicateValues" dxfId="20281" priority="20294"/>
    <cfRule type="duplicateValues" dxfId="20280" priority="20293"/>
    <cfRule type="duplicateValues" dxfId="20279" priority="20292"/>
    <cfRule type="duplicateValues" dxfId="20278" priority="20291"/>
    <cfRule type="duplicateValues" dxfId="20277" priority="20290"/>
    <cfRule type="duplicateValues" dxfId="20276" priority="20289"/>
    <cfRule type="duplicateValues" dxfId="20275" priority="20288"/>
    <cfRule type="duplicateValues" dxfId="20274" priority="20287"/>
    <cfRule type="duplicateValues" dxfId="20273" priority="20286"/>
    <cfRule type="duplicateValues" dxfId="20272" priority="20285"/>
    <cfRule type="duplicateValues" dxfId="20271" priority="20284"/>
    <cfRule type="duplicateValues" dxfId="20270" priority="20283"/>
    <cfRule type="duplicateValues" dxfId="20269" priority="20282"/>
    <cfRule type="duplicateValues" dxfId="20268" priority="20281"/>
    <cfRule type="duplicateValues" dxfId="20267" priority="20280"/>
    <cfRule type="duplicateValues" dxfId="20266" priority="20279"/>
    <cfRule type="duplicateValues" dxfId="20265" priority="20278"/>
    <cfRule type="duplicateValues" dxfId="20264" priority="20277"/>
    <cfRule type="duplicateValues" dxfId="20263" priority="20276"/>
    <cfRule type="duplicateValues" dxfId="20262" priority="20275"/>
    <cfRule type="duplicateValues" dxfId="20261" priority="20274"/>
    <cfRule type="duplicateValues" dxfId="20260" priority="20273"/>
    <cfRule type="duplicateValues" dxfId="20259" priority="20272"/>
    <cfRule type="duplicateValues" dxfId="20258" priority="20271"/>
    <cfRule type="duplicateValues" dxfId="20257" priority="20270"/>
    <cfRule type="duplicateValues" dxfId="20256" priority="20269"/>
    <cfRule type="duplicateValues" dxfId="20255" priority="20268"/>
    <cfRule type="duplicateValues" dxfId="20254" priority="20267"/>
    <cfRule type="duplicateValues" dxfId="20253" priority="20266"/>
    <cfRule type="duplicateValues" dxfId="20252" priority="20265"/>
    <cfRule type="duplicateValues" dxfId="20251" priority="20264"/>
    <cfRule type="duplicateValues" dxfId="20250" priority="20263"/>
    <cfRule type="duplicateValues" dxfId="20249" priority="20262"/>
    <cfRule type="duplicateValues" dxfId="20248" priority="20261"/>
    <cfRule type="duplicateValues" dxfId="20247" priority="20260"/>
    <cfRule type="duplicateValues" dxfId="20246" priority="20259"/>
    <cfRule type="duplicateValues" dxfId="20245" priority="20258"/>
    <cfRule type="duplicateValues" dxfId="20244" priority="20257"/>
    <cfRule type="duplicateValues" dxfId="20243" priority="20256"/>
    <cfRule type="duplicateValues" dxfId="20242" priority="20255"/>
    <cfRule type="duplicateValues" dxfId="20241" priority="20254"/>
    <cfRule type="duplicateValues" dxfId="20240" priority="20253"/>
    <cfRule type="duplicateValues" dxfId="20239" priority="20252"/>
    <cfRule type="duplicateValues" dxfId="20238" priority="20251"/>
    <cfRule type="duplicateValues" dxfId="20237" priority="20250"/>
    <cfRule type="duplicateValues" dxfId="20236" priority="20249"/>
    <cfRule type="duplicateValues" dxfId="20235" priority="20248"/>
    <cfRule type="duplicateValues" dxfId="20234" priority="20247"/>
    <cfRule type="duplicateValues" dxfId="20233" priority="20246"/>
    <cfRule type="duplicateValues" dxfId="20232" priority="20245"/>
    <cfRule type="duplicateValues" dxfId="20231" priority="20244"/>
    <cfRule type="duplicateValues" dxfId="20230" priority="20243"/>
    <cfRule type="duplicateValues" dxfId="20229" priority="20242"/>
    <cfRule type="duplicateValues" dxfId="20228" priority="20241"/>
    <cfRule type="duplicateValues" dxfId="20227" priority="20240"/>
    <cfRule type="duplicateValues" dxfId="20226" priority="20239"/>
    <cfRule type="duplicateValues" dxfId="20225" priority="20238"/>
    <cfRule type="duplicateValues" dxfId="20224" priority="20237"/>
    <cfRule type="duplicateValues" dxfId="20223" priority="20236"/>
    <cfRule type="duplicateValues" dxfId="20222" priority="20235"/>
    <cfRule type="duplicateValues" dxfId="20221" priority="20234"/>
    <cfRule type="duplicateValues" dxfId="20220" priority="20233"/>
    <cfRule type="duplicateValues" dxfId="20219" priority="20232"/>
    <cfRule type="duplicateValues" dxfId="20218" priority="20231"/>
    <cfRule type="duplicateValues" dxfId="20217" priority="20230"/>
    <cfRule type="duplicateValues" dxfId="20216" priority="20229"/>
    <cfRule type="duplicateValues" dxfId="20215" priority="20228"/>
    <cfRule type="duplicateValues" dxfId="20214" priority="20227"/>
    <cfRule type="duplicateValues" dxfId="20213" priority="20226"/>
    <cfRule type="duplicateValues" dxfId="20212" priority="20225"/>
    <cfRule type="duplicateValues" dxfId="20211" priority="20224"/>
    <cfRule type="duplicateValues" dxfId="20210" priority="20223"/>
    <cfRule type="duplicateValues" dxfId="20209" priority="20222"/>
    <cfRule type="duplicateValues" dxfId="20208" priority="20221"/>
    <cfRule type="duplicateValues" dxfId="20207" priority="20220"/>
    <cfRule type="duplicateValues" dxfId="20206" priority="20219"/>
    <cfRule type="duplicateValues" dxfId="20205" priority="20218"/>
    <cfRule type="duplicateValues" dxfId="20204" priority="20217"/>
    <cfRule type="duplicateValues" dxfId="20203" priority="20216"/>
    <cfRule type="duplicateValues" dxfId="20202" priority="20215"/>
    <cfRule type="duplicateValues" dxfId="20201" priority="20214"/>
    <cfRule type="duplicateValues" dxfId="20200" priority="20213"/>
    <cfRule type="duplicateValues" dxfId="20199" priority="20212"/>
    <cfRule type="duplicateValues" dxfId="20198" priority="20211"/>
    <cfRule type="duplicateValues" dxfId="20197" priority="20210"/>
    <cfRule type="duplicateValues" dxfId="20196" priority="20209"/>
    <cfRule type="duplicateValues" dxfId="20195" priority="20208"/>
    <cfRule type="duplicateValues" dxfId="20194" priority="20207"/>
    <cfRule type="duplicateValues" dxfId="20193" priority="20206"/>
    <cfRule type="duplicateValues" dxfId="20192" priority="20205"/>
    <cfRule type="duplicateValues" dxfId="20191" priority="20204"/>
    <cfRule type="duplicateValues" dxfId="20190" priority="20203"/>
    <cfRule type="duplicateValues" dxfId="20189" priority="20202"/>
    <cfRule type="duplicateValues" dxfId="20188" priority="20201"/>
    <cfRule type="duplicateValues" dxfId="20187" priority="20200"/>
    <cfRule type="duplicateValues" dxfId="20186" priority="20199"/>
    <cfRule type="duplicateValues" dxfId="20185" priority="20198"/>
    <cfRule type="duplicateValues" dxfId="20184" priority="20197"/>
    <cfRule type="duplicateValues" dxfId="20183" priority="20196"/>
    <cfRule type="duplicateValues" dxfId="20182" priority="20195"/>
    <cfRule type="duplicateValues" dxfId="20181" priority="20194"/>
    <cfRule type="duplicateValues" dxfId="20180" priority="20193"/>
    <cfRule type="duplicateValues" dxfId="20179" priority="20192"/>
    <cfRule type="duplicateValues" dxfId="20178" priority="20191"/>
    <cfRule type="duplicateValues" dxfId="20177" priority="20190"/>
    <cfRule type="duplicateValues" dxfId="20176" priority="20189"/>
    <cfRule type="duplicateValues" dxfId="20175" priority="20188"/>
    <cfRule type="duplicateValues" dxfId="20174" priority="20187"/>
    <cfRule type="duplicateValues" dxfId="20173" priority="20186"/>
    <cfRule type="duplicateValues" dxfId="20172" priority="20185"/>
    <cfRule type="duplicateValues" dxfId="20171" priority="20184"/>
    <cfRule type="duplicateValues" dxfId="20170" priority="20183"/>
    <cfRule type="duplicateValues" dxfId="20169" priority="20182"/>
    <cfRule type="duplicateValues" dxfId="20168" priority="20181"/>
    <cfRule type="duplicateValues" dxfId="20167" priority="20180"/>
    <cfRule type="duplicateValues" dxfId="20166" priority="20179"/>
    <cfRule type="duplicateValues" dxfId="20165" priority="20178"/>
    <cfRule type="duplicateValues" dxfId="20164" priority="20177"/>
    <cfRule type="duplicateValues" dxfId="20163" priority="20176"/>
    <cfRule type="duplicateValues" dxfId="20162" priority="20175"/>
    <cfRule type="duplicateValues" dxfId="20161" priority="20174"/>
    <cfRule type="duplicateValues" dxfId="20160" priority="20173"/>
    <cfRule type="duplicateValues" dxfId="20159" priority="20172"/>
    <cfRule type="duplicateValues" dxfId="20158" priority="20171"/>
    <cfRule type="duplicateValues" dxfId="20157" priority="20170"/>
    <cfRule type="duplicateValues" dxfId="20156" priority="20169"/>
    <cfRule type="duplicateValues" dxfId="20155" priority="20168"/>
    <cfRule type="duplicateValues" dxfId="20154" priority="20167"/>
    <cfRule type="duplicateValues" dxfId="20153" priority="20166"/>
    <cfRule type="duplicateValues" dxfId="20152" priority="20165"/>
    <cfRule type="duplicateValues" dxfId="20151" priority="20164"/>
    <cfRule type="duplicateValues" dxfId="20150" priority="20163"/>
    <cfRule type="duplicateValues" dxfId="20149" priority="20162"/>
    <cfRule type="duplicateValues" dxfId="20148" priority="20161"/>
    <cfRule type="duplicateValues" dxfId="20147" priority="20160"/>
    <cfRule type="duplicateValues" dxfId="20146" priority="20159"/>
    <cfRule type="duplicateValues" dxfId="20145" priority="20158"/>
    <cfRule type="duplicateValues" dxfId="20144" priority="20157"/>
    <cfRule type="duplicateValues" dxfId="20143" priority="20156"/>
    <cfRule type="duplicateValues" dxfId="20142" priority="20155"/>
    <cfRule type="duplicateValues" dxfId="20141" priority="20154"/>
    <cfRule type="duplicateValues" dxfId="20140" priority="20153"/>
    <cfRule type="duplicateValues" dxfId="20139" priority="20152"/>
    <cfRule type="duplicateValues" dxfId="20138" priority="20151"/>
    <cfRule type="duplicateValues" dxfId="20137" priority="20150"/>
    <cfRule type="duplicateValues" dxfId="20136" priority="20149"/>
    <cfRule type="duplicateValues" dxfId="20135" priority="20148"/>
    <cfRule type="duplicateValues" dxfId="20134" priority="20147"/>
    <cfRule type="duplicateValues" dxfId="20133" priority="20146"/>
    <cfRule type="duplicateValues" dxfId="20132" priority="20145"/>
    <cfRule type="duplicateValues" dxfId="20131" priority="20144"/>
    <cfRule type="duplicateValues" dxfId="20130" priority="20143"/>
    <cfRule type="duplicateValues" dxfId="20129" priority="20142"/>
    <cfRule type="duplicateValues" dxfId="20128" priority="20141"/>
    <cfRule type="duplicateValues" dxfId="20127" priority="20140"/>
    <cfRule type="duplicateValues" dxfId="20126" priority="20139"/>
    <cfRule type="duplicateValues" dxfId="20125" priority="20138"/>
    <cfRule type="duplicateValues" dxfId="20124" priority="20137"/>
    <cfRule type="duplicateValues" dxfId="20123" priority="20136"/>
    <cfRule type="duplicateValues" dxfId="20122" priority="20135"/>
    <cfRule type="duplicateValues" dxfId="20121" priority="20134"/>
    <cfRule type="duplicateValues" dxfId="20120" priority="20133"/>
    <cfRule type="duplicateValues" dxfId="20119" priority="20132"/>
    <cfRule type="duplicateValues" dxfId="20118" priority="20131"/>
    <cfRule type="duplicateValues" dxfId="20117" priority="20130"/>
    <cfRule type="duplicateValues" dxfId="20116" priority="20129"/>
    <cfRule type="duplicateValues" dxfId="20115" priority="20128"/>
    <cfRule type="duplicateValues" dxfId="20114" priority="20127"/>
    <cfRule type="duplicateValues" dxfId="20113" priority="20126"/>
    <cfRule type="duplicateValues" dxfId="20112" priority="20125"/>
    <cfRule type="duplicateValues" dxfId="20111" priority="20124"/>
    <cfRule type="duplicateValues" dxfId="20110" priority="20123"/>
    <cfRule type="duplicateValues" dxfId="20109" priority="20122"/>
    <cfRule type="duplicateValues" dxfId="20108" priority="20121"/>
    <cfRule type="duplicateValues" dxfId="20107" priority="20120"/>
    <cfRule type="duplicateValues" dxfId="20106" priority="20119"/>
    <cfRule type="duplicateValues" dxfId="20105" priority="20118"/>
    <cfRule type="duplicateValues" dxfId="20104" priority="20117"/>
    <cfRule type="duplicateValues" dxfId="20103" priority="20116"/>
    <cfRule type="duplicateValues" dxfId="20102" priority="20115"/>
    <cfRule type="duplicateValues" dxfId="20101" priority="20114"/>
  </conditionalFormatting>
  <conditionalFormatting sqref="B206:B209">
    <cfRule type="duplicateValues" dxfId="20100" priority="19997"/>
    <cfRule type="duplicateValues" dxfId="20099" priority="19926"/>
    <cfRule type="duplicateValues" dxfId="20098" priority="19925"/>
    <cfRule type="duplicateValues" dxfId="20097" priority="19924"/>
    <cfRule type="duplicateValues" dxfId="20096" priority="20109"/>
    <cfRule type="duplicateValues" dxfId="20095" priority="20108"/>
    <cfRule type="duplicateValues" dxfId="20094" priority="20107"/>
    <cfRule type="duplicateValues" dxfId="20093" priority="20106"/>
    <cfRule type="duplicateValues" dxfId="20092" priority="20105"/>
    <cfRule type="duplicateValues" dxfId="20091" priority="20104"/>
    <cfRule type="duplicateValues" dxfId="20090" priority="20103"/>
    <cfRule type="duplicateValues" dxfId="20089" priority="20102"/>
    <cfRule type="duplicateValues" dxfId="20088" priority="20101"/>
    <cfRule type="duplicateValues" dxfId="20087" priority="20100"/>
    <cfRule type="duplicateValues" dxfId="20086" priority="20099"/>
    <cfRule type="duplicateValues" dxfId="20085" priority="20098"/>
    <cfRule type="duplicateValues" dxfId="20084" priority="20097"/>
    <cfRule type="duplicateValues" dxfId="20083" priority="20096"/>
    <cfRule type="duplicateValues" dxfId="20082" priority="20095"/>
    <cfRule type="duplicateValues" dxfId="20081" priority="20094"/>
    <cfRule type="duplicateValues" dxfId="20080" priority="20093"/>
    <cfRule type="duplicateValues" dxfId="20079" priority="20092"/>
    <cfRule type="duplicateValues" dxfId="20078" priority="20091"/>
    <cfRule type="duplicateValues" dxfId="20077" priority="20090"/>
    <cfRule type="duplicateValues" dxfId="20076" priority="20089"/>
    <cfRule type="duplicateValues" dxfId="20075" priority="20088"/>
    <cfRule type="duplicateValues" dxfId="20074" priority="20087"/>
    <cfRule type="duplicateValues" dxfId="20073" priority="20086"/>
    <cfRule type="duplicateValues" dxfId="20072" priority="20085"/>
    <cfRule type="duplicateValues" dxfId="20071" priority="20084"/>
    <cfRule type="duplicateValues" dxfId="20070" priority="20083"/>
    <cfRule type="duplicateValues" dxfId="20069" priority="20082"/>
    <cfRule type="duplicateValues" dxfId="20068" priority="20081"/>
    <cfRule type="duplicateValues" dxfId="20067" priority="20080"/>
    <cfRule type="duplicateValues" dxfId="20066" priority="20079"/>
    <cfRule type="duplicateValues" dxfId="20065" priority="20078"/>
    <cfRule type="duplicateValues" dxfId="20064" priority="20077"/>
    <cfRule type="duplicateValues" dxfId="20063" priority="20076"/>
    <cfRule type="duplicateValues" dxfId="20062" priority="20075"/>
    <cfRule type="duplicateValues" dxfId="20061" priority="20074"/>
    <cfRule type="duplicateValues" dxfId="20060" priority="20073"/>
    <cfRule type="duplicateValues" dxfId="20059" priority="20072"/>
    <cfRule type="duplicateValues" dxfId="20058" priority="20071"/>
    <cfRule type="duplicateValues" dxfId="20057" priority="20070"/>
    <cfRule type="duplicateValues" dxfId="20056" priority="20069"/>
    <cfRule type="duplicateValues" dxfId="20055" priority="20068"/>
    <cfRule type="duplicateValues" dxfId="20054" priority="20067"/>
    <cfRule type="duplicateValues" dxfId="20053" priority="20066"/>
    <cfRule type="duplicateValues" dxfId="20052" priority="20065"/>
    <cfRule type="duplicateValues" dxfId="20051" priority="20064"/>
    <cfRule type="duplicateValues" dxfId="20050" priority="20063"/>
    <cfRule type="duplicateValues" dxfId="20049" priority="20062"/>
    <cfRule type="duplicateValues" dxfId="20048" priority="20061"/>
    <cfRule type="duplicateValues" dxfId="20047" priority="20060"/>
    <cfRule type="duplicateValues" dxfId="20046" priority="20059"/>
    <cfRule type="duplicateValues" dxfId="20045" priority="20058"/>
    <cfRule type="duplicateValues" dxfId="20044" priority="20057"/>
    <cfRule type="duplicateValues" dxfId="20043" priority="20056"/>
    <cfRule type="duplicateValues" dxfId="20042" priority="20055"/>
    <cfRule type="duplicateValues" dxfId="20041" priority="20054"/>
    <cfRule type="duplicateValues" dxfId="20040" priority="20053"/>
    <cfRule type="duplicateValues" dxfId="20039" priority="20052"/>
    <cfRule type="duplicateValues" dxfId="20038" priority="20051"/>
    <cfRule type="duplicateValues" dxfId="20037" priority="20050"/>
    <cfRule type="duplicateValues" dxfId="20036" priority="20049"/>
    <cfRule type="duplicateValues" dxfId="20035" priority="20048"/>
    <cfRule type="duplicateValues" dxfId="20034" priority="20047"/>
    <cfRule type="duplicateValues" dxfId="20033" priority="20046"/>
    <cfRule type="duplicateValues" dxfId="20032" priority="20045"/>
    <cfRule type="duplicateValues" dxfId="20031" priority="20044"/>
    <cfRule type="duplicateValues" dxfId="20030" priority="20043"/>
    <cfRule type="duplicateValues" dxfId="20029" priority="20042"/>
    <cfRule type="duplicateValues" dxfId="20028" priority="20041"/>
    <cfRule type="duplicateValues" dxfId="20027" priority="20040"/>
    <cfRule type="duplicateValues" dxfId="20026" priority="20039"/>
    <cfRule type="duplicateValues" dxfId="20025" priority="20038"/>
    <cfRule type="duplicateValues" dxfId="20024" priority="20037"/>
    <cfRule type="duplicateValues" dxfId="20023" priority="20036"/>
    <cfRule type="duplicateValues" dxfId="20022" priority="20035"/>
    <cfRule type="duplicateValues" dxfId="20021" priority="20034"/>
    <cfRule type="duplicateValues" dxfId="20020" priority="20033"/>
    <cfRule type="duplicateValues" dxfId="20019" priority="20032"/>
    <cfRule type="duplicateValues" dxfId="20018" priority="20031"/>
    <cfRule type="duplicateValues" dxfId="20017" priority="20030"/>
    <cfRule type="duplicateValues" dxfId="20016" priority="20029"/>
    <cfRule type="duplicateValues" dxfId="20015" priority="20028"/>
    <cfRule type="duplicateValues" dxfId="20014" priority="20027"/>
    <cfRule type="duplicateValues" dxfId="20013" priority="20026"/>
    <cfRule type="duplicateValues" dxfId="20012" priority="20025"/>
    <cfRule type="duplicateValues" dxfId="20011" priority="20024"/>
    <cfRule type="duplicateValues" dxfId="20010" priority="20023"/>
    <cfRule type="duplicateValues" dxfId="20009" priority="20022"/>
    <cfRule type="duplicateValues" dxfId="20008" priority="20021"/>
    <cfRule type="duplicateValues" dxfId="20007" priority="20020"/>
    <cfRule type="duplicateValues" dxfId="20006" priority="20019"/>
    <cfRule type="duplicateValues" dxfId="20005" priority="20018"/>
    <cfRule type="duplicateValues" dxfId="20004" priority="20017"/>
    <cfRule type="duplicateValues" dxfId="20003" priority="20016"/>
    <cfRule type="duplicateValues" dxfId="20002" priority="20015"/>
    <cfRule type="duplicateValues" dxfId="20001" priority="20014"/>
    <cfRule type="duplicateValues" dxfId="20000" priority="20013"/>
    <cfRule type="duplicateValues" dxfId="19999" priority="20012"/>
    <cfRule type="duplicateValues" dxfId="19998" priority="20011"/>
    <cfRule type="duplicateValues" dxfId="19997" priority="20010"/>
    <cfRule type="duplicateValues" dxfId="19996" priority="20009"/>
    <cfRule type="duplicateValues" dxfId="19995" priority="20008"/>
    <cfRule type="duplicateValues" dxfId="19994" priority="20007"/>
    <cfRule type="duplicateValues" dxfId="19993" priority="20006"/>
    <cfRule type="duplicateValues" dxfId="19992" priority="20005"/>
    <cfRule type="duplicateValues" dxfId="19991" priority="20004"/>
    <cfRule type="duplicateValues" dxfId="19990" priority="20003"/>
    <cfRule type="duplicateValues" dxfId="19989" priority="20002"/>
    <cfRule type="duplicateValues" dxfId="19988" priority="20001"/>
    <cfRule type="duplicateValues" dxfId="19987" priority="20000"/>
    <cfRule type="duplicateValues" dxfId="19986" priority="19999"/>
    <cfRule type="duplicateValues" dxfId="19985" priority="19998"/>
    <cfRule type="duplicateValues" dxfId="19984" priority="19923"/>
    <cfRule type="duplicateValues" dxfId="19983" priority="19996"/>
    <cfRule type="duplicateValues" dxfId="19982" priority="19995"/>
    <cfRule type="duplicateValues" dxfId="19981" priority="19994"/>
    <cfRule type="duplicateValues" dxfId="19980" priority="19993"/>
    <cfRule type="duplicateValues" dxfId="19979" priority="19992"/>
    <cfRule type="duplicateValues" dxfId="19978" priority="19991"/>
    <cfRule type="duplicateValues" dxfId="19977" priority="19990"/>
    <cfRule type="duplicateValues" dxfId="19976" priority="19989"/>
    <cfRule type="duplicateValues" dxfId="19975" priority="19988"/>
    <cfRule type="duplicateValues" dxfId="19974" priority="19987"/>
    <cfRule type="duplicateValues" dxfId="19973" priority="19986"/>
    <cfRule type="duplicateValues" dxfId="19972" priority="19985"/>
    <cfRule type="duplicateValues" dxfId="19971" priority="19984"/>
    <cfRule type="duplicateValues" dxfId="19970" priority="19983"/>
    <cfRule type="duplicateValues" dxfId="19969" priority="19982"/>
    <cfRule type="duplicateValues" dxfId="19968" priority="19981"/>
    <cfRule type="duplicateValues" dxfId="19967" priority="19980"/>
    <cfRule type="duplicateValues" dxfId="19966" priority="19979"/>
    <cfRule type="duplicateValues" dxfId="19965" priority="19978"/>
    <cfRule type="duplicateValues" dxfId="19964" priority="19977"/>
    <cfRule type="duplicateValues" dxfId="19963" priority="19976"/>
    <cfRule type="duplicateValues" dxfId="19962" priority="19975"/>
    <cfRule type="duplicateValues" dxfId="19961" priority="19974"/>
    <cfRule type="duplicateValues" dxfId="19960" priority="19973"/>
    <cfRule type="duplicateValues" dxfId="19959" priority="19972"/>
    <cfRule type="duplicateValues" dxfId="19958" priority="19971"/>
    <cfRule type="duplicateValues" dxfId="19957" priority="19970"/>
    <cfRule type="duplicateValues" dxfId="19956" priority="19969"/>
    <cfRule type="duplicateValues" dxfId="19955" priority="19968"/>
    <cfRule type="duplicateValues" dxfId="19954" priority="19967"/>
    <cfRule type="duplicateValues" dxfId="19953" priority="19966"/>
    <cfRule type="duplicateValues" dxfId="19952" priority="19965"/>
    <cfRule type="duplicateValues" dxfId="19951" priority="19964"/>
    <cfRule type="duplicateValues" dxfId="19950" priority="19963"/>
    <cfRule type="duplicateValues" dxfId="19949" priority="19962"/>
    <cfRule type="duplicateValues" dxfId="19948" priority="19961"/>
    <cfRule type="duplicateValues" dxfId="19947" priority="19960"/>
    <cfRule type="duplicateValues" dxfId="19946" priority="19959"/>
    <cfRule type="duplicateValues" dxfId="19945" priority="19958"/>
    <cfRule type="duplicateValues" dxfId="19944" priority="19957"/>
    <cfRule type="duplicateValues" dxfId="19943" priority="19956"/>
    <cfRule type="duplicateValues" dxfId="19942" priority="19955"/>
    <cfRule type="duplicateValues" dxfId="19941" priority="19954"/>
    <cfRule type="duplicateValues" dxfId="19940" priority="19953"/>
    <cfRule type="duplicateValues" dxfId="19939" priority="19952"/>
    <cfRule type="duplicateValues" dxfId="19938" priority="19951"/>
    <cfRule type="duplicateValues" dxfId="19937" priority="19950"/>
    <cfRule type="duplicateValues" dxfId="19936" priority="19949"/>
    <cfRule type="duplicateValues" dxfId="19935" priority="19948"/>
    <cfRule type="duplicateValues" dxfId="19934" priority="19947"/>
    <cfRule type="duplicateValues" dxfId="19933" priority="19946"/>
    <cfRule type="duplicateValues" dxfId="19932" priority="19945"/>
    <cfRule type="duplicateValues" dxfId="19931" priority="19944"/>
    <cfRule type="duplicateValues" dxfId="19930" priority="19943"/>
    <cfRule type="duplicateValues" dxfId="19929" priority="19942"/>
    <cfRule type="duplicateValues" dxfId="19928" priority="19941"/>
    <cfRule type="duplicateValues" dxfId="19927" priority="19940"/>
    <cfRule type="duplicateValues" dxfId="19926" priority="19939"/>
    <cfRule type="duplicateValues" dxfId="19925" priority="19938"/>
    <cfRule type="duplicateValues" dxfId="19924" priority="19937"/>
    <cfRule type="duplicateValues" dxfId="19923" priority="19936"/>
    <cfRule type="duplicateValues" dxfId="19922" priority="19935"/>
    <cfRule type="duplicateValues" dxfId="19921" priority="19934"/>
    <cfRule type="duplicateValues" dxfId="19920" priority="19933"/>
    <cfRule type="duplicateValues" dxfId="19919" priority="19932"/>
    <cfRule type="duplicateValues" dxfId="19918" priority="19931"/>
    <cfRule type="duplicateValues" dxfId="19917" priority="19930"/>
    <cfRule type="duplicateValues" dxfId="19916" priority="19929"/>
    <cfRule type="duplicateValues" dxfId="19915" priority="19928"/>
    <cfRule type="duplicateValues" dxfId="19914" priority="19927"/>
  </conditionalFormatting>
  <conditionalFormatting sqref="B210:B211">
    <cfRule type="duplicateValues" dxfId="19913" priority="19739"/>
    <cfRule type="duplicateValues" dxfId="19912" priority="19738"/>
    <cfRule type="duplicateValues" dxfId="19911" priority="19737"/>
    <cfRule type="duplicateValues" dxfId="19910" priority="19856"/>
    <cfRule type="duplicateValues" dxfId="19909" priority="19922"/>
    <cfRule type="duplicateValues" dxfId="19908" priority="19921"/>
    <cfRule type="duplicateValues" dxfId="19907" priority="19920"/>
    <cfRule type="duplicateValues" dxfId="19906" priority="19919"/>
    <cfRule type="duplicateValues" dxfId="19905" priority="19918"/>
    <cfRule type="duplicateValues" dxfId="19904" priority="19917"/>
    <cfRule type="duplicateValues" dxfId="19903" priority="19916"/>
    <cfRule type="duplicateValues" dxfId="19902" priority="19915"/>
    <cfRule type="duplicateValues" dxfId="19901" priority="19914"/>
    <cfRule type="duplicateValues" dxfId="19900" priority="19913"/>
    <cfRule type="duplicateValues" dxfId="19899" priority="19912"/>
    <cfRule type="duplicateValues" dxfId="19898" priority="19911"/>
    <cfRule type="duplicateValues" dxfId="19897" priority="19910"/>
    <cfRule type="duplicateValues" dxfId="19896" priority="19909"/>
    <cfRule type="duplicateValues" dxfId="19895" priority="19908"/>
    <cfRule type="duplicateValues" dxfId="19894" priority="19907"/>
    <cfRule type="duplicateValues" dxfId="19893" priority="19906"/>
    <cfRule type="duplicateValues" dxfId="19892" priority="19905"/>
    <cfRule type="duplicateValues" dxfId="19891" priority="19904"/>
    <cfRule type="duplicateValues" dxfId="19890" priority="19903"/>
    <cfRule type="duplicateValues" dxfId="19889" priority="19902"/>
    <cfRule type="duplicateValues" dxfId="19888" priority="19901"/>
    <cfRule type="duplicateValues" dxfId="19887" priority="19900"/>
    <cfRule type="duplicateValues" dxfId="19886" priority="19899"/>
    <cfRule type="duplicateValues" dxfId="19885" priority="19898"/>
    <cfRule type="duplicateValues" dxfId="19884" priority="19897"/>
    <cfRule type="duplicateValues" dxfId="19883" priority="19896"/>
    <cfRule type="duplicateValues" dxfId="19882" priority="19895"/>
    <cfRule type="duplicateValues" dxfId="19881" priority="19894"/>
    <cfRule type="duplicateValues" dxfId="19880" priority="19893"/>
    <cfRule type="duplicateValues" dxfId="19879" priority="19892"/>
    <cfRule type="duplicateValues" dxfId="19878" priority="19891"/>
    <cfRule type="duplicateValues" dxfId="19877" priority="19890"/>
    <cfRule type="duplicateValues" dxfId="19876" priority="19889"/>
    <cfRule type="duplicateValues" dxfId="19875" priority="19888"/>
    <cfRule type="duplicateValues" dxfId="19874" priority="19887"/>
    <cfRule type="duplicateValues" dxfId="19873" priority="19886"/>
    <cfRule type="duplicateValues" dxfId="19872" priority="19885"/>
    <cfRule type="duplicateValues" dxfId="19871" priority="19884"/>
    <cfRule type="duplicateValues" dxfId="19870" priority="19883"/>
    <cfRule type="duplicateValues" dxfId="19869" priority="19882"/>
    <cfRule type="duplicateValues" dxfId="19868" priority="19881"/>
    <cfRule type="duplicateValues" dxfId="19867" priority="19880"/>
    <cfRule type="duplicateValues" dxfId="19866" priority="19879"/>
    <cfRule type="duplicateValues" dxfId="19865" priority="19878"/>
    <cfRule type="duplicateValues" dxfId="19864" priority="19877"/>
    <cfRule type="duplicateValues" dxfId="19863" priority="19876"/>
    <cfRule type="duplicateValues" dxfId="19862" priority="19875"/>
    <cfRule type="duplicateValues" dxfId="19861" priority="19874"/>
    <cfRule type="duplicateValues" dxfId="19860" priority="19873"/>
    <cfRule type="duplicateValues" dxfId="19859" priority="19872"/>
    <cfRule type="duplicateValues" dxfId="19858" priority="19871"/>
    <cfRule type="duplicateValues" dxfId="19857" priority="19870"/>
    <cfRule type="duplicateValues" dxfId="19856" priority="19869"/>
    <cfRule type="duplicateValues" dxfId="19855" priority="19868"/>
    <cfRule type="duplicateValues" dxfId="19854" priority="19867"/>
    <cfRule type="duplicateValues" dxfId="19853" priority="19866"/>
    <cfRule type="duplicateValues" dxfId="19852" priority="19865"/>
    <cfRule type="duplicateValues" dxfId="19851" priority="19864"/>
    <cfRule type="duplicateValues" dxfId="19850" priority="19863"/>
    <cfRule type="duplicateValues" dxfId="19849" priority="19862"/>
    <cfRule type="duplicateValues" dxfId="19848" priority="19861"/>
    <cfRule type="duplicateValues" dxfId="19847" priority="19860"/>
    <cfRule type="duplicateValues" dxfId="19846" priority="19859"/>
    <cfRule type="duplicateValues" dxfId="19845" priority="19858"/>
    <cfRule type="duplicateValues" dxfId="19844" priority="19857"/>
    <cfRule type="duplicateValues" dxfId="19843" priority="19736"/>
    <cfRule type="duplicateValues" dxfId="19842" priority="19855"/>
    <cfRule type="duplicateValues" dxfId="19841" priority="19854"/>
    <cfRule type="duplicateValues" dxfId="19840" priority="19853"/>
    <cfRule type="duplicateValues" dxfId="19839" priority="19852"/>
    <cfRule type="duplicateValues" dxfId="19838" priority="19851"/>
    <cfRule type="duplicateValues" dxfId="19837" priority="19850"/>
    <cfRule type="duplicateValues" dxfId="19836" priority="19849"/>
    <cfRule type="duplicateValues" dxfId="19835" priority="19848"/>
    <cfRule type="duplicateValues" dxfId="19834" priority="19847"/>
    <cfRule type="duplicateValues" dxfId="19833" priority="19846"/>
    <cfRule type="duplicateValues" dxfId="19832" priority="19845"/>
    <cfRule type="duplicateValues" dxfId="19831" priority="19844"/>
    <cfRule type="duplicateValues" dxfId="19830" priority="19843"/>
    <cfRule type="duplicateValues" dxfId="19829" priority="19842"/>
    <cfRule type="duplicateValues" dxfId="19828" priority="19841"/>
    <cfRule type="duplicateValues" dxfId="19827" priority="19840"/>
    <cfRule type="duplicateValues" dxfId="19826" priority="19839"/>
    <cfRule type="duplicateValues" dxfId="19825" priority="19838"/>
    <cfRule type="duplicateValues" dxfId="19824" priority="19837"/>
    <cfRule type="duplicateValues" dxfId="19823" priority="19836"/>
    <cfRule type="duplicateValues" dxfId="19822" priority="19835"/>
    <cfRule type="duplicateValues" dxfId="19821" priority="19834"/>
    <cfRule type="duplicateValues" dxfId="19820" priority="19833"/>
    <cfRule type="duplicateValues" dxfId="19819" priority="19832"/>
    <cfRule type="duplicateValues" dxfId="19818" priority="19831"/>
    <cfRule type="duplicateValues" dxfId="19817" priority="19830"/>
    <cfRule type="duplicateValues" dxfId="19816" priority="19829"/>
    <cfRule type="duplicateValues" dxfId="19815" priority="19828"/>
    <cfRule type="duplicateValues" dxfId="19814" priority="19827"/>
    <cfRule type="duplicateValues" dxfId="19813" priority="19826"/>
    <cfRule type="duplicateValues" dxfId="19812" priority="19825"/>
    <cfRule type="duplicateValues" dxfId="19811" priority="19824"/>
    <cfRule type="duplicateValues" dxfId="19810" priority="19823"/>
    <cfRule type="duplicateValues" dxfId="19809" priority="19822"/>
    <cfRule type="duplicateValues" dxfId="19808" priority="19821"/>
    <cfRule type="duplicateValues" dxfId="19807" priority="19820"/>
    <cfRule type="duplicateValues" dxfId="19806" priority="19819"/>
    <cfRule type="duplicateValues" dxfId="19805" priority="19818"/>
    <cfRule type="duplicateValues" dxfId="19804" priority="19817"/>
    <cfRule type="duplicateValues" dxfId="19803" priority="19816"/>
    <cfRule type="duplicateValues" dxfId="19802" priority="19815"/>
    <cfRule type="duplicateValues" dxfId="19801" priority="19814"/>
    <cfRule type="duplicateValues" dxfId="19800" priority="19813"/>
    <cfRule type="duplicateValues" dxfId="19799" priority="19812"/>
    <cfRule type="duplicateValues" dxfId="19798" priority="19811"/>
    <cfRule type="duplicateValues" dxfId="19797" priority="19810"/>
    <cfRule type="duplicateValues" dxfId="19796" priority="19809"/>
    <cfRule type="duplicateValues" dxfId="19795" priority="19808"/>
    <cfRule type="duplicateValues" dxfId="19794" priority="19807"/>
    <cfRule type="duplicateValues" dxfId="19793" priority="19806"/>
    <cfRule type="duplicateValues" dxfId="19792" priority="19805"/>
    <cfRule type="duplicateValues" dxfId="19791" priority="19804"/>
    <cfRule type="duplicateValues" dxfId="19790" priority="19803"/>
    <cfRule type="duplicateValues" dxfId="19789" priority="19802"/>
    <cfRule type="duplicateValues" dxfId="19788" priority="19801"/>
    <cfRule type="duplicateValues" dxfId="19787" priority="19800"/>
    <cfRule type="duplicateValues" dxfId="19786" priority="19799"/>
    <cfRule type="duplicateValues" dxfId="19785" priority="19798"/>
    <cfRule type="duplicateValues" dxfId="19784" priority="19797"/>
    <cfRule type="duplicateValues" dxfId="19783" priority="19796"/>
    <cfRule type="duplicateValues" dxfId="19782" priority="19795"/>
    <cfRule type="duplicateValues" dxfId="19781" priority="19794"/>
    <cfRule type="duplicateValues" dxfId="19780" priority="19793"/>
    <cfRule type="duplicateValues" dxfId="19779" priority="19792"/>
    <cfRule type="duplicateValues" dxfId="19778" priority="19791"/>
    <cfRule type="duplicateValues" dxfId="19777" priority="19790"/>
    <cfRule type="duplicateValues" dxfId="19776" priority="19789"/>
    <cfRule type="duplicateValues" dxfId="19775" priority="19788"/>
    <cfRule type="duplicateValues" dxfId="19774" priority="19787"/>
    <cfRule type="duplicateValues" dxfId="19773" priority="19786"/>
    <cfRule type="duplicateValues" dxfId="19772" priority="19785"/>
    <cfRule type="duplicateValues" dxfId="19771" priority="19784"/>
    <cfRule type="duplicateValues" dxfId="19770" priority="19783"/>
    <cfRule type="duplicateValues" dxfId="19769" priority="19782"/>
    <cfRule type="duplicateValues" dxfId="19768" priority="19781"/>
    <cfRule type="duplicateValues" dxfId="19767" priority="19780"/>
    <cfRule type="duplicateValues" dxfId="19766" priority="19779"/>
    <cfRule type="duplicateValues" dxfId="19765" priority="19778"/>
    <cfRule type="duplicateValues" dxfId="19764" priority="19777"/>
    <cfRule type="duplicateValues" dxfId="19763" priority="19776"/>
    <cfRule type="duplicateValues" dxfId="19762" priority="19775"/>
    <cfRule type="duplicateValues" dxfId="19761" priority="19774"/>
    <cfRule type="duplicateValues" dxfId="19760" priority="19773"/>
    <cfRule type="duplicateValues" dxfId="19759" priority="19772"/>
    <cfRule type="duplicateValues" dxfId="19758" priority="19771"/>
    <cfRule type="duplicateValues" dxfId="19757" priority="19770"/>
    <cfRule type="duplicateValues" dxfId="19756" priority="19769"/>
    <cfRule type="duplicateValues" dxfId="19755" priority="19768"/>
    <cfRule type="duplicateValues" dxfId="19754" priority="19767"/>
    <cfRule type="duplicateValues" dxfId="19753" priority="19766"/>
    <cfRule type="duplicateValues" dxfId="19752" priority="19765"/>
    <cfRule type="duplicateValues" dxfId="19751" priority="19764"/>
    <cfRule type="duplicateValues" dxfId="19750" priority="19763"/>
    <cfRule type="duplicateValues" dxfId="19749" priority="19762"/>
    <cfRule type="duplicateValues" dxfId="19748" priority="19761"/>
    <cfRule type="duplicateValues" dxfId="19747" priority="19760"/>
    <cfRule type="duplicateValues" dxfId="19746" priority="19759"/>
    <cfRule type="duplicateValues" dxfId="19745" priority="19758"/>
    <cfRule type="duplicateValues" dxfId="19744" priority="19757"/>
    <cfRule type="duplicateValues" dxfId="19743" priority="19756"/>
    <cfRule type="duplicateValues" dxfId="19742" priority="19755"/>
    <cfRule type="duplicateValues" dxfId="19741" priority="19754"/>
    <cfRule type="duplicateValues" dxfId="19740" priority="19753"/>
    <cfRule type="duplicateValues" dxfId="19739" priority="19752"/>
    <cfRule type="duplicateValues" dxfId="19738" priority="19751"/>
    <cfRule type="duplicateValues" dxfId="19737" priority="19750"/>
    <cfRule type="duplicateValues" dxfId="19736" priority="19749"/>
    <cfRule type="duplicateValues" dxfId="19735" priority="19748"/>
    <cfRule type="duplicateValues" dxfId="19734" priority="19747"/>
    <cfRule type="duplicateValues" dxfId="19733" priority="19746"/>
    <cfRule type="duplicateValues" dxfId="19732" priority="19745"/>
    <cfRule type="duplicateValues" dxfId="19731" priority="19744"/>
    <cfRule type="duplicateValues" dxfId="19730" priority="19743"/>
    <cfRule type="duplicateValues" dxfId="19729" priority="19742"/>
    <cfRule type="duplicateValues" dxfId="19728" priority="19741"/>
    <cfRule type="duplicateValues" dxfId="19727" priority="19740"/>
  </conditionalFormatting>
  <conditionalFormatting sqref="B212">
    <cfRule type="duplicateValues" dxfId="19726" priority="19551"/>
    <cfRule type="duplicateValues" dxfId="19725" priority="19550"/>
    <cfRule type="duplicateValues" dxfId="19724" priority="19549"/>
    <cfRule type="duplicateValues" dxfId="19723" priority="19599"/>
    <cfRule type="duplicateValues" dxfId="19722" priority="19735"/>
    <cfRule type="duplicateValues" dxfId="19721" priority="19734"/>
    <cfRule type="duplicateValues" dxfId="19720" priority="19733"/>
    <cfRule type="duplicateValues" dxfId="19719" priority="19732"/>
    <cfRule type="duplicateValues" dxfId="19718" priority="19731"/>
    <cfRule type="duplicateValues" dxfId="19717" priority="19730"/>
    <cfRule type="duplicateValues" dxfId="19716" priority="19729"/>
    <cfRule type="duplicateValues" dxfId="19715" priority="19728"/>
    <cfRule type="duplicateValues" dxfId="19714" priority="19727"/>
    <cfRule type="duplicateValues" dxfId="19713" priority="19726"/>
    <cfRule type="duplicateValues" dxfId="19712" priority="19725"/>
    <cfRule type="duplicateValues" dxfId="19711" priority="19724"/>
    <cfRule type="duplicateValues" dxfId="19710" priority="19723"/>
    <cfRule type="duplicateValues" dxfId="19709" priority="19722"/>
    <cfRule type="duplicateValues" dxfId="19708" priority="19721"/>
    <cfRule type="duplicateValues" dxfId="19707" priority="19720"/>
    <cfRule type="duplicateValues" dxfId="19706" priority="19719"/>
    <cfRule type="duplicateValues" dxfId="19705" priority="19718"/>
    <cfRule type="duplicateValues" dxfId="19704" priority="19717"/>
    <cfRule type="duplicateValues" dxfId="19703" priority="19716"/>
    <cfRule type="duplicateValues" dxfId="19702" priority="19715"/>
    <cfRule type="duplicateValues" dxfId="19701" priority="19714"/>
    <cfRule type="duplicateValues" dxfId="19700" priority="19713"/>
    <cfRule type="duplicateValues" dxfId="19699" priority="19712"/>
    <cfRule type="duplicateValues" dxfId="19698" priority="19711"/>
    <cfRule type="duplicateValues" dxfId="19697" priority="19710"/>
    <cfRule type="duplicateValues" dxfId="19696" priority="19709"/>
    <cfRule type="duplicateValues" dxfId="19695" priority="19708"/>
    <cfRule type="duplicateValues" dxfId="19694" priority="19707"/>
    <cfRule type="duplicateValues" dxfId="19693" priority="19706"/>
    <cfRule type="duplicateValues" dxfId="19692" priority="19705"/>
    <cfRule type="duplicateValues" dxfId="19691" priority="19704"/>
    <cfRule type="duplicateValues" dxfId="19690" priority="19703"/>
    <cfRule type="duplicateValues" dxfId="19689" priority="19702"/>
    <cfRule type="duplicateValues" dxfId="19688" priority="19701"/>
    <cfRule type="duplicateValues" dxfId="19687" priority="19700"/>
    <cfRule type="duplicateValues" dxfId="19686" priority="19699"/>
    <cfRule type="duplicateValues" dxfId="19685" priority="19698"/>
    <cfRule type="duplicateValues" dxfId="19684" priority="19697"/>
    <cfRule type="duplicateValues" dxfId="19683" priority="19696"/>
    <cfRule type="duplicateValues" dxfId="19682" priority="19695"/>
    <cfRule type="duplicateValues" dxfId="19681" priority="19694"/>
    <cfRule type="duplicateValues" dxfId="19680" priority="19693"/>
    <cfRule type="duplicateValues" dxfId="19679" priority="19692"/>
    <cfRule type="duplicateValues" dxfId="19678" priority="19691"/>
    <cfRule type="duplicateValues" dxfId="19677" priority="19690"/>
    <cfRule type="duplicateValues" dxfId="19676" priority="19689"/>
    <cfRule type="duplicateValues" dxfId="19675" priority="19688"/>
    <cfRule type="duplicateValues" dxfId="19674" priority="19687"/>
    <cfRule type="duplicateValues" dxfId="19673" priority="19686"/>
    <cfRule type="duplicateValues" dxfId="19672" priority="19685"/>
    <cfRule type="duplicateValues" dxfId="19671" priority="19684"/>
    <cfRule type="duplicateValues" dxfId="19670" priority="19683"/>
    <cfRule type="duplicateValues" dxfId="19669" priority="19682"/>
    <cfRule type="duplicateValues" dxfId="19668" priority="19681"/>
    <cfRule type="duplicateValues" dxfId="19667" priority="19680"/>
    <cfRule type="duplicateValues" dxfId="19666" priority="19679"/>
    <cfRule type="duplicateValues" dxfId="19665" priority="19678"/>
    <cfRule type="duplicateValues" dxfId="19664" priority="19677"/>
    <cfRule type="duplicateValues" dxfId="19663" priority="19676"/>
    <cfRule type="duplicateValues" dxfId="19662" priority="19675"/>
    <cfRule type="duplicateValues" dxfId="19661" priority="19674"/>
    <cfRule type="duplicateValues" dxfId="19660" priority="19673"/>
    <cfRule type="duplicateValues" dxfId="19659" priority="19672"/>
    <cfRule type="duplicateValues" dxfId="19658" priority="19671"/>
    <cfRule type="duplicateValues" dxfId="19657" priority="19670"/>
    <cfRule type="duplicateValues" dxfId="19656" priority="19669"/>
    <cfRule type="duplicateValues" dxfId="19655" priority="19668"/>
    <cfRule type="duplicateValues" dxfId="19654" priority="19667"/>
    <cfRule type="duplicateValues" dxfId="19653" priority="19666"/>
    <cfRule type="duplicateValues" dxfId="19652" priority="19665"/>
    <cfRule type="duplicateValues" dxfId="19651" priority="19664"/>
    <cfRule type="duplicateValues" dxfId="19650" priority="19663"/>
    <cfRule type="duplicateValues" dxfId="19649" priority="19662"/>
    <cfRule type="duplicateValues" dxfId="19648" priority="19661"/>
    <cfRule type="duplicateValues" dxfId="19647" priority="19660"/>
    <cfRule type="duplicateValues" dxfId="19646" priority="19659"/>
    <cfRule type="duplicateValues" dxfId="19645" priority="19658"/>
    <cfRule type="duplicateValues" dxfId="19644" priority="19657"/>
    <cfRule type="duplicateValues" dxfId="19643" priority="19656"/>
    <cfRule type="duplicateValues" dxfId="19642" priority="19655"/>
    <cfRule type="duplicateValues" dxfId="19641" priority="19654"/>
    <cfRule type="duplicateValues" dxfId="19640" priority="19653"/>
    <cfRule type="duplicateValues" dxfId="19639" priority="19652"/>
    <cfRule type="duplicateValues" dxfId="19638" priority="19651"/>
    <cfRule type="duplicateValues" dxfId="19637" priority="19650"/>
    <cfRule type="duplicateValues" dxfId="19636" priority="19649"/>
    <cfRule type="duplicateValues" dxfId="19635" priority="19648"/>
    <cfRule type="duplicateValues" dxfId="19634" priority="19647"/>
    <cfRule type="duplicateValues" dxfId="19633" priority="19646"/>
    <cfRule type="duplicateValues" dxfId="19632" priority="19645"/>
    <cfRule type="duplicateValues" dxfId="19631" priority="19644"/>
    <cfRule type="duplicateValues" dxfId="19630" priority="19643"/>
    <cfRule type="duplicateValues" dxfId="19629" priority="19642"/>
    <cfRule type="duplicateValues" dxfId="19628" priority="19641"/>
    <cfRule type="duplicateValues" dxfId="19627" priority="19640"/>
    <cfRule type="duplicateValues" dxfId="19626" priority="19639"/>
    <cfRule type="duplicateValues" dxfId="19625" priority="19638"/>
    <cfRule type="duplicateValues" dxfId="19624" priority="19637"/>
    <cfRule type="duplicateValues" dxfId="19623" priority="19636"/>
    <cfRule type="duplicateValues" dxfId="19622" priority="19635"/>
    <cfRule type="duplicateValues" dxfId="19621" priority="19634"/>
    <cfRule type="duplicateValues" dxfId="19620" priority="19633"/>
    <cfRule type="duplicateValues" dxfId="19619" priority="19632"/>
    <cfRule type="duplicateValues" dxfId="19618" priority="19631"/>
    <cfRule type="duplicateValues" dxfId="19617" priority="19630"/>
    <cfRule type="duplicateValues" dxfId="19616" priority="19629"/>
    <cfRule type="duplicateValues" dxfId="19615" priority="19628"/>
    <cfRule type="duplicateValues" dxfId="19614" priority="19627"/>
    <cfRule type="duplicateValues" dxfId="19613" priority="19626"/>
    <cfRule type="duplicateValues" dxfId="19612" priority="19625"/>
    <cfRule type="duplicateValues" dxfId="19611" priority="19624"/>
    <cfRule type="duplicateValues" dxfId="19610" priority="19623"/>
    <cfRule type="duplicateValues" dxfId="19609" priority="19622"/>
    <cfRule type="duplicateValues" dxfId="19608" priority="19621"/>
    <cfRule type="duplicateValues" dxfId="19607" priority="19620"/>
    <cfRule type="duplicateValues" dxfId="19606" priority="19619"/>
    <cfRule type="duplicateValues" dxfId="19605" priority="19618"/>
    <cfRule type="duplicateValues" dxfId="19604" priority="19617"/>
    <cfRule type="duplicateValues" dxfId="19603" priority="19616"/>
    <cfRule type="duplicateValues" dxfId="19602" priority="19615"/>
    <cfRule type="duplicateValues" dxfId="19601" priority="19614"/>
    <cfRule type="duplicateValues" dxfId="19600" priority="19613"/>
    <cfRule type="duplicateValues" dxfId="19599" priority="19612"/>
    <cfRule type="duplicateValues" dxfId="19598" priority="19611"/>
    <cfRule type="duplicateValues" dxfId="19597" priority="19610"/>
    <cfRule type="duplicateValues" dxfId="19596" priority="19609"/>
    <cfRule type="duplicateValues" dxfId="19595" priority="19608"/>
    <cfRule type="duplicateValues" dxfId="19594" priority="19607"/>
    <cfRule type="duplicateValues" dxfId="19593" priority="19606"/>
    <cfRule type="duplicateValues" dxfId="19592" priority="19605"/>
    <cfRule type="duplicateValues" dxfId="19591" priority="19604"/>
    <cfRule type="duplicateValues" dxfId="19590" priority="19603"/>
    <cfRule type="duplicateValues" dxfId="19589" priority="19602"/>
    <cfRule type="duplicateValues" dxfId="19588" priority="19601"/>
    <cfRule type="duplicateValues" dxfId="19587" priority="19600"/>
    <cfRule type="duplicateValues" dxfId="19586" priority="19598"/>
    <cfRule type="duplicateValues" dxfId="19585" priority="19597"/>
    <cfRule type="duplicateValues" dxfId="19584" priority="19596"/>
    <cfRule type="duplicateValues" dxfId="19583" priority="19595"/>
    <cfRule type="duplicateValues" dxfId="19582" priority="19594"/>
    <cfRule type="duplicateValues" dxfId="19581" priority="19593"/>
    <cfRule type="duplicateValues" dxfId="19580" priority="19592"/>
    <cfRule type="duplicateValues" dxfId="19579" priority="19591"/>
    <cfRule type="duplicateValues" dxfId="19578" priority="19590"/>
    <cfRule type="duplicateValues" dxfId="19577" priority="19589"/>
    <cfRule type="duplicateValues" dxfId="19576" priority="19588"/>
    <cfRule type="duplicateValues" dxfId="19575" priority="19587"/>
    <cfRule type="duplicateValues" dxfId="19574" priority="19586"/>
    <cfRule type="duplicateValues" dxfId="19573" priority="19585"/>
    <cfRule type="duplicateValues" dxfId="19572" priority="19584"/>
    <cfRule type="duplicateValues" dxfId="19571" priority="19583"/>
    <cfRule type="duplicateValues" dxfId="19570" priority="19582"/>
    <cfRule type="duplicateValues" dxfId="19569" priority="19581"/>
    <cfRule type="duplicateValues" dxfId="19568" priority="19580"/>
    <cfRule type="duplicateValues" dxfId="19567" priority="19579"/>
    <cfRule type="duplicateValues" dxfId="19566" priority="19578"/>
    <cfRule type="duplicateValues" dxfId="19565" priority="19577"/>
    <cfRule type="duplicateValues" dxfId="19564" priority="19576"/>
    <cfRule type="duplicateValues" dxfId="19563" priority="19575"/>
    <cfRule type="duplicateValues" dxfId="19562" priority="19574"/>
    <cfRule type="duplicateValues" dxfId="19561" priority="19573"/>
    <cfRule type="duplicateValues" dxfId="19560" priority="19572"/>
    <cfRule type="duplicateValues" dxfId="19559" priority="19571"/>
    <cfRule type="duplicateValues" dxfId="19558" priority="19570"/>
    <cfRule type="duplicateValues" dxfId="19557" priority="19569"/>
    <cfRule type="duplicateValues" dxfId="19556" priority="19568"/>
    <cfRule type="duplicateValues" dxfId="19555" priority="19567"/>
    <cfRule type="duplicateValues" dxfId="19554" priority="19566"/>
    <cfRule type="duplicateValues" dxfId="19553" priority="19565"/>
    <cfRule type="duplicateValues" dxfId="19552" priority="19564"/>
    <cfRule type="duplicateValues" dxfId="19551" priority="19563"/>
    <cfRule type="duplicateValues" dxfId="19550" priority="19562"/>
    <cfRule type="duplicateValues" dxfId="19549" priority="19561"/>
    <cfRule type="duplicateValues" dxfId="19548" priority="19560"/>
    <cfRule type="duplicateValues" dxfId="19547" priority="19559"/>
    <cfRule type="duplicateValues" dxfId="19546" priority="19558"/>
    <cfRule type="duplicateValues" dxfId="19545" priority="19557"/>
    <cfRule type="duplicateValues" dxfId="19544" priority="19556"/>
    <cfRule type="duplicateValues" dxfId="19543" priority="19555"/>
    <cfRule type="duplicateValues" dxfId="19542" priority="19554"/>
    <cfRule type="duplicateValues" dxfId="19541" priority="19553"/>
    <cfRule type="duplicateValues" dxfId="19540" priority="19552"/>
  </conditionalFormatting>
  <conditionalFormatting sqref="B213:B214">
    <cfRule type="duplicateValues" dxfId="19539" priority="19506"/>
    <cfRule type="duplicateValues" dxfId="19538" priority="19365"/>
    <cfRule type="duplicateValues" dxfId="19537" priority="19364"/>
    <cfRule type="duplicateValues" dxfId="19536" priority="19363"/>
    <cfRule type="duplicateValues" dxfId="19535" priority="19548"/>
    <cfRule type="duplicateValues" dxfId="19534" priority="19547"/>
    <cfRule type="duplicateValues" dxfId="19533" priority="19546"/>
    <cfRule type="duplicateValues" dxfId="19532" priority="19545"/>
    <cfRule type="duplicateValues" dxfId="19531" priority="19544"/>
    <cfRule type="duplicateValues" dxfId="19530" priority="19543"/>
    <cfRule type="duplicateValues" dxfId="19529" priority="19542"/>
    <cfRule type="duplicateValues" dxfId="19528" priority="19541"/>
    <cfRule type="duplicateValues" dxfId="19527" priority="19540"/>
    <cfRule type="duplicateValues" dxfId="19526" priority="19539"/>
    <cfRule type="duplicateValues" dxfId="19525" priority="19538"/>
    <cfRule type="duplicateValues" dxfId="19524" priority="19537"/>
    <cfRule type="duplicateValues" dxfId="19523" priority="19536"/>
    <cfRule type="duplicateValues" dxfId="19522" priority="19535"/>
    <cfRule type="duplicateValues" dxfId="19521" priority="19534"/>
    <cfRule type="duplicateValues" dxfId="19520" priority="19533"/>
    <cfRule type="duplicateValues" dxfId="19519" priority="19532"/>
    <cfRule type="duplicateValues" dxfId="19518" priority="19531"/>
    <cfRule type="duplicateValues" dxfId="19517" priority="19530"/>
    <cfRule type="duplicateValues" dxfId="19516" priority="19529"/>
    <cfRule type="duplicateValues" dxfId="19515" priority="19528"/>
    <cfRule type="duplicateValues" dxfId="19514" priority="19527"/>
    <cfRule type="duplicateValues" dxfId="19513" priority="19526"/>
    <cfRule type="duplicateValues" dxfId="19512" priority="19525"/>
    <cfRule type="duplicateValues" dxfId="19511" priority="19524"/>
    <cfRule type="duplicateValues" dxfId="19510" priority="19523"/>
    <cfRule type="duplicateValues" dxfId="19509" priority="19522"/>
    <cfRule type="duplicateValues" dxfId="19508" priority="19521"/>
    <cfRule type="duplicateValues" dxfId="19507" priority="19520"/>
    <cfRule type="duplicateValues" dxfId="19506" priority="19519"/>
    <cfRule type="duplicateValues" dxfId="19505" priority="19518"/>
    <cfRule type="duplicateValues" dxfId="19504" priority="19517"/>
    <cfRule type="duplicateValues" dxfId="19503" priority="19516"/>
    <cfRule type="duplicateValues" dxfId="19502" priority="19515"/>
    <cfRule type="duplicateValues" dxfId="19501" priority="19514"/>
    <cfRule type="duplicateValues" dxfId="19500" priority="19513"/>
    <cfRule type="duplicateValues" dxfId="19499" priority="19512"/>
    <cfRule type="duplicateValues" dxfId="19498" priority="19511"/>
    <cfRule type="duplicateValues" dxfId="19497" priority="19510"/>
    <cfRule type="duplicateValues" dxfId="19496" priority="19509"/>
    <cfRule type="duplicateValues" dxfId="19495" priority="19508"/>
    <cfRule type="duplicateValues" dxfId="19494" priority="19507"/>
    <cfRule type="duplicateValues" dxfId="19493" priority="19460"/>
    <cfRule type="duplicateValues" dxfId="19492" priority="19505"/>
    <cfRule type="duplicateValues" dxfId="19491" priority="19504"/>
    <cfRule type="duplicateValues" dxfId="19490" priority="19503"/>
    <cfRule type="duplicateValues" dxfId="19489" priority="19502"/>
    <cfRule type="duplicateValues" dxfId="19488" priority="19501"/>
    <cfRule type="duplicateValues" dxfId="19487" priority="19500"/>
    <cfRule type="duplicateValues" dxfId="19486" priority="19499"/>
    <cfRule type="duplicateValues" dxfId="19485" priority="19498"/>
    <cfRule type="duplicateValues" dxfId="19484" priority="19497"/>
    <cfRule type="duplicateValues" dxfId="19483" priority="19496"/>
    <cfRule type="duplicateValues" dxfId="19482" priority="19495"/>
    <cfRule type="duplicateValues" dxfId="19481" priority="19494"/>
    <cfRule type="duplicateValues" dxfId="19480" priority="19493"/>
    <cfRule type="duplicateValues" dxfId="19479" priority="19492"/>
    <cfRule type="duplicateValues" dxfId="19478" priority="19491"/>
    <cfRule type="duplicateValues" dxfId="19477" priority="19490"/>
    <cfRule type="duplicateValues" dxfId="19476" priority="19489"/>
    <cfRule type="duplicateValues" dxfId="19475" priority="19488"/>
    <cfRule type="duplicateValues" dxfId="19474" priority="19487"/>
    <cfRule type="duplicateValues" dxfId="19473" priority="19486"/>
    <cfRule type="duplicateValues" dxfId="19472" priority="19485"/>
    <cfRule type="duplicateValues" dxfId="19471" priority="19484"/>
    <cfRule type="duplicateValues" dxfId="19470" priority="19483"/>
    <cfRule type="duplicateValues" dxfId="19469" priority="19482"/>
    <cfRule type="duplicateValues" dxfId="19468" priority="19481"/>
    <cfRule type="duplicateValues" dxfId="19467" priority="19480"/>
    <cfRule type="duplicateValues" dxfId="19466" priority="19479"/>
    <cfRule type="duplicateValues" dxfId="19465" priority="19478"/>
    <cfRule type="duplicateValues" dxfId="19464" priority="19477"/>
    <cfRule type="duplicateValues" dxfId="19463" priority="19476"/>
    <cfRule type="duplicateValues" dxfId="19462" priority="19475"/>
    <cfRule type="duplicateValues" dxfId="19461" priority="19474"/>
    <cfRule type="duplicateValues" dxfId="19460" priority="19473"/>
    <cfRule type="duplicateValues" dxfId="19459" priority="19472"/>
    <cfRule type="duplicateValues" dxfId="19458" priority="19471"/>
    <cfRule type="duplicateValues" dxfId="19457" priority="19470"/>
    <cfRule type="duplicateValues" dxfId="19456" priority="19469"/>
    <cfRule type="duplicateValues" dxfId="19455" priority="19468"/>
    <cfRule type="duplicateValues" dxfId="19454" priority="19467"/>
    <cfRule type="duplicateValues" dxfId="19453" priority="19466"/>
    <cfRule type="duplicateValues" dxfId="19452" priority="19465"/>
    <cfRule type="duplicateValues" dxfId="19451" priority="19464"/>
    <cfRule type="duplicateValues" dxfId="19450" priority="19463"/>
    <cfRule type="duplicateValues" dxfId="19449" priority="19462"/>
    <cfRule type="duplicateValues" dxfId="19448" priority="19461"/>
    <cfRule type="duplicateValues" dxfId="19447" priority="19362"/>
    <cfRule type="duplicateValues" dxfId="19446" priority="19459"/>
    <cfRule type="duplicateValues" dxfId="19445" priority="19458"/>
    <cfRule type="duplicateValues" dxfId="19444" priority="19457"/>
    <cfRule type="duplicateValues" dxfId="19443" priority="19456"/>
    <cfRule type="duplicateValues" dxfId="19442" priority="19455"/>
    <cfRule type="duplicateValues" dxfId="19441" priority="19454"/>
    <cfRule type="duplicateValues" dxfId="19440" priority="19453"/>
    <cfRule type="duplicateValues" dxfId="19439" priority="19452"/>
    <cfRule type="duplicateValues" dxfId="19438" priority="19451"/>
    <cfRule type="duplicateValues" dxfId="19437" priority="19450"/>
    <cfRule type="duplicateValues" dxfId="19436" priority="19449"/>
    <cfRule type="duplicateValues" dxfId="19435" priority="19448"/>
    <cfRule type="duplicateValues" dxfId="19434" priority="19447"/>
    <cfRule type="duplicateValues" dxfId="19433" priority="19446"/>
    <cfRule type="duplicateValues" dxfId="19432" priority="19445"/>
    <cfRule type="duplicateValues" dxfId="19431" priority="19444"/>
    <cfRule type="duplicateValues" dxfId="19430" priority="19443"/>
    <cfRule type="duplicateValues" dxfId="19429" priority="19442"/>
    <cfRule type="duplicateValues" dxfId="19428" priority="19441"/>
    <cfRule type="duplicateValues" dxfId="19427" priority="19440"/>
    <cfRule type="duplicateValues" dxfId="19426" priority="19439"/>
    <cfRule type="duplicateValues" dxfId="19425" priority="19438"/>
    <cfRule type="duplicateValues" dxfId="19424" priority="19437"/>
    <cfRule type="duplicateValues" dxfId="19423" priority="19436"/>
    <cfRule type="duplicateValues" dxfId="19422" priority="19435"/>
    <cfRule type="duplicateValues" dxfId="19421" priority="19434"/>
    <cfRule type="duplicateValues" dxfId="19420" priority="19433"/>
    <cfRule type="duplicateValues" dxfId="19419" priority="19432"/>
    <cfRule type="duplicateValues" dxfId="19418" priority="19431"/>
    <cfRule type="duplicateValues" dxfId="19417" priority="19430"/>
    <cfRule type="duplicateValues" dxfId="19416" priority="19429"/>
    <cfRule type="duplicateValues" dxfId="19415" priority="19428"/>
    <cfRule type="duplicateValues" dxfId="19414" priority="19427"/>
    <cfRule type="duplicateValues" dxfId="19413" priority="19426"/>
    <cfRule type="duplicateValues" dxfId="19412" priority="19425"/>
    <cfRule type="duplicateValues" dxfId="19411" priority="19424"/>
    <cfRule type="duplicateValues" dxfId="19410" priority="19423"/>
    <cfRule type="duplicateValues" dxfId="19409" priority="19422"/>
    <cfRule type="duplicateValues" dxfId="19408" priority="19421"/>
    <cfRule type="duplicateValues" dxfId="19407" priority="19420"/>
    <cfRule type="duplicateValues" dxfId="19406" priority="19419"/>
    <cfRule type="duplicateValues" dxfId="19405" priority="19418"/>
    <cfRule type="duplicateValues" dxfId="19404" priority="19417"/>
    <cfRule type="duplicateValues" dxfId="19403" priority="19416"/>
    <cfRule type="duplicateValues" dxfId="19402" priority="19415"/>
    <cfRule type="duplicateValues" dxfId="19401" priority="19414"/>
    <cfRule type="duplicateValues" dxfId="19400" priority="19413"/>
    <cfRule type="duplicateValues" dxfId="19399" priority="19412"/>
    <cfRule type="duplicateValues" dxfId="19398" priority="19411"/>
    <cfRule type="duplicateValues" dxfId="19397" priority="19410"/>
    <cfRule type="duplicateValues" dxfId="19396" priority="19409"/>
    <cfRule type="duplicateValues" dxfId="19395" priority="19408"/>
    <cfRule type="duplicateValues" dxfId="19394" priority="19407"/>
    <cfRule type="duplicateValues" dxfId="19393" priority="19406"/>
    <cfRule type="duplicateValues" dxfId="19392" priority="19405"/>
    <cfRule type="duplicateValues" dxfId="19391" priority="19404"/>
    <cfRule type="duplicateValues" dxfId="19390" priority="19403"/>
    <cfRule type="duplicateValues" dxfId="19389" priority="19402"/>
    <cfRule type="duplicateValues" dxfId="19388" priority="19401"/>
    <cfRule type="duplicateValues" dxfId="19387" priority="19400"/>
    <cfRule type="duplicateValues" dxfId="19386" priority="19399"/>
    <cfRule type="duplicateValues" dxfId="19385" priority="19398"/>
    <cfRule type="duplicateValues" dxfId="19384" priority="19397"/>
    <cfRule type="duplicateValues" dxfId="19383" priority="19396"/>
    <cfRule type="duplicateValues" dxfId="19382" priority="19395"/>
    <cfRule type="duplicateValues" dxfId="19381" priority="19394"/>
    <cfRule type="duplicateValues" dxfId="19380" priority="19393"/>
    <cfRule type="duplicateValues" dxfId="19379" priority="19392"/>
    <cfRule type="duplicateValues" dxfId="19378" priority="19391"/>
    <cfRule type="duplicateValues" dxfId="19377" priority="19390"/>
    <cfRule type="duplicateValues" dxfId="19376" priority="19389"/>
    <cfRule type="duplicateValues" dxfId="19375" priority="19388"/>
    <cfRule type="duplicateValues" dxfId="19374" priority="19387"/>
    <cfRule type="duplicateValues" dxfId="19373" priority="19386"/>
    <cfRule type="duplicateValues" dxfId="19372" priority="19385"/>
    <cfRule type="duplicateValues" dxfId="19371" priority="19384"/>
    <cfRule type="duplicateValues" dxfId="19370" priority="19383"/>
    <cfRule type="duplicateValues" dxfId="19369" priority="19382"/>
    <cfRule type="duplicateValues" dxfId="19368" priority="19381"/>
    <cfRule type="duplicateValues" dxfId="19367" priority="19380"/>
    <cfRule type="duplicateValues" dxfId="19366" priority="19379"/>
    <cfRule type="duplicateValues" dxfId="19365" priority="19378"/>
    <cfRule type="duplicateValues" dxfId="19364" priority="19377"/>
    <cfRule type="duplicateValues" dxfId="19363" priority="19376"/>
    <cfRule type="duplicateValues" dxfId="19362" priority="19375"/>
    <cfRule type="duplicateValues" dxfId="19361" priority="19374"/>
    <cfRule type="duplicateValues" dxfId="19360" priority="19373"/>
    <cfRule type="duplicateValues" dxfId="19359" priority="19372"/>
    <cfRule type="duplicateValues" dxfId="19358" priority="19371"/>
    <cfRule type="duplicateValues" dxfId="19357" priority="19370"/>
    <cfRule type="duplicateValues" dxfId="19356" priority="19369"/>
    <cfRule type="duplicateValues" dxfId="19355" priority="19368"/>
    <cfRule type="duplicateValues" dxfId="19354" priority="19367"/>
    <cfRule type="duplicateValues" dxfId="19353" priority="19366"/>
  </conditionalFormatting>
  <conditionalFormatting sqref="B215">
    <cfRule type="duplicateValues" dxfId="19352" priority="19177"/>
    <cfRule type="duplicateValues" dxfId="19351" priority="19176"/>
    <cfRule type="duplicateValues" dxfId="19350" priority="19175"/>
    <cfRule type="duplicateValues" dxfId="19349" priority="19178"/>
    <cfRule type="duplicateValues" dxfId="19348" priority="19361"/>
    <cfRule type="duplicateValues" dxfId="19347" priority="19360"/>
    <cfRule type="duplicateValues" dxfId="19346" priority="19359"/>
    <cfRule type="duplicateValues" dxfId="19345" priority="19358"/>
    <cfRule type="duplicateValues" dxfId="19344" priority="19357"/>
    <cfRule type="duplicateValues" dxfId="19343" priority="19356"/>
    <cfRule type="duplicateValues" dxfId="19342" priority="19355"/>
    <cfRule type="duplicateValues" dxfId="19341" priority="19354"/>
    <cfRule type="duplicateValues" dxfId="19340" priority="19353"/>
    <cfRule type="duplicateValues" dxfId="19339" priority="19352"/>
    <cfRule type="duplicateValues" dxfId="19338" priority="19351"/>
    <cfRule type="duplicateValues" dxfId="19337" priority="19350"/>
    <cfRule type="duplicateValues" dxfId="19336" priority="19349"/>
    <cfRule type="duplicateValues" dxfId="19335" priority="19348"/>
    <cfRule type="duplicateValues" dxfId="19334" priority="19347"/>
    <cfRule type="duplicateValues" dxfId="19333" priority="19346"/>
    <cfRule type="duplicateValues" dxfId="19332" priority="19345"/>
    <cfRule type="duplicateValues" dxfId="19331" priority="19344"/>
    <cfRule type="duplicateValues" dxfId="19330" priority="19343"/>
    <cfRule type="duplicateValues" dxfId="19329" priority="19342"/>
    <cfRule type="duplicateValues" dxfId="19328" priority="19341"/>
    <cfRule type="duplicateValues" dxfId="19327" priority="19340"/>
    <cfRule type="duplicateValues" dxfId="19326" priority="19339"/>
    <cfRule type="duplicateValues" dxfId="19325" priority="19338"/>
    <cfRule type="duplicateValues" dxfId="19324" priority="19337"/>
    <cfRule type="duplicateValues" dxfId="19323" priority="19336"/>
    <cfRule type="duplicateValues" dxfId="19322" priority="19335"/>
    <cfRule type="duplicateValues" dxfId="19321" priority="19334"/>
    <cfRule type="duplicateValues" dxfId="19320" priority="19333"/>
    <cfRule type="duplicateValues" dxfId="19319" priority="19332"/>
    <cfRule type="duplicateValues" dxfId="19318" priority="19331"/>
    <cfRule type="duplicateValues" dxfId="19317" priority="19330"/>
    <cfRule type="duplicateValues" dxfId="19316" priority="19329"/>
    <cfRule type="duplicateValues" dxfId="19315" priority="19328"/>
    <cfRule type="duplicateValues" dxfId="19314" priority="19327"/>
    <cfRule type="duplicateValues" dxfId="19313" priority="19326"/>
    <cfRule type="duplicateValues" dxfId="19312" priority="19325"/>
    <cfRule type="duplicateValues" dxfId="19311" priority="19324"/>
    <cfRule type="duplicateValues" dxfId="19310" priority="19323"/>
    <cfRule type="duplicateValues" dxfId="19309" priority="19322"/>
    <cfRule type="duplicateValues" dxfId="19308" priority="19321"/>
    <cfRule type="duplicateValues" dxfId="19307" priority="19320"/>
    <cfRule type="duplicateValues" dxfId="19306" priority="19319"/>
    <cfRule type="duplicateValues" dxfId="19305" priority="19318"/>
    <cfRule type="duplicateValues" dxfId="19304" priority="19317"/>
    <cfRule type="duplicateValues" dxfId="19303" priority="19316"/>
    <cfRule type="duplicateValues" dxfId="19302" priority="19315"/>
    <cfRule type="duplicateValues" dxfId="19301" priority="19314"/>
    <cfRule type="duplicateValues" dxfId="19300" priority="19313"/>
    <cfRule type="duplicateValues" dxfId="19299" priority="19312"/>
    <cfRule type="duplicateValues" dxfId="19298" priority="19311"/>
    <cfRule type="duplicateValues" dxfId="19297" priority="19310"/>
    <cfRule type="duplicateValues" dxfId="19296" priority="19309"/>
    <cfRule type="duplicateValues" dxfId="19295" priority="19308"/>
    <cfRule type="duplicateValues" dxfId="19294" priority="19307"/>
    <cfRule type="duplicateValues" dxfId="19293" priority="19306"/>
    <cfRule type="duplicateValues" dxfId="19292" priority="19305"/>
    <cfRule type="duplicateValues" dxfId="19291" priority="19304"/>
    <cfRule type="duplicateValues" dxfId="19290" priority="19303"/>
    <cfRule type="duplicateValues" dxfId="19289" priority="19302"/>
    <cfRule type="duplicateValues" dxfId="19288" priority="19301"/>
    <cfRule type="duplicateValues" dxfId="19287" priority="19300"/>
    <cfRule type="duplicateValues" dxfId="19286" priority="19299"/>
    <cfRule type="duplicateValues" dxfId="19285" priority="19298"/>
    <cfRule type="duplicateValues" dxfId="19284" priority="19297"/>
    <cfRule type="duplicateValues" dxfId="19283" priority="19296"/>
    <cfRule type="duplicateValues" dxfId="19282" priority="19295"/>
    <cfRule type="duplicateValues" dxfId="19281" priority="19294"/>
    <cfRule type="duplicateValues" dxfId="19280" priority="19293"/>
    <cfRule type="duplicateValues" dxfId="19279" priority="19292"/>
    <cfRule type="duplicateValues" dxfId="19278" priority="19291"/>
    <cfRule type="duplicateValues" dxfId="19277" priority="19290"/>
    <cfRule type="duplicateValues" dxfId="19276" priority="19289"/>
    <cfRule type="duplicateValues" dxfId="19275" priority="19288"/>
    <cfRule type="duplicateValues" dxfId="19274" priority="19287"/>
    <cfRule type="duplicateValues" dxfId="19273" priority="19286"/>
    <cfRule type="duplicateValues" dxfId="19272" priority="19285"/>
    <cfRule type="duplicateValues" dxfId="19271" priority="19284"/>
    <cfRule type="duplicateValues" dxfId="19270" priority="19283"/>
    <cfRule type="duplicateValues" dxfId="19269" priority="19282"/>
    <cfRule type="duplicateValues" dxfId="19268" priority="19281"/>
    <cfRule type="duplicateValues" dxfId="19267" priority="19280"/>
    <cfRule type="duplicateValues" dxfId="19266" priority="19279"/>
    <cfRule type="duplicateValues" dxfId="19265" priority="19278"/>
    <cfRule type="duplicateValues" dxfId="19264" priority="19277"/>
    <cfRule type="duplicateValues" dxfId="19263" priority="19276"/>
    <cfRule type="duplicateValues" dxfId="19262" priority="19275"/>
    <cfRule type="duplicateValues" dxfId="19261" priority="19274"/>
    <cfRule type="duplicateValues" dxfId="19260" priority="19273"/>
    <cfRule type="duplicateValues" dxfId="19259" priority="19272"/>
    <cfRule type="duplicateValues" dxfId="19258" priority="19271"/>
    <cfRule type="duplicateValues" dxfId="19257" priority="19270"/>
    <cfRule type="duplicateValues" dxfId="19256" priority="19269"/>
    <cfRule type="duplicateValues" dxfId="19255" priority="19268"/>
    <cfRule type="duplicateValues" dxfId="19254" priority="19267"/>
    <cfRule type="duplicateValues" dxfId="19253" priority="19266"/>
    <cfRule type="duplicateValues" dxfId="19252" priority="19265"/>
    <cfRule type="duplicateValues" dxfId="19251" priority="19264"/>
    <cfRule type="duplicateValues" dxfId="19250" priority="19263"/>
    <cfRule type="duplicateValues" dxfId="19249" priority="19262"/>
    <cfRule type="duplicateValues" dxfId="19248" priority="19261"/>
    <cfRule type="duplicateValues" dxfId="19247" priority="19260"/>
    <cfRule type="duplicateValues" dxfId="19246" priority="19259"/>
    <cfRule type="duplicateValues" dxfId="19245" priority="19258"/>
    <cfRule type="duplicateValues" dxfId="19244" priority="19257"/>
    <cfRule type="duplicateValues" dxfId="19243" priority="19256"/>
    <cfRule type="duplicateValues" dxfId="19242" priority="19255"/>
    <cfRule type="duplicateValues" dxfId="19241" priority="19254"/>
    <cfRule type="duplicateValues" dxfId="19240" priority="19253"/>
    <cfRule type="duplicateValues" dxfId="19239" priority="19252"/>
    <cfRule type="duplicateValues" dxfId="19238" priority="19251"/>
    <cfRule type="duplicateValues" dxfId="19237" priority="19250"/>
    <cfRule type="duplicateValues" dxfId="19236" priority="19249"/>
    <cfRule type="duplicateValues" dxfId="19235" priority="19248"/>
    <cfRule type="duplicateValues" dxfId="19234" priority="19247"/>
    <cfRule type="duplicateValues" dxfId="19233" priority="19246"/>
    <cfRule type="duplicateValues" dxfId="19232" priority="19245"/>
    <cfRule type="duplicateValues" dxfId="19231" priority="19244"/>
    <cfRule type="duplicateValues" dxfId="19230" priority="19243"/>
    <cfRule type="duplicateValues" dxfId="19229" priority="19242"/>
    <cfRule type="duplicateValues" dxfId="19228" priority="19241"/>
    <cfRule type="duplicateValues" dxfId="19227" priority="19240"/>
    <cfRule type="duplicateValues" dxfId="19226" priority="19239"/>
    <cfRule type="duplicateValues" dxfId="19225" priority="19238"/>
    <cfRule type="duplicateValues" dxfId="19224" priority="19237"/>
    <cfRule type="duplicateValues" dxfId="19223" priority="19236"/>
    <cfRule type="duplicateValues" dxfId="19222" priority="19235"/>
    <cfRule type="duplicateValues" dxfId="19221" priority="19234"/>
    <cfRule type="duplicateValues" dxfId="19220" priority="19233"/>
    <cfRule type="duplicateValues" dxfId="19219" priority="19232"/>
    <cfRule type="duplicateValues" dxfId="19218" priority="19231"/>
    <cfRule type="duplicateValues" dxfId="19217" priority="19230"/>
    <cfRule type="duplicateValues" dxfId="19216" priority="19229"/>
    <cfRule type="duplicateValues" dxfId="19215" priority="19228"/>
    <cfRule type="duplicateValues" dxfId="19214" priority="19227"/>
    <cfRule type="duplicateValues" dxfId="19213" priority="19226"/>
    <cfRule type="duplicateValues" dxfId="19212" priority="19225"/>
    <cfRule type="duplicateValues" dxfId="19211" priority="19224"/>
    <cfRule type="duplicateValues" dxfId="19210" priority="19223"/>
    <cfRule type="duplicateValues" dxfId="19209" priority="19222"/>
    <cfRule type="duplicateValues" dxfId="19208" priority="19221"/>
    <cfRule type="duplicateValues" dxfId="19207" priority="19220"/>
    <cfRule type="duplicateValues" dxfId="19206" priority="19219"/>
    <cfRule type="duplicateValues" dxfId="19205" priority="19218"/>
    <cfRule type="duplicateValues" dxfId="19204" priority="19217"/>
    <cfRule type="duplicateValues" dxfId="19203" priority="19216"/>
    <cfRule type="duplicateValues" dxfId="19202" priority="19215"/>
    <cfRule type="duplicateValues" dxfId="19201" priority="19214"/>
    <cfRule type="duplicateValues" dxfId="19200" priority="19213"/>
    <cfRule type="duplicateValues" dxfId="19199" priority="19212"/>
    <cfRule type="duplicateValues" dxfId="19198" priority="19211"/>
    <cfRule type="duplicateValues" dxfId="19197" priority="19210"/>
    <cfRule type="duplicateValues" dxfId="19196" priority="19209"/>
    <cfRule type="duplicateValues" dxfId="19195" priority="19208"/>
    <cfRule type="duplicateValues" dxfId="19194" priority="19207"/>
    <cfRule type="duplicateValues" dxfId="19193" priority="19206"/>
    <cfRule type="duplicateValues" dxfId="19192" priority="19205"/>
    <cfRule type="duplicateValues" dxfId="19191" priority="19204"/>
    <cfRule type="duplicateValues" dxfId="19190" priority="19203"/>
    <cfRule type="duplicateValues" dxfId="19189" priority="19202"/>
    <cfRule type="duplicateValues" dxfId="19188" priority="19201"/>
    <cfRule type="duplicateValues" dxfId="19187" priority="19200"/>
    <cfRule type="duplicateValues" dxfId="19186" priority="19199"/>
    <cfRule type="duplicateValues" dxfId="19185" priority="19198"/>
    <cfRule type="duplicateValues" dxfId="19184" priority="19197"/>
    <cfRule type="duplicateValues" dxfId="19183" priority="19196"/>
    <cfRule type="duplicateValues" dxfId="19182" priority="19195"/>
    <cfRule type="duplicateValues" dxfId="19181" priority="19194"/>
    <cfRule type="duplicateValues" dxfId="19180" priority="19193"/>
    <cfRule type="duplicateValues" dxfId="19179" priority="19192"/>
    <cfRule type="duplicateValues" dxfId="19178" priority="19191"/>
    <cfRule type="duplicateValues" dxfId="19177" priority="19190"/>
    <cfRule type="duplicateValues" dxfId="19176" priority="19189"/>
    <cfRule type="duplicateValues" dxfId="19175" priority="19188"/>
    <cfRule type="duplicateValues" dxfId="19174" priority="19187"/>
    <cfRule type="duplicateValues" dxfId="19173" priority="19186"/>
    <cfRule type="duplicateValues" dxfId="19172" priority="19185"/>
    <cfRule type="duplicateValues" dxfId="19171" priority="19184"/>
    <cfRule type="duplicateValues" dxfId="19170" priority="19183"/>
    <cfRule type="duplicateValues" dxfId="19169" priority="19182"/>
    <cfRule type="duplicateValues" dxfId="19168" priority="19181"/>
    <cfRule type="duplicateValues" dxfId="19167" priority="19180"/>
    <cfRule type="duplicateValues" dxfId="19166" priority="19179"/>
  </conditionalFormatting>
  <conditionalFormatting sqref="B216:B220">
    <cfRule type="duplicateValues" dxfId="19165" priority="18991"/>
    <cfRule type="duplicateValues" dxfId="19164" priority="18990"/>
    <cfRule type="duplicateValues" dxfId="19163" priority="18989"/>
    <cfRule type="duplicateValues" dxfId="19162" priority="18988"/>
    <cfRule type="duplicateValues" dxfId="19161" priority="19174"/>
    <cfRule type="duplicateValues" dxfId="19160" priority="19173"/>
    <cfRule type="duplicateValues" dxfId="19159" priority="19172"/>
    <cfRule type="duplicateValues" dxfId="19158" priority="19171"/>
    <cfRule type="duplicateValues" dxfId="19157" priority="19170"/>
    <cfRule type="duplicateValues" dxfId="19156" priority="19169"/>
    <cfRule type="duplicateValues" dxfId="19155" priority="19168"/>
    <cfRule type="duplicateValues" dxfId="19154" priority="19167"/>
    <cfRule type="duplicateValues" dxfId="19153" priority="19166"/>
    <cfRule type="duplicateValues" dxfId="19152" priority="19165"/>
    <cfRule type="duplicateValues" dxfId="19151" priority="19164"/>
    <cfRule type="duplicateValues" dxfId="19150" priority="19163"/>
    <cfRule type="duplicateValues" dxfId="19149" priority="19162"/>
    <cfRule type="duplicateValues" dxfId="19148" priority="19161"/>
    <cfRule type="duplicateValues" dxfId="19147" priority="19160"/>
    <cfRule type="duplicateValues" dxfId="19146" priority="19159"/>
    <cfRule type="duplicateValues" dxfId="19145" priority="19158"/>
    <cfRule type="duplicateValues" dxfId="19144" priority="19157"/>
    <cfRule type="duplicateValues" dxfId="19143" priority="19156"/>
    <cfRule type="duplicateValues" dxfId="19142" priority="19155"/>
    <cfRule type="duplicateValues" dxfId="19141" priority="19154"/>
    <cfRule type="duplicateValues" dxfId="19140" priority="19153"/>
    <cfRule type="duplicateValues" dxfId="19139" priority="19152"/>
    <cfRule type="duplicateValues" dxfId="19138" priority="19151"/>
    <cfRule type="duplicateValues" dxfId="19137" priority="19150"/>
    <cfRule type="duplicateValues" dxfId="19136" priority="19149"/>
    <cfRule type="duplicateValues" dxfId="19135" priority="19148"/>
    <cfRule type="duplicateValues" dxfId="19134" priority="19147"/>
    <cfRule type="duplicateValues" dxfId="19133" priority="19146"/>
    <cfRule type="duplicateValues" dxfId="19132" priority="19145"/>
    <cfRule type="duplicateValues" dxfId="19131" priority="19144"/>
    <cfRule type="duplicateValues" dxfId="19130" priority="19143"/>
    <cfRule type="duplicateValues" dxfId="19129" priority="19142"/>
    <cfRule type="duplicateValues" dxfId="19128" priority="19141"/>
    <cfRule type="duplicateValues" dxfId="19127" priority="19140"/>
    <cfRule type="duplicateValues" dxfId="19126" priority="19139"/>
    <cfRule type="duplicateValues" dxfId="19125" priority="19138"/>
    <cfRule type="duplicateValues" dxfId="19124" priority="19137"/>
    <cfRule type="duplicateValues" dxfId="19123" priority="19136"/>
    <cfRule type="duplicateValues" dxfId="19122" priority="19135"/>
    <cfRule type="duplicateValues" dxfId="19121" priority="19134"/>
    <cfRule type="duplicateValues" dxfId="19120" priority="19133"/>
    <cfRule type="duplicateValues" dxfId="19119" priority="19132"/>
    <cfRule type="duplicateValues" dxfId="19118" priority="19131"/>
    <cfRule type="duplicateValues" dxfId="19117" priority="19130"/>
    <cfRule type="duplicateValues" dxfId="19116" priority="19129"/>
    <cfRule type="duplicateValues" dxfId="19115" priority="19128"/>
    <cfRule type="duplicateValues" dxfId="19114" priority="19127"/>
    <cfRule type="duplicateValues" dxfId="19113" priority="19126"/>
    <cfRule type="duplicateValues" dxfId="19112" priority="19125"/>
    <cfRule type="duplicateValues" dxfId="19111" priority="19124"/>
    <cfRule type="duplicateValues" dxfId="19110" priority="19123"/>
    <cfRule type="duplicateValues" dxfId="19109" priority="19122"/>
    <cfRule type="duplicateValues" dxfId="19108" priority="19121"/>
    <cfRule type="duplicateValues" dxfId="19107" priority="19120"/>
    <cfRule type="duplicateValues" dxfId="19106" priority="19119"/>
    <cfRule type="duplicateValues" dxfId="19105" priority="19118"/>
    <cfRule type="duplicateValues" dxfId="19104" priority="19117"/>
    <cfRule type="duplicateValues" dxfId="19103" priority="19116"/>
    <cfRule type="duplicateValues" dxfId="19102" priority="19115"/>
    <cfRule type="duplicateValues" dxfId="19101" priority="19114"/>
    <cfRule type="duplicateValues" dxfId="19100" priority="19113"/>
    <cfRule type="duplicateValues" dxfId="19099" priority="19112"/>
    <cfRule type="duplicateValues" dxfId="19098" priority="19111"/>
    <cfRule type="duplicateValues" dxfId="19097" priority="19110"/>
    <cfRule type="duplicateValues" dxfId="19096" priority="19109"/>
    <cfRule type="duplicateValues" dxfId="19095" priority="19108"/>
    <cfRule type="duplicateValues" dxfId="19094" priority="19107"/>
    <cfRule type="duplicateValues" dxfId="19093" priority="19106"/>
    <cfRule type="duplicateValues" dxfId="19092" priority="19105"/>
    <cfRule type="duplicateValues" dxfId="19091" priority="19104"/>
    <cfRule type="duplicateValues" dxfId="19090" priority="19103"/>
    <cfRule type="duplicateValues" dxfId="19089" priority="19102"/>
    <cfRule type="duplicateValues" dxfId="19088" priority="19101"/>
    <cfRule type="duplicateValues" dxfId="19087" priority="19100"/>
    <cfRule type="duplicateValues" dxfId="19086" priority="19099"/>
    <cfRule type="duplicateValues" dxfId="19085" priority="19098"/>
    <cfRule type="duplicateValues" dxfId="19084" priority="19097"/>
    <cfRule type="duplicateValues" dxfId="19083" priority="19096"/>
    <cfRule type="duplicateValues" dxfId="19082" priority="19095"/>
    <cfRule type="duplicateValues" dxfId="19081" priority="19094"/>
    <cfRule type="duplicateValues" dxfId="19080" priority="19093"/>
    <cfRule type="duplicateValues" dxfId="19079" priority="19092"/>
    <cfRule type="duplicateValues" dxfId="19078" priority="19091"/>
    <cfRule type="duplicateValues" dxfId="19077" priority="19090"/>
    <cfRule type="duplicateValues" dxfId="19076" priority="19089"/>
    <cfRule type="duplicateValues" dxfId="19075" priority="19088"/>
    <cfRule type="duplicateValues" dxfId="19074" priority="19087"/>
    <cfRule type="duplicateValues" dxfId="19073" priority="19086"/>
    <cfRule type="duplicateValues" dxfId="19072" priority="19085"/>
    <cfRule type="duplicateValues" dxfId="19071" priority="19084"/>
    <cfRule type="duplicateValues" dxfId="19070" priority="19083"/>
    <cfRule type="duplicateValues" dxfId="19069" priority="19082"/>
    <cfRule type="duplicateValues" dxfId="19068" priority="19081"/>
    <cfRule type="duplicateValues" dxfId="19067" priority="19080"/>
    <cfRule type="duplicateValues" dxfId="19066" priority="19079"/>
    <cfRule type="duplicateValues" dxfId="19065" priority="19078"/>
    <cfRule type="duplicateValues" dxfId="19064" priority="19077"/>
    <cfRule type="duplicateValues" dxfId="19063" priority="19076"/>
    <cfRule type="duplicateValues" dxfId="19062" priority="19075"/>
    <cfRule type="duplicateValues" dxfId="19061" priority="19074"/>
    <cfRule type="duplicateValues" dxfId="19060" priority="19073"/>
    <cfRule type="duplicateValues" dxfId="19059" priority="19072"/>
    <cfRule type="duplicateValues" dxfId="19058" priority="19071"/>
    <cfRule type="duplicateValues" dxfId="19057" priority="19070"/>
    <cfRule type="duplicateValues" dxfId="19056" priority="19069"/>
    <cfRule type="duplicateValues" dxfId="19055" priority="19068"/>
    <cfRule type="duplicateValues" dxfId="19054" priority="19067"/>
    <cfRule type="duplicateValues" dxfId="19053" priority="19066"/>
    <cfRule type="duplicateValues" dxfId="19052" priority="19065"/>
    <cfRule type="duplicateValues" dxfId="19051" priority="19064"/>
    <cfRule type="duplicateValues" dxfId="19050" priority="19063"/>
    <cfRule type="duplicateValues" dxfId="19049" priority="19062"/>
    <cfRule type="duplicateValues" dxfId="19048" priority="19061"/>
    <cfRule type="duplicateValues" dxfId="19047" priority="19060"/>
    <cfRule type="duplicateValues" dxfId="19046" priority="19059"/>
    <cfRule type="duplicateValues" dxfId="19045" priority="19058"/>
    <cfRule type="duplicateValues" dxfId="19044" priority="19057"/>
    <cfRule type="duplicateValues" dxfId="19043" priority="19056"/>
    <cfRule type="duplicateValues" dxfId="19042" priority="19055"/>
    <cfRule type="duplicateValues" dxfId="19041" priority="19054"/>
    <cfRule type="duplicateValues" dxfId="19040" priority="19053"/>
    <cfRule type="duplicateValues" dxfId="19039" priority="19052"/>
    <cfRule type="duplicateValues" dxfId="19038" priority="19051"/>
    <cfRule type="duplicateValues" dxfId="19037" priority="19050"/>
    <cfRule type="duplicateValues" dxfId="19036" priority="19049"/>
    <cfRule type="duplicateValues" dxfId="19035" priority="19048"/>
    <cfRule type="duplicateValues" dxfId="19034" priority="19047"/>
    <cfRule type="duplicateValues" dxfId="19033" priority="19046"/>
    <cfRule type="duplicateValues" dxfId="19032" priority="19045"/>
    <cfRule type="duplicateValues" dxfId="19031" priority="19044"/>
    <cfRule type="duplicateValues" dxfId="19030" priority="19043"/>
    <cfRule type="duplicateValues" dxfId="19029" priority="19042"/>
    <cfRule type="duplicateValues" dxfId="19028" priority="19041"/>
    <cfRule type="duplicateValues" dxfId="19027" priority="19040"/>
    <cfRule type="duplicateValues" dxfId="19026" priority="19039"/>
    <cfRule type="duplicateValues" dxfId="19025" priority="19038"/>
    <cfRule type="duplicateValues" dxfId="19024" priority="19037"/>
    <cfRule type="duplicateValues" dxfId="19023" priority="19036"/>
    <cfRule type="duplicateValues" dxfId="19022" priority="19035"/>
    <cfRule type="duplicateValues" dxfId="19021" priority="19034"/>
    <cfRule type="duplicateValues" dxfId="19020" priority="19033"/>
    <cfRule type="duplicateValues" dxfId="19019" priority="19032"/>
    <cfRule type="duplicateValues" dxfId="19018" priority="19031"/>
    <cfRule type="duplicateValues" dxfId="19017" priority="19030"/>
    <cfRule type="duplicateValues" dxfId="19016" priority="19029"/>
    <cfRule type="duplicateValues" dxfId="19015" priority="19028"/>
    <cfRule type="duplicateValues" dxfId="19014" priority="19027"/>
    <cfRule type="duplicateValues" dxfId="19013" priority="19026"/>
    <cfRule type="duplicateValues" dxfId="19012" priority="19025"/>
    <cfRule type="duplicateValues" dxfId="19011" priority="19024"/>
    <cfRule type="duplicateValues" dxfId="19010" priority="19023"/>
    <cfRule type="duplicateValues" dxfId="19009" priority="19022"/>
    <cfRule type="duplicateValues" dxfId="19008" priority="19021"/>
    <cfRule type="duplicateValues" dxfId="19007" priority="19020"/>
    <cfRule type="duplicateValues" dxfId="19006" priority="19019"/>
    <cfRule type="duplicateValues" dxfId="19005" priority="19018"/>
    <cfRule type="duplicateValues" dxfId="19004" priority="19017"/>
    <cfRule type="duplicateValues" dxfId="19003" priority="19016"/>
    <cfRule type="duplicateValues" dxfId="19002" priority="19015"/>
    <cfRule type="duplicateValues" dxfId="19001" priority="19014"/>
    <cfRule type="duplicateValues" dxfId="19000" priority="19013"/>
    <cfRule type="duplicateValues" dxfId="18999" priority="19012"/>
    <cfRule type="duplicateValues" dxfId="18998" priority="19011"/>
    <cfRule type="duplicateValues" dxfId="18997" priority="19010"/>
    <cfRule type="duplicateValues" dxfId="18996" priority="19009"/>
    <cfRule type="duplicateValues" dxfId="18995" priority="19008"/>
    <cfRule type="duplicateValues" dxfId="18994" priority="19007"/>
    <cfRule type="duplicateValues" dxfId="18993" priority="19006"/>
    <cfRule type="duplicateValues" dxfId="18992" priority="19005"/>
    <cfRule type="duplicateValues" dxfId="18991" priority="19004"/>
    <cfRule type="duplicateValues" dxfId="18990" priority="19003"/>
    <cfRule type="duplicateValues" dxfId="18989" priority="19002"/>
    <cfRule type="duplicateValues" dxfId="18988" priority="19001"/>
    <cfRule type="duplicateValues" dxfId="18987" priority="19000"/>
    <cfRule type="duplicateValues" dxfId="18986" priority="18999"/>
    <cfRule type="duplicateValues" dxfId="18985" priority="18998"/>
    <cfRule type="duplicateValues" dxfId="18984" priority="18997"/>
    <cfRule type="duplicateValues" dxfId="18983" priority="18996"/>
    <cfRule type="duplicateValues" dxfId="18982" priority="18995"/>
    <cfRule type="duplicateValues" dxfId="18981" priority="18994"/>
    <cfRule type="duplicateValues" dxfId="18980" priority="18993"/>
    <cfRule type="duplicateValues" dxfId="18979" priority="18992"/>
  </conditionalFormatting>
  <conditionalFormatting sqref="B221">
    <cfRule type="duplicateValues" dxfId="18978" priority="18875"/>
    <cfRule type="duplicateValues" dxfId="18977" priority="18804"/>
    <cfRule type="duplicateValues" dxfId="18976" priority="18803"/>
    <cfRule type="duplicateValues" dxfId="18975" priority="18802"/>
    <cfRule type="duplicateValues" dxfId="18974" priority="18987"/>
    <cfRule type="duplicateValues" dxfId="18973" priority="18986"/>
    <cfRule type="duplicateValues" dxfId="18972" priority="18985"/>
    <cfRule type="duplicateValues" dxfId="18971" priority="18984"/>
    <cfRule type="duplicateValues" dxfId="18970" priority="18983"/>
    <cfRule type="duplicateValues" dxfId="18969" priority="18982"/>
    <cfRule type="duplicateValues" dxfId="18968" priority="18981"/>
    <cfRule type="duplicateValues" dxfId="18967" priority="18980"/>
    <cfRule type="duplicateValues" dxfId="18966" priority="18979"/>
    <cfRule type="duplicateValues" dxfId="18965" priority="18978"/>
    <cfRule type="duplicateValues" dxfId="18964" priority="18977"/>
    <cfRule type="duplicateValues" dxfId="18963" priority="18976"/>
    <cfRule type="duplicateValues" dxfId="18962" priority="18975"/>
    <cfRule type="duplicateValues" dxfId="18961" priority="18974"/>
    <cfRule type="duplicateValues" dxfId="18960" priority="18973"/>
    <cfRule type="duplicateValues" dxfId="18959" priority="18972"/>
    <cfRule type="duplicateValues" dxfId="18958" priority="18971"/>
    <cfRule type="duplicateValues" dxfId="18957" priority="18970"/>
    <cfRule type="duplicateValues" dxfId="18956" priority="18969"/>
    <cfRule type="duplicateValues" dxfId="18955" priority="18968"/>
    <cfRule type="duplicateValues" dxfId="18954" priority="18967"/>
    <cfRule type="duplicateValues" dxfId="18953" priority="18966"/>
    <cfRule type="duplicateValues" dxfId="18952" priority="18965"/>
    <cfRule type="duplicateValues" dxfId="18951" priority="18964"/>
    <cfRule type="duplicateValues" dxfId="18950" priority="18963"/>
    <cfRule type="duplicateValues" dxfId="18949" priority="18962"/>
    <cfRule type="duplicateValues" dxfId="18948" priority="18961"/>
    <cfRule type="duplicateValues" dxfId="18947" priority="18960"/>
    <cfRule type="duplicateValues" dxfId="18946" priority="18959"/>
    <cfRule type="duplicateValues" dxfId="18945" priority="18958"/>
    <cfRule type="duplicateValues" dxfId="18944" priority="18957"/>
    <cfRule type="duplicateValues" dxfId="18943" priority="18956"/>
    <cfRule type="duplicateValues" dxfId="18942" priority="18955"/>
    <cfRule type="duplicateValues" dxfId="18941" priority="18954"/>
    <cfRule type="duplicateValues" dxfId="18940" priority="18953"/>
    <cfRule type="duplicateValues" dxfId="18939" priority="18952"/>
    <cfRule type="duplicateValues" dxfId="18938" priority="18951"/>
    <cfRule type="duplicateValues" dxfId="18937" priority="18950"/>
    <cfRule type="duplicateValues" dxfId="18936" priority="18949"/>
    <cfRule type="duplicateValues" dxfId="18935" priority="18948"/>
    <cfRule type="duplicateValues" dxfId="18934" priority="18947"/>
    <cfRule type="duplicateValues" dxfId="18933" priority="18946"/>
    <cfRule type="duplicateValues" dxfId="18932" priority="18945"/>
    <cfRule type="duplicateValues" dxfId="18931" priority="18944"/>
    <cfRule type="duplicateValues" dxfId="18930" priority="18943"/>
    <cfRule type="duplicateValues" dxfId="18929" priority="18942"/>
    <cfRule type="duplicateValues" dxfId="18928" priority="18941"/>
    <cfRule type="duplicateValues" dxfId="18927" priority="18940"/>
    <cfRule type="duplicateValues" dxfId="18926" priority="18939"/>
    <cfRule type="duplicateValues" dxfId="18925" priority="18938"/>
    <cfRule type="duplicateValues" dxfId="18924" priority="18937"/>
    <cfRule type="duplicateValues" dxfId="18923" priority="18936"/>
    <cfRule type="duplicateValues" dxfId="18922" priority="18935"/>
    <cfRule type="duplicateValues" dxfId="18921" priority="18934"/>
    <cfRule type="duplicateValues" dxfId="18920" priority="18933"/>
    <cfRule type="duplicateValues" dxfId="18919" priority="18932"/>
    <cfRule type="duplicateValues" dxfId="18918" priority="18931"/>
    <cfRule type="duplicateValues" dxfId="18917" priority="18930"/>
    <cfRule type="duplicateValues" dxfId="18916" priority="18929"/>
    <cfRule type="duplicateValues" dxfId="18915" priority="18928"/>
    <cfRule type="duplicateValues" dxfId="18914" priority="18927"/>
    <cfRule type="duplicateValues" dxfId="18913" priority="18926"/>
    <cfRule type="duplicateValues" dxfId="18912" priority="18925"/>
    <cfRule type="duplicateValues" dxfId="18911" priority="18924"/>
    <cfRule type="duplicateValues" dxfId="18910" priority="18923"/>
    <cfRule type="duplicateValues" dxfId="18909" priority="18922"/>
    <cfRule type="duplicateValues" dxfId="18908" priority="18921"/>
    <cfRule type="duplicateValues" dxfId="18907" priority="18920"/>
    <cfRule type="duplicateValues" dxfId="18906" priority="18919"/>
    <cfRule type="duplicateValues" dxfId="18905" priority="18918"/>
    <cfRule type="duplicateValues" dxfId="18904" priority="18917"/>
    <cfRule type="duplicateValues" dxfId="18903" priority="18916"/>
    <cfRule type="duplicateValues" dxfId="18902" priority="18915"/>
    <cfRule type="duplicateValues" dxfId="18901" priority="18914"/>
    <cfRule type="duplicateValues" dxfId="18900" priority="18913"/>
    <cfRule type="duplicateValues" dxfId="18899" priority="18912"/>
    <cfRule type="duplicateValues" dxfId="18898" priority="18911"/>
    <cfRule type="duplicateValues" dxfId="18897" priority="18910"/>
    <cfRule type="duplicateValues" dxfId="18896" priority="18909"/>
    <cfRule type="duplicateValues" dxfId="18895" priority="18908"/>
    <cfRule type="duplicateValues" dxfId="18894" priority="18907"/>
    <cfRule type="duplicateValues" dxfId="18893" priority="18906"/>
    <cfRule type="duplicateValues" dxfId="18892" priority="18905"/>
    <cfRule type="duplicateValues" dxfId="18891" priority="18904"/>
    <cfRule type="duplicateValues" dxfId="18890" priority="18903"/>
    <cfRule type="duplicateValues" dxfId="18889" priority="18902"/>
    <cfRule type="duplicateValues" dxfId="18888" priority="18901"/>
    <cfRule type="duplicateValues" dxfId="18887" priority="18900"/>
    <cfRule type="duplicateValues" dxfId="18886" priority="18899"/>
    <cfRule type="duplicateValues" dxfId="18885" priority="18898"/>
    <cfRule type="duplicateValues" dxfId="18884" priority="18897"/>
    <cfRule type="duplicateValues" dxfId="18883" priority="18896"/>
    <cfRule type="duplicateValues" dxfId="18882" priority="18895"/>
    <cfRule type="duplicateValues" dxfId="18881" priority="18894"/>
    <cfRule type="duplicateValues" dxfId="18880" priority="18893"/>
    <cfRule type="duplicateValues" dxfId="18879" priority="18892"/>
    <cfRule type="duplicateValues" dxfId="18878" priority="18891"/>
    <cfRule type="duplicateValues" dxfId="18877" priority="18890"/>
    <cfRule type="duplicateValues" dxfId="18876" priority="18889"/>
    <cfRule type="duplicateValues" dxfId="18875" priority="18888"/>
    <cfRule type="duplicateValues" dxfId="18874" priority="18887"/>
    <cfRule type="duplicateValues" dxfId="18873" priority="18886"/>
    <cfRule type="duplicateValues" dxfId="18872" priority="18885"/>
    <cfRule type="duplicateValues" dxfId="18871" priority="18884"/>
    <cfRule type="duplicateValues" dxfId="18870" priority="18883"/>
    <cfRule type="duplicateValues" dxfId="18869" priority="18882"/>
    <cfRule type="duplicateValues" dxfId="18868" priority="18881"/>
    <cfRule type="duplicateValues" dxfId="18867" priority="18880"/>
    <cfRule type="duplicateValues" dxfId="18866" priority="18879"/>
    <cfRule type="duplicateValues" dxfId="18865" priority="18878"/>
    <cfRule type="duplicateValues" dxfId="18864" priority="18877"/>
    <cfRule type="duplicateValues" dxfId="18863" priority="18876"/>
    <cfRule type="duplicateValues" dxfId="18862" priority="18801"/>
    <cfRule type="duplicateValues" dxfId="18861" priority="18874"/>
    <cfRule type="duplicateValues" dxfId="18860" priority="18873"/>
    <cfRule type="duplicateValues" dxfId="18859" priority="18872"/>
    <cfRule type="duplicateValues" dxfId="18858" priority="18871"/>
    <cfRule type="duplicateValues" dxfId="18857" priority="18870"/>
    <cfRule type="duplicateValues" dxfId="18856" priority="18869"/>
    <cfRule type="duplicateValues" dxfId="18855" priority="18868"/>
    <cfRule type="duplicateValues" dxfId="18854" priority="18867"/>
    <cfRule type="duplicateValues" dxfId="18853" priority="18866"/>
    <cfRule type="duplicateValues" dxfId="18852" priority="18865"/>
    <cfRule type="duplicateValues" dxfId="18851" priority="18864"/>
    <cfRule type="duplicateValues" dxfId="18850" priority="18863"/>
    <cfRule type="duplicateValues" dxfId="18849" priority="18862"/>
    <cfRule type="duplicateValues" dxfId="18848" priority="18861"/>
    <cfRule type="duplicateValues" dxfId="18847" priority="18860"/>
    <cfRule type="duplicateValues" dxfId="18846" priority="18859"/>
    <cfRule type="duplicateValues" dxfId="18845" priority="18858"/>
    <cfRule type="duplicateValues" dxfId="18844" priority="18857"/>
    <cfRule type="duplicateValues" dxfId="18843" priority="18856"/>
    <cfRule type="duplicateValues" dxfId="18842" priority="18855"/>
    <cfRule type="duplicateValues" dxfId="18841" priority="18854"/>
    <cfRule type="duplicateValues" dxfId="18840" priority="18853"/>
    <cfRule type="duplicateValues" dxfId="18839" priority="18852"/>
    <cfRule type="duplicateValues" dxfId="18838" priority="18851"/>
    <cfRule type="duplicateValues" dxfId="18837" priority="18850"/>
    <cfRule type="duplicateValues" dxfId="18836" priority="18849"/>
    <cfRule type="duplicateValues" dxfId="18835" priority="18848"/>
    <cfRule type="duplicateValues" dxfId="18834" priority="18847"/>
    <cfRule type="duplicateValues" dxfId="18833" priority="18846"/>
    <cfRule type="duplicateValues" dxfId="18832" priority="18845"/>
    <cfRule type="duplicateValues" dxfId="18831" priority="18844"/>
    <cfRule type="duplicateValues" dxfId="18830" priority="18843"/>
    <cfRule type="duplicateValues" dxfId="18829" priority="18842"/>
    <cfRule type="duplicateValues" dxfId="18828" priority="18841"/>
    <cfRule type="duplicateValues" dxfId="18827" priority="18840"/>
    <cfRule type="duplicateValues" dxfId="18826" priority="18839"/>
    <cfRule type="duplicateValues" dxfId="18825" priority="18838"/>
    <cfRule type="duplicateValues" dxfId="18824" priority="18837"/>
    <cfRule type="duplicateValues" dxfId="18823" priority="18836"/>
    <cfRule type="duplicateValues" dxfId="18822" priority="18835"/>
    <cfRule type="duplicateValues" dxfId="18821" priority="18834"/>
    <cfRule type="duplicateValues" dxfId="18820" priority="18833"/>
    <cfRule type="duplicateValues" dxfId="18819" priority="18832"/>
    <cfRule type="duplicateValues" dxfId="18818" priority="18831"/>
    <cfRule type="duplicateValues" dxfId="18817" priority="18830"/>
    <cfRule type="duplicateValues" dxfId="18816" priority="18829"/>
    <cfRule type="duplicateValues" dxfId="18815" priority="18828"/>
    <cfRule type="duplicateValues" dxfId="18814" priority="18827"/>
    <cfRule type="duplicateValues" dxfId="18813" priority="18826"/>
    <cfRule type="duplicateValues" dxfId="18812" priority="18825"/>
    <cfRule type="duplicateValues" dxfId="18811" priority="18824"/>
    <cfRule type="duplicateValues" dxfId="18810" priority="18823"/>
    <cfRule type="duplicateValues" dxfId="18809" priority="18822"/>
    <cfRule type="duplicateValues" dxfId="18808" priority="18821"/>
    <cfRule type="duplicateValues" dxfId="18807" priority="18820"/>
    <cfRule type="duplicateValues" dxfId="18806" priority="18819"/>
    <cfRule type="duplicateValues" dxfId="18805" priority="18818"/>
    <cfRule type="duplicateValues" dxfId="18804" priority="18817"/>
    <cfRule type="duplicateValues" dxfId="18803" priority="18816"/>
    <cfRule type="duplicateValues" dxfId="18802" priority="18815"/>
    <cfRule type="duplicateValues" dxfId="18801" priority="18814"/>
    <cfRule type="duplicateValues" dxfId="18800" priority="18813"/>
    <cfRule type="duplicateValues" dxfId="18799" priority="18812"/>
    <cfRule type="duplicateValues" dxfId="18798" priority="18811"/>
    <cfRule type="duplicateValues" dxfId="18797" priority="18810"/>
    <cfRule type="duplicateValues" dxfId="18796" priority="18809"/>
    <cfRule type="duplicateValues" dxfId="18795" priority="18808"/>
    <cfRule type="duplicateValues" dxfId="18794" priority="18807"/>
    <cfRule type="duplicateValues" dxfId="18793" priority="18806"/>
    <cfRule type="duplicateValues" dxfId="18792" priority="18805"/>
  </conditionalFormatting>
  <conditionalFormatting sqref="B222:B227">
    <cfRule type="duplicateValues" dxfId="18791" priority="18617"/>
    <cfRule type="duplicateValues" dxfId="18790" priority="18616"/>
    <cfRule type="duplicateValues" dxfId="18789" priority="18615"/>
    <cfRule type="duplicateValues" dxfId="18788" priority="18759"/>
    <cfRule type="duplicateValues" dxfId="18787" priority="18800"/>
    <cfRule type="duplicateValues" dxfId="18786" priority="18799"/>
    <cfRule type="duplicateValues" dxfId="18785" priority="18798"/>
    <cfRule type="duplicateValues" dxfId="18784" priority="18797"/>
    <cfRule type="duplicateValues" dxfId="18783" priority="18796"/>
    <cfRule type="duplicateValues" dxfId="18782" priority="18795"/>
    <cfRule type="duplicateValues" dxfId="18781" priority="18794"/>
    <cfRule type="duplicateValues" dxfId="18780" priority="18793"/>
    <cfRule type="duplicateValues" dxfId="18779" priority="18792"/>
    <cfRule type="duplicateValues" dxfId="18778" priority="18791"/>
    <cfRule type="duplicateValues" dxfId="18777" priority="18790"/>
    <cfRule type="duplicateValues" dxfId="18776" priority="18789"/>
    <cfRule type="duplicateValues" dxfId="18775" priority="18788"/>
    <cfRule type="duplicateValues" dxfId="18774" priority="18787"/>
    <cfRule type="duplicateValues" dxfId="18773" priority="18786"/>
    <cfRule type="duplicateValues" dxfId="18772" priority="18785"/>
    <cfRule type="duplicateValues" dxfId="18771" priority="18784"/>
    <cfRule type="duplicateValues" dxfId="18770" priority="18783"/>
    <cfRule type="duplicateValues" dxfId="18769" priority="18782"/>
    <cfRule type="duplicateValues" dxfId="18768" priority="18781"/>
    <cfRule type="duplicateValues" dxfId="18767" priority="18780"/>
    <cfRule type="duplicateValues" dxfId="18766" priority="18779"/>
    <cfRule type="duplicateValues" dxfId="18765" priority="18778"/>
    <cfRule type="duplicateValues" dxfId="18764" priority="18777"/>
    <cfRule type="duplicateValues" dxfId="18763" priority="18776"/>
    <cfRule type="duplicateValues" dxfId="18762" priority="18775"/>
    <cfRule type="duplicateValues" dxfId="18761" priority="18774"/>
    <cfRule type="duplicateValues" dxfId="18760" priority="18773"/>
    <cfRule type="duplicateValues" dxfId="18759" priority="18772"/>
    <cfRule type="duplicateValues" dxfId="18758" priority="18771"/>
    <cfRule type="duplicateValues" dxfId="18757" priority="18770"/>
    <cfRule type="duplicateValues" dxfId="18756" priority="18769"/>
    <cfRule type="duplicateValues" dxfId="18755" priority="18768"/>
    <cfRule type="duplicateValues" dxfId="18754" priority="18767"/>
    <cfRule type="duplicateValues" dxfId="18753" priority="18766"/>
    <cfRule type="duplicateValues" dxfId="18752" priority="18765"/>
    <cfRule type="duplicateValues" dxfId="18751" priority="18764"/>
    <cfRule type="duplicateValues" dxfId="18750" priority="18763"/>
    <cfRule type="duplicateValues" dxfId="18749" priority="18762"/>
    <cfRule type="duplicateValues" dxfId="18748" priority="18761"/>
    <cfRule type="duplicateValues" dxfId="18747" priority="18760"/>
    <cfRule type="duplicateValues" dxfId="18746" priority="18614"/>
    <cfRule type="duplicateValues" dxfId="18745" priority="18758"/>
    <cfRule type="duplicateValues" dxfId="18744" priority="18757"/>
    <cfRule type="duplicateValues" dxfId="18743" priority="18756"/>
    <cfRule type="duplicateValues" dxfId="18742" priority="18755"/>
    <cfRule type="duplicateValues" dxfId="18741" priority="18754"/>
    <cfRule type="duplicateValues" dxfId="18740" priority="18753"/>
    <cfRule type="duplicateValues" dxfId="18739" priority="18752"/>
    <cfRule type="duplicateValues" dxfId="18738" priority="18751"/>
    <cfRule type="duplicateValues" dxfId="18737" priority="18750"/>
    <cfRule type="duplicateValues" dxfId="18736" priority="18749"/>
    <cfRule type="duplicateValues" dxfId="18735" priority="18748"/>
    <cfRule type="duplicateValues" dxfId="18734" priority="18747"/>
    <cfRule type="duplicateValues" dxfId="18733" priority="18746"/>
    <cfRule type="duplicateValues" dxfId="18732" priority="18745"/>
    <cfRule type="duplicateValues" dxfId="18731" priority="18744"/>
    <cfRule type="duplicateValues" dxfId="18730" priority="18743"/>
    <cfRule type="duplicateValues" dxfId="18729" priority="18742"/>
    <cfRule type="duplicateValues" dxfId="18728" priority="18741"/>
    <cfRule type="duplicateValues" dxfId="18727" priority="18740"/>
    <cfRule type="duplicateValues" dxfId="18726" priority="18739"/>
    <cfRule type="duplicateValues" dxfId="18725" priority="18738"/>
    <cfRule type="duplicateValues" dxfId="18724" priority="18737"/>
    <cfRule type="duplicateValues" dxfId="18723" priority="18736"/>
    <cfRule type="duplicateValues" dxfId="18722" priority="18735"/>
    <cfRule type="duplicateValues" dxfId="18721" priority="18734"/>
    <cfRule type="duplicateValues" dxfId="18720" priority="18733"/>
    <cfRule type="duplicateValues" dxfId="18719" priority="18732"/>
    <cfRule type="duplicateValues" dxfId="18718" priority="18731"/>
    <cfRule type="duplicateValues" dxfId="18717" priority="18730"/>
    <cfRule type="duplicateValues" dxfId="18716" priority="18729"/>
    <cfRule type="duplicateValues" dxfId="18715" priority="18728"/>
    <cfRule type="duplicateValues" dxfId="18714" priority="18727"/>
    <cfRule type="duplicateValues" dxfId="18713" priority="18726"/>
    <cfRule type="duplicateValues" dxfId="18712" priority="18725"/>
    <cfRule type="duplicateValues" dxfId="18711" priority="18724"/>
    <cfRule type="duplicateValues" dxfId="18710" priority="18723"/>
    <cfRule type="duplicateValues" dxfId="18709" priority="18722"/>
    <cfRule type="duplicateValues" dxfId="18708" priority="18721"/>
    <cfRule type="duplicateValues" dxfId="18707" priority="18720"/>
    <cfRule type="duplicateValues" dxfId="18706" priority="18719"/>
    <cfRule type="duplicateValues" dxfId="18705" priority="18718"/>
    <cfRule type="duplicateValues" dxfId="18704" priority="18717"/>
    <cfRule type="duplicateValues" dxfId="18703" priority="18716"/>
    <cfRule type="duplicateValues" dxfId="18702" priority="18715"/>
    <cfRule type="duplicateValues" dxfId="18701" priority="18714"/>
    <cfRule type="duplicateValues" dxfId="18700" priority="18713"/>
    <cfRule type="duplicateValues" dxfId="18699" priority="18712"/>
    <cfRule type="duplicateValues" dxfId="18698" priority="18711"/>
    <cfRule type="duplicateValues" dxfId="18697" priority="18710"/>
    <cfRule type="duplicateValues" dxfId="18696" priority="18709"/>
    <cfRule type="duplicateValues" dxfId="18695" priority="18708"/>
    <cfRule type="duplicateValues" dxfId="18694" priority="18707"/>
    <cfRule type="duplicateValues" dxfId="18693" priority="18706"/>
    <cfRule type="duplicateValues" dxfId="18692" priority="18705"/>
    <cfRule type="duplicateValues" dxfId="18691" priority="18704"/>
    <cfRule type="duplicateValues" dxfId="18690" priority="18703"/>
    <cfRule type="duplicateValues" dxfId="18689" priority="18702"/>
    <cfRule type="duplicateValues" dxfId="18688" priority="18701"/>
    <cfRule type="duplicateValues" dxfId="18687" priority="18700"/>
    <cfRule type="duplicateValues" dxfId="18686" priority="18699"/>
    <cfRule type="duplicateValues" dxfId="18685" priority="18698"/>
    <cfRule type="duplicateValues" dxfId="18684" priority="18697"/>
    <cfRule type="duplicateValues" dxfId="18683" priority="18696"/>
    <cfRule type="duplicateValues" dxfId="18682" priority="18695"/>
    <cfRule type="duplicateValues" dxfId="18681" priority="18694"/>
    <cfRule type="duplicateValues" dxfId="18680" priority="18693"/>
    <cfRule type="duplicateValues" dxfId="18679" priority="18692"/>
    <cfRule type="duplicateValues" dxfId="18678" priority="18691"/>
    <cfRule type="duplicateValues" dxfId="18677" priority="18690"/>
    <cfRule type="duplicateValues" dxfId="18676" priority="18689"/>
    <cfRule type="duplicateValues" dxfId="18675" priority="18688"/>
    <cfRule type="duplicateValues" dxfId="18674" priority="18687"/>
    <cfRule type="duplicateValues" dxfId="18673" priority="18686"/>
    <cfRule type="duplicateValues" dxfId="18672" priority="18685"/>
    <cfRule type="duplicateValues" dxfId="18671" priority="18684"/>
    <cfRule type="duplicateValues" dxfId="18670" priority="18683"/>
    <cfRule type="duplicateValues" dxfId="18669" priority="18682"/>
    <cfRule type="duplicateValues" dxfId="18668" priority="18681"/>
    <cfRule type="duplicateValues" dxfId="18667" priority="18680"/>
    <cfRule type="duplicateValues" dxfId="18666" priority="18679"/>
    <cfRule type="duplicateValues" dxfId="18665" priority="18678"/>
    <cfRule type="duplicateValues" dxfId="18664" priority="18677"/>
    <cfRule type="duplicateValues" dxfId="18663" priority="18676"/>
    <cfRule type="duplicateValues" dxfId="18662" priority="18675"/>
    <cfRule type="duplicateValues" dxfId="18661" priority="18674"/>
    <cfRule type="duplicateValues" dxfId="18660" priority="18673"/>
    <cfRule type="duplicateValues" dxfId="18659" priority="18672"/>
    <cfRule type="duplicateValues" dxfId="18658" priority="18671"/>
    <cfRule type="duplicateValues" dxfId="18657" priority="18670"/>
    <cfRule type="duplicateValues" dxfId="18656" priority="18669"/>
    <cfRule type="duplicateValues" dxfId="18655" priority="18668"/>
    <cfRule type="duplicateValues" dxfId="18654" priority="18667"/>
    <cfRule type="duplicateValues" dxfId="18653" priority="18666"/>
    <cfRule type="duplicateValues" dxfId="18652" priority="18665"/>
    <cfRule type="duplicateValues" dxfId="18651" priority="18664"/>
    <cfRule type="duplicateValues" dxfId="18650" priority="18663"/>
    <cfRule type="duplicateValues" dxfId="18649" priority="18662"/>
    <cfRule type="duplicateValues" dxfId="18648" priority="18661"/>
    <cfRule type="duplicateValues" dxfId="18647" priority="18660"/>
    <cfRule type="duplicateValues" dxfId="18646" priority="18659"/>
    <cfRule type="duplicateValues" dxfId="18645" priority="18658"/>
    <cfRule type="duplicateValues" dxfId="18644" priority="18657"/>
    <cfRule type="duplicateValues" dxfId="18643" priority="18656"/>
    <cfRule type="duplicateValues" dxfId="18642" priority="18655"/>
    <cfRule type="duplicateValues" dxfId="18641" priority="18654"/>
    <cfRule type="duplicateValues" dxfId="18640" priority="18653"/>
    <cfRule type="duplicateValues" dxfId="18639" priority="18652"/>
    <cfRule type="duplicateValues" dxfId="18638" priority="18651"/>
    <cfRule type="duplicateValues" dxfId="18637" priority="18650"/>
    <cfRule type="duplicateValues" dxfId="18636" priority="18649"/>
    <cfRule type="duplicateValues" dxfId="18635" priority="18648"/>
    <cfRule type="duplicateValues" dxfId="18634" priority="18647"/>
    <cfRule type="duplicateValues" dxfId="18633" priority="18646"/>
    <cfRule type="duplicateValues" dxfId="18632" priority="18645"/>
    <cfRule type="duplicateValues" dxfId="18631" priority="18644"/>
    <cfRule type="duplicateValues" dxfId="18630" priority="18643"/>
    <cfRule type="duplicateValues" dxfId="18629" priority="18642"/>
    <cfRule type="duplicateValues" dxfId="18628" priority="18641"/>
    <cfRule type="duplicateValues" dxfId="18627" priority="18640"/>
    <cfRule type="duplicateValues" dxfId="18626" priority="18639"/>
    <cfRule type="duplicateValues" dxfId="18625" priority="18638"/>
    <cfRule type="duplicateValues" dxfId="18624" priority="18637"/>
    <cfRule type="duplicateValues" dxfId="18623" priority="18636"/>
    <cfRule type="duplicateValues" dxfId="18622" priority="18635"/>
    <cfRule type="duplicateValues" dxfId="18621" priority="18634"/>
    <cfRule type="duplicateValues" dxfId="18620" priority="18633"/>
    <cfRule type="duplicateValues" dxfId="18619" priority="18632"/>
    <cfRule type="duplicateValues" dxfId="18618" priority="18631"/>
    <cfRule type="duplicateValues" dxfId="18617" priority="18630"/>
    <cfRule type="duplicateValues" dxfId="18616" priority="18629"/>
    <cfRule type="duplicateValues" dxfId="18615" priority="18628"/>
    <cfRule type="duplicateValues" dxfId="18614" priority="18627"/>
    <cfRule type="duplicateValues" dxfId="18613" priority="18626"/>
    <cfRule type="duplicateValues" dxfId="18612" priority="18625"/>
    <cfRule type="duplicateValues" dxfId="18611" priority="18624"/>
    <cfRule type="duplicateValues" dxfId="18610" priority="18623"/>
    <cfRule type="duplicateValues" dxfId="18609" priority="18622"/>
    <cfRule type="duplicateValues" dxfId="18608" priority="18621"/>
    <cfRule type="duplicateValues" dxfId="18607" priority="18620"/>
    <cfRule type="duplicateValues" dxfId="18606" priority="18619"/>
    <cfRule type="duplicateValues" dxfId="18605" priority="18618"/>
  </conditionalFormatting>
  <conditionalFormatting sqref="B228:B229">
    <cfRule type="duplicateValues" dxfId="18604" priority="18430"/>
    <cfRule type="duplicateValues" dxfId="18603" priority="18429"/>
    <cfRule type="duplicateValues" dxfId="18602" priority="18428"/>
    <cfRule type="duplicateValues" dxfId="18601" priority="18427"/>
    <cfRule type="duplicateValues" dxfId="18600" priority="18613"/>
    <cfRule type="duplicateValues" dxfId="18599" priority="18612"/>
    <cfRule type="duplicateValues" dxfId="18598" priority="18611"/>
    <cfRule type="duplicateValues" dxfId="18597" priority="18610"/>
    <cfRule type="duplicateValues" dxfId="18596" priority="18609"/>
    <cfRule type="duplicateValues" dxfId="18595" priority="18608"/>
    <cfRule type="duplicateValues" dxfId="18594" priority="18607"/>
    <cfRule type="duplicateValues" dxfId="18593" priority="18606"/>
    <cfRule type="duplicateValues" dxfId="18592" priority="18605"/>
    <cfRule type="duplicateValues" dxfId="18591" priority="18604"/>
    <cfRule type="duplicateValues" dxfId="18590" priority="18603"/>
    <cfRule type="duplicateValues" dxfId="18589" priority="18602"/>
    <cfRule type="duplicateValues" dxfId="18588" priority="18601"/>
    <cfRule type="duplicateValues" dxfId="18587" priority="18600"/>
    <cfRule type="duplicateValues" dxfId="18586" priority="18599"/>
    <cfRule type="duplicateValues" dxfId="18585" priority="18598"/>
    <cfRule type="duplicateValues" dxfId="18584" priority="18597"/>
    <cfRule type="duplicateValues" dxfId="18583" priority="18596"/>
    <cfRule type="duplicateValues" dxfId="18582" priority="18595"/>
    <cfRule type="duplicateValues" dxfId="18581" priority="18594"/>
    <cfRule type="duplicateValues" dxfId="18580" priority="18593"/>
    <cfRule type="duplicateValues" dxfId="18579" priority="18592"/>
    <cfRule type="duplicateValues" dxfId="18578" priority="18591"/>
    <cfRule type="duplicateValues" dxfId="18577" priority="18590"/>
    <cfRule type="duplicateValues" dxfId="18576" priority="18589"/>
    <cfRule type="duplicateValues" dxfId="18575" priority="18588"/>
    <cfRule type="duplicateValues" dxfId="18574" priority="18587"/>
    <cfRule type="duplicateValues" dxfId="18573" priority="18586"/>
    <cfRule type="duplicateValues" dxfId="18572" priority="18585"/>
    <cfRule type="duplicateValues" dxfId="18571" priority="18584"/>
    <cfRule type="duplicateValues" dxfId="18570" priority="18583"/>
    <cfRule type="duplicateValues" dxfId="18569" priority="18582"/>
    <cfRule type="duplicateValues" dxfId="18568" priority="18581"/>
    <cfRule type="duplicateValues" dxfId="18567" priority="18580"/>
    <cfRule type="duplicateValues" dxfId="18566" priority="18579"/>
    <cfRule type="duplicateValues" dxfId="18565" priority="18578"/>
    <cfRule type="duplicateValues" dxfId="18564" priority="18577"/>
    <cfRule type="duplicateValues" dxfId="18563" priority="18576"/>
    <cfRule type="duplicateValues" dxfId="18562" priority="18575"/>
    <cfRule type="duplicateValues" dxfId="18561" priority="18574"/>
    <cfRule type="duplicateValues" dxfId="18560" priority="18573"/>
    <cfRule type="duplicateValues" dxfId="18559" priority="18572"/>
    <cfRule type="duplicateValues" dxfId="18558" priority="18571"/>
    <cfRule type="duplicateValues" dxfId="18557" priority="18570"/>
    <cfRule type="duplicateValues" dxfId="18556" priority="18569"/>
    <cfRule type="duplicateValues" dxfId="18555" priority="18568"/>
    <cfRule type="duplicateValues" dxfId="18554" priority="18567"/>
    <cfRule type="duplicateValues" dxfId="18553" priority="18566"/>
    <cfRule type="duplicateValues" dxfId="18552" priority="18565"/>
    <cfRule type="duplicateValues" dxfId="18551" priority="18564"/>
    <cfRule type="duplicateValues" dxfId="18550" priority="18563"/>
    <cfRule type="duplicateValues" dxfId="18549" priority="18562"/>
    <cfRule type="duplicateValues" dxfId="18548" priority="18561"/>
    <cfRule type="duplicateValues" dxfId="18547" priority="18560"/>
    <cfRule type="duplicateValues" dxfId="18546" priority="18559"/>
    <cfRule type="duplicateValues" dxfId="18545" priority="18558"/>
    <cfRule type="duplicateValues" dxfId="18544" priority="18557"/>
    <cfRule type="duplicateValues" dxfId="18543" priority="18556"/>
    <cfRule type="duplicateValues" dxfId="18542" priority="18555"/>
    <cfRule type="duplicateValues" dxfId="18541" priority="18554"/>
    <cfRule type="duplicateValues" dxfId="18540" priority="18553"/>
    <cfRule type="duplicateValues" dxfId="18539" priority="18552"/>
    <cfRule type="duplicateValues" dxfId="18538" priority="18551"/>
    <cfRule type="duplicateValues" dxfId="18537" priority="18550"/>
    <cfRule type="duplicateValues" dxfId="18536" priority="18549"/>
    <cfRule type="duplicateValues" dxfId="18535" priority="18548"/>
    <cfRule type="duplicateValues" dxfId="18534" priority="18547"/>
    <cfRule type="duplicateValues" dxfId="18533" priority="18546"/>
    <cfRule type="duplicateValues" dxfId="18532" priority="18545"/>
    <cfRule type="duplicateValues" dxfId="18531" priority="18544"/>
    <cfRule type="duplicateValues" dxfId="18530" priority="18543"/>
    <cfRule type="duplicateValues" dxfId="18529" priority="18542"/>
    <cfRule type="duplicateValues" dxfId="18528" priority="18541"/>
    <cfRule type="duplicateValues" dxfId="18527" priority="18540"/>
    <cfRule type="duplicateValues" dxfId="18526" priority="18539"/>
    <cfRule type="duplicateValues" dxfId="18525" priority="18538"/>
    <cfRule type="duplicateValues" dxfId="18524" priority="18537"/>
    <cfRule type="duplicateValues" dxfId="18523" priority="18536"/>
    <cfRule type="duplicateValues" dxfId="18522" priority="18535"/>
    <cfRule type="duplicateValues" dxfId="18521" priority="18534"/>
    <cfRule type="duplicateValues" dxfId="18520" priority="18533"/>
    <cfRule type="duplicateValues" dxfId="18519" priority="18532"/>
    <cfRule type="duplicateValues" dxfId="18518" priority="18531"/>
    <cfRule type="duplicateValues" dxfId="18517" priority="18530"/>
    <cfRule type="duplicateValues" dxfId="18516" priority="18529"/>
    <cfRule type="duplicateValues" dxfId="18515" priority="18528"/>
    <cfRule type="duplicateValues" dxfId="18514" priority="18527"/>
    <cfRule type="duplicateValues" dxfId="18513" priority="18526"/>
    <cfRule type="duplicateValues" dxfId="18512" priority="18525"/>
    <cfRule type="duplicateValues" dxfId="18511" priority="18524"/>
    <cfRule type="duplicateValues" dxfId="18510" priority="18523"/>
    <cfRule type="duplicateValues" dxfId="18509" priority="18522"/>
    <cfRule type="duplicateValues" dxfId="18508" priority="18521"/>
    <cfRule type="duplicateValues" dxfId="18507" priority="18520"/>
    <cfRule type="duplicateValues" dxfId="18506" priority="18519"/>
    <cfRule type="duplicateValues" dxfId="18505" priority="18518"/>
    <cfRule type="duplicateValues" dxfId="18504" priority="18517"/>
    <cfRule type="duplicateValues" dxfId="18503" priority="18516"/>
    <cfRule type="duplicateValues" dxfId="18502" priority="18515"/>
    <cfRule type="duplicateValues" dxfId="18501" priority="18514"/>
    <cfRule type="duplicateValues" dxfId="18500" priority="18513"/>
    <cfRule type="duplicateValues" dxfId="18499" priority="18512"/>
    <cfRule type="duplicateValues" dxfId="18498" priority="18511"/>
    <cfRule type="duplicateValues" dxfId="18497" priority="18510"/>
    <cfRule type="duplicateValues" dxfId="18496" priority="18509"/>
    <cfRule type="duplicateValues" dxfId="18495" priority="18508"/>
    <cfRule type="duplicateValues" dxfId="18494" priority="18507"/>
    <cfRule type="duplicateValues" dxfId="18493" priority="18506"/>
    <cfRule type="duplicateValues" dxfId="18492" priority="18505"/>
    <cfRule type="duplicateValues" dxfId="18491" priority="18504"/>
    <cfRule type="duplicateValues" dxfId="18490" priority="18503"/>
    <cfRule type="duplicateValues" dxfId="18489" priority="18502"/>
    <cfRule type="duplicateValues" dxfId="18488" priority="18501"/>
    <cfRule type="duplicateValues" dxfId="18487" priority="18500"/>
    <cfRule type="duplicateValues" dxfId="18486" priority="18499"/>
    <cfRule type="duplicateValues" dxfId="18485" priority="18498"/>
    <cfRule type="duplicateValues" dxfId="18484" priority="18497"/>
    <cfRule type="duplicateValues" dxfId="18483" priority="18496"/>
    <cfRule type="duplicateValues" dxfId="18482" priority="18495"/>
    <cfRule type="duplicateValues" dxfId="18481" priority="18494"/>
    <cfRule type="duplicateValues" dxfId="18480" priority="18493"/>
    <cfRule type="duplicateValues" dxfId="18479" priority="18492"/>
    <cfRule type="duplicateValues" dxfId="18478" priority="18491"/>
    <cfRule type="duplicateValues" dxfId="18477" priority="18490"/>
    <cfRule type="duplicateValues" dxfId="18476" priority="18489"/>
    <cfRule type="duplicateValues" dxfId="18475" priority="18488"/>
    <cfRule type="duplicateValues" dxfId="18474" priority="18487"/>
    <cfRule type="duplicateValues" dxfId="18473" priority="18486"/>
    <cfRule type="duplicateValues" dxfId="18472" priority="18485"/>
    <cfRule type="duplicateValues" dxfId="18471" priority="18484"/>
    <cfRule type="duplicateValues" dxfId="18470" priority="18483"/>
    <cfRule type="duplicateValues" dxfId="18469" priority="18482"/>
    <cfRule type="duplicateValues" dxfId="18468" priority="18481"/>
    <cfRule type="duplicateValues" dxfId="18467" priority="18480"/>
    <cfRule type="duplicateValues" dxfId="18466" priority="18479"/>
    <cfRule type="duplicateValues" dxfId="18465" priority="18478"/>
    <cfRule type="duplicateValues" dxfId="18464" priority="18477"/>
    <cfRule type="duplicateValues" dxfId="18463" priority="18476"/>
    <cfRule type="duplicateValues" dxfId="18462" priority="18475"/>
    <cfRule type="duplicateValues" dxfId="18461" priority="18474"/>
    <cfRule type="duplicateValues" dxfId="18460" priority="18473"/>
    <cfRule type="duplicateValues" dxfId="18459" priority="18472"/>
    <cfRule type="duplicateValues" dxfId="18458" priority="18471"/>
    <cfRule type="duplicateValues" dxfId="18457" priority="18470"/>
    <cfRule type="duplicateValues" dxfId="18456" priority="18469"/>
    <cfRule type="duplicateValues" dxfId="18455" priority="18468"/>
    <cfRule type="duplicateValues" dxfId="18454" priority="18467"/>
    <cfRule type="duplicateValues" dxfId="18453" priority="18466"/>
    <cfRule type="duplicateValues" dxfId="18452" priority="18465"/>
    <cfRule type="duplicateValues" dxfId="18451" priority="18464"/>
    <cfRule type="duplicateValues" dxfId="18450" priority="18463"/>
    <cfRule type="duplicateValues" dxfId="18449" priority="18462"/>
    <cfRule type="duplicateValues" dxfId="18448" priority="18461"/>
    <cfRule type="duplicateValues" dxfId="18447" priority="18460"/>
    <cfRule type="duplicateValues" dxfId="18446" priority="18459"/>
    <cfRule type="duplicateValues" dxfId="18445" priority="18458"/>
    <cfRule type="duplicateValues" dxfId="18444" priority="18457"/>
    <cfRule type="duplicateValues" dxfId="18443" priority="18456"/>
    <cfRule type="duplicateValues" dxfId="18442" priority="18455"/>
    <cfRule type="duplicateValues" dxfId="18441" priority="18454"/>
    <cfRule type="duplicateValues" dxfId="18440" priority="18453"/>
    <cfRule type="duplicateValues" dxfId="18439" priority="18452"/>
    <cfRule type="duplicateValues" dxfId="18438" priority="18451"/>
    <cfRule type="duplicateValues" dxfId="18437" priority="18450"/>
    <cfRule type="duplicateValues" dxfId="18436" priority="18449"/>
    <cfRule type="duplicateValues" dxfId="18435" priority="18448"/>
    <cfRule type="duplicateValues" dxfId="18434" priority="18447"/>
    <cfRule type="duplicateValues" dxfId="18433" priority="18446"/>
    <cfRule type="duplicateValues" dxfId="18432" priority="18445"/>
    <cfRule type="duplicateValues" dxfId="18431" priority="18444"/>
    <cfRule type="duplicateValues" dxfId="18430" priority="18443"/>
    <cfRule type="duplicateValues" dxfId="18429" priority="18442"/>
    <cfRule type="duplicateValues" dxfId="18428" priority="18441"/>
    <cfRule type="duplicateValues" dxfId="18427" priority="18440"/>
    <cfRule type="duplicateValues" dxfId="18426" priority="18439"/>
    <cfRule type="duplicateValues" dxfId="18425" priority="18438"/>
    <cfRule type="duplicateValues" dxfId="18424" priority="18437"/>
    <cfRule type="duplicateValues" dxfId="18423" priority="18436"/>
    <cfRule type="duplicateValues" dxfId="18422" priority="18435"/>
    <cfRule type="duplicateValues" dxfId="18421" priority="18434"/>
    <cfRule type="duplicateValues" dxfId="18420" priority="18433"/>
    <cfRule type="duplicateValues" dxfId="18419" priority="18432"/>
    <cfRule type="duplicateValues" dxfId="18418" priority="18431"/>
  </conditionalFormatting>
  <conditionalFormatting sqref="B230">
    <cfRule type="duplicateValues" dxfId="18417" priority="18384"/>
    <cfRule type="duplicateValues" dxfId="18416" priority="18243"/>
    <cfRule type="duplicateValues" dxfId="18415" priority="18242"/>
    <cfRule type="duplicateValues" dxfId="18414" priority="18241"/>
    <cfRule type="duplicateValues" dxfId="18413" priority="18426"/>
    <cfRule type="duplicateValues" dxfId="18412" priority="18425"/>
    <cfRule type="duplicateValues" dxfId="18411" priority="18424"/>
    <cfRule type="duplicateValues" dxfId="18410" priority="18423"/>
    <cfRule type="duplicateValues" dxfId="18409" priority="18422"/>
    <cfRule type="duplicateValues" dxfId="18408" priority="18421"/>
    <cfRule type="duplicateValues" dxfId="18407" priority="18420"/>
    <cfRule type="duplicateValues" dxfId="18406" priority="18419"/>
    <cfRule type="duplicateValues" dxfId="18405" priority="18418"/>
    <cfRule type="duplicateValues" dxfId="18404" priority="18417"/>
    <cfRule type="duplicateValues" dxfId="18403" priority="18416"/>
    <cfRule type="duplicateValues" dxfId="18402" priority="18415"/>
    <cfRule type="duplicateValues" dxfId="18401" priority="18414"/>
    <cfRule type="duplicateValues" dxfId="18400" priority="18413"/>
    <cfRule type="duplicateValues" dxfId="18399" priority="18412"/>
    <cfRule type="duplicateValues" dxfId="18398" priority="18411"/>
    <cfRule type="duplicateValues" dxfId="18397" priority="18410"/>
    <cfRule type="duplicateValues" dxfId="18396" priority="18409"/>
    <cfRule type="duplicateValues" dxfId="18395" priority="18408"/>
    <cfRule type="duplicateValues" dxfId="18394" priority="18407"/>
    <cfRule type="duplicateValues" dxfId="18393" priority="18406"/>
    <cfRule type="duplicateValues" dxfId="18392" priority="18405"/>
    <cfRule type="duplicateValues" dxfId="18391" priority="18404"/>
    <cfRule type="duplicateValues" dxfId="18390" priority="18403"/>
    <cfRule type="duplicateValues" dxfId="18389" priority="18402"/>
    <cfRule type="duplicateValues" dxfId="18388" priority="18401"/>
    <cfRule type="duplicateValues" dxfId="18387" priority="18400"/>
    <cfRule type="duplicateValues" dxfId="18386" priority="18399"/>
    <cfRule type="duplicateValues" dxfId="18385" priority="18398"/>
    <cfRule type="duplicateValues" dxfId="18384" priority="18397"/>
    <cfRule type="duplicateValues" dxfId="18383" priority="18396"/>
    <cfRule type="duplicateValues" dxfId="18382" priority="18395"/>
    <cfRule type="duplicateValues" dxfId="18381" priority="18394"/>
    <cfRule type="duplicateValues" dxfId="18380" priority="18393"/>
    <cfRule type="duplicateValues" dxfId="18379" priority="18392"/>
    <cfRule type="duplicateValues" dxfId="18378" priority="18391"/>
    <cfRule type="duplicateValues" dxfId="18377" priority="18390"/>
    <cfRule type="duplicateValues" dxfId="18376" priority="18389"/>
    <cfRule type="duplicateValues" dxfId="18375" priority="18388"/>
    <cfRule type="duplicateValues" dxfId="18374" priority="18387"/>
    <cfRule type="duplicateValues" dxfId="18373" priority="18386"/>
    <cfRule type="duplicateValues" dxfId="18372" priority="18385"/>
    <cfRule type="duplicateValues" dxfId="18371" priority="18338"/>
    <cfRule type="duplicateValues" dxfId="18370" priority="18383"/>
    <cfRule type="duplicateValues" dxfId="18369" priority="18382"/>
    <cfRule type="duplicateValues" dxfId="18368" priority="18381"/>
    <cfRule type="duplicateValues" dxfId="18367" priority="18380"/>
    <cfRule type="duplicateValues" dxfId="18366" priority="18379"/>
    <cfRule type="duplicateValues" dxfId="18365" priority="18378"/>
    <cfRule type="duplicateValues" dxfId="18364" priority="18377"/>
    <cfRule type="duplicateValues" dxfId="18363" priority="18376"/>
    <cfRule type="duplicateValues" dxfId="18362" priority="18375"/>
    <cfRule type="duplicateValues" dxfId="18361" priority="18374"/>
    <cfRule type="duplicateValues" dxfId="18360" priority="18373"/>
    <cfRule type="duplicateValues" dxfId="18359" priority="18372"/>
    <cfRule type="duplicateValues" dxfId="18358" priority="18371"/>
    <cfRule type="duplicateValues" dxfId="18357" priority="18370"/>
    <cfRule type="duplicateValues" dxfId="18356" priority="18369"/>
    <cfRule type="duplicateValues" dxfId="18355" priority="18368"/>
    <cfRule type="duplicateValues" dxfId="18354" priority="18367"/>
    <cfRule type="duplicateValues" dxfId="18353" priority="18366"/>
    <cfRule type="duplicateValues" dxfId="18352" priority="18365"/>
    <cfRule type="duplicateValues" dxfId="18351" priority="18364"/>
    <cfRule type="duplicateValues" dxfId="18350" priority="18363"/>
    <cfRule type="duplicateValues" dxfId="18349" priority="18362"/>
    <cfRule type="duplicateValues" dxfId="18348" priority="18361"/>
    <cfRule type="duplicateValues" dxfId="18347" priority="18360"/>
    <cfRule type="duplicateValues" dxfId="18346" priority="18359"/>
    <cfRule type="duplicateValues" dxfId="18345" priority="18358"/>
    <cfRule type="duplicateValues" dxfId="18344" priority="18357"/>
    <cfRule type="duplicateValues" dxfId="18343" priority="18356"/>
    <cfRule type="duplicateValues" dxfId="18342" priority="18355"/>
    <cfRule type="duplicateValues" dxfId="18341" priority="18354"/>
    <cfRule type="duplicateValues" dxfId="18340" priority="18353"/>
    <cfRule type="duplicateValues" dxfId="18339" priority="18352"/>
    <cfRule type="duplicateValues" dxfId="18338" priority="18351"/>
    <cfRule type="duplicateValues" dxfId="18337" priority="18350"/>
    <cfRule type="duplicateValues" dxfId="18336" priority="18349"/>
    <cfRule type="duplicateValues" dxfId="18335" priority="18348"/>
    <cfRule type="duplicateValues" dxfId="18334" priority="18347"/>
    <cfRule type="duplicateValues" dxfId="18333" priority="18346"/>
    <cfRule type="duplicateValues" dxfId="18332" priority="18345"/>
    <cfRule type="duplicateValues" dxfId="18331" priority="18344"/>
    <cfRule type="duplicateValues" dxfId="18330" priority="18343"/>
    <cfRule type="duplicateValues" dxfId="18329" priority="18342"/>
    <cfRule type="duplicateValues" dxfId="18328" priority="18341"/>
    <cfRule type="duplicateValues" dxfId="18327" priority="18340"/>
    <cfRule type="duplicateValues" dxfId="18326" priority="18339"/>
    <cfRule type="duplicateValues" dxfId="18325" priority="18240"/>
    <cfRule type="duplicateValues" dxfId="18324" priority="18337"/>
    <cfRule type="duplicateValues" dxfId="18323" priority="18336"/>
    <cfRule type="duplicateValues" dxfId="18322" priority="18335"/>
    <cfRule type="duplicateValues" dxfId="18321" priority="18334"/>
    <cfRule type="duplicateValues" dxfId="18320" priority="18333"/>
    <cfRule type="duplicateValues" dxfId="18319" priority="18332"/>
    <cfRule type="duplicateValues" dxfId="18318" priority="18331"/>
    <cfRule type="duplicateValues" dxfId="18317" priority="18330"/>
    <cfRule type="duplicateValues" dxfId="18316" priority="18329"/>
    <cfRule type="duplicateValues" dxfId="18315" priority="18328"/>
    <cfRule type="duplicateValues" dxfId="18314" priority="18327"/>
    <cfRule type="duplicateValues" dxfId="18313" priority="18326"/>
    <cfRule type="duplicateValues" dxfId="18312" priority="18325"/>
    <cfRule type="duplicateValues" dxfId="18311" priority="18324"/>
    <cfRule type="duplicateValues" dxfId="18310" priority="18323"/>
    <cfRule type="duplicateValues" dxfId="18309" priority="18322"/>
    <cfRule type="duplicateValues" dxfId="18308" priority="18321"/>
    <cfRule type="duplicateValues" dxfId="18307" priority="18320"/>
    <cfRule type="duplicateValues" dxfId="18306" priority="18319"/>
    <cfRule type="duplicateValues" dxfId="18305" priority="18318"/>
    <cfRule type="duplicateValues" dxfId="18304" priority="18317"/>
    <cfRule type="duplicateValues" dxfId="18303" priority="18316"/>
    <cfRule type="duplicateValues" dxfId="18302" priority="18315"/>
    <cfRule type="duplicateValues" dxfId="18301" priority="18314"/>
    <cfRule type="duplicateValues" dxfId="18300" priority="18313"/>
    <cfRule type="duplicateValues" dxfId="18299" priority="18312"/>
    <cfRule type="duplicateValues" dxfId="18298" priority="18311"/>
    <cfRule type="duplicateValues" dxfId="18297" priority="18310"/>
    <cfRule type="duplicateValues" dxfId="18296" priority="18309"/>
    <cfRule type="duplicateValues" dxfId="18295" priority="18308"/>
    <cfRule type="duplicateValues" dxfId="18294" priority="18307"/>
    <cfRule type="duplicateValues" dxfId="18293" priority="18306"/>
    <cfRule type="duplicateValues" dxfId="18292" priority="18305"/>
    <cfRule type="duplicateValues" dxfId="18291" priority="18304"/>
    <cfRule type="duplicateValues" dxfId="18290" priority="18303"/>
    <cfRule type="duplicateValues" dxfId="18289" priority="18302"/>
    <cfRule type="duplicateValues" dxfId="18288" priority="18301"/>
    <cfRule type="duplicateValues" dxfId="18287" priority="18300"/>
    <cfRule type="duplicateValues" dxfId="18286" priority="18299"/>
    <cfRule type="duplicateValues" dxfId="18285" priority="18298"/>
    <cfRule type="duplicateValues" dxfId="18284" priority="18297"/>
    <cfRule type="duplicateValues" dxfId="18283" priority="18296"/>
    <cfRule type="duplicateValues" dxfId="18282" priority="18295"/>
    <cfRule type="duplicateValues" dxfId="18281" priority="18294"/>
    <cfRule type="duplicateValues" dxfId="18280" priority="18293"/>
    <cfRule type="duplicateValues" dxfId="18279" priority="18292"/>
    <cfRule type="duplicateValues" dxfId="18278" priority="18291"/>
    <cfRule type="duplicateValues" dxfId="18277" priority="18290"/>
    <cfRule type="duplicateValues" dxfId="18276" priority="18289"/>
    <cfRule type="duplicateValues" dxfId="18275" priority="18288"/>
    <cfRule type="duplicateValues" dxfId="18274" priority="18287"/>
    <cfRule type="duplicateValues" dxfId="18273" priority="18286"/>
    <cfRule type="duplicateValues" dxfId="18272" priority="18285"/>
    <cfRule type="duplicateValues" dxfId="18271" priority="18284"/>
    <cfRule type="duplicateValues" dxfId="18270" priority="18283"/>
    <cfRule type="duplicateValues" dxfId="18269" priority="18282"/>
    <cfRule type="duplicateValues" dxfId="18268" priority="18281"/>
    <cfRule type="duplicateValues" dxfId="18267" priority="18280"/>
    <cfRule type="duplicateValues" dxfId="18266" priority="18279"/>
    <cfRule type="duplicateValues" dxfId="18265" priority="18278"/>
    <cfRule type="duplicateValues" dxfId="18264" priority="18277"/>
    <cfRule type="duplicateValues" dxfId="18263" priority="18276"/>
    <cfRule type="duplicateValues" dxfId="18262" priority="18275"/>
    <cfRule type="duplicateValues" dxfId="18261" priority="18274"/>
    <cfRule type="duplicateValues" dxfId="18260" priority="18273"/>
    <cfRule type="duplicateValues" dxfId="18259" priority="18272"/>
    <cfRule type="duplicateValues" dxfId="18258" priority="18271"/>
    <cfRule type="duplicateValues" dxfId="18257" priority="18270"/>
    <cfRule type="duplicateValues" dxfId="18256" priority="18269"/>
    <cfRule type="duplicateValues" dxfId="18255" priority="18268"/>
    <cfRule type="duplicateValues" dxfId="18254" priority="18267"/>
    <cfRule type="duplicateValues" dxfId="18253" priority="18266"/>
    <cfRule type="duplicateValues" dxfId="18252" priority="18265"/>
    <cfRule type="duplicateValues" dxfId="18251" priority="18264"/>
    <cfRule type="duplicateValues" dxfId="18250" priority="18263"/>
    <cfRule type="duplicateValues" dxfId="18249" priority="18262"/>
    <cfRule type="duplicateValues" dxfId="18248" priority="18261"/>
    <cfRule type="duplicateValues" dxfId="18247" priority="18260"/>
    <cfRule type="duplicateValues" dxfId="18246" priority="18259"/>
    <cfRule type="duplicateValues" dxfId="18245" priority="18258"/>
    <cfRule type="duplicateValues" dxfId="18244" priority="18257"/>
    <cfRule type="duplicateValues" dxfId="18243" priority="18256"/>
    <cfRule type="duplicateValues" dxfId="18242" priority="18255"/>
    <cfRule type="duplicateValues" dxfId="18241" priority="18254"/>
    <cfRule type="duplicateValues" dxfId="18240" priority="18253"/>
    <cfRule type="duplicateValues" dxfId="18239" priority="18252"/>
    <cfRule type="duplicateValues" dxfId="18238" priority="18251"/>
    <cfRule type="duplicateValues" dxfId="18237" priority="18250"/>
    <cfRule type="duplicateValues" dxfId="18236" priority="18249"/>
    <cfRule type="duplicateValues" dxfId="18235" priority="18248"/>
    <cfRule type="duplicateValues" dxfId="18234" priority="18247"/>
    <cfRule type="duplicateValues" dxfId="18233" priority="18246"/>
    <cfRule type="duplicateValues" dxfId="18232" priority="18245"/>
    <cfRule type="duplicateValues" dxfId="18231" priority="18244"/>
  </conditionalFormatting>
  <conditionalFormatting sqref="B231">
    <cfRule type="duplicateValues" dxfId="18230" priority="18054"/>
    <cfRule type="duplicateValues" dxfId="18229" priority="18053"/>
    <cfRule type="duplicateValues" dxfId="18228" priority="18056"/>
    <cfRule type="duplicateValues" dxfId="18227" priority="18055"/>
    <cfRule type="duplicateValues" dxfId="18226" priority="18239"/>
    <cfRule type="duplicateValues" dxfId="18225" priority="18238"/>
    <cfRule type="duplicateValues" dxfId="18224" priority="18237"/>
    <cfRule type="duplicateValues" dxfId="18223" priority="18236"/>
    <cfRule type="duplicateValues" dxfId="18222" priority="18235"/>
    <cfRule type="duplicateValues" dxfId="18221" priority="18234"/>
    <cfRule type="duplicateValues" dxfId="18220" priority="18233"/>
    <cfRule type="duplicateValues" dxfId="18219" priority="18232"/>
    <cfRule type="duplicateValues" dxfId="18218" priority="18231"/>
    <cfRule type="duplicateValues" dxfId="18217" priority="18230"/>
    <cfRule type="duplicateValues" dxfId="18216" priority="18229"/>
    <cfRule type="duplicateValues" dxfId="18215" priority="18228"/>
    <cfRule type="duplicateValues" dxfId="18214" priority="18227"/>
    <cfRule type="duplicateValues" dxfId="18213" priority="18226"/>
    <cfRule type="duplicateValues" dxfId="18212" priority="18225"/>
    <cfRule type="duplicateValues" dxfId="18211" priority="18224"/>
    <cfRule type="duplicateValues" dxfId="18210" priority="18223"/>
    <cfRule type="duplicateValues" dxfId="18209" priority="18222"/>
    <cfRule type="duplicateValues" dxfId="18208" priority="18221"/>
    <cfRule type="duplicateValues" dxfId="18207" priority="18220"/>
    <cfRule type="duplicateValues" dxfId="18206" priority="18219"/>
    <cfRule type="duplicateValues" dxfId="18205" priority="18218"/>
    <cfRule type="duplicateValues" dxfId="18204" priority="18217"/>
    <cfRule type="duplicateValues" dxfId="18203" priority="18216"/>
    <cfRule type="duplicateValues" dxfId="18202" priority="18215"/>
    <cfRule type="duplicateValues" dxfId="18201" priority="18214"/>
    <cfRule type="duplicateValues" dxfId="18200" priority="18213"/>
    <cfRule type="duplicateValues" dxfId="18199" priority="18212"/>
    <cfRule type="duplicateValues" dxfId="18198" priority="18211"/>
    <cfRule type="duplicateValues" dxfId="18197" priority="18210"/>
    <cfRule type="duplicateValues" dxfId="18196" priority="18209"/>
    <cfRule type="duplicateValues" dxfId="18195" priority="18208"/>
    <cfRule type="duplicateValues" dxfId="18194" priority="18207"/>
    <cfRule type="duplicateValues" dxfId="18193" priority="18206"/>
    <cfRule type="duplicateValues" dxfId="18192" priority="18205"/>
    <cfRule type="duplicateValues" dxfId="18191" priority="18204"/>
    <cfRule type="duplicateValues" dxfId="18190" priority="18203"/>
    <cfRule type="duplicateValues" dxfId="18189" priority="18202"/>
    <cfRule type="duplicateValues" dxfId="18188" priority="18201"/>
    <cfRule type="duplicateValues" dxfId="18187" priority="18200"/>
    <cfRule type="duplicateValues" dxfId="18186" priority="18199"/>
    <cfRule type="duplicateValues" dxfId="18185" priority="18198"/>
    <cfRule type="duplicateValues" dxfId="18184" priority="18197"/>
    <cfRule type="duplicateValues" dxfId="18183" priority="18196"/>
    <cfRule type="duplicateValues" dxfId="18182" priority="18195"/>
    <cfRule type="duplicateValues" dxfId="18181" priority="18194"/>
    <cfRule type="duplicateValues" dxfId="18180" priority="18193"/>
    <cfRule type="duplicateValues" dxfId="18179" priority="18192"/>
    <cfRule type="duplicateValues" dxfId="18178" priority="18191"/>
    <cfRule type="duplicateValues" dxfId="18177" priority="18190"/>
    <cfRule type="duplicateValues" dxfId="18176" priority="18189"/>
    <cfRule type="duplicateValues" dxfId="18175" priority="18188"/>
    <cfRule type="duplicateValues" dxfId="18174" priority="18187"/>
    <cfRule type="duplicateValues" dxfId="18173" priority="18186"/>
    <cfRule type="duplicateValues" dxfId="18172" priority="18185"/>
    <cfRule type="duplicateValues" dxfId="18171" priority="18184"/>
    <cfRule type="duplicateValues" dxfId="18170" priority="18183"/>
    <cfRule type="duplicateValues" dxfId="18169" priority="18182"/>
    <cfRule type="duplicateValues" dxfId="18168" priority="18181"/>
    <cfRule type="duplicateValues" dxfId="18167" priority="18180"/>
    <cfRule type="duplicateValues" dxfId="18166" priority="18179"/>
    <cfRule type="duplicateValues" dxfId="18165" priority="18178"/>
    <cfRule type="duplicateValues" dxfId="18164" priority="18177"/>
    <cfRule type="duplicateValues" dxfId="18163" priority="18176"/>
    <cfRule type="duplicateValues" dxfId="18162" priority="18175"/>
    <cfRule type="duplicateValues" dxfId="18161" priority="18174"/>
    <cfRule type="duplicateValues" dxfId="18160" priority="18173"/>
    <cfRule type="duplicateValues" dxfId="18159" priority="18172"/>
    <cfRule type="duplicateValues" dxfId="18158" priority="18171"/>
    <cfRule type="duplicateValues" dxfId="18157" priority="18170"/>
    <cfRule type="duplicateValues" dxfId="18156" priority="18169"/>
    <cfRule type="duplicateValues" dxfId="18155" priority="18168"/>
    <cfRule type="duplicateValues" dxfId="18154" priority="18167"/>
    <cfRule type="duplicateValues" dxfId="18153" priority="18166"/>
    <cfRule type="duplicateValues" dxfId="18152" priority="18165"/>
    <cfRule type="duplicateValues" dxfId="18151" priority="18164"/>
    <cfRule type="duplicateValues" dxfId="18150" priority="18163"/>
    <cfRule type="duplicateValues" dxfId="18149" priority="18162"/>
    <cfRule type="duplicateValues" dxfId="18148" priority="18161"/>
    <cfRule type="duplicateValues" dxfId="18147" priority="18160"/>
    <cfRule type="duplicateValues" dxfId="18146" priority="18159"/>
    <cfRule type="duplicateValues" dxfId="18145" priority="18158"/>
    <cfRule type="duplicateValues" dxfId="18144" priority="18157"/>
    <cfRule type="duplicateValues" dxfId="18143" priority="18156"/>
    <cfRule type="duplicateValues" dxfId="18142" priority="18155"/>
    <cfRule type="duplicateValues" dxfId="18141" priority="18154"/>
    <cfRule type="duplicateValues" dxfId="18140" priority="18153"/>
    <cfRule type="duplicateValues" dxfId="18139" priority="18152"/>
    <cfRule type="duplicateValues" dxfId="18138" priority="18151"/>
    <cfRule type="duplicateValues" dxfId="18137" priority="18150"/>
    <cfRule type="duplicateValues" dxfId="18136" priority="18149"/>
    <cfRule type="duplicateValues" dxfId="18135" priority="18148"/>
    <cfRule type="duplicateValues" dxfId="18134" priority="18147"/>
    <cfRule type="duplicateValues" dxfId="18133" priority="18146"/>
    <cfRule type="duplicateValues" dxfId="18132" priority="18145"/>
    <cfRule type="duplicateValues" dxfId="18131" priority="18144"/>
    <cfRule type="duplicateValues" dxfId="18130" priority="18143"/>
    <cfRule type="duplicateValues" dxfId="18129" priority="18142"/>
    <cfRule type="duplicateValues" dxfId="18128" priority="18141"/>
    <cfRule type="duplicateValues" dxfId="18127" priority="18140"/>
    <cfRule type="duplicateValues" dxfId="18126" priority="18139"/>
    <cfRule type="duplicateValues" dxfId="18125" priority="18138"/>
    <cfRule type="duplicateValues" dxfId="18124" priority="18137"/>
    <cfRule type="duplicateValues" dxfId="18123" priority="18136"/>
    <cfRule type="duplicateValues" dxfId="18122" priority="18135"/>
    <cfRule type="duplicateValues" dxfId="18121" priority="18134"/>
    <cfRule type="duplicateValues" dxfId="18120" priority="18133"/>
    <cfRule type="duplicateValues" dxfId="18119" priority="18132"/>
    <cfRule type="duplicateValues" dxfId="18118" priority="18131"/>
    <cfRule type="duplicateValues" dxfId="18117" priority="18130"/>
    <cfRule type="duplicateValues" dxfId="18116" priority="18129"/>
    <cfRule type="duplicateValues" dxfId="18115" priority="18128"/>
    <cfRule type="duplicateValues" dxfId="18114" priority="18127"/>
    <cfRule type="duplicateValues" dxfId="18113" priority="18126"/>
    <cfRule type="duplicateValues" dxfId="18112" priority="18125"/>
    <cfRule type="duplicateValues" dxfId="18111" priority="18124"/>
    <cfRule type="duplicateValues" dxfId="18110" priority="18123"/>
    <cfRule type="duplicateValues" dxfId="18109" priority="18122"/>
    <cfRule type="duplicateValues" dxfId="18108" priority="18121"/>
    <cfRule type="duplicateValues" dxfId="18107" priority="18120"/>
    <cfRule type="duplicateValues" dxfId="18106" priority="18119"/>
    <cfRule type="duplicateValues" dxfId="18105" priority="18118"/>
    <cfRule type="duplicateValues" dxfId="18104" priority="18117"/>
    <cfRule type="duplicateValues" dxfId="18103" priority="18116"/>
    <cfRule type="duplicateValues" dxfId="18102" priority="18115"/>
    <cfRule type="duplicateValues" dxfId="18101" priority="18114"/>
    <cfRule type="duplicateValues" dxfId="18100" priority="18113"/>
    <cfRule type="duplicateValues" dxfId="18099" priority="18112"/>
    <cfRule type="duplicateValues" dxfId="18098" priority="18111"/>
    <cfRule type="duplicateValues" dxfId="18097" priority="18110"/>
    <cfRule type="duplicateValues" dxfId="18096" priority="18109"/>
    <cfRule type="duplicateValues" dxfId="18095" priority="18108"/>
    <cfRule type="duplicateValues" dxfId="18094" priority="18107"/>
    <cfRule type="duplicateValues" dxfId="18093" priority="18106"/>
    <cfRule type="duplicateValues" dxfId="18092" priority="18105"/>
    <cfRule type="duplicateValues" dxfId="18091" priority="18104"/>
    <cfRule type="duplicateValues" dxfId="18090" priority="18103"/>
    <cfRule type="duplicateValues" dxfId="18089" priority="18102"/>
    <cfRule type="duplicateValues" dxfId="18088" priority="18101"/>
    <cfRule type="duplicateValues" dxfId="18087" priority="18100"/>
    <cfRule type="duplicateValues" dxfId="18086" priority="18099"/>
    <cfRule type="duplicateValues" dxfId="18085" priority="18098"/>
    <cfRule type="duplicateValues" dxfId="18084" priority="18097"/>
    <cfRule type="duplicateValues" dxfId="18083" priority="18096"/>
    <cfRule type="duplicateValues" dxfId="18082" priority="18095"/>
    <cfRule type="duplicateValues" dxfId="18081" priority="18094"/>
    <cfRule type="duplicateValues" dxfId="18080" priority="18093"/>
    <cfRule type="duplicateValues" dxfId="18079" priority="18092"/>
    <cfRule type="duplicateValues" dxfId="18078" priority="18091"/>
    <cfRule type="duplicateValues" dxfId="18077" priority="18090"/>
    <cfRule type="duplicateValues" dxfId="18076" priority="18089"/>
    <cfRule type="duplicateValues" dxfId="18075" priority="18088"/>
    <cfRule type="duplicateValues" dxfId="18074" priority="18087"/>
    <cfRule type="duplicateValues" dxfId="18073" priority="18086"/>
    <cfRule type="duplicateValues" dxfId="18072" priority="18085"/>
    <cfRule type="duplicateValues" dxfId="18071" priority="18084"/>
    <cfRule type="duplicateValues" dxfId="18070" priority="18083"/>
    <cfRule type="duplicateValues" dxfId="18069" priority="18082"/>
    <cfRule type="duplicateValues" dxfId="18068" priority="18081"/>
    <cfRule type="duplicateValues" dxfId="18067" priority="18080"/>
    <cfRule type="duplicateValues" dxfId="18066" priority="18079"/>
    <cfRule type="duplicateValues" dxfId="18065" priority="18078"/>
    <cfRule type="duplicateValues" dxfId="18064" priority="18077"/>
    <cfRule type="duplicateValues" dxfId="18063" priority="18076"/>
    <cfRule type="duplicateValues" dxfId="18062" priority="18075"/>
    <cfRule type="duplicateValues" dxfId="18061" priority="18074"/>
    <cfRule type="duplicateValues" dxfId="18060" priority="18073"/>
    <cfRule type="duplicateValues" dxfId="18059" priority="18072"/>
    <cfRule type="duplicateValues" dxfId="18058" priority="18071"/>
    <cfRule type="duplicateValues" dxfId="18057" priority="18070"/>
    <cfRule type="duplicateValues" dxfId="18056" priority="18069"/>
    <cfRule type="duplicateValues" dxfId="18055" priority="18068"/>
    <cfRule type="duplicateValues" dxfId="18054" priority="18067"/>
    <cfRule type="duplicateValues" dxfId="18053" priority="18066"/>
    <cfRule type="duplicateValues" dxfId="18052" priority="18065"/>
    <cfRule type="duplicateValues" dxfId="18051" priority="18064"/>
    <cfRule type="duplicateValues" dxfId="18050" priority="18063"/>
    <cfRule type="duplicateValues" dxfId="18049" priority="18062"/>
    <cfRule type="duplicateValues" dxfId="18048" priority="18061"/>
    <cfRule type="duplicateValues" dxfId="18047" priority="18060"/>
    <cfRule type="duplicateValues" dxfId="18046" priority="18059"/>
    <cfRule type="duplicateValues" dxfId="18045" priority="18058"/>
    <cfRule type="duplicateValues" dxfId="18044" priority="18057"/>
  </conditionalFormatting>
  <conditionalFormatting sqref="B232">
    <cfRule type="duplicateValues" dxfId="18043" priority="18049"/>
    <cfRule type="duplicateValues" dxfId="18042" priority="18050"/>
    <cfRule type="duplicateValues" dxfId="18041" priority="18051"/>
    <cfRule type="duplicateValues" dxfId="18040" priority="18052"/>
    <cfRule type="duplicateValues" dxfId="18039" priority="17866"/>
    <cfRule type="duplicateValues" dxfId="18038" priority="17867"/>
    <cfRule type="duplicateValues" dxfId="18037" priority="17868"/>
    <cfRule type="duplicateValues" dxfId="18036" priority="17869"/>
    <cfRule type="duplicateValues" dxfId="18035" priority="17870"/>
    <cfRule type="duplicateValues" dxfId="18034" priority="17871"/>
    <cfRule type="duplicateValues" dxfId="18033" priority="17872"/>
    <cfRule type="duplicateValues" dxfId="18032" priority="17873"/>
    <cfRule type="duplicateValues" dxfId="18031" priority="17874"/>
    <cfRule type="duplicateValues" dxfId="18030" priority="17875"/>
    <cfRule type="duplicateValues" dxfId="18029" priority="17876"/>
    <cfRule type="duplicateValues" dxfId="18028" priority="17877"/>
    <cfRule type="duplicateValues" dxfId="18027" priority="17878"/>
    <cfRule type="duplicateValues" dxfId="18026" priority="17879"/>
    <cfRule type="duplicateValues" dxfId="18025" priority="17880"/>
    <cfRule type="duplicateValues" dxfId="18024" priority="17881"/>
    <cfRule type="duplicateValues" dxfId="18023" priority="17882"/>
    <cfRule type="duplicateValues" dxfId="18022" priority="17883"/>
    <cfRule type="duplicateValues" dxfId="18021" priority="17884"/>
    <cfRule type="duplicateValues" dxfId="18020" priority="17885"/>
    <cfRule type="duplicateValues" dxfId="18019" priority="17886"/>
    <cfRule type="duplicateValues" dxfId="18018" priority="17887"/>
    <cfRule type="duplicateValues" dxfId="18017" priority="17888"/>
    <cfRule type="duplicateValues" dxfId="18016" priority="17889"/>
    <cfRule type="duplicateValues" dxfId="18015" priority="17890"/>
    <cfRule type="duplicateValues" dxfId="18014" priority="17891"/>
    <cfRule type="duplicateValues" dxfId="18013" priority="17892"/>
    <cfRule type="duplicateValues" dxfId="18012" priority="17893"/>
    <cfRule type="duplicateValues" dxfId="18011" priority="17894"/>
    <cfRule type="duplicateValues" dxfId="18010" priority="17895"/>
    <cfRule type="duplicateValues" dxfId="18009" priority="17896"/>
    <cfRule type="duplicateValues" dxfId="18008" priority="17897"/>
    <cfRule type="duplicateValues" dxfId="18007" priority="17898"/>
    <cfRule type="duplicateValues" dxfId="18006" priority="17899"/>
    <cfRule type="duplicateValues" dxfId="18005" priority="17900"/>
    <cfRule type="duplicateValues" dxfId="18004" priority="17901"/>
    <cfRule type="duplicateValues" dxfId="18003" priority="17902"/>
    <cfRule type="duplicateValues" dxfId="18002" priority="17903"/>
    <cfRule type="duplicateValues" dxfId="18001" priority="17904"/>
    <cfRule type="duplicateValues" dxfId="18000" priority="17905"/>
    <cfRule type="duplicateValues" dxfId="17999" priority="17906"/>
    <cfRule type="duplicateValues" dxfId="17998" priority="17907"/>
    <cfRule type="duplicateValues" dxfId="17997" priority="17908"/>
    <cfRule type="duplicateValues" dxfId="17996" priority="17909"/>
    <cfRule type="duplicateValues" dxfId="17995" priority="17910"/>
    <cfRule type="duplicateValues" dxfId="17994" priority="17911"/>
    <cfRule type="duplicateValues" dxfId="17993" priority="17912"/>
    <cfRule type="duplicateValues" dxfId="17992" priority="17913"/>
    <cfRule type="duplicateValues" dxfId="17991" priority="17914"/>
    <cfRule type="duplicateValues" dxfId="17990" priority="17915"/>
    <cfRule type="duplicateValues" dxfId="17989" priority="17916"/>
    <cfRule type="duplicateValues" dxfId="17988" priority="17917"/>
    <cfRule type="duplicateValues" dxfId="17987" priority="17918"/>
    <cfRule type="duplicateValues" dxfId="17986" priority="17919"/>
    <cfRule type="duplicateValues" dxfId="17985" priority="17920"/>
    <cfRule type="duplicateValues" dxfId="17984" priority="17921"/>
    <cfRule type="duplicateValues" dxfId="17983" priority="17922"/>
    <cfRule type="duplicateValues" dxfId="17982" priority="17923"/>
    <cfRule type="duplicateValues" dxfId="17981" priority="17924"/>
    <cfRule type="duplicateValues" dxfId="17980" priority="17925"/>
    <cfRule type="duplicateValues" dxfId="17979" priority="17926"/>
    <cfRule type="duplicateValues" dxfId="17978" priority="17927"/>
    <cfRule type="duplicateValues" dxfId="17977" priority="17928"/>
    <cfRule type="duplicateValues" dxfId="17976" priority="17929"/>
    <cfRule type="duplicateValues" dxfId="17975" priority="17930"/>
    <cfRule type="duplicateValues" dxfId="17974" priority="17931"/>
    <cfRule type="duplicateValues" dxfId="17973" priority="17932"/>
    <cfRule type="duplicateValues" dxfId="17972" priority="17933"/>
    <cfRule type="duplicateValues" dxfId="17971" priority="17934"/>
    <cfRule type="duplicateValues" dxfId="17970" priority="17935"/>
    <cfRule type="duplicateValues" dxfId="17969" priority="17936"/>
    <cfRule type="duplicateValues" dxfId="17968" priority="17937"/>
    <cfRule type="duplicateValues" dxfId="17967" priority="17938"/>
    <cfRule type="duplicateValues" dxfId="17966" priority="17939"/>
    <cfRule type="duplicateValues" dxfId="17965" priority="17940"/>
    <cfRule type="duplicateValues" dxfId="17964" priority="17941"/>
    <cfRule type="duplicateValues" dxfId="17963" priority="17942"/>
    <cfRule type="duplicateValues" dxfId="17962" priority="17943"/>
    <cfRule type="duplicateValues" dxfId="17961" priority="17944"/>
    <cfRule type="duplicateValues" dxfId="17960" priority="17945"/>
    <cfRule type="duplicateValues" dxfId="17959" priority="17946"/>
    <cfRule type="duplicateValues" dxfId="17958" priority="17947"/>
    <cfRule type="duplicateValues" dxfId="17957" priority="17948"/>
    <cfRule type="duplicateValues" dxfId="17956" priority="17949"/>
    <cfRule type="duplicateValues" dxfId="17955" priority="17950"/>
    <cfRule type="duplicateValues" dxfId="17954" priority="17951"/>
    <cfRule type="duplicateValues" dxfId="17953" priority="17952"/>
    <cfRule type="duplicateValues" dxfId="17952" priority="17953"/>
    <cfRule type="duplicateValues" dxfId="17951" priority="17954"/>
    <cfRule type="duplicateValues" dxfId="17950" priority="17955"/>
    <cfRule type="duplicateValues" dxfId="17949" priority="17956"/>
    <cfRule type="duplicateValues" dxfId="17948" priority="17957"/>
    <cfRule type="duplicateValues" dxfId="17947" priority="17958"/>
    <cfRule type="duplicateValues" dxfId="17946" priority="17959"/>
    <cfRule type="duplicateValues" dxfId="17945" priority="17960"/>
    <cfRule type="duplicateValues" dxfId="17944" priority="17961"/>
    <cfRule type="duplicateValues" dxfId="17943" priority="17962"/>
    <cfRule type="duplicateValues" dxfId="17942" priority="17963"/>
    <cfRule type="duplicateValues" dxfId="17941" priority="17964"/>
    <cfRule type="duplicateValues" dxfId="17940" priority="17965"/>
    <cfRule type="duplicateValues" dxfId="17939" priority="17966"/>
    <cfRule type="duplicateValues" dxfId="17938" priority="17967"/>
    <cfRule type="duplicateValues" dxfId="17937" priority="17968"/>
    <cfRule type="duplicateValues" dxfId="17936" priority="17969"/>
    <cfRule type="duplicateValues" dxfId="17935" priority="17970"/>
    <cfRule type="duplicateValues" dxfId="17934" priority="17971"/>
    <cfRule type="duplicateValues" dxfId="17933" priority="17972"/>
    <cfRule type="duplicateValues" dxfId="17932" priority="17973"/>
    <cfRule type="duplicateValues" dxfId="17931" priority="17974"/>
    <cfRule type="duplicateValues" dxfId="17930" priority="17975"/>
    <cfRule type="duplicateValues" dxfId="17929" priority="17976"/>
    <cfRule type="duplicateValues" dxfId="17928" priority="17977"/>
    <cfRule type="duplicateValues" dxfId="17927" priority="17978"/>
    <cfRule type="duplicateValues" dxfId="17926" priority="17979"/>
    <cfRule type="duplicateValues" dxfId="17925" priority="17980"/>
    <cfRule type="duplicateValues" dxfId="17924" priority="17981"/>
    <cfRule type="duplicateValues" dxfId="17923" priority="17982"/>
    <cfRule type="duplicateValues" dxfId="17922" priority="17983"/>
    <cfRule type="duplicateValues" dxfId="17921" priority="17984"/>
    <cfRule type="duplicateValues" dxfId="17920" priority="17985"/>
    <cfRule type="duplicateValues" dxfId="17919" priority="17986"/>
    <cfRule type="duplicateValues" dxfId="17918" priority="17987"/>
    <cfRule type="duplicateValues" dxfId="17917" priority="17988"/>
    <cfRule type="duplicateValues" dxfId="17916" priority="17989"/>
    <cfRule type="duplicateValues" dxfId="17915" priority="17990"/>
    <cfRule type="duplicateValues" dxfId="17914" priority="17991"/>
    <cfRule type="duplicateValues" dxfId="17913" priority="17992"/>
    <cfRule type="duplicateValues" dxfId="17912" priority="17993"/>
    <cfRule type="duplicateValues" dxfId="17911" priority="17994"/>
    <cfRule type="duplicateValues" dxfId="17910" priority="17995"/>
    <cfRule type="duplicateValues" dxfId="17909" priority="17996"/>
    <cfRule type="duplicateValues" dxfId="17908" priority="17997"/>
    <cfRule type="duplicateValues" dxfId="17907" priority="17998"/>
    <cfRule type="duplicateValues" dxfId="17906" priority="17999"/>
    <cfRule type="duplicateValues" dxfId="17905" priority="18000"/>
    <cfRule type="duplicateValues" dxfId="17904" priority="18001"/>
    <cfRule type="duplicateValues" dxfId="17903" priority="18002"/>
    <cfRule type="duplicateValues" dxfId="17902" priority="18003"/>
    <cfRule type="duplicateValues" dxfId="17901" priority="18004"/>
    <cfRule type="duplicateValues" dxfId="17900" priority="18005"/>
    <cfRule type="duplicateValues" dxfId="17899" priority="18006"/>
    <cfRule type="duplicateValues" dxfId="17898" priority="18007"/>
    <cfRule type="duplicateValues" dxfId="17897" priority="18008"/>
    <cfRule type="duplicateValues" dxfId="17896" priority="18009"/>
    <cfRule type="duplicateValues" dxfId="17895" priority="18010"/>
    <cfRule type="duplicateValues" dxfId="17894" priority="18011"/>
    <cfRule type="duplicateValues" dxfId="17893" priority="18012"/>
    <cfRule type="duplicateValues" dxfId="17892" priority="18013"/>
    <cfRule type="duplicateValues" dxfId="17891" priority="18014"/>
    <cfRule type="duplicateValues" dxfId="17890" priority="18015"/>
    <cfRule type="duplicateValues" dxfId="17889" priority="18016"/>
    <cfRule type="duplicateValues" dxfId="17888" priority="18017"/>
    <cfRule type="duplicateValues" dxfId="17887" priority="18018"/>
    <cfRule type="duplicateValues" dxfId="17886" priority="18019"/>
    <cfRule type="duplicateValues" dxfId="17885" priority="18020"/>
    <cfRule type="duplicateValues" dxfId="17884" priority="18021"/>
    <cfRule type="duplicateValues" dxfId="17883" priority="18022"/>
    <cfRule type="duplicateValues" dxfId="17882" priority="18023"/>
    <cfRule type="duplicateValues" dxfId="17881" priority="18024"/>
    <cfRule type="duplicateValues" dxfId="17880" priority="18025"/>
    <cfRule type="duplicateValues" dxfId="17879" priority="18026"/>
    <cfRule type="duplicateValues" dxfId="17878" priority="18027"/>
    <cfRule type="duplicateValues" dxfId="17877" priority="18028"/>
    <cfRule type="duplicateValues" dxfId="17876" priority="18029"/>
    <cfRule type="duplicateValues" dxfId="17875" priority="18030"/>
    <cfRule type="duplicateValues" dxfId="17874" priority="18031"/>
    <cfRule type="duplicateValues" dxfId="17873" priority="18032"/>
    <cfRule type="duplicateValues" dxfId="17872" priority="18033"/>
    <cfRule type="duplicateValues" dxfId="17871" priority="18034"/>
    <cfRule type="duplicateValues" dxfId="17870" priority="18035"/>
    <cfRule type="duplicateValues" dxfId="17869" priority="18036"/>
    <cfRule type="duplicateValues" dxfId="17868" priority="18037"/>
    <cfRule type="duplicateValues" dxfId="17867" priority="18038"/>
    <cfRule type="duplicateValues" dxfId="17866" priority="18039"/>
    <cfRule type="duplicateValues" dxfId="17865" priority="18040"/>
    <cfRule type="duplicateValues" dxfId="17864" priority="18041"/>
    <cfRule type="duplicateValues" dxfId="17863" priority="18042"/>
    <cfRule type="duplicateValues" dxfId="17862" priority="18043"/>
    <cfRule type="duplicateValues" dxfId="17861" priority="18044"/>
    <cfRule type="duplicateValues" dxfId="17860" priority="18045"/>
    <cfRule type="duplicateValues" dxfId="17859" priority="18046"/>
    <cfRule type="duplicateValues" dxfId="17858" priority="18047"/>
    <cfRule type="duplicateValues" dxfId="17857" priority="18048"/>
  </conditionalFormatting>
  <conditionalFormatting sqref="B233">
    <cfRule type="duplicateValues" dxfId="17856" priority="17705"/>
    <cfRule type="duplicateValues" dxfId="17855" priority="17682"/>
    <cfRule type="duplicateValues" dxfId="17854" priority="17681"/>
    <cfRule type="duplicateValues" dxfId="17853" priority="17680"/>
    <cfRule type="duplicateValues" dxfId="17852" priority="17865"/>
    <cfRule type="duplicateValues" dxfId="17851" priority="17864"/>
    <cfRule type="duplicateValues" dxfId="17850" priority="17863"/>
    <cfRule type="duplicateValues" dxfId="17849" priority="17862"/>
    <cfRule type="duplicateValues" dxfId="17848" priority="17861"/>
    <cfRule type="duplicateValues" dxfId="17847" priority="17860"/>
    <cfRule type="duplicateValues" dxfId="17846" priority="17859"/>
    <cfRule type="duplicateValues" dxfId="17845" priority="17858"/>
    <cfRule type="duplicateValues" dxfId="17844" priority="17857"/>
    <cfRule type="duplicateValues" dxfId="17843" priority="17856"/>
    <cfRule type="duplicateValues" dxfId="17842" priority="17855"/>
    <cfRule type="duplicateValues" dxfId="17841" priority="17854"/>
    <cfRule type="duplicateValues" dxfId="17840" priority="17853"/>
    <cfRule type="duplicateValues" dxfId="17839" priority="17852"/>
    <cfRule type="duplicateValues" dxfId="17838" priority="17851"/>
    <cfRule type="duplicateValues" dxfId="17837" priority="17850"/>
    <cfRule type="duplicateValues" dxfId="17836" priority="17849"/>
    <cfRule type="duplicateValues" dxfId="17835" priority="17848"/>
    <cfRule type="duplicateValues" dxfId="17834" priority="17847"/>
    <cfRule type="duplicateValues" dxfId="17833" priority="17846"/>
    <cfRule type="duplicateValues" dxfId="17832" priority="17845"/>
    <cfRule type="duplicateValues" dxfId="17831" priority="17844"/>
    <cfRule type="duplicateValues" dxfId="17830" priority="17843"/>
    <cfRule type="duplicateValues" dxfId="17829" priority="17842"/>
    <cfRule type="duplicateValues" dxfId="17828" priority="17841"/>
    <cfRule type="duplicateValues" dxfId="17827" priority="17840"/>
    <cfRule type="duplicateValues" dxfId="17826" priority="17839"/>
    <cfRule type="duplicateValues" dxfId="17825" priority="17838"/>
    <cfRule type="duplicateValues" dxfId="17824" priority="17837"/>
    <cfRule type="duplicateValues" dxfId="17823" priority="17836"/>
    <cfRule type="duplicateValues" dxfId="17822" priority="17835"/>
    <cfRule type="duplicateValues" dxfId="17821" priority="17834"/>
    <cfRule type="duplicateValues" dxfId="17820" priority="17833"/>
    <cfRule type="duplicateValues" dxfId="17819" priority="17832"/>
    <cfRule type="duplicateValues" dxfId="17818" priority="17831"/>
    <cfRule type="duplicateValues" dxfId="17817" priority="17830"/>
    <cfRule type="duplicateValues" dxfId="17816" priority="17829"/>
    <cfRule type="duplicateValues" dxfId="17815" priority="17828"/>
    <cfRule type="duplicateValues" dxfId="17814" priority="17827"/>
    <cfRule type="duplicateValues" dxfId="17813" priority="17826"/>
    <cfRule type="duplicateValues" dxfId="17812" priority="17825"/>
    <cfRule type="duplicateValues" dxfId="17811" priority="17824"/>
    <cfRule type="duplicateValues" dxfId="17810" priority="17823"/>
    <cfRule type="duplicateValues" dxfId="17809" priority="17822"/>
    <cfRule type="duplicateValues" dxfId="17808" priority="17821"/>
    <cfRule type="duplicateValues" dxfId="17807" priority="17820"/>
    <cfRule type="duplicateValues" dxfId="17806" priority="17819"/>
    <cfRule type="duplicateValues" dxfId="17805" priority="17818"/>
    <cfRule type="duplicateValues" dxfId="17804" priority="17817"/>
    <cfRule type="duplicateValues" dxfId="17803" priority="17816"/>
    <cfRule type="duplicateValues" dxfId="17802" priority="17815"/>
    <cfRule type="duplicateValues" dxfId="17801" priority="17814"/>
    <cfRule type="duplicateValues" dxfId="17800" priority="17813"/>
    <cfRule type="duplicateValues" dxfId="17799" priority="17812"/>
    <cfRule type="duplicateValues" dxfId="17798" priority="17811"/>
    <cfRule type="duplicateValues" dxfId="17797" priority="17810"/>
    <cfRule type="duplicateValues" dxfId="17796" priority="17809"/>
    <cfRule type="duplicateValues" dxfId="17795" priority="17808"/>
    <cfRule type="duplicateValues" dxfId="17794" priority="17807"/>
    <cfRule type="duplicateValues" dxfId="17793" priority="17806"/>
    <cfRule type="duplicateValues" dxfId="17792" priority="17805"/>
    <cfRule type="duplicateValues" dxfId="17791" priority="17804"/>
    <cfRule type="duplicateValues" dxfId="17790" priority="17803"/>
    <cfRule type="duplicateValues" dxfId="17789" priority="17802"/>
    <cfRule type="duplicateValues" dxfId="17788" priority="17801"/>
    <cfRule type="duplicateValues" dxfId="17787" priority="17800"/>
    <cfRule type="duplicateValues" dxfId="17786" priority="17799"/>
    <cfRule type="duplicateValues" dxfId="17785" priority="17798"/>
    <cfRule type="duplicateValues" dxfId="17784" priority="17797"/>
    <cfRule type="duplicateValues" dxfId="17783" priority="17796"/>
    <cfRule type="duplicateValues" dxfId="17782" priority="17795"/>
    <cfRule type="duplicateValues" dxfId="17781" priority="17794"/>
    <cfRule type="duplicateValues" dxfId="17780" priority="17793"/>
    <cfRule type="duplicateValues" dxfId="17779" priority="17792"/>
    <cfRule type="duplicateValues" dxfId="17778" priority="17791"/>
    <cfRule type="duplicateValues" dxfId="17777" priority="17790"/>
    <cfRule type="duplicateValues" dxfId="17776" priority="17789"/>
    <cfRule type="duplicateValues" dxfId="17775" priority="17788"/>
    <cfRule type="duplicateValues" dxfId="17774" priority="17787"/>
    <cfRule type="duplicateValues" dxfId="17773" priority="17786"/>
    <cfRule type="duplicateValues" dxfId="17772" priority="17785"/>
    <cfRule type="duplicateValues" dxfId="17771" priority="17784"/>
    <cfRule type="duplicateValues" dxfId="17770" priority="17783"/>
    <cfRule type="duplicateValues" dxfId="17769" priority="17782"/>
    <cfRule type="duplicateValues" dxfId="17768" priority="17781"/>
    <cfRule type="duplicateValues" dxfId="17767" priority="17780"/>
    <cfRule type="duplicateValues" dxfId="17766" priority="17779"/>
    <cfRule type="duplicateValues" dxfId="17765" priority="17778"/>
    <cfRule type="duplicateValues" dxfId="17764" priority="17777"/>
    <cfRule type="duplicateValues" dxfId="17763" priority="17776"/>
    <cfRule type="duplicateValues" dxfId="17762" priority="17775"/>
    <cfRule type="duplicateValues" dxfId="17761" priority="17774"/>
    <cfRule type="duplicateValues" dxfId="17760" priority="17773"/>
    <cfRule type="duplicateValues" dxfId="17759" priority="17772"/>
    <cfRule type="duplicateValues" dxfId="17758" priority="17771"/>
    <cfRule type="duplicateValues" dxfId="17757" priority="17770"/>
    <cfRule type="duplicateValues" dxfId="17756" priority="17769"/>
    <cfRule type="duplicateValues" dxfId="17755" priority="17768"/>
    <cfRule type="duplicateValues" dxfId="17754" priority="17767"/>
    <cfRule type="duplicateValues" dxfId="17753" priority="17766"/>
    <cfRule type="duplicateValues" dxfId="17752" priority="17765"/>
    <cfRule type="duplicateValues" dxfId="17751" priority="17764"/>
    <cfRule type="duplicateValues" dxfId="17750" priority="17763"/>
    <cfRule type="duplicateValues" dxfId="17749" priority="17762"/>
    <cfRule type="duplicateValues" dxfId="17748" priority="17761"/>
    <cfRule type="duplicateValues" dxfId="17747" priority="17760"/>
    <cfRule type="duplicateValues" dxfId="17746" priority="17759"/>
    <cfRule type="duplicateValues" dxfId="17745" priority="17758"/>
    <cfRule type="duplicateValues" dxfId="17744" priority="17757"/>
    <cfRule type="duplicateValues" dxfId="17743" priority="17756"/>
    <cfRule type="duplicateValues" dxfId="17742" priority="17755"/>
    <cfRule type="duplicateValues" dxfId="17741" priority="17754"/>
    <cfRule type="duplicateValues" dxfId="17740" priority="17753"/>
    <cfRule type="duplicateValues" dxfId="17739" priority="17752"/>
    <cfRule type="duplicateValues" dxfId="17738" priority="17751"/>
    <cfRule type="duplicateValues" dxfId="17737" priority="17750"/>
    <cfRule type="duplicateValues" dxfId="17736" priority="17749"/>
    <cfRule type="duplicateValues" dxfId="17735" priority="17748"/>
    <cfRule type="duplicateValues" dxfId="17734" priority="17747"/>
    <cfRule type="duplicateValues" dxfId="17733" priority="17746"/>
    <cfRule type="duplicateValues" dxfId="17732" priority="17745"/>
    <cfRule type="duplicateValues" dxfId="17731" priority="17744"/>
    <cfRule type="duplicateValues" dxfId="17730" priority="17743"/>
    <cfRule type="duplicateValues" dxfId="17729" priority="17742"/>
    <cfRule type="duplicateValues" dxfId="17728" priority="17741"/>
    <cfRule type="duplicateValues" dxfId="17727" priority="17740"/>
    <cfRule type="duplicateValues" dxfId="17726" priority="17739"/>
    <cfRule type="duplicateValues" dxfId="17725" priority="17738"/>
    <cfRule type="duplicateValues" dxfId="17724" priority="17737"/>
    <cfRule type="duplicateValues" dxfId="17723" priority="17736"/>
    <cfRule type="duplicateValues" dxfId="17722" priority="17735"/>
    <cfRule type="duplicateValues" dxfId="17721" priority="17734"/>
    <cfRule type="duplicateValues" dxfId="17720" priority="17733"/>
    <cfRule type="duplicateValues" dxfId="17719" priority="17732"/>
    <cfRule type="duplicateValues" dxfId="17718" priority="17731"/>
    <cfRule type="duplicateValues" dxfId="17717" priority="17730"/>
    <cfRule type="duplicateValues" dxfId="17716" priority="17729"/>
    <cfRule type="duplicateValues" dxfId="17715" priority="17728"/>
    <cfRule type="duplicateValues" dxfId="17714" priority="17727"/>
    <cfRule type="duplicateValues" dxfId="17713" priority="17726"/>
    <cfRule type="duplicateValues" dxfId="17712" priority="17725"/>
    <cfRule type="duplicateValues" dxfId="17711" priority="17724"/>
    <cfRule type="duplicateValues" dxfId="17710" priority="17723"/>
    <cfRule type="duplicateValues" dxfId="17709" priority="17722"/>
    <cfRule type="duplicateValues" dxfId="17708" priority="17721"/>
    <cfRule type="duplicateValues" dxfId="17707" priority="17720"/>
    <cfRule type="duplicateValues" dxfId="17706" priority="17719"/>
    <cfRule type="duplicateValues" dxfId="17705" priority="17718"/>
    <cfRule type="duplicateValues" dxfId="17704" priority="17717"/>
    <cfRule type="duplicateValues" dxfId="17703" priority="17716"/>
    <cfRule type="duplicateValues" dxfId="17702" priority="17715"/>
    <cfRule type="duplicateValues" dxfId="17701" priority="17714"/>
    <cfRule type="duplicateValues" dxfId="17700" priority="17713"/>
    <cfRule type="duplicateValues" dxfId="17699" priority="17712"/>
    <cfRule type="duplicateValues" dxfId="17698" priority="17711"/>
    <cfRule type="duplicateValues" dxfId="17697" priority="17710"/>
    <cfRule type="duplicateValues" dxfId="17696" priority="17709"/>
    <cfRule type="duplicateValues" dxfId="17695" priority="17708"/>
    <cfRule type="duplicateValues" dxfId="17694" priority="17707"/>
    <cfRule type="duplicateValues" dxfId="17693" priority="17706"/>
    <cfRule type="duplicateValues" dxfId="17692" priority="17679"/>
    <cfRule type="duplicateValues" dxfId="17691" priority="17704"/>
    <cfRule type="duplicateValues" dxfId="17690" priority="17703"/>
    <cfRule type="duplicateValues" dxfId="17689" priority="17702"/>
    <cfRule type="duplicateValues" dxfId="17688" priority="17701"/>
    <cfRule type="duplicateValues" dxfId="17687" priority="17700"/>
    <cfRule type="duplicateValues" dxfId="17686" priority="17699"/>
    <cfRule type="duplicateValues" dxfId="17685" priority="17698"/>
    <cfRule type="duplicateValues" dxfId="17684" priority="17697"/>
    <cfRule type="duplicateValues" dxfId="17683" priority="17696"/>
    <cfRule type="duplicateValues" dxfId="17682" priority="17695"/>
    <cfRule type="duplicateValues" dxfId="17681" priority="17694"/>
    <cfRule type="duplicateValues" dxfId="17680" priority="17693"/>
    <cfRule type="duplicateValues" dxfId="17679" priority="17692"/>
    <cfRule type="duplicateValues" dxfId="17678" priority="17691"/>
    <cfRule type="duplicateValues" dxfId="17677" priority="17690"/>
    <cfRule type="duplicateValues" dxfId="17676" priority="17689"/>
    <cfRule type="duplicateValues" dxfId="17675" priority="17688"/>
    <cfRule type="duplicateValues" dxfId="17674" priority="17687"/>
    <cfRule type="duplicateValues" dxfId="17673" priority="17686"/>
    <cfRule type="duplicateValues" dxfId="17672" priority="17685"/>
    <cfRule type="duplicateValues" dxfId="17671" priority="17684"/>
    <cfRule type="duplicateValues" dxfId="17670" priority="17683"/>
  </conditionalFormatting>
  <conditionalFormatting sqref="B234">
    <cfRule type="duplicateValues" dxfId="17669" priority="17494"/>
    <cfRule type="duplicateValues" dxfId="17668" priority="17493"/>
    <cfRule type="duplicateValues" dxfId="17667" priority="17492"/>
    <cfRule type="duplicateValues" dxfId="17666" priority="17517"/>
    <cfRule type="duplicateValues" dxfId="17665" priority="17678"/>
    <cfRule type="duplicateValues" dxfId="17664" priority="17677"/>
    <cfRule type="duplicateValues" dxfId="17663" priority="17676"/>
    <cfRule type="duplicateValues" dxfId="17662" priority="17675"/>
    <cfRule type="duplicateValues" dxfId="17661" priority="17674"/>
    <cfRule type="duplicateValues" dxfId="17660" priority="17673"/>
    <cfRule type="duplicateValues" dxfId="17659" priority="17672"/>
    <cfRule type="duplicateValues" dxfId="17658" priority="17671"/>
    <cfRule type="duplicateValues" dxfId="17657" priority="17670"/>
    <cfRule type="duplicateValues" dxfId="17656" priority="17669"/>
    <cfRule type="duplicateValues" dxfId="17655" priority="17668"/>
    <cfRule type="duplicateValues" dxfId="17654" priority="17667"/>
    <cfRule type="duplicateValues" dxfId="17653" priority="17666"/>
    <cfRule type="duplicateValues" dxfId="17652" priority="17665"/>
    <cfRule type="duplicateValues" dxfId="17651" priority="17664"/>
    <cfRule type="duplicateValues" dxfId="17650" priority="17663"/>
    <cfRule type="duplicateValues" dxfId="17649" priority="17662"/>
    <cfRule type="duplicateValues" dxfId="17648" priority="17661"/>
    <cfRule type="duplicateValues" dxfId="17647" priority="17660"/>
    <cfRule type="duplicateValues" dxfId="17646" priority="17659"/>
    <cfRule type="duplicateValues" dxfId="17645" priority="17658"/>
    <cfRule type="duplicateValues" dxfId="17644" priority="17657"/>
    <cfRule type="duplicateValues" dxfId="17643" priority="17656"/>
    <cfRule type="duplicateValues" dxfId="17642" priority="17655"/>
    <cfRule type="duplicateValues" dxfId="17641" priority="17654"/>
    <cfRule type="duplicateValues" dxfId="17640" priority="17653"/>
    <cfRule type="duplicateValues" dxfId="17639" priority="17652"/>
    <cfRule type="duplicateValues" dxfId="17638" priority="17651"/>
    <cfRule type="duplicateValues" dxfId="17637" priority="17650"/>
    <cfRule type="duplicateValues" dxfId="17636" priority="17649"/>
    <cfRule type="duplicateValues" dxfId="17635" priority="17648"/>
    <cfRule type="duplicateValues" dxfId="17634" priority="17647"/>
    <cfRule type="duplicateValues" dxfId="17633" priority="17646"/>
    <cfRule type="duplicateValues" dxfId="17632" priority="17645"/>
    <cfRule type="duplicateValues" dxfId="17631" priority="17644"/>
    <cfRule type="duplicateValues" dxfId="17630" priority="17643"/>
    <cfRule type="duplicateValues" dxfId="17629" priority="17642"/>
    <cfRule type="duplicateValues" dxfId="17628" priority="17641"/>
    <cfRule type="duplicateValues" dxfId="17627" priority="17640"/>
    <cfRule type="duplicateValues" dxfId="17626" priority="17639"/>
    <cfRule type="duplicateValues" dxfId="17625" priority="17638"/>
    <cfRule type="duplicateValues" dxfId="17624" priority="17637"/>
    <cfRule type="duplicateValues" dxfId="17623" priority="17636"/>
    <cfRule type="duplicateValues" dxfId="17622" priority="17635"/>
    <cfRule type="duplicateValues" dxfId="17621" priority="17634"/>
    <cfRule type="duplicateValues" dxfId="17620" priority="17633"/>
    <cfRule type="duplicateValues" dxfId="17619" priority="17632"/>
    <cfRule type="duplicateValues" dxfId="17618" priority="17631"/>
    <cfRule type="duplicateValues" dxfId="17617" priority="17630"/>
    <cfRule type="duplicateValues" dxfId="17616" priority="17629"/>
    <cfRule type="duplicateValues" dxfId="17615" priority="17628"/>
    <cfRule type="duplicateValues" dxfId="17614" priority="17627"/>
    <cfRule type="duplicateValues" dxfId="17613" priority="17626"/>
    <cfRule type="duplicateValues" dxfId="17612" priority="17625"/>
    <cfRule type="duplicateValues" dxfId="17611" priority="17624"/>
    <cfRule type="duplicateValues" dxfId="17610" priority="17623"/>
    <cfRule type="duplicateValues" dxfId="17609" priority="17622"/>
    <cfRule type="duplicateValues" dxfId="17608" priority="17621"/>
    <cfRule type="duplicateValues" dxfId="17607" priority="17620"/>
    <cfRule type="duplicateValues" dxfId="17606" priority="17619"/>
    <cfRule type="duplicateValues" dxfId="17605" priority="17618"/>
    <cfRule type="duplicateValues" dxfId="17604" priority="17617"/>
    <cfRule type="duplicateValues" dxfId="17603" priority="17616"/>
    <cfRule type="duplicateValues" dxfId="17602" priority="17615"/>
    <cfRule type="duplicateValues" dxfId="17601" priority="17614"/>
    <cfRule type="duplicateValues" dxfId="17600" priority="17613"/>
    <cfRule type="duplicateValues" dxfId="17599" priority="17612"/>
    <cfRule type="duplicateValues" dxfId="17598" priority="17611"/>
    <cfRule type="duplicateValues" dxfId="17597" priority="17610"/>
    <cfRule type="duplicateValues" dxfId="17596" priority="17609"/>
    <cfRule type="duplicateValues" dxfId="17595" priority="17608"/>
    <cfRule type="duplicateValues" dxfId="17594" priority="17607"/>
    <cfRule type="duplicateValues" dxfId="17593" priority="17606"/>
    <cfRule type="duplicateValues" dxfId="17592" priority="17605"/>
    <cfRule type="duplicateValues" dxfId="17591" priority="17604"/>
    <cfRule type="duplicateValues" dxfId="17590" priority="17603"/>
    <cfRule type="duplicateValues" dxfId="17589" priority="17602"/>
    <cfRule type="duplicateValues" dxfId="17588" priority="17601"/>
    <cfRule type="duplicateValues" dxfId="17587" priority="17600"/>
    <cfRule type="duplicateValues" dxfId="17586" priority="17599"/>
    <cfRule type="duplicateValues" dxfId="17585" priority="17598"/>
    <cfRule type="duplicateValues" dxfId="17584" priority="17597"/>
    <cfRule type="duplicateValues" dxfId="17583" priority="17596"/>
    <cfRule type="duplicateValues" dxfId="17582" priority="17595"/>
    <cfRule type="duplicateValues" dxfId="17581" priority="17594"/>
    <cfRule type="duplicateValues" dxfId="17580" priority="17593"/>
    <cfRule type="duplicateValues" dxfId="17579" priority="17592"/>
    <cfRule type="duplicateValues" dxfId="17578" priority="17591"/>
    <cfRule type="duplicateValues" dxfId="17577" priority="17590"/>
    <cfRule type="duplicateValues" dxfId="17576" priority="17589"/>
    <cfRule type="duplicateValues" dxfId="17575" priority="17588"/>
    <cfRule type="duplicateValues" dxfId="17574" priority="17587"/>
    <cfRule type="duplicateValues" dxfId="17573" priority="17586"/>
    <cfRule type="duplicateValues" dxfId="17572" priority="17585"/>
    <cfRule type="duplicateValues" dxfId="17571" priority="17584"/>
    <cfRule type="duplicateValues" dxfId="17570" priority="17583"/>
    <cfRule type="duplicateValues" dxfId="17569" priority="17582"/>
    <cfRule type="duplicateValues" dxfId="17568" priority="17581"/>
    <cfRule type="duplicateValues" dxfId="17567" priority="17580"/>
    <cfRule type="duplicateValues" dxfId="17566" priority="17579"/>
    <cfRule type="duplicateValues" dxfId="17565" priority="17578"/>
    <cfRule type="duplicateValues" dxfId="17564" priority="17577"/>
    <cfRule type="duplicateValues" dxfId="17563" priority="17576"/>
    <cfRule type="duplicateValues" dxfId="17562" priority="17575"/>
    <cfRule type="duplicateValues" dxfId="17561" priority="17574"/>
    <cfRule type="duplicateValues" dxfId="17560" priority="17573"/>
    <cfRule type="duplicateValues" dxfId="17559" priority="17572"/>
    <cfRule type="duplicateValues" dxfId="17558" priority="17571"/>
    <cfRule type="duplicateValues" dxfId="17557" priority="17570"/>
    <cfRule type="duplicateValues" dxfId="17556" priority="17569"/>
    <cfRule type="duplicateValues" dxfId="17555" priority="17568"/>
    <cfRule type="duplicateValues" dxfId="17554" priority="17567"/>
    <cfRule type="duplicateValues" dxfId="17553" priority="17566"/>
    <cfRule type="duplicateValues" dxfId="17552" priority="17565"/>
    <cfRule type="duplicateValues" dxfId="17551" priority="17564"/>
    <cfRule type="duplicateValues" dxfId="17550" priority="17563"/>
    <cfRule type="duplicateValues" dxfId="17549" priority="17562"/>
    <cfRule type="duplicateValues" dxfId="17548" priority="17561"/>
    <cfRule type="duplicateValues" dxfId="17547" priority="17560"/>
    <cfRule type="duplicateValues" dxfId="17546" priority="17559"/>
    <cfRule type="duplicateValues" dxfId="17545" priority="17558"/>
    <cfRule type="duplicateValues" dxfId="17544" priority="17557"/>
    <cfRule type="duplicateValues" dxfId="17543" priority="17556"/>
    <cfRule type="duplicateValues" dxfId="17542" priority="17555"/>
    <cfRule type="duplicateValues" dxfId="17541" priority="17554"/>
    <cfRule type="duplicateValues" dxfId="17540" priority="17553"/>
    <cfRule type="duplicateValues" dxfId="17539" priority="17552"/>
    <cfRule type="duplicateValues" dxfId="17538" priority="17551"/>
    <cfRule type="duplicateValues" dxfId="17537" priority="17550"/>
    <cfRule type="duplicateValues" dxfId="17536" priority="17549"/>
    <cfRule type="duplicateValues" dxfId="17535" priority="17548"/>
    <cfRule type="duplicateValues" dxfId="17534" priority="17547"/>
    <cfRule type="duplicateValues" dxfId="17533" priority="17546"/>
    <cfRule type="duplicateValues" dxfId="17532" priority="17545"/>
    <cfRule type="duplicateValues" dxfId="17531" priority="17544"/>
    <cfRule type="duplicateValues" dxfId="17530" priority="17543"/>
    <cfRule type="duplicateValues" dxfId="17529" priority="17542"/>
    <cfRule type="duplicateValues" dxfId="17528" priority="17541"/>
    <cfRule type="duplicateValues" dxfId="17527" priority="17540"/>
    <cfRule type="duplicateValues" dxfId="17526" priority="17539"/>
    <cfRule type="duplicateValues" dxfId="17525" priority="17538"/>
    <cfRule type="duplicateValues" dxfId="17524" priority="17537"/>
    <cfRule type="duplicateValues" dxfId="17523" priority="17536"/>
    <cfRule type="duplicateValues" dxfId="17522" priority="17535"/>
    <cfRule type="duplicateValues" dxfId="17521" priority="17534"/>
    <cfRule type="duplicateValues" dxfId="17520" priority="17533"/>
    <cfRule type="duplicateValues" dxfId="17519" priority="17532"/>
    <cfRule type="duplicateValues" dxfId="17518" priority="17531"/>
    <cfRule type="duplicateValues" dxfId="17517" priority="17530"/>
    <cfRule type="duplicateValues" dxfId="17516" priority="17529"/>
    <cfRule type="duplicateValues" dxfId="17515" priority="17528"/>
    <cfRule type="duplicateValues" dxfId="17514" priority="17527"/>
    <cfRule type="duplicateValues" dxfId="17513" priority="17526"/>
    <cfRule type="duplicateValues" dxfId="17512" priority="17525"/>
    <cfRule type="duplicateValues" dxfId="17511" priority="17524"/>
    <cfRule type="duplicateValues" dxfId="17510" priority="17523"/>
    <cfRule type="duplicateValues" dxfId="17509" priority="17522"/>
    <cfRule type="duplicateValues" dxfId="17508" priority="17521"/>
    <cfRule type="duplicateValues" dxfId="17507" priority="17520"/>
    <cfRule type="duplicateValues" dxfId="17506" priority="17519"/>
    <cfRule type="duplicateValues" dxfId="17505" priority="17518"/>
    <cfRule type="duplicateValues" dxfId="17504" priority="17516"/>
    <cfRule type="duplicateValues" dxfId="17503" priority="17515"/>
    <cfRule type="duplicateValues" dxfId="17502" priority="17514"/>
    <cfRule type="duplicateValues" dxfId="17501" priority="17513"/>
    <cfRule type="duplicateValues" dxfId="17500" priority="17512"/>
    <cfRule type="duplicateValues" dxfId="17499" priority="17511"/>
    <cfRule type="duplicateValues" dxfId="17498" priority="17510"/>
    <cfRule type="duplicateValues" dxfId="17497" priority="17509"/>
    <cfRule type="duplicateValues" dxfId="17496" priority="17508"/>
    <cfRule type="duplicateValues" dxfId="17495" priority="17507"/>
    <cfRule type="duplicateValues" dxfId="17494" priority="17506"/>
    <cfRule type="duplicateValues" dxfId="17493" priority="17505"/>
    <cfRule type="duplicateValues" dxfId="17492" priority="17504"/>
    <cfRule type="duplicateValues" dxfId="17491" priority="17503"/>
    <cfRule type="duplicateValues" dxfId="17490" priority="17502"/>
    <cfRule type="duplicateValues" dxfId="17489" priority="17501"/>
    <cfRule type="duplicateValues" dxfId="17488" priority="17500"/>
    <cfRule type="duplicateValues" dxfId="17487" priority="17499"/>
    <cfRule type="duplicateValues" dxfId="17486" priority="17498"/>
    <cfRule type="duplicateValues" dxfId="17485" priority="17497"/>
    <cfRule type="duplicateValues" dxfId="17484" priority="17496"/>
    <cfRule type="duplicateValues" dxfId="17483" priority="17495"/>
  </conditionalFormatting>
  <conditionalFormatting sqref="B235:B236">
    <cfRule type="duplicateValues" dxfId="17482" priority="17308"/>
    <cfRule type="duplicateValues" dxfId="17481" priority="17307"/>
    <cfRule type="duplicateValues" dxfId="17480" priority="17306"/>
    <cfRule type="duplicateValues" dxfId="17479" priority="17305"/>
    <cfRule type="duplicateValues" dxfId="17478" priority="17491"/>
    <cfRule type="duplicateValues" dxfId="17477" priority="17490"/>
    <cfRule type="duplicateValues" dxfId="17476" priority="17489"/>
    <cfRule type="duplicateValues" dxfId="17475" priority="17488"/>
    <cfRule type="duplicateValues" dxfId="17474" priority="17487"/>
    <cfRule type="duplicateValues" dxfId="17473" priority="17486"/>
    <cfRule type="duplicateValues" dxfId="17472" priority="17485"/>
    <cfRule type="duplicateValues" dxfId="17471" priority="17484"/>
    <cfRule type="duplicateValues" dxfId="17470" priority="17483"/>
    <cfRule type="duplicateValues" dxfId="17469" priority="17482"/>
    <cfRule type="duplicateValues" dxfId="17468" priority="17481"/>
    <cfRule type="duplicateValues" dxfId="17467" priority="17480"/>
    <cfRule type="duplicateValues" dxfId="17466" priority="17479"/>
    <cfRule type="duplicateValues" dxfId="17465" priority="17478"/>
    <cfRule type="duplicateValues" dxfId="17464" priority="17477"/>
    <cfRule type="duplicateValues" dxfId="17463" priority="17476"/>
    <cfRule type="duplicateValues" dxfId="17462" priority="17475"/>
    <cfRule type="duplicateValues" dxfId="17461" priority="17474"/>
    <cfRule type="duplicateValues" dxfId="17460" priority="17473"/>
    <cfRule type="duplicateValues" dxfId="17459" priority="17472"/>
    <cfRule type="duplicateValues" dxfId="17458" priority="17471"/>
    <cfRule type="duplicateValues" dxfId="17457" priority="17470"/>
    <cfRule type="duplicateValues" dxfId="17456" priority="17469"/>
    <cfRule type="duplicateValues" dxfId="17455" priority="17468"/>
    <cfRule type="duplicateValues" dxfId="17454" priority="17467"/>
    <cfRule type="duplicateValues" dxfId="17453" priority="17466"/>
    <cfRule type="duplicateValues" dxfId="17452" priority="17465"/>
    <cfRule type="duplicateValues" dxfId="17451" priority="17464"/>
    <cfRule type="duplicateValues" dxfId="17450" priority="17463"/>
    <cfRule type="duplicateValues" dxfId="17449" priority="17462"/>
    <cfRule type="duplicateValues" dxfId="17448" priority="17461"/>
    <cfRule type="duplicateValues" dxfId="17447" priority="17460"/>
    <cfRule type="duplicateValues" dxfId="17446" priority="17459"/>
    <cfRule type="duplicateValues" dxfId="17445" priority="17458"/>
    <cfRule type="duplicateValues" dxfId="17444" priority="17457"/>
    <cfRule type="duplicateValues" dxfId="17443" priority="17456"/>
    <cfRule type="duplicateValues" dxfId="17442" priority="17455"/>
    <cfRule type="duplicateValues" dxfId="17441" priority="17454"/>
    <cfRule type="duplicateValues" dxfId="17440" priority="17453"/>
    <cfRule type="duplicateValues" dxfId="17439" priority="17452"/>
    <cfRule type="duplicateValues" dxfId="17438" priority="17451"/>
    <cfRule type="duplicateValues" dxfId="17437" priority="17450"/>
    <cfRule type="duplicateValues" dxfId="17436" priority="17449"/>
    <cfRule type="duplicateValues" dxfId="17435" priority="17448"/>
    <cfRule type="duplicateValues" dxfId="17434" priority="17447"/>
    <cfRule type="duplicateValues" dxfId="17433" priority="17446"/>
    <cfRule type="duplicateValues" dxfId="17432" priority="17445"/>
    <cfRule type="duplicateValues" dxfId="17431" priority="17444"/>
    <cfRule type="duplicateValues" dxfId="17430" priority="17443"/>
    <cfRule type="duplicateValues" dxfId="17429" priority="17442"/>
    <cfRule type="duplicateValues" dxfId="17428" priority="17441"/>
    <cfRule type="duplicateValues" dxfId="17427" priority="17440"/>
    <cfRule type="duplicateValues" dxfId="17426" priority="17439"/>
    <cfRule type="duplicateValues" dxfId="17425" priority="17438"/>
    <cfRule type="duplicateValues" dxfId="17424" priority="17437"/>
    <cfRule type="duplicateValues" dxfId="17423" priority="17436"/>
    <cfRule type="duplicateValues" dxfId="17422" priority="17435"/>
    <cfRule type="duplicateValues" dxfId="17421" priority="17434"/>
    <cfRule type="duplicateValues" dxfId="17420" priority="17433"/>
    <cfRule type="duplicateValues" dxfId="17419" priority="17432"/>
    <cfRule type="duplicateValues" dxfId="17418" priority="17431"/>
    <cfRule type="duplicateValues" dxfId="17417" priority="17430"/>
    <cfRule type="duplicateValues" dxfId="17416" priority="17429"/>
    <cfRule type="duplicateValues" dxfId="17415" priority="17428"/>
    <cfRule type="duplicateValues" dxfId="17414" priority="17427"/>
    <cfRule type="duplicateValues" dxfId="17413" priority="17426"/>
    <cfRule type="duplicateValues" dxfId="17412" priority="17425"/>
    <cfRule type="duplicateValues" dxfId="17411" priority="17424"/>
    <cfRule type="duplicateValues" dxfId="17410" priority="17423"/>
    <cfRule type="duplicateValues" dxfId="17409" priority="17422"/>
    <cfRule type="duplicateValues" dxfId="17408" priority="17421"/>
    <cfRule type="duplicateValues" dxfId="17407" priority="17420"/>
    <cfRule type="duplicateValues" dxfId="17406" priority="17419"/>
    <cfRule type="duplicateValues" dxfId="17405" priority="17418"/>
    <cfRule type="duplicateValues" dxfId="17404" priority="17417"/>
    <cfRule type="duplicateValues" dxfId="17403" priority="17416"/>
    <cfRule type="duplicateValues" dxfId="17402" priority="17415"/>
    <cfRule type="duplicateValues" dxfId="17401" priority="17414"/>
    <cfRule type="duplicateValues" dxfId="17400" priority="17413"/>
    <cfRule type="duplicateValues" dxfId="17399" priority="17412"/>
    <cfRule type="duplicateValues" dxfId="17398" priority="17411"/>
    <cfRule type="duplicateValues" dxfId="17397" priority="17410"/>
    <cfRule type="duplicateValues" dxfId="17396" priority="17409"/>
    <cfRule type="duplicateValues" dxfId="17395" priority="17408"/>
    <cfRule type="duplicateValues" dxfId="17394" priority="17407"/>
    <cfRule type="duplicateValues" dxfId="17393" priority="17406"/>
    <cfRule type="duplicateValues" dxfId="17392" priority="17405"/>
    <cfRule type="duplicateValues" dxfId="17391" priority="17404"/>
    <cfRule type="duplicateValues" dxfId="17390" priority="17403"/>
    <cfRule type="duplicateValues" dxfId="17389" priority="17402"/>
    <cfRule type="duplicateValues" dxfId="17388" priority="17401"/>
    <cfRule type="duplicateValues" dxfId="17387" priority="17400"/>
    <cfRule type="duplicateValues" dxfId="17386" priority="17399"/>
    <cfRule type="duplicateValues" dxfId="17385" priority="17398"/>
    <cfRule type="duplicateValues" dxfId="17384" priority="17397"/>
    <cfRule type="duplicateValues" dxfId="17383" priority="17396"/>
    <cfRule type="duplicateValues" dxfId="17382" priority="17395"/>
    <cfRule type="duplicateValues" dxfId="17381" priority="17394"/>
    <cfRule type="duplicateValues" dxfId="17380" priority="17393"/>
    <cfRule type="duplicateValues" dxfId="17379" priority="17392"/>
    <cfRule type="duplicateValues" dxfId="17378" priority="17391"/>
    <cfRule type="duplicateValues" dxfId="17377" priority="17390"/>
    <cfRule type="duplicateValues" dxfId="17376" priority="17389"/>
    <cfRule type="duplicateValues" dxfId="17375" priority="17388"/>
    <cfRule type="duplicateValues" dxfId="17374" priority="17387"/>
    <cfRule type="duplicateValues" dxfId="17373" priority="17386"/>
    <cfRule type="duplicateValues" dxfId="17372" priority="17385"/>
    <cfRule type="duplicateValues" dxfId="17371" priority="17384"/>
    <cfRule type="duplicateValues" dxfId="17370" priority="17383"/>
    <cfRule type="duplicateValues" dxfId="17369" priority="17382"/>
    <cfRule type="duplicateValues" dxfId="17368" priority="17381"/>
    <cfRule type="duplicateValues" dxfId="17367" priority="17380"/>
    <cfRule type="duplicateValues" dxfId="17366" priority="17379"/>
    <cfRule type="duplicateValues" dxfId="17365" priority="17378"/>
    <cfRule type="duplicateValues" dxfId="17364" priority="17377"/>
    <cfRule type="duplicateValues" dxfId="17363" priority="17376"/>
    <cfRule type="duplicateValues" dxfId="17362" priority="17375"/>
    <cfRule type="duplicateValues" dxfId="17361" priority="17374"/>
    <cfRule type="duplicateValues" dxfId="17360" priority="17373"/>
    <cfRule type="duplicateValues" dxfId="17359" priority="17372"/>
    <cfRule type="duplicateValues" dxfId="17358" priority="17371"/>
    <cfRule type="duplicateValues" dxfId="17357" priority="17370"/>
    <cfRule type="duplicateValues" dxfId="17356" priority="17369"/>
    <cfRule type="duplicateValues" dxfId="17355" priority="17368"/>
    <cfRule type="duplicateValues" dxfId="17354" priority="17367"/>
    <cfRule type="duplicateValues" dxfId="17353" priority="17366"/>
    <cfRule type="duplicateValues" dxfId="17352" priority="17365"/>
    <cfRule type="duplicateValues" dxfId="17351" priority="17364"/>
    <cfRule type="duplicateValues" dxfId="17350" priority="17363"/>
    <cfRule type="duplicateValues" dxfId="17349" priority="17362"/>
    <cfRule type="duplicateValues" dxfId="17348" priority="17361"/>
    <cfRule type="duplicateValues" dxfId="17347" priority="17360"/>
    <cfRule type="duplicateValues" dxfId="17346" priority="17359"/>
    <cfRule type="duplicateValues" dxfId="17345" priority="17358"/>
    <cfRule type="duplicateValues" dxfId="17344" priority="17357"/>
    <cfRule type="duplicateValues" dxfId="17343" priority="17356"/>
    <cfRule type="duplicateValues" dxfId="17342" priority="17355"/>
    <cfRule type="duplicateValues" dxfId="17341" priority="17354"/>
    <cfRule type="duplicateValues" dxfId="17340" priority="17353"/>
    <cfRule type="duplicateValues" dxfId="17339" priority="17352"/>
    <cfRule type="duplicateValues" dxfId="17338" priority="17351"/>
    <cfRule type="duplicateValues" dxfId="17337" priority="17350"/>
    <cfRule type="duplicateValues" dxfId="17336" priority="17349"/>
    <cfRule type="duplicateValues" dxfId="17335" priority="17348"/>
    <cfRule type="duplicateValues" dxfId="17334" priority="17347"/>
    <cfRule type="duplicateValues" dxfId="17333" priority="17346"/>
    <cfRule type="duplicateValues" dxfId="17332" priority="17345"/>
    <cfRule type="duplicateValues" dxfId="17331" priority="17344"/>
    <cfRule type="duplicateValues" dxfId="17330" priority="17343"/>
    <cfRule type="duplicateValues" dxfId="17329" priority="17342"/>
    <cfRule type="duplicateValues" dxfId="17328" priority="17341"/>
    <cfRule type="duplicateValues" dxfId="17327" priority="17340"/>
    <cfRule type="duplicateValues" dxfId="17326" priority="17339"/>
    <cfRule type="duplicateValues" dxfId="17325" priority="17338"/>
    <cfRule type="duplicateValues" dxfId="17324" priority="17337"/>
    <cfRule type="duplicateValues" dxfId="17323" priority="17336"/>
    <cfRule type="duplicateValues" dxfId="17322" priority="17335"/>
    <cfRule type="duplicateValues" dxfId="17321" priority="17334"/>
    <cfRule type="duplicateValues" dxfId="17320" priority="17333"/>
    <cfRule type="duplicateValues" dxfId="17319" priority="17332"/>
    <cfRule type="duplicateValues" dxfId="17318" priority="17331"/>
    <cfRule type="duplicateValues" dxfId="17317" priority="17330"/>
    <cfRule type="duplicateValues" dxfId="17316" priority="17329"/>
    <cfRule type="duplicateValues" dxfId="17315" priority="17328"/>
    <cfRule type="duplicateValues" dxfId="17314" priority="17327"/>
    <cfRule type="duplicateValues" dxfId="17313" priority="17326"/>
    <cfRule type="duplicateValues" dxfId="17312" priority="17325"/>
    <cfRule type="duplicateValues" dxfId="17311" priority="17324"/>
    <cfRule type="duplicateValues" dxfId="17310" priority="17323"/>
    <cfRule type="duplicateValues" dxfId="17309" priority="17322"/>
    <cfRule type="duplicateValues" dxfId="17308" priority="17321"/>
    <cfRule type="duplicateValues" dxfId="17307" priority="17320"/>
    <cfRule type="duplicateValues" dxfId="17306" priority="17319"/>
    <cfRule type="duplicateValues" dxfId="17305" priority="17318"/>
    <cfRule type="duplicateValues" dxfId="17304" priority="17317"/>
    <cfRule type="duplicateValues" dxfId="17303" priority="17316"/>
    <cfRule type="duplicateValues" dxfId="17302" priority="17315"/>
    <cfRule type="duplicateValues" dxfId="17301" priority="17314"/>
    <cfRule type="duplicateValues" dxfId="17300" priority="17313"/>
    <cfRule type="duplicateValues" dxfId="17299" priority="17312"/>
    <cfRule type="duplicateValues" dxfId="17298" priority="17311"/>
    <cfRule type="duplicateValues" dxfId="17297" priority="17310"/>
    <cfRule type="duplicateValues" dxfId="17296" priority="17309"/>
  </conditionalFormatting>
  <conditionalFormatting sqref="B237">
    <cfRule type="duplicateValues" dxfId="17295" priority="17121"/>
    <cfRule type="duplicateValues" dxfId="17294" priority="17120"/>
    <cfRule type="duplicateValues" dxfId="17293" priority="17119"/>
    <cfRule type="duplicateValues" dxfId="17292" priority="17118"/>
    <cfRule type="duplicateValues" dxfId="17291" priority="17304"/>
    <cfRule type="duplicateValues" dxfId="17290" priority="17303"/>
    <cfRule type="duplicateValues" dxfId="17289" priority="17302"/>
    <cfRule type="duplicateValues" dxfId="17288" priority="17301"/>
    <cfRule type="duplicateValues" dxfId="17287" priority="17300"/>
    <cfRule type="duplicateValues" dxfId="17286" priority="17299"/>
    <cfRule type="duplicateValues" dxfId="17285" priority="17298"/>
    <cfRule type="duplicateValues" dxfId="17284" priority="17297"/>
    <cfRule type="duplicateValues" dxfId="17283" priority="17296"/>
    <cfRule type="duplicateValues" dxfId="17282" priority="17295"/>
    <cfRule type="duplicateValues" dxfId="17281" priority="17294"/>
    <cfRule type="duplicateValues" dxfId="17280" priority="17293"/>
    <cfRule type="duplicateValues" dxfId="17279" priority="17292"/>
    <cfRule type="duplicateValues" dxfId="17278" priority="17291"/>
    <cfRule type="duplicateValues" dxfId="17277" priority="17290"/>
    <cfRule type="duplicateValues" dxfId="17276" priority="17289"/>
    <cfRule type="duplicateValues" dxfId="17275" priority="17288"/>
    <cfRule type="duplicateValues" dxfId="17274" priority="17287"/>
    <cfRule type="duplicateValues" dxfId="17273" priority="17286"/>
    <cfRule type="duplicateValues" dxfId="17272" priority="17285"/>
    <cfRule type="duplicateValues" dxfId="17271" priority="17284"/>
    <cfRule type="duplicateValues" dxfId="17270" priority="17283"/>
    <cfRule type="duplicateValues" dxfId="17269" priority="17282"/>
    <cfRule type="duplicateValues" dxfId="17268" priority="17281"/>
    <cfRule type="duplicateValues" dxfId="17267" priority="17280"/>
    <cfRule type="duplicateValues" dxfId="17266" priority="17279"/>
    <cfRule type="duplicateValues" dxfId="17265" priority="17278"/>
    <cfRule type="duplicateValues" dxfId="17264" priority="17277"/>
    <cfRule type="duplicateValues" dxfId="17263" priority="17276"/>
    <cfRule type="duplicateValues" dxfId="17262" priority="17275"/>
    <cfRule type="duplicateValues" dxfId="17261" priority="17274"/>
    <cfRule type="duplicateValues" dxfId="17260" priority="17273"/>
    <cfRule type="duplicateValues" dxfId="17259" priority="17272"/>
    <cfRule type="duplicateValues" dxfId="17258" priority="17271"/>
    <cfRule type="duplicateValues" dxfId="17257" priority="17270"/>
    <cfRule type="duplicateValues" dxfId="17256" priority="17269"/>
    <cfRule type="duplicateValues" dxfId="17255" priority="17268"/>
    <cfRule type="duplicateValues" dxfId="17254" priority="17267"/>
    <cfRule type="duplicateValues" dxfId="17253" priority="17266"/>
    <cfRule type="duplicateValues" dxfId="17252" priority="17265"/>
    <cfRule type="duplicateValues" dxfId="17251" priority="17264"/>
    <cfRule type="duplicateValues" dxfId="17250" priority="17263"/>
    <cfRule type="duplicateValues" dxfId="17249" priority="17262"/>
    <cfRule type="duplicateValues" dxfId="17248" priority="17261"/>
    <cfRule type="duplicateValues" dxfId="17247" priority="17260"/>
    <cfRule type="duplicateValues" dxfId="17246" priority="17259"/>
    <cfRule type="duplicateValues" dxfId="17245" priority="17258"/>
    <cfRule type="duplicateValues" dxfId="17244" priority="17257"/>
    <cfRule type="duplicateValues" dxfId="17243" priority="17256"/>
    <cfRule type="duplicateValues" dxfId="17242" priority="17255"/>
    <cfRule type="duplicateValues" dxfId="17241" priority="17254"/>
    <cfRule type="duplicateValues" dxfId="17240" priority="17253"/>
    <cfRule type="duplicateValues" dxfId="17239" priority="17252"/>
    <cfRule type="duplicateValues" dxfId="17238" priority="17251"/>
    <cfRule type="duplicateValues" dxfId="17237" priority="17250"/>
    <cfRule type="duplicateValues" dxfId="17236" priority="17249"/>
    <cfRule type="duplicateValues" dxfId="17235" priority="17248"/>
    <cfRule type="duplicateValues" dxfId="17234" priority="17247"/>
    <cfRule type="duplicateValues" dxfId="17233" priority="17246"/>
    <cfRule type="duplicateValues" dxfId="17232" priority="17245"/>
    <cfRule type="duplicateValues" dxfId="17231" priority="17244"/>
    <cfRule type="duplicateValues" dxfId="17230" priority="17243"/>
    <cfRule type="duplicateValues" dxfId="17229" priority="17242"/>
    <cfRule type="duplicateValues" dxfId="17228" priority="17241"/>
    <cfRule type="duplicateValues" dxfId="17227" priority="17240"/>
    <cfRule type="duplicateValues" dxfId="17226" priority="17239"/>
    <cfRule type="duplicateValues" dxfId="17225" priority="17238"/>
    <cfRule type="duplicateValues" dxfId="17224" priority="17237"/>
    <cfRule type="duplicateValues" dxfId="17223" priority="17236"/>
    <cfRule type="duplicateValues" dxfId="17222" priority="17235"/>
    <cfRule type="duplicateValues" dxfId="17221" priority="17234"/>
    <cfRule type="duplicateValues" dxfId="17220" priority="17233"/>
    <cfRule type="duplicateValues" dxfId="17219" priority="17232"/>
    <cfRule type="duplicateValues" dxfId="17218" priority="17231"/>
    <cfRule type="duplicateValues" dxfId="17217" priority="17230"/>
    <cfRule type="duplicateValues" dxfId="17216" priority="17229"/>
    <cfRule type="duplicateValues" dxfId="17215" priority="17228"/>
    <cfRule type="duplicateValues" dxfId="17214" priority="17227"/>
    <cfRule type="duplicateValues" dxfId="17213" priority="17226"/>
    <cfRule type="duplicateValues" dxfId="17212" priority="17225"/>
    <cfRule type="duplicateValues" dxfId="17211" priority="17224"/>
    <cfRule type="duplicateValues" dxfId="17210" priority="17223"/>
    <cfRule type="duplicateValues" dxfId="17209" priority="17222"/>
    <cfRule type="duplicateValues" dxfId="17208" priority="17221"/>
    <cfRule type="duplicateValues" dxfId="17207" priority="17220"/>
    <cfRule type="duplicateValues" dxfId="17206" priority="17219"/>
    <cfRule type="duplicateValues" dxfId="17205" priority="17218"/>
    <cfRule type="duplicateValues" dxfId="17204" priority="17217"/>
    <cfRule type="duplicateValues" dxfId="17203" priority="17216"/>
    <cfRule type="duplicateValues" dxfId="17202" priority="17215"/>
    <cfRule type="duplicateValues" dxfId="17201" priority="17214"/>
    <cfRule type="duplicateValues" dxfId="17200" priority="17213"/>
    <cfRule type="duplicateValues" dxfId="17199" priority="17212"/>
    <cfRule type="duplicateValues" dxfId="17198" priority="17211"/>
    <cfRule type="duplicateValues" dxfId="17197" priority="17210"/>
    <cfRule type="duplicateValues" dxfId="17196" priority="17209"/>
    <cfRule type="duplicateValues" dxfId="17195" priority="17208"/>
    <cfRule type="duplicateValues" dxfId="17194" priority="17207"/>
    <cfRule type="duplicateValues" dxfId="17193" priority="17206"/>
    <cfRule type="duplicateValues" dxfId="17192" priority="17205"/>
    <cfRule type="duplicateValues" dxfId="17191" priority="17204"/>
    <cfRule type="duplicateValues" dxfId="17190" priority="17203"/>
    <cfRule type="duplicateValues" dxfId="17189" priority="17202"/>
    <cfRule type="duplicateValues" dxfId="17188" priority="17201"/>
    <cfRule type="duplicateValues" dxfId="17187" priority="17200"/>
    <cfRule type="duplicateValues" dxfId="17186" priority="17199"/>
    <cfRule type="duplicateValues" dxfId="17185" priority="17198"/>
    <cfRule type="duplicateValues" dxfId="17184" priority="17197"/>
    <cfRule type="duplicateValues" dxfId="17183" priority="17196"/>
    <cfRule type="duplicateValues" dxfId="17182" priority="17195"/>
    <cfRule type="duplicateValues" dxfId="17181" priority="17194"/>
    <cfRule type="duplicateValues" dxfId="17180" priority="17193"/>
    <cfRule type="duplicateValues" dxfId="17179" priority="17192"/>
    <cfRule type="duplicateValues" dxfId="17178" priority="17191"/>
    <cfRule type="duplicateValues" dxfId="17177" priority="17190"/>
    <cfRule type="duplicateValues" dxfId="17176" priority="17189"/>
    <cfRule type="duplicateValues" dxfId="17175" priority="17188"/>
    <cfRule type="duplicateValues" dxfId="17174" priority="17187"/>
    <cfRule type="duplicateValues" dxfId="17173" priority="17186"/>
    <cfRule type="duplicateValues" dxfId="17172" priority="17185"/>
    <cfRule type="duplicateValues" dxfId="17171" priority="17184"/>
    <cfRule type="duplicateValues" dxfId="17170" priority="17183"/>
    <cfRule type="duplicateValues" dxfId="17169" priority="17182"/>
    <cfRule type="duplicateValues" dxfId="17168" priority="17181"/>
    <cfRule type="duplicateValues" dxfId="17167" priority="17180"/>
    <cfRule type="duplicateValues" dxfId="17166" priority="17179"/>
    <cfRule type="duplicateValues" dxfId="17165" priority="17178"/>
    <cfRule type="duplicateValues" dxfId="17164" priority="17177"/>
    <cfRule type="duplicateValues" dxfId="17163" priority="17176"/>
    <cfRule type="duplicateValues" dxfId="17162" priority="17175"/>
    <cfRule type="duplicateValues" dxfId="17161" priority="17174"/>
    <cfRule type="duplicateValues" dxfId="17160" priority="17173"/>
    <cfRule type="duplicateValues" dxfId="17159" priority="17172"/>
    <cfRule type="duplicateValues" dxfId="17158" priority="17171"/>
    <cfRule type="duplicateValues" dxfId="17157" priority="17170"/>
    <cfRule type="duplicateValues" dxfId="17156" priority="17169"/>
    <cfRule type="duplicateValues" dxfId="17155" priority="17168"/>
    <cfRule type="duplicateValues" dxfId="17154" priority="17167"/>
    <cfRule type="duplicateValues" dxfId="17153" priority="17166"/>
    <cfRule type="duplicateValues" dxfId="17152" priority="17165"/>
    <cfRule type="duplicateValues" dxfId="17151" priority="17164"/>
    <cfRule type="duplicateValues" dxfId="17150" priority="17163"/>
    <cfRule type="duplicateValues" dxfId="17149" priority="17162"/>
    <cfRule type="duplicateValues" dxfId="17148" priority="17161"/>
    <cfRule type="duplicateValues" dxfId="17147" priority="17160"/>
    <cfRule type="duplicateValues" dxfId="17146" priority="17159"/>
    <cfRule type="duplicateValues" dxfId="17145" priority="17158"/>
    <cfRule type="duplicateValues" dxfId="17144" priority="17157"/>
    <cfRule type="duplicateValues" dxfId="17143" priority="17156"/>
    <cfRule type="duplicateValues" dxfId="17142" priority="17155"/>
    <cfRule type="duplicateValues" dxfId="17141" priority="17154"/>
    <cfRule type="duplicateValues" dxfId="17140" priority="17153"/>
    <cfRule type="duplicateValues" dxfId="17139" priority="17152"/>
    <cfRule type="duplicateValues" dxfId="17138" priority="17151"/>
    <cfRule type="duplicateValues" dxfId="17137" priority="17150"/>
    <cfRule type="duplicateValues" dxfId="17136" priority="17149"/>
    <cfRule type="duplicateValues" dxfId="17135" priority="17148"/>
    <cfRule type="duplicateValues" dxfId="17134" priority="17147"/>
    <cfRule type="duplicateValues" dxfId="17133" priority="17146"/>
    <cfRule type="duplicateValues" dxfId="17132" priority="17145"/>
    <cfRule type="duplicateValues" dxfId="17131" priority="17144"/>
    <cfRule type="duplicateValues" dxfId="17130" priority="17143"/>
    <cfRule type="duplicateValues" dxfId="17129" priority="17142"/>
    <cfRule type="duplicateValues" dxfId="17128" priority="17141"/>
    <cfRule type="duplicateValues" dxfId="17127" priority="17140"/>
    <cfRule type="duplicateValues" dxfId="17126" priority="17139"/>
    <cfRule type="duplicateValues" dxfId="17125" priority="17138"/>
    <cfRule type="duplicateValues" dxfId="17124" priority="17137"/>
    <cfRule type="duplicateValues" dxfId="17123" priority="17136"/>
    <cfRule type="duplicateValues" dxfId="17122" priority="17135"/>
    <cfRule type="duplicateValues" dxfId="17121" priority="17134"/>
    <cfRule type="duplicateValues" dxfId="17120" priority="17133"/>
    <cfRule type="duplicateValues" dxfId="17119" priority="17132"/>
    <cfRule type="duplicateValues" dxfId="17118" priority="17131"/>
    <cfRule type="duplicateValues" dxfId="17117" priority="17130"/>
    <cfRule type="duplicateValues" dxfId="17116" priority="17129"/>
    <cfRule type="duplicateValues" dxfId="17115" priority="17128"/>
    <cfRule type="duplicateValues" dxfId="17114" priority="17127"/>
    <cfRule type="duplicateValues" dxfId="17113" priority="17126"/>
    <cfRule type="duplicateValues" dxfId="17112" priority="17125"/>
    <cfRule type="duplicateValues" dxfId="17111" priority="17124"/>
    <cfRule type="duplicateValues" dxfId="17110" priority="17123"/>
    <cfRule type="duplicateValues" dxfId="17109" priority="17122"/>
  </conditionalFormatting>
  <conditionalFormatting sqref="B238">
    <cfRule type="duplicateValues" dxfId="17108" priority="17051"/>
    <cfRule type="duplicateValues" dxfId="17107" priority="16934"/>
    <cfRule type="duplicateValues" dxfId="17106" priority="16933"/>
    <cfRule type="duplicateValues" dxfId="17105" priority="16932"/>
    <cfRule type="duplicateValues" dxfId="17104" priority="17117"/>
    <cfRule type="duplicateValues" dxfId="17103" priority="17116"/>
    <cfRule type="duplicateValues" dxfId="17102" priority="17115"/>
    <cfRule type="duplicateValues" dxfId="17101" priority="17114"/>
    <cfRule type="duplicateValues" dxfId="17100" priority="17113"/>
    <cfRule type="duplicateValues" dxfId="17099" priority="17112"/>
    <cfRule type="duplicateValues" dxfId="17098" priority="17111"/>
    <cfRule type="duplicateValues" dxfId="17097" priority="17110"/>
    <cfRule type="duplicateValues" dxfId="17096" priority="17109"/>
    <cfRule type="duplicateValues" dxfId="17095" priority="17108"/>
    <cfRule type="duplicateValues" dxfId="17094" priority="17107"/>
    <cfRule type="duplicateValues" dxfId="17093" priority="17106"/>
    <cfRule type="duplicateValues" dxfId="17092" priority="17105"/>
    <cfRule type="duplicateValues" dxfId="17091" priority="17104"/>
    <cfRule type="duplicateValues" dxfId="17090" priority="17103"/>
    <cfRule type="duplicateValues" dxfId="17089" priority="17102"/>
    <cfRule type="duplicateValues" dxfId="17088" priority="17101"/>
    <cfRule type="duplicateValues" dxfId="17087" priority="17100"/>
    <cfRule type="duplicateValues" dxfId="17086" priority="17099"/>
    <cfRule type="duplicateValues" dxfId="17085" priority="17098"/>
    <cfRule type="duplicateValues" dxfId="17084" priority="17097"/>
    <cfRule type="duplicateValues" dxfId="17083" priority="17096"/>
    <cfRule type="duplicateValues" dxfId="17082" priority="17095"/>
    <cfRule type="duplicateValues" dxfId="17081" priority="17094"/>
    <cfRule type="duplicateValues" dxfId="17080" priority="17093"/>
    <cfRule type="duplicateValues" dxfId="17079" priority="17092"/>
    <cfRule type="duplicateValues" dxfId="17078" priority="17091"/>
    <cfRule type="duplicateValues" dxfId="17077" priority="17090"/>
    <cfRule type="duplicateValues" dxfId="17076" priority="17089"/>
    <cfRule type="duplicateValues" dxfId="17075" priority="17088"/>
    <cfRule type="duplicateValues" dxfId="17074" priority="17087"/>
    <cfRule type="duplicateValues" dxfId="17073" priority="17086"/>
    <cfRule type="duplicateValues" dxfId="17072" priority="17085"/>
    <cfRule type="duplicateValues" dxfId="17071" priority="17084"/>
    <cfRule type="duplicateValues" dxfId="17070" priority="17083"/>
    <cfRule type="duplicateValues" dxfId="17069" priority="17082"/>
    <cfRule type="duplicateValues" dxfId="17068" priority="17081"/>
    <cfRule type="duplicateValues" dxfId="17067" priority="17080"/>
    <cfRule type="duplicateValues" dxfId="17066" priority="17079"/>
    <cfRule type="duplicateValues" dxfId="17065" priority="17078"/>
    <cfRule type="duplicateValues" dxfId="17064" priority="17077"/>
    <cfRule type="duplicateValues" dxfId="17063" priority="17076"/>
    <cfRule type="duplicateValues" dxfId="17062" priority="17075"/>
    <cfRule type="duplicateValues" dxfId="17061" priority="17074"/>
    <cfRule type="duplicateValues" dxfId="17060" priority="17073"/>
    <cfRule type="duplicateValues" dxfId="17059" priority="17072"/>
    <cfRule type="duplicateValues" dxfId="17058" priority="17071"/>
    <cfRule type="duplicateValues" dxfId="17057" priority="17070"/>
    <cfRule type="duplicateValues" dxfId="17056" priority="17069"/>
    <cfRule type="duplicateValues" dxfId="17055" priority="17068"/>
    <cfRule type="duplicateValues" dxfId="17054" priority="17067"/>
    <cfRule type="duplicateValues" dxfId="17053" priority="17066"/>
    <cfRule type="duplicateValues" dxfId="17052" priority="17065"/>
    <cfRule type="duplicateValues" dxfId="17051" priority="17064"/>
    <cfRule type="duplicateValues" dxfId="17050" priority="17063"/>
    <cfRule type="duplicateValues" dxfId="17049" priority="17062"/>
    <cfRule type="duplicateValues" dxfId="17048" priority="17061"/>
    <cfRule type="duplicateValues" dxfId="17047" priority="17060"/>
    <cfRule type="duplicateValues" dxfId="17046" priority="17059"/>
    <cfRule type="duplicateValues" dxfId="17045" priority="17058"/>
    <cfRule type="duplicateValues" dxfId="17044" priority="17057"/>
    <cfRule type="duplicateValues" dxfId="17043" priority="17056"/>
    <cfRule type="duplicateValues" dxfId="17042" priority="17055"/>
    <cfRule type="duplicateValues" dxfId="17041" priority="17054"/>
    <cfRule type="duplicateValues" dxfId="17040" priority="17053"/>
    <cfRule type="duplicateValues" dxfId="17039" priority="17052"/>
    <cfRule type="duplicateValues" dxfId="17038" priority="16981"/>
    <cfRule type="duplicateValues" dxfId="17037" priority="17050"/>
    <cfRule type="duplicateValues" dxfId="17036" priority="17049"/>
    <cfRule type="duplicateValues" dxfId="17035" priority="17048"/>
    <cfRule type="duplicateValues" dxfId="17034" priority="17047"/>
    <cfRule type="duplicateValues" dxfId="17033" priority="17046"/>
    <cfRule type="duplicateValues" dxfId="17032" priority="17045"/>
    <cfRule type="duplicateValues" dxfId="17031" priority="17044"/>
    <cfRule type="duplicateValues" dxfId="17030" priority="17043"/>
    <cfRule type="duplicateValues" dxfId="17029" priority="17042"/>
    <cfRule type="duplicateValues" dxfId="17028" priority="17041"/>
    <cfRule type="duplicateValues" dxfId="17027" priority="17040"/>
    <cfRule type="duplicateValues" dxfId="17026" priority="17039"/>
    <cfRule type="duplicateValues" dxfId="17025" priority="17038"/>
    <cfRule type="duplicateValues" dxfId="17024" priority="17037"/>
    <cfRule type="duplicateValues" dxfId="17023" priority="17036"/>
    <cfRule type="duplicateValues" dxfId="17022" priority="17035"/>
    <cfRule type="duplicateValues" dxfId="17021" priority="17034"/>
    <cfRule type="duplicateValues" dxfId="17020" priority="17033"/>
    <cfRule type="duplicateValues" dxfId="17019" priority="17032"/>
    <cfRule type="duplicateValues" dxfId="17018" priority="17031"/>
    <cfRule type="duplicateValues" dxfId="17017" priority="17030"/>
    <cfRule type="duplicateValues" dxfId="17016" priority="17029"/>
    <cfRule type="duplicateValues" dxfId="17015" priority="17028"/>
    <cfRule type="duplicateValues" dxfId="17014" priority="17027"/>
    <cfRule type="duplicateValues" dxfId="17013" priority="17026"/>
    <cfRule type="duplicateValues" dxfId="17012" priority="17025"/>
    <cfRule type="duplicateValues" dxfId="17011" priority="17024"/>
    <cfRule type="duplicateValues" dxfId="17010" priority="17023"/>
    <cfRule type="duplicateValues" dxfId="17009" priority="17022"/>
    <cfRule type="duplicateValues" dxfId="17008" priority="17021"/>
    <cfRule type="duplicateValues" dxfId="17007" priority="17020"/>
    <cfRule type="duplicateValues" dxfId="17006" priority="17019"/>
    <cfRule type="duplicateValues" dxfId="17005" priority="17018"/>
    <cfRule type="duplicateValues" dxfId="17004" priority="17017"/>
    <cfRule type="duplicateValues" dxfId="17003" priority="17016"/>
    <cfRule type="duplicateValues" dxfId="17002" priority="17015"/>
    <cfRule type="duplicateValues" dxfId="17001" priority="17014"/>
    <cfRule type="duplicateValues" dxfId="17000" priority="17013"/>
    <cfRule type="duplicateValues" dxfId="16999" priority="17012"/>
    <cfRule type="duplicateValues" dxfId="16998" priority="17011"/>
    <cfRule type="duplicateValues" dxfId="16997" priority="17010"/>
    <cfRule type="duplicateValues" dxfId="16996" priority="17009"/>
    <cfRule type="duplicateValues" dxfId="16995" priority="17008"/>
    <cfRule type="duplicateValues" dxfId="16994" priority="17007"/>
    <cfRule type="duplicateValues" dxfId="16993" priority="17006"/>
    <cfRule type="duplicateValues" dxfId="16992" priority="17005"/>
    <cfRule type="duplicateValues" dxfId="16991" priority="17004"/>
    <cfRule type="duplicateValues" dxfId="16990" priority="17003"/>
    <cfRule type="duplicateValues" dxfId="16989" priority="17002"/>
    <cfRule type="duplicateValues" dxfId="16988" priority="17001"/>
    <cfRule type="duplicateValues" dxfId="16987" priority="17000"/>
    <cfRule type="duplicateValues" dxfId="16986" priority="16999"/>
    <cfRule type="duplicateValues" dxfId="16985" priority="16998"/>
    <cfRule type="duplicateValues" dxfId="16984" priority="16997"/>
    <cfRule type="duplicateValues" dxfId="16983" priority="16996"/>
    <cfRule type="duplicateValues" dxfId="16982" priority="16995"/>
    <cfRule type="duplicateValues" dxfId="16981" priority="16994"/>
    <cfRule type="duplicateValues" dxfId="16980" priority="16993"/>
    <cfRule type="duplicateValues" dxfId="16979" priority="16992"/>
    <cfRule type="duplicateValues" dxfId="16978" priority="16991"/>
    <cfRule type="duplicateValues" dxfId="16977" priority="16990"/>
    <cfRule type="duplicateValues" dxfId="16976" priority="16989"/>
    <cfRule type="duplicateValues" dxfId="16975" priority="16988"/>
    <cfRule type="duplicateValues" dxfId="16974" priority="16987"/>
    <cfRule type="duplicateValues" dxfId="16973" priority="16986"/>
    <cfRule type="duplicateValues" dxfId="16972" priority="16985"/>
    <cfRule type="duplicateValues" dxfId="16971" priority="16984"/>
    <cfRule type="duplicateValues" dxfId="16970" priority="16983"/>
    <cfRule type="duplicateValues" dxfId="16969" priority="16982"/>
    <cfRule type="duplicateValues" dxfId="16968" priority="16931"/>
    <cfRule type="duplicateValues" dxfId="16967" priority="16980"/>
    <cfRule type="duplicateValues" dxfId="16966" priority="16979"/>
    <cfRule type="duplicateValues" dxfId="16965" priority="16978"/>
    <cfRule type="duplicateValues" dxfId="16964" priority="16977"/>
    <cfRule type="duplicateValues" dxfId="16963" priority="16976"/>
    <cfRule type="duplicateValues" dxfId="16962" priority="16975"/>
    <cfRule type="duplicateValues" dxfId="16961" priority="16974"/>
    <cfRule type="duplicateValues" dxfId="16960" priority="16973"/>
    <cfRule type="duplicateValues" dxfId="16959" priority="16972"/>
    <cfRule type="duplicateValues" dxfId="16958" priority="16971"/>
    <cfRule type="duplicateValues" dxfId="16957" priority="16970"/>
    <cfRule type="duplicateValues" dxfId="16956" priority="16969"/>
    <cfRule type="duplicateValues" dxfId="16955" priority="16968"/>
    <cfRule type="duplicateValues" dxfId="16954" priority="16967"/>
    <cfRule type="duplicateValues" dxfId="16953" priority="16966"/>
    <cfRule type="duplicateValues" dxfId="16952" priority="16965"/>
    <cfRule type="duplicateValues" dxfId="16951" priority="16964"/>
    <cfRule type="duplicateValues" dxfId="16950" priority="16963"/>
    <cfRule type="duplicateValues" dxfId="16949" priority="16962"/>
    <cfRule type="duplicateValues" dxfId="16948" priority="16961"/>
    <cfRule type="duplicateValues" dxfId="16947" priority="16960"/>
    <cfRule type="duplicateValues" dxfId="16946" priority="16959"/>
    <cfRule type="duplicateValues" dxfId="16945" priority="16958"/>
    <cfRule type="duplicateValues" dxfId="16944" priority="16957"/>
    <cfRule type="duplicateValues" dxfId="16943" priority="16956"/>
    <cfRule type="duplicateValues" dxfId="16942" priority="16955"/>
    <cfRule type="duplicateValues" dxfId="16941" priority="16954"/>
    <cfRule type="duplicateValues" dxfId="16940" priority="16953"/>
    <cfRule type="duplicateValues" dxfId="16939" priority="16952"/>
    <cfRule type="duplicateValues" dxfId="16938" priority="16951"/>
    <cfRule type="duplicateValues" dxfId="16937" priority="16950"/>
    <cfRule type="duplicateValues" dxfId="16936" priority="16949"/>
    <cfRule type="duplicateValues" dxfId="16935" priority="16948"/>
    <cfRule type="duplicateValues" dxfId="16934" priority="16947"/>
    <cfRule type="duplicateValues" dxfId="16933" priority="16946"/>
    <cfRule type="duplicateValues" dxfId="16932" priority="16945"/>
    <cfRule type="duplicateValues" dxfId="16931" priority="16944"/>
    <cfRule type="duplicateValues" dxfId="16930" priority="16943"/>
    <cfRule type="duplicateValues" dxfId="16929" priority="16942"/>
    <cfRule type="duplicateValues" dxfId="16928" priority="16941"/>
    <cfRule type="duplicateValues" dxfId="16927" priority="16940"/>
    <cfRule type="duplicateValues" dxfId="16926" priority="16939"/>
    <cfRule type="duplicateValues" dxfId="16925" priority="16938"/>
    <cfRule type="duplicateValues" dxfId="16924" priority="16937"/>
    <cfRule type="duplicateValues" dxfId="16923" priority="16936"/>
    <cfRule type="duplicateValues" dxfId="16922" priority="16935"/>
  </conditionalFormatting>
  <conditionalFormatting sqref="B239">
    <cfRule type="duplicateValues" dxfId="16921" priority="16745"/>
    <cfRule type="duplicateValues" dxfId="16920" priority="16744"/>
    <cfRule type="duplicateValues" dxfId="16919" priority="16743"/>
    <cfRule type="duplicateValues" dxfId="16918" priority="16742"/>
    <cfRule type="duplicateValues" dxfId="16917" priority="16930"/>
    <cfRule type="duplicateValues" dxfId="16916" priority="16929"/>
    <cfRule type="duplicateValues" dxfId="16915" priority="16928"/>
    <cfRule type="duplicateValues" dxfId="16914" priority="16927"/>
    <cfRule type="duplicateValues" dxfId="16913" priority="16926"/>
    <cfRule type="duplicateValues" dxfId="16912" priority="16925"/>
    <cfRule type="duplicateValues" dxfId="16911" priority="16924"/>
    <cfRule type="duplicateValues" dxfId="16910" priority="16923"/>
    <cfRule type="duplicateValues" dxfId="16909" priority="16922"/>
    <cfRule type="duplicateValues" dxfId="16908" priority="16921"/>
    <cfRule type="duplicateValues" dxfId="16907" priority="16920"/>
    <cfRule type="duplicateValues" dxfId="16906" priority="16919"/>
    <cfRule type="duplicateValues" dxfId="16905" priority="16918"/>
    <cfRule type="duplicateValues" dxfId="16904" priority="16917"/>
    <cfRule type="duplicateValues" dxfId="16903" priority="16916"/>
    <cfRule type="duplicateValues" dxfId="16902" priority="16915"/>
    <cfRule type="duplicateValues" dxfId="16901" priority="16914"/>
    <cfRule type="duplicateValues" dxfId="16900" priority="16913"/>
    <cfRule type="duplicateValues" dxfId="16899" priority="16912"/>
    <cfRule type="duplicateValues" dxfId="16898" priority="16911"/>
    <cfRule type="duplicateValues" dxfId="16897" priority="16910"/>
    <cfRule type="duplicateValues" dxfId="16896" priority="16909"/>
    <cfRule type="duplicateValues" dxfId="16895" priority="16908"/>
    <cfRule type="duplicateValues" dxfId="16894" priority="16907"/>
    <cfRule type="duplicateValues" dxfId="16893" priority="16906"/>
    <cfRule type="duplicateValues" dxfId="16892" priority="16905"/>
    <cfRule type="duplicateValues" dxfId="16891" priority="16904"/>
    <cfRule type="duplicateValues" dxfId="16890" priority="16903"/>
    <cfRule type="duplicateValues" dxfId="16889" priority="16902"/>
    <cfRule type="duplicateValues" dxfId="16888" priority="16901"/>
    <cfRule type="duplicateValues" dxfId="16887" priority="16900"/>
    <cfRule type="duplicateValues" dxfId="16886" priority="16899"/>
    <cfRule type="duplicateValues" dxfId="16885" priority="16898"/>
    <cfRule type="duplicateValues" dxfId="16884" priority="16897"/>
    <cfRule type="duplicateValues" dxfId="16883" priority="16896"/>
    <cfRule type="duplicateValues" dxfId="16882" priority="16895"/>
    <cfRule type="duplicateValues" dxfId="16881" priority="16894"/>
    <cfRule type="duplicateValues" dxfId="16880" priority="16893"/>
    <cfRule type="duplicateValues" dxfId="16879" priority="16892"/>
    <cfRule type="duplicateValues" dxfId="16878" priority="16891"/>
    <cfRule type="duplicateValues" dxfId="16877" priority="16890"/>
    <cfRule type="duplicateValues" dxfId="16876" priority="16889"/>
    <cfRule type="duplicateValues" dxfId="16875" priority="16888"/>
    <cfRule type="duplicateValues" dxfId="16874" priority="16887"/>
    <cfRule type="duplicateValues" dxfId="16873" priority="16886"/>
    <cfRule type="duplicateValues" dxfId="16872" priority="16885"/>
    <cfRule type="duplicateValues" dxfId="16871" priority="16884"/>
    <cfRule type="duplicateValues" dxfId="16870" priority="16883"/>
    <cfRule type="duplicateValues" dxfId="16869" priority="16882"/>
    <cfRule type="duplicateValues" dxfId="16868" priority="16881"/>
    <cfRule type="duplicateValues" dxfId="16867" priority="16880"/>
    <cfRule type="duplicateValues" dxfId="16866" priority="16879"/>
    <cfRule type="duplicateValues" dxfId="16865" priority="16878"/>
    <cfRule type="duplicateValues" dxfId="16864" priority="16877"/>
    <cfRule type="duplicateValues" dxfId="16863" priority="16876"/>
    <cfRule type="duplicateValues" dxfId="16862" priority="16875"/>
    <cfRule type="duplicateValues" dxfId="16861" priority="16874"/>
    <cfRule type="duplicateValues" dxfId="16860" priority="16873"/>
    <cfRule type="duplicateValues" dxfId="16859" priority="16872"/>
    <cfRule type="duplicateValues" dxfId="16858" priority="16871"/>
    <cfRule type="duplicateValues" dxfId="16857" priority="16870"/>
    <cfRule type="duplicateValues" dxfId="16856" priority="16869"/>
    <cfRule type="duplicateValues" dxfId="16855" priority="16868"/>
    <cfRule type="duplicateValues" dxfId="16854" priority="16867"/>
    <cfRule type="duplicateValues" dxfId="16853" priority="16866"/>
    <cfRule type="duplicateValues" dxfId="16852" priority="16865"/>
    <cfRule type="duplicateValues" dxfId="16851" priority="16864"/>
    <cfRule type="duplicateValues" dxfId="16850" priority="16863"/>
    <cfRule type="duplicateValues" dxfId="16849" priority="16862"/>
    <cfRule type="duplicateValues" dxfId="16848" priority="16861"/>
    <cfRule type="duplicateValues" dxfId="16847" priority="16860"/>
    <cfRule type="duplicateValues" dxfId="16846" priority="16859"/>
    <cfRule type="duplicateValues" dxfId="16845" priority="16858"/>
    <cfRule type="duplicateValues" dxfId="16844" priority="16857"/>
    <cfRule type="duplicateValues" dxfId="16843" priority="16856"/>
    <cfRule type="duplicateValues" dxfId="16842" priority="16855"/>
    <cfRule type="duplicateValues" dxfId="16841" priority="16854"/>
    <cfRule type="duplicateValues" dxfId="16840" priority="16853"/>
    <cfRule type="duplicateValues" dxfId="16839" priority="16852"/>
    <cfRule type="duplicateValues" dxfId="16838" priority="16851"/>
    <cfRule type="duplicateValues" dxfId="16837" priority="16850"/>
    <cfRule type="duplicateValues" dxfId="16836" priority="16849"/>
    <cfRule type="duplicateValues" dxfId="16835" priority="16848"/>
    <cfRule type="duplicateValues" dxfId="16834" priority="16847"/>
    <cfRule type="duplicateValues" dxfId="16833" priority="16846"/>
    <cfRule type="duplicateValues" dxfId="16832" priority="16845"/>
    <cfRule type="duplicateValues" dxfId="16831" priority="16844"/>
    <cfRule type="duplicateValues" dxfId="16830" priority="16843"/>
    <cfRule type="duplicateValues" dxfId="16829" priority="16842"/>
    <cfRule type="duplicateValues" dxfId="16828" priority="16841"/>
    <cfRule type="duplicateValues" dxfId="16827" priority="16840"/>
    <cfRule type="duplicateValues" dxfId="16826" priority="16839"/>
    <cfRule type="duplicateValues" dxfId="16825" priority="16838"/>
    <cfRule type="duplicateValues" dxfId="16824" priority="16837"/>
    <cfRule type="duplicateValues" dxfId="16823" priority="16836"/>
    <cfRule type="duplicateValues" dxfId="16822" priority="16835"/>
    <cfRule type="duplicateValues" dxfId="16821" priority="16834"/>
    <cfRule type="duplicateValues" dxfId="16820" priority="16833"/>
    <cfRule type="duplicateValues" dxfId="16819" priority="16832"/>
    <cfRule type="duplicateValues" dxfId="16818" priority="16831"/>
    <cfRule type="duplicateValues" dxfId="16817" priority="16830"/>
    <cfRule type="duplicateValues" dxfId="16816" priority="16829"/>
    <cfRule type="duplicateValues" dxfId="16815" priority="16828"/>
    <cfRule type="duplicateValues" dxfId="16814" priority="16827"/>
    <cfRule type="duplicateValues" dxfId="16813" priority="16826"/>
    <cfRule type="duplicateValues" dxfId="16812" priority="16825"/>
    <cfRule type="duplicateValues" dxfId="16811" priority="16824"/>
    <cfRule type="duplicateValues" dxfId="16810" priority="16823"/>
    <cfRule type="duplicateValues" dxfId="16809" priority="16822"/>
    <cfRule type="duplicateValues" dxfId="16808" priority="16821"/>
    <cfRule type="duplicateValues" dxfId="16807" priority="16820"/>
    <cfRule type="duplicateValues" dxfId="16806" priority="16819"/>
    <cfRule type="duplicateValues" dxfId="16805" priority="16818"/>
    <cfRule type="duplicateValues" dxfId="16804" priority="16817"/>
    <cfRule type="duplicateValues" dxfId="16803" priority="16816"/>
    <cfRule type="duplicateValues" dxfId="16802" priority="16815"/>
    <cfRule type="duplicateValues" dxfId="16801" priority="16814"/>
    <cfRule type="duplicateValues" dxfId="16800" priority="16813"/>
    <cfRule type="duplicateValues" dxfId="16799" priority="16812"/>
    <cfRule type="duplicateValues" dxfId="16798" priority="16811"/>
    <cfRule type="duplicateValues" dxfId="16797" priority="16810"/>
    <cfRule type="duplicateValues" dxfId="16796" priority="16809"/>
    <cfRule type="duplicateValues" dxfId="16795" priority="16808"/>
    <cfRule type="duplicateValues" dxfId="16794" priority="16807"/>
    <cfRule type="duplicateValues" dxfId="16793" priority="16806"/>
    <cfRule type="duplicateValues" dxfId="16792" priority="16805"/>
    <cfRule type="duplicateValues" dxfId="16791" priority="16804"/>
    <cfRule type="duplicateValues" dxfId="16790" priority="16803"/>
    <cfRule type="duplicateValues" dxfId="16789" priority="16802"/>
    <cfRule type="duplicateValues" dxfId="16788" priority="16801"/>
    <cfRule type="duplicateValues" dxfId="16787" priority="16800"/>
    <cfRule type="duplicateValues" dxfId="16786" priority="16799"/>
    <cfRule type="duplicateValues" dxfId="16785" priority="16798"/>
    <cfRule type="duplicateValues" dxfId="16784" priority="16797"/>
    <cfRule type="duplicateValues" dxfId="16783" priority="16796"/>
    <cfRule type="duplicateValues" dxfId="16782" priority="16795"/>
    <cfRule type="duplicateValues" dxfId="16781" priority="16794"/>
    <cfRule type="duplicateValues" dxfId="16780" priority="16793"/>
    <cfRule type="duplicateValues" dxfId="16779" priority="16792"/>
    <cfRule type="duplicateValues" dxfId="16778" priority="16791"/>
    <cfRule type="duplicateValues" dxfId="16777" priority="16790"/>
    <cfRule type="duplicateValues" dxfId="16776" priority="16789"/>
    <cfRule type="duplicateValues" dxfId="16775" priority="16788"/>
    <cfRule type="duplicateValues" dxfId="16774" priority="16787"/>
    <cfRule type="duplicateValues" dxfId="16773" priority="16786"/>
    <cfRule type="duplicateValues" dxfId="16772" priority="16785"/>
    <cfRule type="duplicateValues" dxfId="16771" priority="16784"/>
    <cfRule type="duplicateValues" dxfId="16770" priority="16783"/>
    <cfRule type="duplicateValues" dxfId="16769" priority="16782"/>
    <cfRule type="duplicateValues" dxfId="16768" priority="16781"/>
    <cfRule type="duplicateValues" dxfId="16767" priority="16780"/>
    <cfRule type="duplicateValues" dxfId="16766" priority="16779"/>
    <cfRule type="duplicateValues" dxfId="16765" priority="16778"/>
    <cfRule type="duplicateValues" dxfId="16764" priority="16777"/>
    <cfRule type="duplicateValues" dxfId="16763" priority="16776"/>
    <cfRule type="duplicateValues" dxfId="16762" priority="16775"/>
    <cfRule type="duplicateValues" dxfId="16761" priority="16774"/>
    <cfRule type="duplicateValues" dxfId="16760" priority="16773"/>
    <cfRule type="duplicateValues" dxfId="16759" priority="16772"/>
    <cfRule type="duplicateValues" dxfId="16758" priority="16771"/>
    <cfRule type="duplicateValues" dxfId="16757" priority="16770"/>
    <cfRule type="duplicateValues" dxfId="16756" priority="16769"/>
    <cfRule type="duplicateValues" dxfId="16755" priority="16768"/>
    <cfRule type="duplicateValues" dxfId="16754" priority="16767"/>
    <cfRule type="duplicateValues" dxfId="16753" priority="16766"/>
    <cfRule type="duplicateValues" dxfId="16752" priority="16765"/>
    <cfRule type="duplicateValues" dxfId="16751" priority="16764"/>
    <cfRule type="duplicateValues" dxfId="16750" priority="16763"/>
    <cfRule type="duplicateValues" dxfId="16749" priority="16762"/>
    <cfRule type="duplicateValues" dxfId="16748" priority="16761"/>
    <cfRule type="duplicateValues" dxfId="16747" priority="16760"/>
    <cfRule type="duplicateValues" dxfId="16746" priority="16759"/>
    <cfRule type="duplicateValues" dxfId="16745" priority="16758"/>
    <cfRule type="duplicateValues" dxfId="16744" priority="16757"/>
    <cfRule type="duplicateValues" dxfId="16743" priority="16756"/>
    <cfRule type="duplicateValues" dxfId="16742" priority="16755"/>
    <cfRule type="duplicateValues" dxfId="16741" priority="16754"/>
    <cfRule type="duplicateValues" dxfId="16740" priority="16753"/>
    <cfRule type="duplicateValues" dxfId="16739" priority="16752"/>
    <cfRule type="duplicateValues" dxfId="16738" priority="16751"/>
    <cfRule type="duplicateValues" dxfId="16737" priority="16750"/>
    <cfRule type="duplicateValues" dxfId="16736" priority="16749"/>
    <cfRule type="duplicateValues" dxfId="16735" priority="16748"/>
    <cfRule type="duplicateValues" dxfId="16734" priority="16747"/>
    <cfRule type="duplicateValues" dxfId="16733" priority="16746"/>
  </conditionalFormatting>
  <conditionalFormatting sqref="B240">
    <cfRule type="duplicateValues" dxfId="16732" priority="16556"/>
    <cfRule type="duplicateValues" dxfId="16731" priority="16555"/>
    <cfRule type="duplicateValues" dxfId="16730" priority="16554"/>
    <cfRule type="duplicateValues" dxfId="16729" priority="16557"/>
    <cfRule type="duplicateValues" dxfId="16728" priority="16741"/>
    <cfRule type="duplicateValues" dxfId="16727" priority="16740"/>
    <cfRule type="duplicateValues" dxfId="16726" priority="16739"/>
    <cfRule type="duplicateValues" dxfId="16725" priority="16738"/>
    <cfRule type="duplicateValues" dxfId="16724" priority="16737"/>
    <cfRule type="duplicateValues" dxfId="16723" priority="16736"/>
    <cfRule type="duplicateValues" dxfId="16722" priority="16735"/>
    <cfRule type="duplicateValues" dxfId="16721" priority="16734"/>
    <cfRule type="duplicateValues" dxfId="16720" priority="16733"/>
    <cfRule type="duplicateValues" dxfId="16719" priority="16732"/>
    <cfRule type="duplicateValues" dxfId="16718" priority="16731"/>
    <cfRule type="duplicateValues" dxfId="16717" priority="16730"/>
    <cfRule type="duplicateValues" dxfId="16716" priority="16729"/>
    <cfRule type="duplicateValues" dxfId="16715" priority="16728"/>
    <cfRule type="duplicateValues" dxfId="16714" priority="16727"/>
    <cfRule type="duplicateValues" dxfId="16713" priority="16726"/>
    <cfRule type="duplicateValues" dxfId="16712" priority="16725"/>
    <cfRule type="duplicateValues" dxfId="16711" priority="16724"/>
    <cfRule type="duplicateValues" dxfId="16710" priority="16723"/>
    <cfRule type="duplicateValues" dxfId="16709" priority="16722"/>
    <cfRule type="duplicateValues" dxfId="16708" priority="16721"/>
    <cfRule type="duplicateValues" dxfId="16707" priority="16720"/>
    <cfRule type="duplicateValues" dxfId="16706" priority="16719"/>
    <cfRule type="duplicateValues" dxfId="16705" priority="16718"/>
    <cfRule type="duplicateValues" dxfId="16704" priority="16717"/>
    <cfRule type="duplicateValues" dxfId="16703" priority="16716"/>
    <cfRule type="duplicateValues" dxfId="16702" priority="16715"/>
    <cfRule type="duplicateValues" dxfId="16701" priority="16714"/>
    <cfRule type="duplicateValues" dxfId="16700" priority="16713"/>
    <cfRule type="duplicateValues" dxfId="16699" priority="16712"/>
    <cfRule type="duplicateValues" dxfId="16698" priority="16711"/>
    <cfRule type="duplicateValues" dxfId="16697" priority="16710"/>
    <cfRule type="duplicateValues" dxfId="16696" priority="16709"/>
    <cfRule type="duplicateValues" dxfId="16695" priority="16708"/>
    <cfRule type="duplicateValues" dxfId="16694" priority="16707"/>
    <cfRule type="duplicateValues" dxfId="16693" priority="16706"/>
    <cfRule type="duplicateValues" dxfId="16692" priority="16705"/>
    <cfRule type="duplicateValues" dxfId="16691" priority="16704"/>
    <cfRule type="duplicateValues" dxfId="16690" priority="16703"/>
    <cfRule type="duplicateValues" dxfId="16689" priority="16702"/>
    <cfRule type="duplicateValues" dxfId="16688" priority="16701"/>
    <cfRule type="duplicateValues" dxfId="16687" priority="16700"/>
    <cfRule type="duplicateValues" dxfId="16686" priority="16699"/>
    <cfRule type="duplicateValues" dxfId="16685" priority="16698"/>
    <cfRule type="duplicateValues" dxfId="16684" priority="16697"/>
    <cfRule type="duplicateValues" dxfId="16683" priority="16696"/>
    <cfRule type="duplicateValues" dxfId="16682" priority="16695"/>
    <cfRule type="duplicateValues" dxfId="16681" priority="16694"/>
    <cfRule type="duplicateValues" dxfId="16680" priority="16693"/>
    <cfRule type="duplicateValues" dxfId="16679" priority="16692"/>
    <cfRule type="duplicateValues" dxfId="16678" priority="16691"/>
    <cfRule type="duplicateValues" dxfId="16677" priority="16690"/>
    <cfRule type="duplicateValues" dxfId="16676" priority="16689"/>
    <cfRule type="duplicateValues" dxfId="16675" priority="16688"/>
    <cfRule type="duplicateValues" dxfId="16674" priority="16687"/>
    <cfRule type="duplicateValues" dxfId="16673" priority="16686"/>
    <cfRule type="duplicateValues" dxfId="16672" priority="16685"/>
    <cfRule type="duplicateValues" dxfId="16671" priority="16684"/>
    <cfRule type="duplicateValues" dxfId="16670" priority="16683"/>
    <cfRule type="duplicateValues" dxfId="16669" priority="16682"/>
    <cfRule type="duplicateValues" dxfId="16668" priority="16681"/>
    <cfRule type="duplicateValues" dxfId="16667" priority="16680"/>
    <cfRule type="duplicateValues" dxfId="16666" priority="16679"/>
    <cfRule type="duplicateValues" dxfId="16665" priority="16678"/>
    <cfRule type="duplicateValues" dxfId="16664" priority="16677"/>
    <cfRule type="duplicateValues" dxfId="16663" priority="16676"/>
    <cfRule type="duplicateValues" dxfId="16662" priority="16675"/>
    <cfRule type="duplicateValues" dxfId="16661" priority="16674"/>
    <cfRule type="duplicateValues" dxfId="16660" priority="16673"/>
    <cfRule type="duplicateValues" dxfId="16659" priority="16672"/>
    <cfRule type="duplicateValues" dxfId="16658" priority="16671"/>
    <cfRule type="duplicateValues" dxfId="16657" priority="16670"/>
    <cfRule type="duplicateValues" dxfId="16656" priority="16669"/>
    <cfRule type="duplicateValues" dxfId="16655" priority="16668"/>
    <cfRule type="duplicateValues" dxfId="16654" priority="16667"/>
    <cfRule type="duplicateValues" dxfId="16653" priority="16666"/>
    <cfRule type="duplicateValues" dxfId="16652" priority="16665"/>
    <cfRule type="duplicateValues" dxfId="16651" priority="16664"/>
    <cfRule type="duplicateValues" dxfId="16650" priority="16663"/>
    <cfRule type="duplicateValues" dxfId="16649" priority="16662"/>
    <cfRule type="duplicateValues" dxfId="16648" priority="16661"/>
    <cfRule type="duplicateValues" dxfId="16647" priority="16660"/>
    <cfRule type="duplicateValues" dxfId="16646" priority="16659"/>
    <cfRule type="duplicateValues" dxfId="16645" priority="16658"/>
    <cfRule type="duplicateValues" dxfId="16644" priority="16657"/>
    <cfRule type="duplicateValues" dxfId="16643" priority="16656"/>
    <cfRule type="duplicateValues" dxfId="16642" priority="16655"/>
    <cfRule type="duplicateValues" dxfId="16641" priority="16654"/>
    <cfRule type="duplicateValues" dxfId="16640" priority="16653"/>
    <cfRule type="duplicateValues" dxfId="16639" priority="16652"/>
    <cfRule type="duplicateValues" dxfId="16638" priority="16651"/>
    <cfRule type="duplicateValues" dxfId="16637" priority="16650"/>
    <cfRule type="duplicateValues" dxfId="16636" priority="16649"/>
    <cfRule type="duplicateValues" dxfId="16635" priority="16648"/>
    <cfRule type="duplicateValues" dxfId="16634" priority="16647"/>
    <cfRule type="duplicateValues" dxfId="16633" priority="16646"/>
    <cfRule type="duplicateValues" dxfId="16632" priority="16645"/>
    <cfRule type="duplicateValues" dxfId="16631" priority="16644"/>
    <cfRule type="duplicateValues" dxfId="16630" priority="16643"/>
    <cfRule type="duplicateValues" dxfId="16629" priority="16642"/>
    <cfRule type="duplicateValues" dxfId="16628" priority="16641"/>
    <cfRule type="duplicateValues" dxfId="16627" priority="16640"/>
    <cfRule type="duplicateValues" dxfId="16626" priority="16639"/>
    <cfRule type="duplicateValues" dxfId="16625" priority="16638"/>
    <cfRule type="duplicateValues" dxfId="16624" priority="16637"/>
    <cfRule type="duplicateValues" dxfId="16623" priority="16636"/>
    <cfRule type="duplicateValues" dxfId="16622" priority="16635"/>
    <cfRule type="duplicateValues" dxfId="16621" priority="16634"/>
    <cfRule type="duplicateValues" dxfId="16620" priority="16633"/>
    <cfRule type="duplicateValues" dxfId="16619" priority="16632"/>
    <cfRule type="duplicateValues" dxfId="16618" priority="16631"/>
    <cfRule type="duplicateValues" dxfId="16617" priority="16630"/>
    <cfRule type="duplicateValues" dxfId="16616" priority="16629"/>
    <cfRule type="duplicateValues" dxfId="16615" priority="16628"/>
    <cfRule type="duplicateValues" dxfId="16614" priority="16627"/>
    <cfRule type="duplicateValues" dxfId="16613" priority="16626"/>
    <cfRule type="duplicateValues" dxfId="16612" priority="16625"/>
    <cfRule type="duplicateValues" dxfId="16611" priority="16624"/>
    <cfRule type="duplicateValues" dxfId="16610" priority="16623"/>
    <cfRule type="duplicateValues" dxfId="16609" priority="16622"/>
    <cfRule type="duplicateValues" dxfId="16608" priority="16621"/>
    <cfRule type="duplicateValues" dxfId="16607" priority="16620"/>
    <cfRule type="duplicateValues" dxfId="16606" priority="16619"/>
    <cfRule type="duplicateValues" dxfId="16605" priority="16618"/>
    <cfRule type="duplicateValues" dxfId="16604" priority="16617"/>
    <cfRule type="duplicateValues" dxfId="16603" priority="16616"/>
    <cfRule type="duplicateValues" dxfId="16602" priority="16615"/>
    <cfRule type="duplicateValues" dxfId="16601" priority="16614"/>
    <cfRule type="duplicateValues" dxfId="16600" priority="16613"/>
    <cfRule type="duplicateValues" dxfId="16599" priority="16612"/>
    <cfRule type="duplicateValues" dxfId="16598" priority="16611"/>
    <cfRule type="duplicateValues" dxfId="16597" priority="16610"/>
    <cfRule type="duplicateValues" dxfId="16596" priority="16609"/>
    <cfRule type="duplicateValues" dxfId="16595" priority="16608"/>
    <cfRule type="duplicateValues" dxfId="16594" priority="16607"/>
    <cfRule type="duplicateValues" dxfId="16593" priority="16606"/>
    <cfRule type="duplicateValues" dxfId="16592" priority="16605"/>
    <cfRule type="duplicateValues" dxfId="16591" priority="16604"/>
    <cfRule type="duplicateValues" dxfId="16590" priority="16603"/>
    <cfRule type="duplicateValues" dxfId="16589" priority="16602"/>
    <cfRule type="duplicateValues" dxfId="16588" priority="16601"/>
    <cfRule type="duplicateValues" dxfId="16587" priority="16600"/>
    <cfRule type="duplicateValues" dxfId="16586" priority="16599"/>
    <cfRule type="duplicateValues" dxfId="16585" priority="16598"/>
    <cfRule type="duplicateValues" dxfId="16584" priority="16597"/>
    <cfRule type="duplicateValues" dxfId="16583" priority="16596"/>
    <cfRule type="duplicateValues" dxfId="16582" priority="16595"/>
    <cfRule type="duplicateValues" dxfId="16581" priority="16594"/>
    <cfRule type="duplicateValues" dxfId="16580" priority="16593"/>
    <cfRule type="duplicateValues" dxfId="16579" priority="16592"/>
    <cfRule type="duplicateValues" dxfId="16578" priority="16591"/>
    <cfRule type="duplicateValues" dxfId="16577" priority="16590"/>
    <cfRule type="duplicateValues" dxfId="16576" priority="16589"/>
    <cfRule type="duplicateValues" dxfId="16575" priority="16588"/>
    <cfRule type="duplicateValues" dxfId="16574" priority="16587"/>
    <cfRule type="duplicateValues" dxfId="16573" priority="16586"/>
    <cfRule type="duplicateValues" dxfId="16572" priority="16585"/>
    <cfRule type="duplicateValues" dxfId="16571" priority="16584"/>
    <cfRule type="duplicateValues" dxfId="16570" priority="16583"/>
    <cfRule type="duplicateValues" dxfId="16569" priority="16582"/>
    <cfRule type="duplicateValues" dxfId="16568" priority="16581"/>
    <cfRule type="duplicateValues" dxfId="16567" priority="16580"/>
    <cfRule type="duplicateValues" dxfId="16566" priority="16579"/>
    <cfRule type="duplicateValues" dxfId="16565" priority="16578"/>
    <cfRule type="duplicateValues" dxfId="16564" priority="16577"/>
    <cfRule type="duplicateValues" dxfId="16563" priority="16576"/>
    <cfRule type="duplicateValues" dxfId="16562" priority="16575"/>
    <cfRule type="duplicateValues" dxfId="16561" priority="16574"/>
    <cfRule type="duplicateValues" dxfId="16560" priority="16573"/>
    <cfRule type="duplicateValues" dxfId="16559" priority="16572"/>
    <cfRule type="duplicateValues" dxfId="16558" priority="16571"/>
    <cfRule type="duplicateValues" dxfId="16557" priority="16570"/>
    <cfRule type="duplicateValues" dxfId="16556" priority="16569"/>
    <cfRule type="duplicateValues" dxfId="16555" priority="16568"/>
    <cfRule type="duplicateValues" dxfId="16554" priority="16567"/>
    <cfRule type="duplicateValues" dxfId="16553" priority="16566"/>
    <cfRule type="duplicateValues" dxfId="16552" priority="16565"/>
    <cfRule type="duplicateValues" dxfId="16551" priority="16564"/>
    <cfRule type="duplicateValues" dxfId="16550" priority="16563"/>
    <cfRule type="duplicateValues" dxfId="16549" priority="16562"/>
    <cfRule type="duplicateValues" dxfId="16548" priority="16561"/>
    <cfRule type="duplicateValues" dxfId="16547" priority="16560"/>
    <cfRule type="duplicateValues" dxfId="16546" priority="16559"/>
    <cfRule type="duplicateValues" dxfId="16545" priority="16558"/>
  </conditionalFormatting>
  <conditionalFormatting sqref="B241">
    <cfRule type="duplicateValues" dxfId="16544" priority="16369"/>
    <cfRule type="duplicateValues" dxfId="16543" priority="16368"/>
    <cfRule type="duplicateValues" dxfId="16542" priority="16366"/>
    <cfRule type="duplicateValues" dxfId="16541" priority="16367"/>
    <cfRule type="duplicateValues" dxfId="16540" priority="16553"/>
    <cfRule type="duplicateValues" dxfId="16539" priority="16552"/>
    <cfRule type="duplicateValues" dxfId="16538" priority="16551"/>
    <cfRule type="duplicateValues" dxfId="16537" priority="16550"/>
    <cfRule type="duplicateValues" dxfId="16536" priority="16549"/>
    <cfRule type="duplicateValues" dxfId="16535" priority="16548"/>
    <cfRule type="duplicateValues" dxfId="16534" priority="16547"/>
    <cfRule type="duplicateValues" dxfId="16533" priority="16546"/>
    <cfRule type="duplicateValues" dxfId="16532" priority="16545"/>
    <cfRule type="duplicateValues" dxfId="16531" priority="16544"/>
    <cfRule type="duplicateValues" dxfId="16530" priority="16543"/>
    <cfRule type="duplicateValues" dxfId="16529" priority="16542"/>
    <cfRule type="duplicateValues" dxfId="16528" priority="16541"/>
    <cfRule type="duplicateValues" dxfId="16527" priority="16540"/>
    <cfRule type="duplicateValues" dxfId="16526" priority="16539"/>
    <cfRule type="duplicateValues" dxfId="16525" priority="16538"/>
    <cfRule type="duplicateValues" dxfId="16524" priority="16537"/>
    <cfRule type="duplicateValues" dxfId="16523" priority="16536"/>
    <cfRule type="duplicateValues" dxfId="16522" priority="16535"/>
    <cfRule type="duplicateValues" dxfId="16521" priority="16534"/>
    <cfRule type="duplicateValues" dxfId="16520" priority="16533"/>
    <cfRule type="duplicateValues" dxfId="16519" priority="16532"/>
    <cfRule type="duplicateValues" dxfId="16518" priority="16531"/>
    <cfRule type="duplicateValues" dxfId="16517" priority="16530"/>
    <cfRule type="duplicateValues" dxfId="16516" priority="16529"/>
    <cfRule type="duplicateValues" dxfId="16515" priority="16528"/>
    <cfRule type="duplicateValues" dxfId="16514" priority="16527"/>
    <cfRule type="duplicateValues" dxfId="16513" priority="16526"/>
    <cfRule type="duplicateValues" dxfId="16512" priority="16525"/>
    <cfRule type="duplicateValues" dxfId="16511" priority="16524"/>
    <cfRule type="duplicateValues" dxfId="16510" priority="16523"/>
    <cfRule type="duplicateValues" dxfId="16509" priority="16522"/>
    <cfRule type="duplicateValues" dxfId="16508" priority="16521"/>
    <cfRule type="duplicateValues" dxfId="16507" priority="16520"/>
    <cfRule type="duplicateValues" dxfId="16506" priority="16519"/>
    <cfRule type="duplicateValues" dxfId="16505" priority="16518"/>
    <cfRule type="duplicateValues" dxfId="16504" priority="16517"/>
    <cfRule type="duplicateValues" dxfId="16503" priority="16516"/>
    <cfRule type="duplicateValues" dxfId="16502" priority="16515"/>
    <cfRule type="duplicateValues" dxfId="16501" priority="16514"/>
    <cfRule type="duplicateValues" dxfId="16500" priority="16513"/>
    <cfRule type="duplicateValues" dxfId="16499" priority="16512"/>
    <cfRule type="duplicateValues" dxfId="16498" priority="16511"/>
    <cfRule type="duplicateValues" dxfId="16497" priority="16510"/>
    <cfRule type="duplicateValues" dxfId="16496" priority="16509"/>
    <cfRule type="duplicateValues" dxfId="16495" priority="16508"/>
    <cfRule type="duplicateValues" dxfId="16494" priority="16507"/>
    <cfRule type="duplicateValues" dxfId="16493" priority="16506"/>
    <cfRule type="duplicateValues" dxfId="16492" priority="16505"/>
    <cfRule type="duplicateValues" dxfId="16491" priority="16504"/>
    <cfRule type="duplicateValues" dxfId="16490" priority="16503"/>
    <cfRule type="duplicateValues" dxfId="16489" priority="16502"/>
    <cfRule type="duplicateValues" dxfId="16488" priority="16501"/>
    <cfRule type="duplicateValues" dxfId="16487" priority="16500"/>
    <cfRule type="duplicateValues" dxfId="16486" priority="16499"/>
    <cfRule type="duplicateValues" dxfId="16485" priority="16498"/>
    <cfRule type="duplicateValues" dxfId="16484" priority="16497"/>
    <cfRule type="duplicateValues" dxfId="16483" priority="16496"/>
    <cfRule type="duplicateValues" dxfId="16482" priority="16495"/>
    <cfRule type="duplicateValues" dxfId="16481" priority="16494"/>
    <cfRule type="duplicateValues" dxfId="16480" priority="16493"/>
    <cfRule type="duplicateValues" dxfId="16479" priority="16492"/>
    <cfRule type="duplicateValues" dxfId="16478" priority="16491"/>
    <cfRule type="duplicateValues" dxfId="16477" priority="16490"/>
    <cfRule type="duplicateValues" dxfId="16476" priority="16489"/>
    <cfRule type="duplicateValues" dxfId="16475" priority="16488"/>
    <cfRule type="duplicateValues" dxfId="16474" priority="16487"/>
    <cfRule type="duplicateValues" dxfId="16473" priority="16486"/>
    <cfRule type="duplicateValues" dxfId="16472" priority="16485"/>
    <cfRule type="duplicateValues" dxfId="16471" priority="16484"/>
    <cfRule type="duplicateValues" dxfId="16470" priority="16483"/>
    <cfRule type="duplicateValues" dxfId="16469" priority="16482"/>
    <cfRule type="duplicateValues" dxfId="16468" priority="16481"/>
    <cfRule type="duplicateValues" dxfId="16467" priority="16480"/>
    <cfRule type="duplicateValues" dxfId="16466" priority="16479"/>
    <cfRule type="duplicateValues" dxfId="16465" priority="16478"/>
    <cfRule type="duplicateValues" dxfId="16464" priority="16477"/>
    <cfRule type="duplicateValues" dxfId="16463" priority="16476"/>
    <cfRule type="duplicateValues" dxfId="16462" priority="16475"/>
    <cfRule type="duplicateValues" dxfId="16461" priority="16474"/>
    <cfRule type="duplicateValues" dxfId="16460" priority="16473"/>
    <cfRule type="duplicateValues" dxfId="16459" priority="16472"/>
    <cfRule type="duplicateValues" dxfId="16458" priority="16471"/>
    <cfRule type="duplicateValues" dxfId="16457" priority="16470"/>
    <cfRule type="duplicateValues" dxfId="16456" priority="16469"/>
    <cfRule type="duplicateValues" dxfId="16455" priority="16468"/>
    <cfRule type="duplicateValues" dxfId="16454" priority="16467"/>
    <cfRule type="duplicateValues" dxfId="16453" priority="16466"/>
    <cfRule type="duplicateValues" dxfId="16452" priority="16465"/>
    <cfRule type="duplicateValues" dxfId="16451" priority="16464"/>
    <cfRule type="duplicateValues" dxfId="16450" priority="16463"/>
    <cfRule type="duplicateValues" dxfId="16449" priority="16462"/>
    <cfRule type="duplicateValues" dxfId="16448" priority="16461"/>
    <cfRule type="duplicateValues" dxfId="16447" priority="16460"/>
    <cfRule type="duplicateValues" dxfId="16446" priority="16459"/>
    <cfRule type="duplicateValues" dxfId="16445" priority="16458"/>
    <cfRule type="duplicateValues" dxfId="16444" priority="16457"/>
    <cfRule type="duplicateValues" dxfId="16443" priority="16456"/>
    <cfRule type="duplicateValues" dxfId="16442" priority="16455"/>
    <cfRule type="duplicateValues" dxfId="16441" priority="16454"/>
    <cfRule type="duplicateValues" dxfId="16440" priority="16453"/>
    <cfRule type="duplicateValues" dxfId="16439" priority="16452"/>
    <cfRule type="duplicateValues" dxfId="16438" priority="16451"/>
    <cfRule type="duplicateValues" dxfId="16437" priority="16450"/>
    <cfRule type="duplicateValues" dxfId="16436" priority="16449"/>
    <cfRule type="duplicateValues" dxfId="16435" priority="16448"/>
    <cfRule type="duplicateValues" dxfId="16434" priority="16447"/>
    <cfRule type="duplicateValues" dxfId="16433" priority="16446"/>
    <cfRule type="duplicateValues" dxfId="16432" priority="16445"/>
    <cfRule type="duplicateValues" dxfId="16431" priority="16444"/>
    <cfRule type="duplicateValues" dxfId="16430" priority="16443"/>
    <cfRule type="duplicateValues" dxfId="16429" priority="16442"/>
    <cfRule type="duplicateValues" dxfId="16428" priority="16441"/>
    <cfRule type="duplicateValues" dxfId="16427" priority="16440"/>
    <cfRule type="duplicateValues" dxfId="16426" priority="16439"/>
    <cfRule type="duplicateValues" dxfId="16425" priority="16438"/>
    <cfRule type="duplicateValues" dxfId="16424" priority="16437"/>
    <cfRule type="duplicateValues" dxfId="16423" priority="16436"/>
    <cfRule type="duplicateValues" dxfId="16422" priority="16435"/>
    <cfRule type="duplicateValues" dxfId="16421" priority="16434"/>
    <cfRule type="duplicateValues" dxfId="16420" priority="16433"/>
    <cfRule type="duplicateValues" dxfId="16419" priority="16432"/>
    <cfRule type="duplicateValues" dxfId="16418" priority="16431"/>
    <cfRule type="duplicateValues" dxfId="16417" priority="16430"/>
    <cfRule type="duplicateValues" dxfId="16416" priority="16429"/>
    <cfRule type="duplicateValues" dxfId="16415" priority="16428"/>
    <cfRule type="duplicateValues" dxfId="16414" priority="16427"/>
    <cfRule type="duplicateValues" dxfId="16413" priority="16426"/>
    <cfRule type="duplicateValues" dxfId="16412" priority="16425"/>
    <cfRule type="duplicateValues" dxfId="16411" priority="16424"/>
    <cfRule type="duplicateValues" dxfId="16410" priority="16423"/>
    <cfRule type="duplicateValues" dxfId="16409" priority="16422"/>
    <cfRule type="duplicateValues" dxfId="16408" priority="16421"/>
    <cfRule type="duplicateValues" dxfId="16407" priority="16420"/>
    <cfRule type="duplicateValues" dxfId="16406" priority="16419"/>
    <cfRule type="duplicateValues" dxfId="16405" priority="16418"/>
    <cfRule type="duplicateValues" dxfId="16404" priority="16417"/>
    <cfRule type="duplicateValues" dxfId="16403" priority="16416"/>
    <cfRule type="duplicateValues" dxfId="16402" priority="16415"/>
    <cfRule type="duplicateValues" dxfId="16401" priority="16414"/>
    <cfRule type="duplicateValues" dxfId="16400" priority="16413"/>
    <cfRule type="duplicateValues" dxfId="16399" priority="16412"/>
    <cfRule type="duplicateValues" dxfId="16398" priority="16411"/>
    <cfRule type="duplicateValues" dxfId="16397" priority="16410"/>
    <cfRule type="duplicateValues" dxfId="16396" priority="16409"/>
    <cfRule type="duplicateValues" dxfId="16395" priority="16408"/>
    <cfRule type="duplicateValues" dxfId="16394" priority="16407"/>
    <cfRule type="duplicateValues" dxfId="16393" priority="16406"/>
    <cfRule type="duplicateValues" dxfId="16392" priority="16405"/>
    <cfRule type="duplicateValues" dxfId="16391" priority="16404"/>
    <cfRule type="duplicateValues" dxfId="16390" priority="16403"/>
    <cfRule type="duplicateValues" dxfId="16389" priority="16402"/>
    <cfRule type="duplicateValues" dxfId="16388" priority="16401"/>
    <cfRule type="duplicateValues" dxfId="16387" priority="16400"/>
    <cfRule type="duplicateValues" dxfId="16386" priority="16399"/>
    <cfRule type="duplicateValues" dxfId="16385" priority="16398"/>
    <cfRule type="duplicateValues" dxfId="16384" priority="16397"/>
    <cfRule type="duplicateValues" dxfId="16383" priority="16396"/>
    <cfRule type="duplicateValues" dxfId="16382" priority="16395"/>
    <cfRule type="duplicateValues" dxfId="16381" priority="16394"/>
    <cfRule type="duplicateValues" dxfId="16380" priority="16393"/>
    <cfRule type="duplicateValues" dxfId="16379" priority="16392"/>
    <cfRule type="duplicateValues" dxfId="16378" priority="16391"/>
    <cfRule type="duplicateValues" dxfId="16377" priority="16390"/>
    <cfRule type="duplicateValues" dxfId="16376" priority="16389"/>
    <cfRule type="duplicateValues" dxfId="16375" priority="16388"/>
    <cfRule type="duplicateValues" dxfId="16374" priority="16387"/>
    <cfRule type="duplicateValues" dxfId="16373" priority="16386"/>
    <cfRule type="duplicateValues" dxfId="16372" priority="16385"/>
    <cfRule type="duplicateValues" dxfId="16371" priority="16384"/>
    <cfRule type="duplicateValues" dxfId="16370" priority="16383"/>
    <cfRule type="duplicateValues" dxfId="16369" priority="16382"/>
    <cfRule type="duplicateValues" dxfId="16368" priority="16381"/>
    <cfRule type="duplicateValues" dxfId="16367" priority="16380"/>
    <cfRule type="duplicateValues" dxfId="16366" priority="16379"/>
    <cfRule type="duplicateValues" dxfId="16365" priority="16378"/>
    <cfRule type="duplicateValues" dxfId="16364" priority="16377"/>
    <cfRule type="duplicateValues" dxfId="16363" priority="16376"/>
    <cfRule type="duplicateValues" dxfId="16362" priority="16375"/>
    <cfRule type="duplicateValues" dxfId="16361" priority="16374"/>
    <cfRule type="duplicateValues" dxfId="16360" priority="16373"/>
    <cfRule type="duplicateValues" dxfId="16359" priority="16372"/>
    <cfRule type="duplicateValues" dxfId="16358" priority="16371"/>
    <cfRule type="duplicateValues" dxfId="16357" priority="16370"/>
  </conditionalFormatting>
  <conditionalFormatting sqref="B242:B244">
    <cfRule type="duplicateValues" dxfId="16356" priority="16205"/>
    <cfRule type="duplicateValues" dxfId="16355" priority="16181"/>
    <cfRule type="duplicateValues" dxfId="16354" priority="16180"/>
    <cfRule type="duplicateValues" dxfId="16353" priority="16272"/>
    <cfRule type="duplicateValues" dxfId="16352" priority="16365"/>
    <cfRule type="duplicateValues" dxfId="16351" priority="16364"/>
    <cfRule type="duplicateValues" dxfId="16350" priority="16363"/>
    <cfRule type="duplicateValues" dxfId="16349" priority="16362"/>
    <cfRule type="duplicateValues" dxfId="16348" priority="16361"/>
    <cfRule type="duplicateValues" dxfId="16347" priority="16360"/>
    <cfRule type="duplicateValues" dxfId="16346" priority="16359"/>
    <cfRule type="duplicateValues" dxfId="16345" priority="16358"/>
    <cfRule type="duplicateValues" dxfId="16344" priority="16357"/>
    <cfRule type="duplicateValues" dxfId="16343" priority="16356"/>
    <cfRule type="duplicateValues" dxfId="16342" priority="16355"/>
    <cfRule type="duplicateValues" dxfId="16341" priority="16354"/>
    <cfRule type="duplicateValues" dxfId="16340" priority="16353"/>
    <cfRule type="duplicateValues" dxfId="16339" priority="16352"/>
    <cfRule type="duplicateValues" dxfId="16338" priority="16351"/>
    <cfRule type="duplicateValues" dxfId="16337" priority="16350"/>
    <cfRule type="duplicateValues" dxfId="16336" priority="16349"/>
    <cfRule type="duplicateValues" dxfId="16335" priority="16348"/>
    <cfRule type="duplicateValues" dxfId="16334" priority="16347"/>
    <cfRule type="duplicateValues" dxfId="16333" priority="16346"/>
    <cfRule type="duplicateValues" dxfId="16332" priority="16345"/>
    <cfRule type="duplicateValues" dxfId="16331" priority="16344"/>
    <cfRule type="duplicateValues" dxfId="16330" priority="16343"/>
    <cfRule type="duplicateValues" dxfId="16329" priority="16342"/>
    <cfRule type="duplicateValues" dxfId="16328" priority="16341"/>
    <cfRule type="duplicateValues" dxfId="16327" priority="16340"/>
    <cfRule type="duplicateValues" dxfId="16326" priority="16339"/>
    <cfRule type="duplicateValues" dxfId="16325" priority="16338"/>
    <cfRule type="duplicateValues" dxfId="16324" priority="16337"/>
    <cfRule type="duplicateValues" dxfId="16323" priority="16336"/>
    <cfRule type="duplicateValues" dxfId="16322" priority="16335"/>
    <cfRule type="duplicateValues" dxfId="16321" priority="16334"/>
    <cfRule type="duplicateValues" dxfId="16320" priority="16333"/>
    <cfRule type="duplicateValues" dxfId="16319" priority="16332"/>
    <cfRule type="duplicateValues" dxfId="16318" priority="16331"/>
    <cfRule type="duplicateValues" dxfId="16317" priority="16330"/>
    <cfRule type="duplicateValues" dxfId="16316" priority="16329"/>
    <cfRule type="duplicateValues" dxfId="16315" priority="16328"/>
    <cfRule type="duplicateValues" dxfId="16314" priority="16327"/>
    <cfRule type="duplicateValues" dxfId="16313" priority="16326"/>
    <cfRule type="duplicateValues" dxfId="16312" priority="16325"/>
    <cfRule type="duplicateValues" dxfId="16311" priority="16324"/>
    <cfRule type="duplicateValues" dxfId="16310" priority="16323"/>
    <cfRule type="duplicateValues" dxfId="16309" priority="16322"/>
    <cfRule type="duplicateValues" dxfId="16308" priority="16321"/>
    <cfRule type="duplicateValues" dxfId="16307" priority="16320"/>
    <cfRule type="duplicateValues" dxfId="16306" priority="16319"/>
    <cfRule type="duplicateValues" dxfId="16305" priority="16318"/>
    <cfRule type="duplicateValues" dxfId="16304" priority="16317"/>
    <cfRule type="duplicateValues" dxfId="16303" priority="16316"/>
    <cfRule type="duplicateValues" dxfId="16302" priority="16315"/>
    <cfRule type="duplicateValues" dxfId="16301" priority="16314"/>
    <cfRule type="duplicateValues" dxfId="16300" priority="16313"/>
    <cfRule type="duplicateValues" dxfId="16299" priority="16312"/>
    <cfRule type="duplicateValues" dxfId="16298" priority="16311"/>
    <cfRule type="duplicateValues" dxfId="16297" priority="16310"/>
    <cfRule type="duplicateValues" dxfId="16296" priority="16309"/>
    <cfRule type="duplicateValues" dxfId="16295" priority="16308"/>
    <cfRule type="duplicateValues" dxfId="16294" priority="16307"/>
    <cfRule type="duplicateValues" dxfId="16293" priority="16306"/>
    <cfRule type="duplicateValues" dxfId="16292" priority="16305"/>
    <cfRule type="duplicateValues" dxfId="16291" priority="16304"/>
    <cfRule type="duplicateValues" dxfId="16290" priority="16303"/>
    <cfRule type="duplicateValues" dxfId="16289" priority="16302"/>
    <cfRule type="duplicateValues" dxfId="16288" priority="16301"/>
    <cfRule type="duplicateValues" dxfId="16287" priority="16300"/>
    <cfRule type="duplicateValues" dxfId="16286" priority="16299"/>
    <cfRule type="duplicateValues" dxfId="16285" priority="16298"/>
    <cfRule type="duplicateValues" dxfId="16284" priority="16297"/>
    <cfRule type="duplicateValues" dxfId="16283" priority="16296"/>
    <cfRule type="duplicateValues" dxfId="16282" priority="16295"/>
    <cfRule type="duplicateValues" dxfId="16281" priority="16294"/>
    <cfRule type="duplicateValues" dxfId="16280" priority="16293"/>
    <cfRule type="duplicateValues" dxfId="16279" priority="16292"/>
    <cfRule type="duplicateValues" dxfId="16278" priority="16291"/>
    <cfRule type="duplicateValues" dxfId="16277" priority="16290"/>
    <cfRule type="duplicateValues" dxfId="16276" priority="16289"/>
    <cfRule type="duplicateValues" dxfId="16275" priority="16288"/>
    <cfRule type="duplicateValues" dxfId="16274" priority="16287"/>
    <cfRule type="duplicateValues" dxfId="16273" priority="16286"/>
    <cfRule type="duplicateValues" dxfId="16272" priority="16285"/>
    <cfRule type="duplicateValues" dxfId="16271" priority="16284"/>
    <cfRule type="duplicateValues" dxfId="16270" priority="16283"/>
    <cfRule type="duplicateValues" dxfId="16269" priority="16282"/>
    <cfRule type="duplicateValues" dxfId="16268" priority="16281"/>
    <cfRule type="duplicateValues" dxfId="16267" priority="16280"/>
    <cfRule type="duplicateValues" dxfId="16266" priority="16279"/>
    <cfRule type="duplicateValues" dxfId="16265" priority="16278"/>
    <cfRule type="duplicateValues" dxfId="16264" priority="16277"/>
    <cfRule type="duplicateValues" dxfId="16263" priority="16276"/>
    <cfRule type="duplicateValues" dxfId="16262" priority="16275"/>
    <cfRule type="duplicateValues" dxfId="16261" priority="16274"/>
    <cfRule type="duplicateValues" dxfId="16260" priority="16273"/>
    <cfRule type="duplicateValues" dxfId="16259" priority="16179"/>
    <cfRule type="duplicateValues" dxfId="16258" priority="16271"/>
    <cfRule type="duplicateValues" dxfId="16257" priority="16270"/>
    <cfRule type="duplicateValues" dxfId="16256" priority="16269"/>
    <cfRule type="duplicateValues" dxfId="16255" priority="16268"/>
    <cfRule type="duplicateValues" dxfId="16254" priority="16267"/>
    <cfRule type="duplicateValues" dxfId="16253" priority="16266"/>
    <cfRule type="duplicateValues" dxfId="16252" priority="16265"/>
    <cfRule type="duplicateValues" dxfId="16251" priority="16264"/>
    <cfRule type="duplicateValues" dxfId="16250" priority="16263"/>
    <cfRule type="duplicateValues" dxfId="16249" priority="16262"/>
    <cfRule type="duplicateValues" dxfId="16248" priority="16261"/>
    <cfRule type="duplicateValues" dxfId="16247" priority="16260"/>
    <cfRule type="duplicateValues" dxfId="16246" priority="16259"/>
    <cfRule type="duplicateValues" dxfId="16245" priority="16258"/>
    <cfRule type="duplicateValues" dxfId="16244" priority="16257"/>
    <cfRule type="duplicateValues" dxfId="16243" priority="16256"/>
    <cfRule type="duplicateValues" dxfId="16242" priority="16255"/>
    <cfRule type="duplicateValues" dxfId="16241" priority="16254"/>
    <cfRule type="duplicateValues" dxfId="16240" priority="16253"/>
    <cfRule type="duplicateValues" dxfId="16239" priority="16252"/>
    <cfRule type="duplicateValues" dxfId="16238" priority="16251"/>
    <cfRule type="duplicateValues" dxfId="16237" priority="16250"/>
    <cfRule type="duplicateValues" dxfId="16236" priority="16249"/>
    <cfRule type="duplicateValues" dxfId="16235" priority="16248"/>
    <cfRule type="duplicateValues" dxfId="16234" priority="16247"/>
    <cfRule type="duplicateValues" dxfId="16233" priority="16246"/>
    <cfRule type="duplicateValues" dxfId="16232" priority="16245"/>
    <cfRule type="duplicateValues" dxfId="16231" priority="16244"/>
    <cfRule type="duplicateValues" dxfId="16230" priority="16243"/>
    <cfRule type="duplicateValues" dxfId="16229" priority="16242"/>
    <cfRule type="duplicateValues" dxfId="16228" priority="16241"/>
    <cfRule type="duplicateValues" dxfId="16227" priority="16240"/>
    <cfRule type="duplicateValues" dxfId="16226" priority="16239"/>
    <cfRule type="duplicateValues" dxfId="16225" priority="16238"/>
    <cfRule type="duplicateValues" dxfId="16224" priority="16237"/>
    <cfRule type="duplicateValues" dxfId="16223" priority="16236"/>
    <cfRule type="duplicateValues" dxfId="16222" priority="16235"/>
    <cfRule type="duplicateValues" dxfId="16221" priority="16234"/>
    <cfRule type="duplicateValues" dxfId="16220" priority="16233"/>
    <cfRule type="duplicateValues" dxfId="16219" priority="16232"/>
    <cfRule type="duplicateValues" dxfId="16218" priority="16231"/>
    <cfRule type="duplicateValues" dxfId="16217" priority="16230"/>
    <cfRule type="duplicateValues" dxfId="16216" priority="16229"/>
    <cfRule type="duplicateValues" dxfId="16215" priority="16228"/>
    <cfRule type="duplicateValues" dxfId="16214" priority="16227"/>
    <cfRule type="duplicateValues" dxfId="16213" priority="16226"/>
    <cfRule type="duplicateValues" dxfId="16212" priority="16225"/>
    <cfRule type="duplicateValues" dxfId="16211" priority="16224"/>
    <cfRule type="duplicateValues" dxfId="16210" priority="16223"/>
    <cfRule type="duplicateValues" dxfId="16209" priority="16222"/>
    <cfRule type="duplicateValues" dxfId="16208" priority="16221"/>
    <cfRule type="duplicateValues" dxfId="16207" priority="16220"/>
    <cfRule type="duplicateValues" dxfId="16206" priority="16219"/>
    <cfRule type="duplicateValues" dxfId="16205" priority="16218"/>
    <cfRule type="duplicateValues" dxfId="16204" priority="16217"/>
    <cfRule type="duplicateValues" dxfId="16203" priority="16216"/>
    <cfRule type="duplicateValues" dxfId="16202" priority="16215"/>
    <cfRule type="duplicateValues" dxfId="16201" priority="16214"/>
    <cfRule type="duplicateValues" dxfId="16200" priority="16213"/>
    <cfRule type="duplicateValues" dxfId="16199" priority="16212"/>
    <cfRule type="duplicateValues" dxfId="16198" priority="16211"/>
    <cfRule type="duplicateValues" dxfId="16197" priority="16210"/>
    <cfRule type="duplicateValues" dxfId="16196" priority="16209"/>
    <cfRule type="duplicateValues" dxfId="16195" priority="16208"/>
    <cfRule type="duplicateValues" dxfId="16194" priority="16207"/>
    <cfRule type="duplicateValues" dxfId="16193" priority="16206"/>
    <cfRule type="duplicateValues" dxfId="16192" priority="16178"/>
    <cfRule type="duplicateValues" dxfId="16191" priority="16204"/>
    <cfRule type="duplicateValues" dxfId="16190" priority="16203"/>
    <cfRule type="duplicateValues" dxfId="16189" priority="16202"/>
    <cfRule type="duplicateValues" dxfId="16188" priority="16201"/>
    <cfRule type="duplicateValues" dxfId="16187" priority="16200"/>
    <cfRule type="duplicateValues" dxfId="16186" priority="16199"/>
    <cfRule type="duplicateValues" dxfId="16185" priority="16198"/>
    <cfRule type="duplicateValues" dxfId="16184" priority="16197"/>
    <cfRule type="duplicateValues" dxfId="16183" priority="16196"/>
    <cfRule type="duplicateValues" dxfId="16182" priority="16195"/>
    <cfRule type="duplicateValues" dxfId="16181" priority="16194"/>
    <cfRule type="duplicateValues" dxfId="16180" priority="16193"/>
    <cfRule type="duplicateValues" dxfId="16179" priority="16192"/>
    <cfRule type="duplicateValues" dxfId="16178" priority="16191"/>
    <cfRule type="duplicateValues" dxfId="16177" priority="16190"/>
    <cfRule type="duplicateValues" dxfId="16176" priority="16189"/>
    <cfRule type="duplicateValues" dxfId="16175" priority="16188"/>
    <cfRule type="duplicateValues" dxfId="16174" priority="16187"/>
    <cfRule type="duplicateValues" dxfId="16173" priority="16186"/>
    <cfRule type="duplicateValues" dxfId="16172" priority="16185"/>
    <cfRule type="duplicateValues" dxfId="16171" priority="16184"/>
    <cfRule type="duplicateValues" dxfId="16170" priority="16183"/>
    <cfRule type="duplicateValues" dxfId="16169" priority="16182"/>
  </conditionalFormatting>
  <conditionalFormatting sqref="B245:B246">
    <cfRule type="duplicateValues" dxfId="16168" priority="15993"/>
    <cfRule type="duplicateValues" dxfId="16167" priority="15992"/>
    <cfRule type="duplicateValues" dxfId="16166" priority="15991"/>
    <cfRule type="duplicateValues" dxfId="16165" priority="16041"/>
    <cfRule type="duplicateValues" dxfId="16164" priority="16177"/>
    <cfRule type="duplicateValues" dxfId="16163" priority="16176"/>
    <cfRule type="duplicateValues" dxfId="16162" priority="16175"/>
    <cfRule type="duplicateValues" dxfId="16161" priority="16174"/>
    <cfRule type="duplicateValues" dxfId="16160" priority="16173"/>
    <cfRule type="duplicateValues" dxfId="16159" priority="16172"/>
    <cfRule type="duplicateValues" dxfId="16158" priority="16171"/>
    <cfRule type="duplicateValues" dxfId="16157" priority="16170"/>
    <cfRule type="duplicateValues" dxfId="16156" priority="16169"/>
    <cfRule type="duplicateValues" dxfId="16155" priority="16168"/>
    <cfRule type="duplicateValues" dxfId="16154" priority="16167"/>
    <cfRule type="duplicateValues" dxfId="16153" priority="16166"/>
    <cfRule type="duplicateValues" dxfId="16152" priority="16165"/>
    <cfRule type="duplicateValues" dxfId="16151" priority="16164"/>
    <cfRule type="duplicateValues" dxfId="16150" priority="16163"/>
    <cfRule type="duplicateValues" dxfId="16149" priority="16162"/>
    <cfRule type="duplicateValues" dxfId="16148" priority="16161"/>
    <cfRule type="duplicateValues" dxfId="16147" priority="16160"/>
    <cfRule type="duplicateValues" dxfId="16146" priority="16159"/>
    <cfRule type="duplicateValues" dxfId="16145" priority="16158"/>
    <cfRule type="duplicateValues" dxfId="16144" priority="16157"/>
    <cfRule type="duplicateValues" dxfId="16143" priority="16156"/>
    <cfRule type="duplicateValues" dxfId="16142" priority="16155"/>
    <cfRule type="duplicateValues" dxfId="16141" priority="16154"/>
    <cfRule type="duplicateValues" dxfId="16140" priority="16153"/>
    <cfRule type="duplicateValues" dxfId="16139" priority="16152"/>
    <cfRule type="duplicateValues" dxfId="16138" priority="16151"/>
    <cfRule type="duplicateValues" dxfId="16137" priority="16150"/>
    <cfRule type="duplicateValues" dxfId="16136" priority="16149"/>
    <cfRule type="duplicateValues" dxfId="16135" priority="16148"/>
    <cfRule type="duplicateValues" dxfId="16134" priority="16147"/>
    <cfRule type="duplicateValues" dxfId="16133" priority="16146"/>
    <cfRule type="duplicateValues" dxfId="16132" priority="16145"/>
    <cfRule type="duplicateValues" dxfId="16131" priority="16144"/>
    <cfRule type="duplicateValues" dxfId="16130" priority="16143"/>
    <cfRule type="duplicateValues" dxfId="16129" priority="16142"/>
    <cfRule type="duplicateValues" dxfId="16128" priority="16141"/>
    <cfRule type="duplicateValues" dxfId="16127" priority="16140"/>
    <cfRule type="duplicateValues" dxfId="16126" priority="16139"/>
    <cfRule type="duplicateValues" dxfId="16125" priority="16138"/>
    <cfRule type="duplicateValues" dxfId="16124" priority="16137"/>
    <cfRule type="duplicateValues" dxfId="16123" priority="16136"/>
    <cfRule type="duplicateValues" dxfId="16122" priority="16135"/>
    <cfRule type="duplicateValues" dxfId="16121" priority="16134"/>
    <cfRule type="duplicateValues" dxfId="16120" priority="16133"/>
    <cfRule type="duplicateValues" dxfId="16119" priority="16132"/>
    <cfRule type="duplicateValues" dxfId="16118" priority="16131"/>
    <cfRule type="duplicateValues" dxfId="16117" priority="16130"/>
    <cfRule type="duplicateValues" dxfId="16116" priority="16129"/>
    <cfRule type="duplicateValues" dxfId="16115" priority="16128"/>
    <cfRule type="duplicateValues" dxfId="16114" priority="16127"/>
    <cfRule type="duplicateValues" dxfId="16113" priority="16126"/>
    <cfRule type="duplicateValues" dxfId="16112" priority="16125"/>
    <cfRule type="duplicateValues" dxfId="16111" priority="16124"/>
    <cfRule type="duplicateValues" dxfId="16110" priority="16123"/>
    <cfRule type="duplicateValues" dxfId="16109" priority="16122"/>
    <cfRule type="duplicateValues" dxfId="16108" priority="16121"/>
    <cfRule type="duplicateValues" dxfId="16107" priority="16120"/>
    <cfRule type="duplicateValues" dxfId="16106" priority="16119"/>
    <cfRule type="duplicateValues" dxfId="16105" priority="16118"/>
    <cfRule type="duplicateValues" dxfId="16104" priority="16117"/>
    <cfRule type="duplicateValues" dxfId="16103" priority="16116"/>
    <cfRule type="duplicateValues" dxfId="16102" priority="16115"/>
    <cfRule type="duplicateValues" dxfId="16101" priority="16114"/>
    <cfRule type="duplicateValues" dxfId="16100" priority="16113"/>
    <cfRule type="duplicateValues" dxfId="16099" priority="16112"/>
    <cfRule type="duplicateValues" dxfId="16098" priority="16111"/>
    <cfRule type="duplicateValues" dxfId="16097" priority="16110"/>
    <cfRule type="duplicateValues" dxfId="16096" priority="16109"/>
    <cfRule type="duplicateValues" dxfId="16095" priority="16108"/>
    <cfRule type="duplicateValues" dxfId="16094" priority="16107"/>
    <cfRule type="duplicateValues" dxfId="16093" priority="16106"/>
    <cfRule type="duplicateValues" dxfId="16092" priority="16105"/>
    <cfRule type="duplicateValues" dxfId="16091" priority="16104"/>
    <cfRule type="duplicateValues" dxfId="16090" priority="16103"/>
    <cfRule type="duplicateValues" dxfId="16089" priority="16102"/>
    <cfRule type="duplicateValues" dxfId="16088" priority="16101"/>
    <cfRule type="duplicateValues" dxfId="16087" priority="16100"/>
    <cfRule type="duplicateValues" dxfId="16086" priority="16099"/>
    <cfRule type="duplicateValues" dxfId="16085" priority="16098"/>
    <cfRule type="duplicateValues" dxfId="16084" priority="16097"/>
    <cfRule type="duplicateValues" dxfId="16083" priority="16096"/>
    <cfRule type="duplicateValues" dxfId="16082" priority="16095"/>
    <cfRule type="duplicateValues" dxfId="16081" priority="16094"/>
    <cfRule type="duplicateValues" dxfId="16080" priority="16093"/>
    <cfRule type="duplicateValues" dxfId="16079" priority="16092"/>
    <cfRule type="duplicateValues" dxfId="16078" priority="16091"/>
    <cfRule type="duplicateValues" dxfId="16077" priority="16090"/>
    <cfRule type="duplicateValues" dxfId="16076" priority="16089"/>
    <cfRule type="duplicateValues" dxfId="16075" priority="16088"/>
    <cfRule type="duplicateValues" dxfId="16074" priority="16087"/>
    <cfRule type="duplicateValues" dxfId="16073" priority="16086"/>
    <cfRule type="duplicateValues" dxfId="16072" priority="16085"/>
    <cfRule type="duplicateValues" dxfId="16071" priority="16084"/>
    <cfRule type="duplicateValues" dxfId="16070" priority="16083"/>
    <cfRule type="duplicateValues" dxfId="16069" priority="16082"/>
    <cfRule type="duplicateValues" dxfId="16068" priority="16081"/>
    <cfRule type="duplicateValues" dxfId="16067" priority="16080"/>
    <cfRule type="duplicateValues" dxfId="16066" priority="16079"/>
    <cfRule type="duplicateValues" dxfId="16065" priority="16078"/>
    <cfRule type="duplicateValues" dxfId="16064" priority="16077"/>
    <cfRule type="duplicateValues" dxfId="16063" priority="16076"/>
    <cfRule type="duplicateValues" dxfId="16062" priority="16075"/>
    <cfRule type="duplicateValues" dxfId="16061" priority="16074"/>
    <cfRule type="duplicateValues" dxfId="16060" priority="16073"/>
    <cfRule type="duplicateValues" dxfId="16059" priority="16072"/>
    <cfRule type="duplicateValues" dxfId="16058" priority="16071"/>
    <cfRule type="duplicateValues" dxfId="16057" priority="16070"/>
    <cfRule type="duplicateValues" dxfId="16056" priority="16069"/>
    <cfRule type="duplicateValues" dxfId="16055" priority="16068"/>
    <cfRule type="duplicateValues" dxfId="16054" priority="16067"/>
    <cfRule type="duplicateValues" dxfId="16053" priority="16066"/>
    <cfRule type="duplicateValues" dxfId="16052" priority="16065"/>
    <cfRule type="duplicateValues" dxfId="16051" priority="16064"/>
    <cfRule type="duplicateValues" dxfId="16050" priority="16063"/>
    <cfRule type="duplicateValues" dxfId="16049" priority="16062"/>
    <cfRule type="duplicateValues" dxfId="16048" priority="16061"/>
    <cfRule type="duplicateValues" dxfId="16047" priority="16060"/>
    <cfRule type="duplicateValues" dxfId="16046" priority="16059"/>
    <cfRule type="duplicateValues" dxfId="16045" priority="16058"/>
    <cfRule type="duplicateValues" dxfId="16044" priority="16057"/>
    <cfRule type="duplicateValues" dxfId="16043" priority="16056"/>
    <cfRule type="duplicateValues" dxfId="16042" priority="16055"/>
    <cfRule type="duplicateValues" dxfId="16041" priority="16054"/>
    <cfRule type="duplicateValues" dxfId="16040" priority="16053"/>
    <cfRule type="duplicateValues" dxfId="16039" priority="16052"/>
    <cfRule type="duplicateValues" dxfId="16038" priority="16051"/>
    <cfRule type="duplicateValues" dxfId="16037" priority="16050"/>
    <cfRule type="duplicateValues" dxfId="16036" priority="16049"/>
    <cfRule type="duplicateValues" dxfId="16035" priority="16048"/>
    <cfRule type="duplicateValues" dxfId="16034" priority="16047"/>
    <cfRule type="duplicateValues" dxfId="16033" priority="16046"/>
    <cfRule type="duplicateValues" dxfId="16032" priority="16045"/>
    <cfRule type="duplicateValues" dxfId="16031" priority="16044"/>
    <cfRule type="duplicateValues" dxfId="16030" priority="16043"/>
    <cfRule type="duplicateValues" dxfId="16029" priority="16042"/>
    <cfRule type="duplicateValues" dxfId="16028" priority="15990"/>
    <cfRule type="duplicateValues" dxfId="16027" priority="16040"/>
    <cfRule type="duplicateValues" dxfId="16026" priority="16039"/>
    <cfRule type="duplicateValues" dxfId="16025" priority="16038"/>
    <cfRule type="duplicateValues" dxfId="16024" priority="16037"/>
    <cfRule type="duplicateValues" dxfId="16023" priority="16036"/>
    <cfRule type="duplicateValues" dxfId="16022" priority="16035"/>
    <cfRule type="duplicateValues" dxfId="16021" priority="16034"/>
    <cfRule type="duplicateValues" dxfId="16020" priority="16033"/>
    <cfRule type="duplicateValues" dxfId="16019" priority="16032"/>
    <cfRule type="duplicateValues" dxfId="16018" priority="16031"/>
    <cfRule type="duplicateValues" dxfId="16017" priority="16030"/>
    <cfRule type="duplicateValues" dxfId="16016" priority="16029"/>
    <cfRule type="duplicateValues" dxfId="16015" priority="16028"/>
    <cfRule type="duplicateValues" dxfId="16014" priority="16027"/>
    <cfRule type="duplicateValues" dxfId="16013" priority="16026"/>
    <cfRule type="duplicateValues" dxfId="16012" priority="16025"/>
    <cfRule type="duplicateValues" dxfId="16011" priority="16024"/>
    <cfRule type="duplicateValues" dxfId="16010" priority="16023"/>
    <cfRule type="duplicateValues" dxfId="16009" priority="16022"/>
    <cfRule type="duplicateValues" dxfId="16008" priority="16021"/>
    <cfRule type="duplicateValues" dxfId="16007" priority="16020"/>
    <cfRule type="duplicateValues" dxfId="16006" priority="16019"/>
    <cfRule type="duplicateValues" dxfId="16005" priority="16018"/>
    <cfRule type="duplicateValues" dxfId="16004" priority="16017"/>
    <cfRule type="duplicateValues" dxfId="16003" priority="16016"/>
    <cfRule type="duplicateValues" dxfId="16002" priority="16015"/>
    <cfRule type="duplicateValues" dxfId="16001" priority="16014"/>
    <cfRule type="duplicateValues" dxfId="16000" priority="16013"/>
    <cfRule type="duplicateValues" dxfId="15999" priority="16012"/>
    <cfRule type="duplicateValues" dxfId="15998" priority="16011"/>
    <cfRule type="duplicateValues" dxfId="15997" priority="16010"/>
    <cfRule type="duplicateValues" dxfId="15996" priority="16009"/>
    <cfRule type="duplicateValues" dxfId="15995" priority="16008"/>
    <cfRule type="duplicateValues" dxfId="15994" priority="16007"/>
    <cfRule type="duplicateValues" dxfId="15993" priority="16006"/>
    <cfRule type="duplicateValues" dxfId="15992" priority="16005"/>
    <cfRule type="duplicateValues" dxfId="15991" priority="16004"/>
    <cfRule type="duplicateValues" dxfId="15990" priority="16003"/>
    <cfRule type="duplicateValues" dxfId="15989" priority="16002"/>
    <cfRule type="duplicateValues" dxfId="15988" priority="16001"/>
    <cfRule type="duplicateValues" dxfId="15987" priority="16000"/>
    <cfRule type="duplicateValues" dxfId="15986" priority="15999"/>
    <cfRule type="duplicateValues" dxfId="15985" priority="15998"/>
    <cfRule type="duplicateValues" dxfId="15984" priority="15997"/>
    <cfRule type="duplicateValues" dxfId="15983" priority="15996"/>
    <cfRule type="duplicateValues" dxfId="15982" priority="15995"/>
    <cfRule type="duplicateValues" dxfId="15981" priority="15994"/>
  </conditionalFormatting>
  <conditionalFormatting sqref="B247">
    <cfRule type="duplicateValues" dxfId="15980" priority="13133"/>
    <cfRule type="duplicateValues" dxfId="15979" priority="13134"/>
    <cfRule type="duplicateValues" dxfId="15978" priority="13135"/>
    <cfRule type="duplicateValues" dxfId="15977" priority="13320"/>
    <cfRule type="duplicateValues" dxfId="15976" priority="13136"/>
    <cfRule type="duplicateValues" dxfId="15975" priority="13137"/>
    <cfRule type="duplicateValues" dxfId="15974" priority="13138"/>
    <cfRule type="duplicateValues" dxfId="15973" priority="13139"/>
    <cfRule type="duplicateValues" dxfId="15972" priority="13140"/>
    <cfRule type="duplicateValues" dxfId="15971" priority="13141"/>
    <cfRule type="duplicateValues" dxfId="15970" priority="13142"/>
    <cfRule type="duplicateValues" dxfId="15969" priority="13143"/>
    <cfRule type="duplicateValues" dxfId="15968" priority="13144"/>
    <cfRule type="duplicateValues" dxfId="15967" priority="13145"/>
    <cfRule type="duplicateValues" dxfId="15966" priority="13146"/>
    <cfRule type="duplicateValues" dxfId="15965" priority="13147"/>
    <cfRule type="duplicateValues" dxfId="15964" priority="13148"/>
    <cfRule type="duplicateValues" dxfId="15963" priority="13149"/>
    <cfRule type="duplicateValues" dxfId="15962" priority="13150"/>
    <cfRule type="duplicateValues" dxfId="15961" priority="13151"/>
    <cfRule type="duplicateValues" dxfId="15960" priority="13152"/>
    <cfRule type="duplicateValues" dxfId="15959" priority="13153"/>
    <cfRule type="duplicateValues" dxfId="15958" priority="13154"/>
    <cfRule type="duplicateValues" dxfId="15957" priority="13155"/>
    <cfRule type="duplicateValues" dxfId="15956" priority="13156"/>
    <cfRule type="duplicateValues" dxfId="15955" priority="13157"/>
    <cfRule type="duplicateValues" dxfId="15954" priority="13158"/>
    <cfRule type="duplicateValues" dxfId="15953" priority="13159"/>
    <cfRule type="duplicateValues" dxfId="15952" priority="13160"/>
    <cfRule type="duplicateValues" dxfId="15951" priority="13161"/>
    <cfRule type="duplicateValues" dxfId="15950" priority="13162"/>
    <cfRule type="duplicateValues" dxfId="15949" priority="13163"/>
    <cfRule type="duplicateValues" dxfId="15948" priority="13164"/>
    <cfRule type="duplicateValues" dxfId="15947" priority="13165"/>
    <cfRule type="duplicateValues" dxfId="15946" priority="13166"/>
    <cfRule type="duplicateValues" dxfId="15945" priority="13167"/>
    <cfRule type="duplicateValues" dxfId="15944" priority="13168"/>
    <cfRule type="duplicateValues" dxfId="15943" priority="13169"/>
    <cfRule type="duplicateValues" dxfId="15942" priority="13170"/>
    <cfRule type="duplicateValues" dxfId="15941" priority="13171"/>
    <cfRule type="duplicateValues" dxfId="15940" priority="13172"/>
    <cfRule type="duplicateValues" dxfId="15939" priority="13173"/>
    <cfRule type="duplicateValues" dxfId="15938" priority="13174"/>
    <cfRule type="duplicateValues" dxfId="15937" priority="13175"/>
    <cfRule type="duplicateValues" dxfId="15936" priority="13176"/>
    <cfRule type="duplicateValues" dxfId="15935" priority="13177"/>
    <cfRule type="duplicateValues" dxfId="15934" priority="13178"/>
    <cfRule type="duplicateValues" dxfId="15933" priority="13179"/>
    <cfRule type="duplicateValues" dxfId="15932" priority="13180"/>
    <cfRule type="duplicateValues" dxfId="15931" priority="13181"/>
    <cfRule type="duplicateValues" dxfId="15930" priority="13182"/>
    <cfRule type="duplicateValues" dxfId="15929" priority="13183"/>
    <cfRule type="duplicateValues" dxfId="15928" priority="13184"/>
    <cfRule type="duplicateValues" dxfId="15927" priority="13185"/>
    <cfRule type="duplicateValues" dxfId="15926" priority="13186"/>
    <cfRule type="duplicateValues" dxfId="15925" priority="13187"/>
    <cfRule type="duplicateValues" dxfId="15924" priority="13188"/>
    <cfRule type="duplicateValues" dxfId="15923" priority="13189"/>
    <cfRule type="duplicateValues" dxfId="15922" priority="13190"/>
    <cfRule type="duplicateValues" dxfId="15921" priority="13191"/>
    <cfRule type="duplicateValues" dxfId="15920" priority="13192"/>
    <cfRule type="duplicateValues" dxfId="15919" priority="13193"/>
    <cfRule type="duplicateValues" dxfId="15918" priority="13194"/>
    <cfRule type="duplicateValues" dxfId="15917" priority="13195"/>
    <cfRule type="duplicateValues" dxfId="15916" priority="13196"/>
    <cfRule type="duplicateValues" dxfId="15915" priority="13197"/>
    <cfRule type="duplicateValues" dxfId="15914" priority="13198"/>
    <cfRule type="duplicateValues" dxfId="15913" priority="13199"/>
    <cfRule type="duplicateValues" dxfId="15912" priority="13200"/>
    <cfRule type="duplicateValues" dxfId="15911" priority="13201"/>
    <cfRule type="duplicateValues" dxfId="15910" priority="13202"/>
    <cfRule type="duplicateValues" dxfId="15909" priority="13203"/>
    <cfRule type="duplicateValues" dxfId="15908" priority="13204"/>
    <cfRule type="duplicateValues" dxfId="15907" priority="13205"/>
    <cfRule type="duplicateValues" dxfId="15906" priority="13206"/>
    <cfRule type="duplicateValues" dxfId="15905" priority="13207"/>
    <cfRule type="duplicateValues" dxfId="15904" priority="13208"/>
    <cfRule type="duplicateValues" dxfId="15903" priority="13209"/>
    <cfRule type="duplicateValues" dxfId="15902" priority="13210"/>
    <cfRule type="duplicateValues" dxfId="15901" priority="13211"/>
    <cfRule type="duplicateValues" dxfId="15900" priority="13212"/>
    <cfRule type="duplicateValues" dxfId="15899" priority="13213"/>
    <cfRule type="duplicateValues" dxfId="15898" priority="13214"/>
    <cfRule type="duplicateValues" dxfId="15897" priority="13215"/>
    <cfRule type="duplicateValues" dxfId="15896" priority="13216"/>
    <cfRule type="duplicateValues" dxfId="15895" priority="13217"/>
    <cfRule type="duplicateValues" dxfId="15894" priority="13218"/>
    <cfRule type="duplicateValues" dxfId="15893" priority="13219"/>
    <cfRule type="duplicateValues" dxfId="15892" priority="13220"/>
    <cfRule type="duplicateValues" dxfId="15891" priority="13221"/>
    <cfRule type="duplicateValues" dxfId="15890" priority="13222"/>
    <cfRule type="duplicateValues" dxfId="15889" priority="13223"/>
    <cfRule type="duplicateValues" dxfId="15888" priority="13224"/>
    <cfRule type="duplicateValues" dxfId="15887" priority="13225"/>
    <cfRule type="duplicateValues" dxfId="15886" priority="13226"/>
    <cfRule type="duplicateValues" dxfId="15885" priority="13227"/>
    <cfRule type="duplicateValues" dxfId="15884" priority="13228"/>
    <cfRule type="duplicateValues" dxfId="15883" priority="13229"/>
    <cfRule type="duplicateValues" dxfId="15882" priority="13230"/>
    <cfRule type="duplicateValues" dxfId="15881" priority="13231"/>
    <cfRule type="duplicateValues" dxfId="15880" priority="13232"/>
    <cfRule type="duplicateValues" dxfId="15879" priority="13233"/>
    <cfRule type="duplicateValues" dxfId="15878" priority="13234"/>
    <cfRule type="duplicateValues" dxfId="15877" priority="13235"/>
    <cfRule type="duplicateValues" dxfId="15876" priority="13236"/>
    <cfRule type="duplicateValues" dxfId="15875" priority="13237"/>
    <cfRule type="duplicateValues" dxfId="15874" priority="13238"/>
    <cfRule type="duplicateValues" dxfId="15873" priority="13239"/>
    <cfRule type="duplicateValues" dxfId="15872" priority="13240"/>
    <cfRule type="duplicateValues" dxfId="15871" priority="13241"/>
    <cfRule type="duplicateValues" dxfId="15870" priority="13242"/>
    <cfRule type="duplicateValues" dxfId="15869" priority="13243"/>
    <cfRule type="duplicateValues" dxfId="15868" priority="13244"/>
    <cfRule type="duplicateValues" dxfId="15867" priority="13245"/>
    <cfRule type="duplicateValues" dxfId="15866" priority="13246"/>
    <cfRule type="duplicateValues" dxfId="15865" priority="13247"/>
    <cfRule type="duplicateValues" dxfId="15864" priority="13248"/>
    <cfRule type="duplicateValues" dxfId="15863" priority="13249"/>
    <cfRule type="duplicateValues" dxfId="15862" priority="13250"/>
    <cfRule type="duplicateValues" dxfId="15861" priority="13251"/>
    <cfRule type="duplicateValues" dxfId="15860" priority="13252"/>
    <cfRule type="duplicateValues" dxfId="15859" priority="13253"/>
    <cfRule type="duplicateValues" dxfId="15858" priority="13254"/>
    <cfRule type="duplicateValues" dxfId="15857" priority="13255"/>
    <cfRule type="duplicateValues" dxfId="15856" priority="13256"/>
    <cfRule type="duplicateValues" dxfId="15855" priority="13257"/>
    <cfRule type="duplicateValues" dxfId="15854" priority="13258"/>
    <cfRule type="duplicateValues" dxfId="15853" priority="13259"/>
    <cfRule type="duplicateValues" dxfId="15852" priority="13260"/>
    <cfRule type="duplicateValues" dxfId="15851" priority="13261"/>
    <cfRule type="duplicateValues" dxfId="15850" priority="13262"/>
    <cfRule type="duplicateValues" dxfId="15849" priority="13263"/>
    <cfRule type="duplicateValues" dxfId="15848" priority="13264"/>
    <cfRule type="duplicateValues" dxfId="15847" priority="13265"/>
    <cfRule type="duplicateValues" dxfId="15846" priority="13266"/>
    <cfRule type="duplicateValues" dxfId="15845" priority="13267"/>
    <cfRule type="duplicateValues" dxfId="15844" priority="13268"/>
    <cfRule type="duplicateValues" dxfId="15843" priority="13269"/>
    <cfRule type="duplicateValues" dxfId="15842" priority="13270"/>
    <cfRule type="duplicateValues" dxfId="15841" priority="13271"/>
    <cfRule type="duplicateValues" dxfId="15840" priority="13272"/>
    <cfRule type="duplicateValues" dxfId="15839" priority="13273"/>
    <cfRule type="duplicateValues" dxfId="15838" priority="13274"/>
    <cfRule type="duplicateValues" dxfId="15837" priority="13275"/>
    <cfRule type="duplicateValues" dxfId="15836" priority="13276"/>
    <cfRule type="duplicateValues" dxfId="15835" priority="13277"/>
    <cfRule type="duplicateValues" dxfId="15834" priority="13278"/>
    <cfRule type="duplicateValues" dxfId="15833" priority="13279"/>
    <cfRule type="duplicateValues" dxfId="15832" priority="13280"/>
    <cfRule type="duplicateValues" dxfId="15831" priority="13281"/>
    <cfRule type="duplicateValues" dxfId="15830" priority="13282"/>
    <cfRule type="duplicateValues" dxfId="15829" priority="13283"/>
    <cfRule type="duplicateValues" dxfId="15828" priority="13284"/>
    <cfRule type="duplicateValues" dxfId="15827" priority="13285"/>
    <cfRule type="duplicateValues" dxfId="15826" priority="13286"/>
    <cfRule type="duplicateValues" dxfId="15825" priority="13287"/>
    <cfRule type="duplicateValues" dxfId="15824" priority="13288"/>
    <cfRule type="duplicateValues" dxfId="15823" priority="13289"/>
    <cfRule type="duplicateValues" dxfId="15822" priority="13290"/>
    <cfRule type="duplicateValues" dxfId="15821" priority="13291"/>
    <cfRule type="duplicateValues" dxfId="15820" priority="13292"/>
    <cfRule type="duplicateValues" dxfId="15819" priority="13293"/>
    <cfRule type="duplicateValues" dxfId="15818" priority="13294"/>
    <cfRule type="duplicateValues" dxfId="15817" priority="13295"/>
    <cfRule type="duplicateValues" dxfId="15816" priority="13296"/>
    <cfRule type="duplicateValues" dxfId="15815" priority="13297"/>
    <cfRule type="duplicateValues" dxfId="15814" priority="13298"/>
    <cfRule type="duplicateValues" dxfId="15813" priority="13299"/>
    <cfRule type="duplicateValues" dxfId="15812" priority="13300"/>
    <cfRule type="duplicateValues" dxfId="15811" priority="13301"/>
    <cfRule type="duplicateValues" dxfId="15810" priority="13302"/>
    <cfRule type="duplicateValues" dxfId="15809" priority="13303"/>
    <cfRule type="duplicateValues" dxfId="15808" priority="13304"/>
    <cfRule type="duplicateValues" dxfId="15807" priority="13305"/>
    <cfRule type="duplicateValues" dxfId="15806" priority="13306"/>
    <cfRule type="duplicateValues" dxfId="15805" priority="13307"/>
    <cfRule type="duplicateValues" dxfId="15804" priority="13308"/>
    <cfRule type="duplicateValues" dxfId="15803" priority="13309"/>
    <cfRule type="duplicateValues" dxfId="15802" priority="13310"/>
    <cfRule type="duplicateValues" dxfId="15801" priority="13311"/>
    <cfRule type="duplicateValues" dxfId="15800" priority="13312"/>
    <cfRule type="duplicateValues" dxfId="15799" priority="13313"/>
    <cfRule type="duplicateValues" dxfId="15798" priority="13314"/>
    <cfRule type="duplicateValues" dxfId="15797" priority="13315"/>
    <cfRule type="duplicateValues" dxfId="15796" priority="13316"/>
    <cfRule type="duplicateValues" dxfId="15795" priority="13317"/>
    <cfRule type="duplicateValues" dxfId="15794" priority="13318"/>
    <cfRule type="duplicateValues" dxfId="15793" priority="13319"/>
  </conditionalFormatting>
  <conditionalFormatting sqref="B248">
    <cfRule type="duplicateValues" dxfId="15792" priority="13132"/>
    <cfRule type="duplicateValues" dxfId="15791" priority="13036"/>
    <cfRule type="duplicateValues" dxfId="15790" priority="13035"/>
    <cfRule type="duplicateValues" dxfId="15789" priority="13034"/>
    <cfRule type="duplicateValues" dxfId="15788" priority="13033"/>
    <cfRule type="duplicateValues" dxfId="15787" priority="13032"/>
    <cfRule type="duplicateValues" dxfId="15786" priority="13031"/>
    <cfRule type="duplicateValues" dxfId="15785" priority="13030"/>
    <cfRule type="duplicateValues" dxfId="15784" priority="13029"/>
    <cfRule type="duplicateValues" dxfId="15783" priority="13028"/>
    <cfRule type="duplicateValues" dxfId="15782" priority="13027"/>
    <cfRule type="duplicateValues" dxfId="15781" priority="13026"/>
    <cfRule type="duplicateValues" dxfId="15780" priority="13025"/>
    <cfRule type="duplicateValues" dxfId="15779" priority="13024"/>
    <cfRule type="duplicateValues" dxfId="15778" priority="13023"/>
    <cfRule type="duplicateValues" dxfId="15777" priority="13022"/>
    <cfRule type="duplicateValues" dxfId="15776" priority="13021"/>
    <cfRule type="duplicateValues" dxfId="15775" priority="13020"/>
    <cfRule type="duplicateValues" dxfId="15774" priority="13019"/>
    <cfRule type="duplicateValues" dxfId="15773" priority="13018"/>
    <cfRule type="duplicateValues" dxfId="15772" priority="13017"/>
    <cfRule type="duplicateValues" dxfId="15771" priority="13016"/>
    <cfRule type="duplicateValues" dxfId="15770" priority="13015"/>
    <cfRule type="duplicateValues" dxfId="15769" priority="13014"/>
    <cfRule type="duplicateValues" dxfId="15768" priority="13013"/>
    <cfRule type="duplicateValues" dxfId="15767" priority="13012"/>
    <cfRule type="duplicateValues" dxfId="15766" priority="13011"/>
    <cfRule type="duplicateValues" dxfId="15765" priority="13010"/>
    <cfRule type="duplicateValues" dxfId="15764" priority="13009"/>
    <cfRule type="duplicateValues" dxfId="15763" priority="13008"/>
    <cfRule type="duplicateValues" dxfId="15762" priority="13007"/>
    <cfRule type="duplicateValues" dxfId="15761" priority="13006"/>
    <cfRule type="duplicateValues" dxfId="15760" priority="13005"/>
    <cfRule type="duplicateValues" dxfId="15759" priority="13004"/>
    <cfRule type="duplicateValues" dxfId="15758" priority="13003"/>
    <cfRule type="duplicateValues" dxfId="15757" priority="13002"/>
    <cfRule type="duplicateValues" dxfId="15756" priority="13001"/>
    <cfRule type="duplicateValues" dxfId="15755" priority="13000"/>
    <cfRule type="duplicateValues" dxfId="15754" priority="12999"/>
    <cfRule type="duplicateValues" dxfId="15753" priority="12998"/>
    <cfRule type="duplicateValues" dxfId="15752" priority="12997"/>
    <cfRule type="duplicateValues" dxfId="15751" priority="12996"/>
    <cfRule type="duplicateValues" dxfId="15750" priority="12995"/>
    <cfRule type="duplicateValues" dxfId="15749" priority="12994"/>
    <cfRule type="duplicateValues" dxfId="15748" priority="12993"/>
    <cfRule type="duplicateValues" dxfId="15747" priority="12992"/>
    <cfRule type="duplicateValues" dxfId="15746" priority="12991"/>
    <cfRule type="duplicateValues" dxfId="15745" priority="13131"/>
    <cfRule type="duplicateValues" dxfId="15744" priority="12990"/>
    <cfRule type="duplicateValues" dxfId="15743" priority="12989"/>
    <cfRule type="duplicateValues" dxfId="15742" priority="12988"/>
    <cfRule type="duplicateValues" dxfId="15741" priority="12987"/>
    <cfRule type="duplicateValues" dxfId="15740" priority="12986"/>
    <cfRule type="duplicateValues" dxfId="15739" priority="12985"/>
    <cfRule type="duplicateValues" dxfId="15738" priority="12984"/>
    <cfRule type="duplicateValues" dxfId="15737" priority="12983"/>
    <cfRule type="duplicateValues" dxfId="15736" priority="12982"/>
    <cfRule type="duplicateValues" dxfId="15735" priority="12981"/>
    <cfRule type="duplicateValues" dxfId="15734" priority="12980"/>
    <cfRule type="duplicateValues" dxfId="15733" priority="12979"/>
    <cfRule type="duplicateValues" dxfId="15732" priority="12978"/>
    <cfRule type="duplicateValues" dxfId="15731" priority="12977"/>
    <cfRule type="duplicateValues" dxfId="15730" priority="12976"/>
    <cfRule type="duplicateValues" dxfId="15729" priority="12975"/>
    <cfRule type="duplicateValues" dxfId="15728" priority="12974"/>
    <cfRule type="duplicateValues" dxfId="15727" priority="12973"/>
    <cfRule type="duplicateValues" dxfId="15726" priority="12972"/>
    <cfRule type="duplicateValues" dxfId="15725" priority="12971"/>
    <cfRule type="duplicateValues" dxfId="15724" priority="12970"/>
    <cfRule type="duplicateValues" dxfId="15723" priority="12969"/>
    <cfRule type="duplicateValues" dxfId="15722" priority="12968"/>
    <cfRule type="duplicateValues" dxfId="15721" priority="12966"/>
    <cfRule type="duplicateValues" dxfId="15720" priority="12965"/>
    <cfRule type="duplicateValues" dxfId="15719" priority="12964"/>
    <cfRule type="duplicateValues" dxfId="15718" priority="12963"/>
    <cfRule type="duplicateValues" dxfId="15717" priority="12962"/>
    <cfRule type="duplicateValues" dxfId="15716" priority="12961"/>
    <cfRule type="duplicateValues" dxfId="15715" priority="12960"/>
    <cfRule type="duplicateValues" dxfId="15714" priority="12959"/>
    <cfRule type="duplicateValues" dxfId="15713" priority="12958"/>
    <cfRule type="duplicateValues" dxfId="15712" priority="12957"/>
    <cfRule type="duplicateValues" dxfId="15711" priority="12956"/>
    <cfRule type="duplicateValues" dxfId="15710" priority="12955"/>
    <cfRule type="duplicateValues" dxfId="15709" priority="12954"/>
    <cfRule type="duplicateValues" dxfId="15708" priority="12953"/>
    <cfRule type="duplicateValues" dxfId="15707" priority="12952"/>
    <cfRule type="duplicateValues" dxfId="15706" priority="12951"/>
    <cfRule type="duplicateValues" dxfId="15705" priority="12950"/>
    <cfRule type="duplicateValues" dxfId="15704" priority="12949"/>
    <cfRule type="duplicateValues" dxfId="15703" priority="12948"/>
    <cfRule type="duplicateValues" dxfId="15702" priority="12947"/>
    <cfRule type="duplicateValues" dxfId="15701" priority="12946"/>
    <cfRule type="duplicateValues" dxfId="15700" priority="12945"/>
    <cfRule type="duplicateValues" dxfId="15699" priority="12967"/>
    <cfRule type="duplicateValues" dxfId="15698" priority="13037"/>
    <cfRule type="duplicateValues" dxfId="15697" priority="13038"/>
    <cfRule type="duplicateValues" dxfId="15696" priority="13039"/>
    <cfRule type="duplicateValues" dxfId="15695" priority="13040"/>
    <cfRule type="duplicateValues" dxfId="15694" priority="13041"/>
    <cfRule type="duplicateValues" dxfId="15693" priority="13042"/>
    <cfRule type="duplicateValues" dxfId="15692" priority="13043"/>
    <cfRule type="duplicateValues" dxfId="15691" priority="13044"/>
    <cfRule type="duplicateValues" dxfId="15690" priority="13045"/>
    <cfRule type="duplicateValues" dxfId="15689" priority="13046"/>
    <cfRule type="duplicateValues" dxfId="15688" priority="13047"/>
    <cfRule type="duplicateValues" dxfId="15687" priority="13048"/>
    <cfRule type="duplicateValues" dxfId="15686" priority="13049"/>
    <cfRule type="duplicateValues" dxfId="15685" priority="13050"/>
    <cfRule type="duplicateValues" dxfId="15684" priority="13051"/>
    <cfRule type="duplicateValues" dxfId="15683" priority="13052"/>
    <cfRule type="duplicateValues" dxfId="15682" priority="13053"/>
    <cfRule type="duplicateValues" dxfId="15681" priority="13054"/>
    <cfRule type="duplicateValues" dxfId="15680" priority="13055"/>
    <cfRule type="duplicateValues" dxfId="15679" priority="13056"/>
    <cfRule type="duplicateValues" dxfId="15678" priority="13057"/>
    <cfRule type="duplicateValues" dxfId="15677" priority="13058"/>
    <cfRule type="duplicateValues" dxfId="15676" priority="13059"/>
    <cfRule type="duplicateValues" dxfId="15675" priority="13060"/>
    <cfRule type="duplicateValues" dxfId="15674" priority="13061"/>
    <cfRule type="duplicateValues" dxfId="15673" priority="13062"/>
    <cfRule type="duplicateValues" dxfId="15672" priority="13063"/>
    <cfRule type="duplicateValues" dxfId="15671" priority="13064"/>
    <cfRule type="duplicateValues" dxfId="15670" priority="13065"/>
    <cfRule type="duplicateValues" dxfId="15669" priority="13066"/>
    <cfRule type="duplicateValues" dxfId="15668" priority="13067"/>
    <cfRule type="duplicateValues" dxfId="15667" priority="13068"/>
    <cfRule type="duplicateValues" dxfId="15666" priority="13069"/>
    <cfRule type="duplicateValues" dxfId="15665" priority="13070"/>
    <cfRule type="duplicateValues" dxfId="15664" priority="13071"/>
    <cfRule type="duplicateValues" dxfId="15663" priority="13072"/>
    <cfRule type="duplicateValues" dxfId="15662" priority="13073"/>
    <cfRule type="duplicateValues" dxfId="15661" priority="13074"/>
    <cfRule type="duplicateValues" dxfId="15660" priority="13075"/>
    <cfRule type="duplicateValues" dxfId="15659" priority="13076"/>
    <cfRule type="duplicateValues" dxfId="15658" priority="13077"/>
    <cfRule type="duplicateValues" dxfId="15657" priority="13078"/>
    <cfRule type="duplicateValues" dxfId="15656" priority="13079"/>
    <cfRule type="duplicateValues" dxfId="15655" priority="13080"/>
    <cfRule type="duplicateValues" dxfId="15654" priority="13081"/>
    <cfRule type="duplicateValues" dxfId="15653" priority="13082"/>
    <cfRule type="duplicateValues" dxfId="15652" priority="13083"/>
    <cfRule type="duplicateValues" dxfId="15651" priority="13084"/>
    <cfRule type="duplicateValues" dxfId="15650" priority="13085"/>
    <cfRule type="duplicateValues" dxfId="15649" priority="13086"/>
    <cfRule type="duplicateValues" dxfId="15648" priority="13087"/>
    <cfRule type="duplicateValues" dxfId="15647" priority="13088"/>
    <cfRule type="duplicateValues" dxfId="15646" priority="13089"/>
    <cfRule type="duplicateValues" dxfId="15645" priority="13090"/>
    <cfRule type="duplicateValues" dxfId="15644" priority="13091"/>
    <cfRule type="duplicateValues" dxfId="15643" priority="13092"/>
    <cfRule type="duplicateValues" dxfId="15642" priority="13093"/>
    <cfRule type="duplicateValues" dxfId="15641" priority="13094"/>
    <cfRule type="duplicateValues" dxfId="15640" priority="13095"/>
    <cfRule type="duplicateValues" dxfId="15639" priority="13096"/>
    <cfRule type="duplicateValues" dxfId="15638" priority="13097"/>
    <cfRule type="duplicateValues" dxfId="15637" priority="13098"/>
    <cfRule type="duplicateValues" dxfId="15636" priority="13099"/>
    <cfRule type="duplicateValues" dxfId="15635" priority="13100"/>
    <cfRule type="duplicateValues" dxfId="15634" priority="13101"/>
    <cfRule type="duplicateValues" dxfId="15633" priority="13102"/>
    <cfRule type="duplicateValues" dxfId="15632" priority="13103"/>
    <cfRule type="duplicateValues" dxfId="15631" priority="13104"/>
    <cfRule type="duplicateValues" dxfId="15630" priority="13105"/>
    <cfRule type="duplicateValues" dxfId="15629" priority="13106"/>
    <cfRule type="duplicateValues" dxfId="15628" priority="13107"/>
    <cfRule type="duplicateValues" dxfId="15627" priority="13108"/>
    <cfRule type="duplicateValues" dxfId="15626" priority="13109"/>
    <cfRule type="duplicateValues" dxfId="15625" priority="13110"/>
    <cfRule type="duplicateValues" dxfId="15624" priority="13111"/>
    <cfRule type="duplicateValues" dxfId="15623" priority="13112"/>
    <cfRule type="duplicateValues" dxfId="15622" priority="13113"/>
    <cfRule type="duplicateValues" dxfId="15621" priority="13114"/>
    <cfRule type="duplicateValues" dxfId="15620" priority="13115"/>
    <cfRule type="duplicateValues" dxfId="15619" priority="13116"/>
    <cfRule type="duplicateValues" dxfId="15618" priority="13117"/>
    <cfRule type="duplicateValues" dxfId="15617" priority="13118"/>
    <cfRule type="duplicateValues" dxfId="15616" priority="13119"/>
    <cfRule type="duplicateValues" dxfId="15615" priority="13120"/>
    <cfRule type="duplicateValues" dxfId="15614" priority="13121"/>
    <cfRule type="duplicateValues" dxfId="15613" priority="13122"/>
    <cfRule type="duplicateValues" dxfId="15612" priority="13123"/>
    <cfRule type="duplicateValues" dxfId="15611" priority="13124"/>
    <cfRule type="duplicateValues" dxfId="15610" priority="13125"/>
    <cfRule type="duplicateValues" dxfId="15609" priority="13126"/>
    <cfRule type="duplicateValues" dxfId="15608" priority="13127"/>
    <cfRule type="duplicateValues" dxfId="15607" priority="13128"/>
    <cfRule type="duplicateValues" dxfId="15606" priority="13129"/>
    <cfRule type="duplicateValues" dxfId="15605" priority="13130"/>
  </conditionalFormatting>
  <conditionalFormatting sqref="B249">
    <cfRule type="duplicateValues" dxfId="15604" priority="12851"/>
    <cfRule type="duplicateValues" dxfId="15603" priority="12852"/>
    <cfRule type="duplicateValues" dxfId="15602" priority="12853"/>
    <cfRule type="duplicateValues" dxfId="15601" priority="12854"/>
    <cfRule type="duplicateValues" dxfId="15600" priority="12855"/>
    <cfRule type="duplicateValues" dxfId="15599" priority="12856"/>
    <cfRule type="duplicateValues" dxfId="15598" priority="12857"/>
    <cfRule type="duplicateValues" dxfId="15597" priority="12858"/>
    <cfRule type="duplicateValues" dxfId="15596" priority="12859"/>
    <cfRule type="duplicateValues" dxfId="15595" priority="12860"/>
    <cfRule type="duplicateValues" dxfId="15594" priority="12861"/>
    <cfRule type="duplicateValues" dxfId="15593" priority="12862"/>
    <cfRule type="duplicateValues" dxfId="15592" priority="12863"/>
    <cfRule type="duplicateValues" dxfId="15591" priority="12864"/>
    <cfRule type="duplicateValues" dxfId="15590" priority="12865"/>
    <cfRule type="duplicateValues" dxfId="15589" priority="12866"/>
    <cfRule type="duplicateValues" dxfId="15588" priority="12867"/>
    <cfRule type="duplicateValues" dxfId="15587" priority="12868"/>
    <cfRule type="duplicateValues" dxfId="15586" priority="12869"/>
    <cfRule type="duplicateValues" dxfId="15585" priority="12870"/>
    <cfRule type="duplicateValues" dxfId="15584" priority="12871"/>
    <cfRule type="duplicateValues" dxfId="15583" priority="12872"/>
    <cfRule type="duplicateValues" dxfId="15582" priority="12873"/>
    <cfRule type="duplicateValues" dxfId="15581" priority="12874"/>
    <cfRule type="duplicateValues" dxfId="15580" priority="12875"/>
    <cfRule type="duplicateValues" dxfId="15579" priority="12876"/>
    <cfRule type="duplicateValues" dxfId="15578" priority="12877"/>
    <cfRule type="duplicateValues" dxfId="15577" priority="12878"/>
    <cfRule type="duplicateValues" dxfId="15576" priority="12879"/>
    <cfRule type="duplicateValues" dxfId="15575" priority="12880"/>
    <cfRule type="duplicateValues" dxfId="15574" priority="12881"/>
    <cfRule type="duplicateValues" dxfId="15573" priority="12882"/>
    <cfRule type="duplicateValues" dxfId="15572" priority="12883"/>
    <cfRule type="duplicateValues" dxfId="15571" priority="12884"/>
    <cfRule type="duplicateValues" dxfId="15570" priority="12885"/>
    <cfRule type="duplicateValues" dxfId="15569" priority="12886"/>
    <cfRule type="duplicateValues" dxfId="15568" priority="12887"/>
    <cfRule type="duplicateValues" dxfId="15567" priority="12888"/>
    <cfRule type="duplicateValues" dxfId="15566" priority="12889"/>
    <cfRule type="duplicateValues" dxfId="15565" priority="12890"/>
    <cfRule type="duplicateValues" dxfId="15564" priority="12891"/>
    <cfRule type="duplicateValues" dxfId="15563" priority="12892"/>
    <cfRule type="duplicateValues" dxfId="15562" priority="12893"/>
    <cfRule type="duplicateValues" dxfId="15561" priority="12894"/>
    <cfRule type="duplicateValues" dxfId="15560" priority="12895"/>
    <cfRule type="duplicateValues" dxfId="15559" priority="12896"/>
    <cfRule type="duplicateValues" dxfId="15558" priority="12897"/>
    <cfRule type="duplicateValues" dxfId="15557" priority="12898"/>
    <cfRule type="duplicateValues" dxfId="15556" priority="12899"/>
    <cfRule type="duplicateValues" dxfId="15555" priority="12900"/>
    <cfRule type="duplicateValues" dxfId="15554" priority="12901"/>
    <cfRule type="duplicateValues" dxfId="15553" priority="12902"/>
    <cfRule type="duplicateValues" dxfId="15552" priority="12903"/>
    <cfRule type="duplicateValues" dxfId="15551" priority="12904"/>
    <cfRule type="duplicateValues" dxfId="15550" priority="12905"/>
    <cfRule type="duplicateValues" dxfId="15549" priority="12906"/>
    <cfRule type="duplicateValues" dxfId="15548" priority="12907"/>
    <cfRule type="duplicateValues" dxfId="15547" priority="12908"/>
    <cfRule type="duplicateValues" dxfId="15546" priority="12909"/>
    <cfRule type="duplicateValues" dxfId="15545" priority="12910"/>
    <cfRule type="duplicateValues" dxfId="15544" priority="12911"/>
    <cfRule type="duplicateValues" dxfId="15543" priority="12912"/>
    <cfRule type="duplicateValues" dxfId="15542" priority="12913"/>
    <cfRule type="duplicateValues" dxfId="15541" priority="12914"/>
    <cfRule type="duplicateValues" dxfId="15540" priority="12915"/>
    <cfRule type="duplicateValues" dxfId="15539" priority="12916"/>
    <cfRule type="duplicateValues" dxfId="15538" priority="12917"/>
    <cfRule type="duplicateValues" dxfId="15537" priority="12918"/>
    <cfRule type="duplicateValues" dxfId="15536" priority="12919"/>
    <cfRule type="duplicateValues" dxfId="15535" priority="12920"/>
    <cfRule type="duplicateValues" dxfId="15534" priority="12921"/>
    <cfRule type="duplicateValues" dxfId="15533" priority="12922"/>
    <cfRule type="duplicateValues" dxfId="15532" priority="12923"/>
    <cfRule type="duplicateValues" dxfId="15531" priority="12924"/>
    <cfRule type="duplicateValues" dxfId="15530" priority="12925"/>
    <cfRule type="duplicateValues" dxfId="15529" priority="12926"/>
    <cfRule type="duplicateValues" dxfId="15528" priority="12927"/>
    <cfRule type="duplicateValues" dxfId="15527" priority="12928"/>
    <cfRule type="duplicateValues" dxfId="15526" priority="12929"/>
    <cfRule type="duplicateValues" dxfId="15525" priority="12930"/>
    <cfRule type="duplicateValues" dxfId="15524" priority="12931"/>
    <cfRule type="duplicateValues" dxfId="15523" priority="12932"/>
    <cfRule type="duplicateValues" dxfId="15522" priority="12933"/>
    <cfRule type="duplicateValues" dxfId="15521" priority="12934"/>
    <cfRule type="duplicateValues" dxfId="15520" priority="12935"/>
    <cfRule type="duplicateValues" dxfId="15519" priority="12936"/>
    <cfRule type="duplicateValues" dxfId="15518" priority="12937"/>
    <cfRule type="duplicateValues" dxfId="15517" priority="12938"/>
    <cfRule type="duplicateValues" dxfId="15516" priority="12939"/>
    <cfRule type="duplicateValues" dxfId="15515" priority="12940"/>
    <cfRule type="duplicateValues" dxfId="15514" priority="12941"/>
    <cfRule type="duplicateValues" dxfId="15513" priority="12942"/>
    <cfRule type="duplicateValues" dxfId="15512" priority="12943"/>
    <cfRule type="duplicateValues" dxfId="15511" priority="12944"/>
    <cfRule type="duplicateValues" dxfId="15510" priority="12803"/>
    <cfRule type="duplicateValues" dxfId="15509" priority="12757"/>
    <cfRule type="duplicateValues" dxfId="15508" priority="12758"/>
    <cfRule type="duplicateValues" dxfId="15507" priority="12759"/>
    <cfRule type="duplicateValues" dxfId="15506" priority="12760"/>
    <cfRule type="duplicateValues" dxfId="15505" priority="12761"/>
    <cfRule type="duplicateValues" dxfId="15504" priority="12762"/>
    <cfRule type="duplicateValues" dxfId="15503" priority="12763"/>
    <cfRule type="duplicateValues" dxfId="15502" priority="12764"/>
    <cfRule type="duplicateValues" dxfId="15501" priority="12765"/>
    <cfRule type="duplicateValues" dxfId="15500" priority="12766"/>
    <cfRule type="duplicateValues" dxfId="15499" priority="12767"/>
    <cfRule type="duplicateValues" dxfId="15498" priority="12768"/>
    <cfRule type="duplicateValues" dxfId="15497" priority="12769"/>
    <cfRule type="duplicateValues" dxfId="15496" priority="12770"/>
    <cfRule type="duplicateValues" dxfId="15495" priority="12771"/>
    <cfRule type="duplicateValues" dxfId="15494" priority="12772"/>
    <cfRule type="duplicateValues" dxfId="15493" priority="12773"/>
    <cfRule type="duplicateValues" dxfId="15492" priority="12774"/>
    <cfRule type="duplicateValues" dxfId="15491" priority="12775"/>
    <cfRule type="duplicateValues" dxfId="15490" priority="12776"/>
    <cfRule type="duplicateValues" dxfId="15489" priority="12777"/>
    <cfRule type="duplicateValues" dxfId="15488" priority="12778"/>
    <cfRule type="duplicateValues" dxfId="15487" priority="12779"/>
    <cfRule type="duplicateValues" dxfId="15486" priority="12780"/>
    <cfRule type="duplicateValues" dxfId="15485" priority="12781"/>
    <cfRule type="duplicateValues" dxfId="15484" priority="12782"/>
    <cfRule type="duplicateValues" dxfId="15483" priority="12783"/>
    <cfRule type="duplicateValues" dxfId="15482" priority="12784"/>
    <cfRule type="duplicateValues" dxfId="15481" priority="12785"/>
    <cfRule type="duplicateValues" dxfId="15480" priority="12786"/>
    <cfRule type="duplicateValues" dxfId="15479" priority="12787"/>
    <cfRule type="duplicateValues" dxfId="15478" priority="12788"/>
    <cfRule type="duplicateValues" dxfId="15477" priority="12789"/>
    <cfRule type="duplicateValues" dxfId="15476" priority="12790"/>
    <cfRule type="duplicateValues" dxfId="15475" priority="12791"/>
    <cfRule type="duplicateValues" dxfId="15474" priority="12792"/>
    <cfRule type="duplicateValues" dxfId="15473" priority="12793"/>
    <cfRule type="duplicateValues" dxfId="15472" priority="12794"/>
    <cfRule type="duplicateValues" dxfId="15471" priority="12795"/>
    <cfRule type="duplicateValues" dxfId="15470" priority="12796"/>
    <cfRule type="duplicateValues" dxfId="15469" priority="12797"/>
    <cfRule type="duplicateValues" dxfId="15468" priority="12798"/>
    <cfRule type="duplicateValues" dxfId="15467" priority="12799"/>
    <cfRule type="duplicateValues" dxfId="15466" priority="12800"/>
    <cfRule type="duplicateValues" dxfId="15465" priority="12801"/>
    <cfRule type="duplicateValues" dxfId="15464" priority="12802"/>
    <cfRule type="duplicateValues" dxfId="15463" priority="12804"/>
    <cfRule type="duplicateValues" dxfId="15462" priority="12805"/>
    <cfRule type="duplicateValues" dxfId="15461" priority="12806"/>
    <cfRule type="duplicateValues" dxfId="15460" priority="12807"/>
    <cfRule type="duplicateValues" dxfId="15459" priority="12808"/>
    <cfRule type="duplicateValues" dxfId="15458" priority="12809"/>
    <cfRule type="duplicateValues" dxfId="15457" priority="12810"/>
    <cfRule type="duplicateValues" dxfId="15456" priority="12811"/>
    <cfRule type="duplicateValues" dxfId="15455" priority="12812"/>
    <cfRule type="duplicateValues" dxfId="15454" priority="12813"/>
    <cfRule type="duplicateValues" dxfId="15453" priority="12814"/>
    <cfRule type="duplicateValues" dxfId="15452" priority="12815"/>
    <cfRule type="duplicateValues" dxfId="15451" priority="12816"/>
    <cfRule type="duplicateValues" dxfId="15450" priority="12817"/>
    <cfRule type="duplicateValues" dxfId="15449" priority="12818"/>
    <cfRule type="duplicateValues" dxfId="15448" priority="12819"/>
    <cfRule type="duplicateValues" dxfId="15447" priority="12820"/>
    <cfRule type="duplicateValues" dxfId="15446" priority="12821"/>
    <cfRule type="duplicateValues" dxfId="15445" priority="12822"/>
    <cfRule type="duplicateValues" dxfId="15444" priority="12823"/>
    <cfRule type="duplicateValues" dxfId="15443" priority="12824"/>
    <cfRule type="duplicateValues" dxfId="15442" priority="12825"/>
    <cfRule type="duplicateValues" dxfId="15441" priority="12826"/>
    <cfRule type="duplicateValues" dxfId="15440" priority="12827"/>
    <cfRule type="duplicateValues" dxfId="15439" priority="12828"/>
    <cfRule type="duplicateValues" dxfId="15438" priority="12829"/>
    <cfRule type="duplicateValues" dxfId="15437" priority="12830"/>
    <cfRule type="duplicateValues" dxfId="15436" priority="12831"/>
    <cfRule type="duplicateValues" dxfId="15435" priority="12832"/>
    <cfRule type="duplicateValues" dxfId="15434" priority="12833"/>
    <cfRule type="duplicateValues" dxfId="15433" priority="12834"/>
    <cfRule type="duplicateValues" dxfId="15432" priority="12835"/>
    <cfRule type="duplicateValues" dxfId="15431" priority="12836"/>
    <cfRule type="duplicateValues" dxfId="15430" priority="12837"/>
    <cfRule type="duplicateValues" dxfId="15429" priority="12838"/>
    <cfRule type="duplicateValues" dxfId="15428" priority="12839"/>
    <cfRule type="duplicateValues" dxfId="15427" priority="12840"/>
    <cfRule type="duplicateValues" dxfId="15426" priority="12841"/>
    <cfRule type="duplicateValues" dxfId="15425" priority="12842"/>
    <cfRule type="duplicateValues" dxfId="15424" priority="12843"/>
    <cfRule type="duplicateValues" dxfId="15423" priority="12844"/>
    <cfRule type="duplicateValues" dxfId="15422" priority="12845"/>
    <cfRule type="duplicateValues" dxfId="15421" priority="12846"/>
    <cfRule type="duplicateValues" dxfId="15420" priority="12847"/>
    <cfRule type="duplicateValues" dxfId="15419" priority="12848"/>
    <cfRule type="duplicateValues" dxfId="15418" priority="12849"/>
    <cfRule type="duplicateValues" dxfId="15417" priority="12850"/>
  </conditionalFormatting>
  <conditionalFormatting sqref="B250">
    <cfRule type="duplicateValues" dxfId="15416" priority="12472"/>
    <cfRule type="duplicateValues" dxfId="15415" priority="12474"/>
    <cfRule type="duplicateValues" dxfId="15414" priority="12475"/>
    <cfRule type="duplicateValues" dxfId="15413" priority="12476"/>
    <cfRule type="duplicateValues" dxfId="15412" priority="12477"/>
    <cfRule type="duplicateValues" dxfId="15411" priority="12478"/>
    <cfRule type="duplicateValues" dxfId="15410" priority="12479"/>
    <cfRule type="duplicateValues" dxfId="15409" priority="12480"/>
    <cfRule type="duplicateValues" dxfId="15408" priority="12481"/>
    <cfRule type="duplicateValues" dxfId="15407" priority="12482"/>
    <cfRule type="duplicateValues" dxfId="15406" priority="12483"/>
    <cfRule type="duplicateValues" dxfId="15405" priority="12484"/>
    <cfRule type="duplicateValues" dxfId="15404" priority="12485"/>
    <cfRule type="duplicateValues" dxfId="15403" priority="12486"/>
    <cfRule type="duplicateValues" dxfId="15402" priority="12487"/>
    <cfRule type="duplicateValues" dxfId="15401" priority="12488"/>
    <cfRule type="duplicateValues" dxfId="15400" priority="12489"/>
    <cfRule type="duplicateValues" dxfId="15399" priority="12490"/>
    <cfRule type="duplicateValues" dxfId="15398" priority="12491"/>
    <cfRule type="duplicateValues" dxfId="15397" priority="12492"/>
    <cfRule type="duplicateValues" dxfId="15396" priority="12493"/>
    <cfRule type="duplicateValues" dxfId="15395" priority="12494"/>
    <cfRule type="duplicateValues" dxfId="15394" priority="12495"/>
    <cfRule type="duplicateValues" dxfId="15393" priority="12496"/>
    <cfRule type="duplicateValues" dxfId="15392" priority="12497"/>
    <cfRule type="duplicateValues" dxfId="15391" priority="12498"/>
    <cfRule type="duplicateValues" dxfId="15390" priority="12499"/>
    <cfRule type="duplicateValues" dxfId="15389" priority="12500"/>
    <cfRule type="duplicateValues" dxfId="15388" priority="12501"/>
    <cfRule type="duplicateValues" dxfId="15387" priority="12502"/>
    <cfRule type="duplicateValues" dxfId="15386" priority="12503"/>
    <cfRule type="duplicateValues" dxfId="15385" priority="12504"/>
    <cfRule type="duplicateValues" dxfId="15384" priority="12505"/>
    <cfRule type="duplicateValues" dxfId="15383" priority="12506"/>
    <cfRule type="duplicateValues" dxfId="15382" priority="12507"/>
    <cfRule type="duplicateValues" dxfId="15381" priority="12508"/>
    <cfRule type="duplicateValues" dxfId="15380" priority="12509"/>
    <cfRule type="duplicateValues" dxfId="15379" priority="12510"/>
    <cfRule type="duplicateValues" dxfId="15378" priority="12511"/>
    <cfRule type="duplicateValues" dxfId="15377" priority="12512"/>
    <cfRule type="duplicateValues" dxfId="15376" priority="12513"/>
    <cfRule type="duplicateValues" dxfId="15375" priority="12514"/>
    <cfRule type="duplicateValues" dxfId="15374" priority="12515"/>
    <cfRule type="duplicateValues" dxfId="15373" priority="12516"/>
    <cfRule type="duplicateValues" dxfId="15372" priority="12517"/>
    <cfRule type="duplicateValues" dxfId="15371" priority="12518"/>
    <cfRule type="duplicateValues" dxfId="15370" priority="12519"/>
    <cfRule type="duplicateValues" dxfId="15369" priority="12566"/>
    <cfRule type="duplicateValues" dxfId="15368" priority="12520"/>
    <cfRule type="duplicateValues" dxfId="15367" priority="12521"/>
    <cfRule type="duplicateValues" dxfId="15366" priority="12522"/>
    <cfRule type="duplicateValues" dxfId="15365" priority="12523"/>
    <cfRule type="duplicateValues" dxfId="15364" priority="12524"/>
    <cfRule type="duplicateValues" dxfId="15363" priority="12525"/>
    <cfRule type="duplicateValues" dxfId="15362" priority="12526"/>
    <cfRule type="duplicateValues" dxfId="15361" priority="12527"/>
    <cfRule type="duplicateValues" dxfId="15360" priority="12528"/>
    <cfRule type="duplicateValues" dxfId="15359" priority="12529"/>
    <cfRule type="duplicateValues" dxfId="15358" priority="12530"/>
    <cfRule type="duplicateValues" dxfId="15357" priority="12531"/>
    <cfRule type="duplicateValues" dxfId="15356" priority="12532"/>
    <cfRule type="duplicateValues" dxfId="15355" priority="12533"/>
    <cfRule type="duplicateValues" dxfId="15354" priority="12534"/>
    <cfRule type="duplicateValues" dxfId="15353" priority="12535"/>
    <cfRule type="duplicateValues" dxfId="15352" priority="12536"/>
    <cfRule type="duplicateValues" dxfId="15351" priority="12537"/>
    <cfRule type="duplicateValues" dxfId="15350" priority="12538"/>
    <cfRule type="duplicateValues" dxfId="15349" priority="12539"/>
    <cfRule type="duplicateValues" dxfId="15348" priority="12540"/>
    <cfRule type="duplicateValues" dxfId="15347" priority="12541"/>
    <cfRule type="duplicateValues" dxfId="15346" priority="12542"/>
    <cfRule type="duplicateValues" dxfId="15345" priority="12543"/>
    <cfRule type="duplicateValues" dxfId="15344" priority="12544"/>
    <cfRule type="duplicateValues" dxfId="15343" priority="12545"/>
    <cfRule type="duplicateValues" dxfId="15342" priority="12546"/>
    <cfRule type="duplicateValues" dxfId="15341" priority="12547"/>
    <cfRule type="duplicateValues" dxfId="15340" priority="12548"/>
    <cfRule type="duplicateValues" dxfId="15339" priority="12549"/>
    <cfRule type="duplicateValues" dxfId="15338" priority="12550"/>
    <cfRule type="duplicateValues" dxfId="15337" priority="12551"/>
    <cfRule type="duplicateValues" dxfId="15336" priority="12552"/>
    <cfRule type="duplicateValues" dxfId="15335" priority="12553"/>
    <cfRule type="duplicateValues" dxfId="15334" priority="12554"/>
    <cfRule type="duplicateValues" dxfId="15333" priority="12555"/>
    <cfRule type="duplicateValues" dxfId="15332" priority="12556"/>
    <cfRule type="duplicateValues" dxfId="15331" priority="12557"/>
    <cfRule type="duplicateValues" dxfId="15330" priority="12558"/>
    <cfRule type="duplicateValues" dxfId="15329" priority="12559"/>
    <cfRule type="duplicateValues" dxfId="15328" priority="12560"/>
    <cfRule type="duplicateValues" dxfId="15327" priority="12561"/>
    <cfRule type="duplicateValues" dxfId="15326" priority="12562"/>
    <cfRule type="duplicateValues" dxfId="15325" priority="12563"/>
    <cfRule type="duplicateValues" dxfId="15324" priority="12564"/>
    <cfRule type="duplicateValues" dxfId="15323" priority="12565"/>
    <cfRule type="duplicateValues" dxfId="15322" priority="12425"/>
    <cfRule type="duplicateValues" dxfId="15321" priority="12567"/>
    <cfRule type="duplicateValues" dxfId="15320" priority="12568"/>
    <cfRule type="duplicateValues" dxfId="15319" priority="12471"/>
    <cfRule type="duplicateValues" dxfId="15318" priority="12470"/>
    <cfRule type="duplicateValues" dxfId="15317" priority="12469"/>
    <cfRule type="duplicateValues" dxfId="15316" priority="12468"/>
    <cfRule type="duplicateValues" dxfId="15315" priority="12467"/>
    <cfRule type="duplicateValues" dxfId="15314" priority="12466"/>
    <cfRule type="duplicateValues" dxfId="15313" priority="12465"/>
    <cfRule type="duplicateValues" dxfId="15312" priority="12464"/>
    <cfRule type="duplicateValues" dxfId="15311" priority="12463"/>
    <cfRule type="duplicateValues" dxfId="15310" priority="12462"/>
    <cfRule type="duplicateValues" dxfId="15309" priority="12461"/>
    <cfRule type="duplicateValues" dxfId="15308" priority="12460"/>
    <cfRule type="duplicateValues" dxfId="15307" priority="12459"/>
    <cfRule type="duplicateValues" dxfId="15306" priority="12458"/>
    <cfRule type="duplicateValues" dxfId="15305" priority="12457"/>
    <cfRule type="duplicateValues" dxfId="15304" priority="12456"/>
    <cfRule type="duplicateValues" dxfId="15303" priority="12455"/>
    <cfRule type="duplicateValues" dxfId="15302" priority="12454"/>
    <cfRule type="duplicateValues" dxfId="15301" priority="12453"/>
    <cfRule type="duplicateValues" dxfId="15300" priority="12452"/>
    <cfRule type="duplicateValues" dxfId="15299" priority="12451"/>
    <cfRule type="duplicateValues" dxfId="15298" priority="12450"/>
    <cfRule type="duplicateValues" dxfId="15297" priority="12473"/>
    <cfRule type="duplicateValues" dxfId="15296" priority="12449"/>
    <cfRule type="duplicateValues" dxfId="15295" priority="12448"/>
    <cfRule type="duplicateValues" dxfId="15294" priority="12447"/>
    <cfRule type="duplicateValues" dxfId="15293" priority="12446"/>
    <cfRule type="duplicateValues" dxfId="15292" priority="12445"/>
    <cfRule type="duplicateValues" dxfId="15291" priority="12444"/>
    <cfRule type="duplicateValues" dxfId="15290" priority="12443"/>
    <cfRule type="duplicateValues" dxfId="15289" priority="12442"/>
    <cfRule type="duplicateValues" dxfId="15288" priority="12441"/>
    <cfRule type="duplicateValues" dxfId="15287" priority="12440"/>
    <cfRule type="duplicateValues" dxfId="15286" priority="12439"/>
    <cfRule type="duplicateValues" dxfId="15285" priority="12438"/>
    <cfRule type="duplicateValues" dxfId="15284" priority="12437"/>
    <cfRule type="duplicateValues" dxfId="15283" priority="12436"/>
    <cfRule type="duplicateValues" dxfId="15282" priority="12435"/>
    <cfRule type="duplicateValues" dxfId="15281" priority="12434"/>
    <cfRule type="duplicateValues" dxfId="15280" priority="12433"/>
    <cfRule type="duplicateValues" dxfId="15279" priority="12432"/>
    <cfRule type="duplicateValues" dxfId="15278" priority="12431"/>
    <cfRule type="duplicateValues" dxfId="15277" priority="12430"/>
    <cfRule type="duplicateValues" dxfId="15276" priority="12429"/>
    <cfRule type="duplicateValues" dxfId="15275" priority="12428"/>
    <cfRule type="duplicateValues" dxfId="15274" priority="12427"/>
    <cfRule type="duplicateValues" dxfId="15273" priority="12424"/>
    <cfRule type="duplicateValues" dxfId="15272" priority="12423"/>
    <cfRule type="duplicateValues" dxfId="15271" priority="12422"/>
    <cfRule type="duplicateValues" dxfId="15270" priority="12421"/>
    <cfRule type="duplicateValues" dxfId="15269" priority="12420"/>
    <cfRule type="duplicateValues" dxfId="15268" priority="12419"/>
    <cfRule type="duplicateValues" dxfId="15267" priority="12418"/>
    <cfRule type="duplicateValues" dxfId="15266" priority="12417"/>
    <cfRule type="duplicateValues" dxfId="15265" priority="12416"/>
    <cfRule type="duplicateValues" dxfId="15264" priority="12415"/>
    <cfRule type="duplicateValues" dxfId="15263" priority="12414"/>
    <cfRule type="duplicateValues" dxfId="15262" priority="12413"/>
    <cfRule type="duplicateValues" dxfId="15261" priority="12412"/>
    <cfRule type="duplicateValues" dxfId="15260" priority="12411"/>
    <cfRule type="duplicateValues" dxfId="15259" priority="12410"/>
    <cfRule type="duplicateValues" dxfId="15258" priority="12409"/>
    <cfRule type="duplicateValues" dxfId="15257" priority="12408"/>
    <cfRule type="duplicateValues" dxfId="15256" priority="12407"/>
    <cfRule type="duplicateValues" dxfId="15255" priority="12406"/>
    <cfRule type="duplicateValues" dxfId="15254" priority="12405"/>
    <cfRule type="duplicateValues" dxfId="15253" priority="12404"/>
    <cfRule type="duplicateValues" dxfId="15252" priority="12403"/>
    <cfRule type="duplicateValues" dxfId="15251" priority="12402"/>
    <cfRule type="duplicateValues" dxfId="15250" priority="12401"/>
    <cfRule type="duplicateValues" dxfId="15249" priority="12400"/>
    <cfRule type="duplicateValues" dxfId="15248" priority="12399"/>
    <cfRule type="duplicateValues" dxfId="15247" priority="12398"/>
    <cfRule type="duplicateValues" dxfId="15246" priority="12397"/>
    <cfRule type="duplicateValues" dxfId="15245" priority="12396"/>
    <cfRule type="duplicateValues" dxfId="15244" priority="12395"/>
    <cfRule type="duplicateValues" dxfId="15243" priority="12394"/>
    <cfRule type="duplicateValues" dxfId="15242" priority="12393"/>
    <cfRule type="duplicateValues" dxfId="15241" priority="12392"/>
    <cfRule type="duplicateValues" dxfId="15240" priority="12391"/>
    <cfRule type="duplicateValues" dxfId="15239" priority="12390"/>
    <cfRule type="duplicateValues" dxfId="15238" priority="12389"/>
    <cfRule type="duplicateValues" dxfId="15237" priority="12388"/>
    <cfRule type="duplicateValues" dxfId="15236" priority="12387"/>
    <cfRule type="duplicateValues" dxfId="15235" priority="12386"/>
    <cfRule type="duplicateValues" dxfId="15234" priority="12385"/>
    <cfRule type="duplicateValues" dxfId="15233" priority="12384"/>
    <cfRule type="duplicateValues" dxfId="15232" priority="12383"/>
    <cfRule type="duplicateValues" dxfId="15231" priority="12382"/>
    <cfRule type="duplicateValues" dxfId="15230" priority="12381"/>
    <cfRule type="duplicateValues" dxfId="15229" priority="12426"/>
  </conditionalFormatting>
  <conditionalFormatting sqref="B251:B253">
    <cfRule type="duplicateValues" dxfId="15228" priority="12614"/>
    <cfRule type="duplicateValues" dxfId="15227" priority="12756"/>
    <cfRule type="duplicateValues" dxfId="15226" priority="12569"/>
    <cfRule type="duplicateValues" dxfId="15225" priority="12570"/>
    <cfRule type="duplicateValues" dxfId="15224" priority="12571"/>
    <cfRule type="duplicateValues" dxfId="15223" priority="12572"/>
    <cfRule type="duplicateValues" dxfId="15222" priority="12573"/>
    <cfRule type="duplicateValues" dxfId="15221" priority="12574"/>
    <cfRule type="duplicateValues" dxfId="15220" priority="12575"/>
    <cfRule type="duplicateValues" dxfId="15219" priority="12576"/>
    <cfRule type="duplicateValues" dxfId="15218" priority="12577"/>
    <cfRule type="duplicateValues" dxfId="15217" priority="12578"/>
    <cfRule type="duplicateValues" dxfId="15216" priority="12579"/>
    <cfRule type="duplicateValues" dxfId="15215" priority="12580"/>
    <cfRule type="duplicateValues" dxfId="15214" priority="12581"/>
    <cfRule type="duplicateValues" dxfId="15213" priority="12582"/>
    <cfRule type="duplicateValues" dxfId="15212" priority="12583"/>
    <cfRule type="duplicateValues" dxfId="15211" priority="12584"/>
    <cfRule type="duplicateValues" dxfId="15210" priority="12585"/>
    <cfRule type="duplicateValues" dxfId="15209" priority="12586"/>
    <cfRule type="duplicateValues" dxfId="15208" priority="12587"/>
    <cfRule type="duplicateValues" dxfId="15207" priority="12588"/>
    <cfRule type="duplicateValues" dxfId="15206" priority="12589"/>
    <cfRule type="duplicateValues" dxfId="15205" priority="12590"/>
    <cfRule type="duplicateValues" dxfId="15204" priority="12591"/>
    <cfRule type="duplicateValues" dxfId="15203" priority="12592"/>
    <cfRule type="duplicateValues" dxfId="15202" priority="12593"/>
    <cfRule type="duplicateValues" dxfId="15201" priority="12594"/>
    <cfRule type="duplicateValues" dxfId="15200" priority="12595"/>
    <cfRule type="duplicateValues" dxfId="15199" priority="12596"/>
    <cfRule type="duplicateValues" dxfId="15198" priority="12597"/>
    <cfRule type="duplicateValues" dxfId="15197" priority="12598"/>
    <cfRule type="duplicateValues" dxfId="15196" priority="12599"/>
    <cfRule type="duplicateValues" dxfId="15195" priority="12600"/>
    <cfRule type="duplicateValues" dxfId="15194" priority="12601"/>
    <cfRule type="duplicateValues" dxfId="15193" priority="12602"/>
    <cfRule type="duplicateValues" dxfId="15192" priority="12604"/>
    <cfRule type="duplicateValues" dxfId="15191" priority="12605"/>
    <cfRule type="duplicateValues" dxfId="15190" priority="12606"/>
    <cfRule type="duplicateValues" dxfId="15189" priority="12607"/>
    <cfRule type="duplicateValues" dxfId="15188" priority="12608"/>
    <cfRule type="duplicateValues" dxfId="15187" priority="12609"/>
    <cfRule type="duplicateValues" dxfId="15186" priority="12610"/>
    <cfRule type="duplicateValues" dxfId="15185" priority="12611"/>
    <cfRule type="duplicateValues" dxfId="15184" priority="12612"/>
    <cfRule type="duplicateValues" dxfId="15183" priority="12613"/>
    <cfRule type="duplicateValues" dxfId="15182" priority="12615"/>
    <cfRule type="duplicateValues" dxfId="15181" priority="12661"/>
    <cfRule type="duplicateValues" dxfId="15180" priority="12616"/>
    <cfRule type="duplicateValues" dxfId="15179" priority="12617"/>
    <cfRule type="duplicateValues" dxfId="15178" priority="12618"/>
    <cfRule type="duplicateValues" dxfId="15177" priority="12619"/>
    <cfRule type="duplicateValues" dxfId="15176" priority="12620"/>
    <cfRule type="duplicateValues" dxfId="15175" priority="12621"/>
    <cfRule type="duplicateValues" dxfId="15174" priority="12622"/>
    <cfRule type="duplicateValues" dxfId="15173" priority="12623"/>
    <cfRule type="duplicateValues" dxfId="15172" priority="12624"/>
    <cfRule type="duplicateValues" dxfId="15171" priority="12625"/>
    <cfRule type="duplicateValues" dxfId="15170" priority="12626"/>
    <cfRule type="duplicateValues" dxfId="15169" priority="12627"/>
    <cfRule type="duplicateValues" dxfId="15168" priority="12628"/>
    <cfRule type="duplicateValues" dxfId="15167" priority="12629"/>
    <cfRule type="duplicateValues" dxfId="15166" priority="12630"/>
    <cfRule type="duplicateValues" dxfId="15165" priority="12631"/>
    <cfRule type="duplicateValues" dxfId="15164" priority="12632"/>
    <cfRule type="duplicateValues" dxfId="15163" priority="12633"/>
    <cfRule type="duplicateValues" dxfId="15162" priority="12634"/>
    <cfRule type="duplicateValues" dxfId="15161" priority="12635"/>
    <cfRule type="duplicateValues" dxfId="15160" priority="12636"/>
    <cfRule type="duplicateValues" dxfId="15159" priority="12637"/>
    <cfRule type="duplicateValues" dxfId="15158" priority="12638"/>
    <cfRule type="duplicateValues" dxfId="15157" priority="12639"/>
    <cfRule type="duplicateValues" dxfId="15156" priority="12640"/>
    <cfRule type="duplicateValues" dxfId="15155" priority="12641"/>
    <cfRule type="duplicateValues" dxfId="15154" priority="12642"/>
    <cfRule type="duplicateValues" dxfId="15153" priority="12643"/>
    <cfRule type="duplicateValues" dxfId="15152" priority="12644"/>
    <cfRule type="duplicateValues" dxfId="15151" priority="12645"/>
    <cfRule type="duplicateValues" dxfId="15150" priority="12646"/>
    <cfRule type="duplicateValues" dxfId="15149" priority="12647"/>
    <cfRule type="duplicateValues" dxfId="15148" priority="12648"/>
    <cfRule type="duplicateValues" dxfId="15147" priority="12649"/>
    <cfRule type="duplicateValues" dxfId="15146" priority="12650"/>
    <cfRule type="duplicateValues" dxfId="15145" priority="12651"/>
    <cfRule type="duplicateValues" dxfId="15144" priority="12652"/>
    <cfRule type="duplicateValues" dxfId="15143" priority="12653"/>
    <cfRule type="duplicateValues" dxfId="15142" priority="12654"/>
    <cfRule type="duplicateValues" dxfId="15141" priority="12655"/>
    <cfRule type="duplicateValues" dxfId="15140" priority="12656"/>
    <cfRule type="duplicateValues" dxfId="15139" priority="12657"/>
    <cfRule type="duplicateValues" dxfId="15138" priority="12658"/>
    <cfRule type="duplicateValues" dxfId="15137" priority="12659"/>
    <cfRule type="duplicateValues" dxfId="15136" priority="12603"/>
    <cfRule type="duplicateValues" dxfId="15135" priority="12660"/>
    <cfRule type="duplicateValues" dxfId="15134" priority="12663"/>
    <cfRule type="duplicateValues" dxfId="15133" priority="12664"/>
    <cfRule type="duplicateValues" dxfId="15132" priority="12665"/>
    <cfRule type="duplicateValues" dxfId="15131" priority="12666"/>
    <cfRule type="duplicateValues" dxfId="15130" priority="12667"/>
    <cfRule type="duplicateValues" dxfId="15129" priority="12668"/>
    <cfRule type="duplicateValues" dxfId="15128" priority="12669"/>
    <cfRule type="duplicateValues" dxfId="15127" priority="12670"/>
    <cfRule type="duplicateValues" dxfId="15126" priority="12671"/>
    <cfRule type="duplicateValues" dxfId="15125" priority="12672"/>
    <cfRule type="duplicateValues" dxfId="15124" priority="12673"/>
    <cfRule type="duplicateValues" dxfId="15123" priority="12674"/>
    <cfRule type="duplicateValues" dxfId="15122" priority="12675"/>
    <cfRule type="duplicateValues" dxfId="15121" priority="12676"/>
    <cfRule type="duplicateValues" dxfId="15120" priority="12677"/>
    <cfRule type="duplicateValues" dxfId="15119" priority="12678"/>
    <cfRule type="duplicateValues" dxfId="15118" priority="12679"/>
    <cfRule type="duplicateValues" dxfId="15117" priority="12680"/>
    <cfRule type="duplicateValues" dxfId="15116" priority="12681"/>
    <cfRule type="duplicateValues" dxfId="15115" priority="12682"/>
    <cfRule type="duplicateValues" dxfId="15114" priority="12683"/>
    <cfRule type="duplicateValues" dxfId="15113" priority="12684"/>
    <cfRule type="duplicateValues" dxfId="15112" priority="12685"/>
    <cfRule type="duplicateValues" dxfId="15111" priority="12686"/>
    <cfRule type="duplicateValues" dxfId="15110" priority="12687"/>
    <cfRule type="duplicateValues" dxfId="15109" priority="12688"/>
    <cfRule type="duplicateValues" dxfId="15108" priority="12689"/>
    <cfRule type="duplicateValues" dxfId="15107" priority="12690"/>
    <cfRule type="duplicateValues" dxfId="15106" priority="12691"/>
    <cfRule type="duplicateValues" dxfId="15105" priority="12692"/>
    <cfRule type="duplicateValues" dxfId="15104" priority="12693"/>
    <cfRule type="duplicateValues" dxfId="15103" priority="12694"/>
    <cfRule type="duplicateValues" dxfId="15102" priority="12695"/>
    <cfRule type="duplicateValues" dxfId="15101" priority="12696"/>
    <cfRule type="duplicateValues" dxfId="15100" priority="12697"/>
    <cfRule type="duplicateValues" dxfId="15099" priority="12698"/>
    <cfRule type="duplicateValues" dxfId="15098" priority="12699"/>
    <cfRule type="duplicateValues" dxfId="15097" priority="12700"/>
    <cfRule type="duplicateValues" dxfId="15096" priority="12701"/>
    <cfRule type="duplicateValues" dxfId="15095" priority="12702"/>
    <cfRule type="duplicateValues" dxfId="15094" priority="12703"/>
    <cfRule type="duplicateValues" dxfId="15093" priority="12704"/>
    <cfRule type="duplicateValues" dxfId="15092" priority="12705"/>
    <cfRule type="duplicateValues" dxfId="15091" priority="12706"/>
    <cfRule type="duplicateValues" dxfId="15090" priority="12707"/>
    <cfRule type="duplicateValues" dxfId="15089" priority="12708"/>
    <cfRule type="duplicateValues" dxfId="15088" priority="12662"/>
    <cfRule type="duplicateValues" dxfId="15087" priority="12710"/>
    <cfRule type="duplicateValues" dxfId="15086" priority="12711"/>
    <cfRule type="duplicateValues" dxfId="15085" priority="12712"/>
    <cfRule type="duplicateValues" dxfId="15084" priority="12713"/>
    <cfRule type="duplicateValues" dxfId="15083" priority="12714"/>
    <cfRule type="duplicateValues" dxfId="15082" priority="12715"/>
    <cfRule type="duplicateValues" dxfId="15081" priority="12716"/>
    <cfRule type="duplicateValues" dxfId="15080" priority="12717"/>
    <cfRule type="duplicateValues" dxfId="15079" priority="12718"/>
    <cfRule type="duplicateValues" dxfId="15078" priority="12719"/>
    <cfRule type="duplicateValues" dxfId="15077" priority="12720"/>
    <cfRule type="duplicateValues" dxfId="15076" priority="12721"/>
    <cfRule type="duplicateValues" dxfId="15075" priority="12722"/>
    <cfRule type="duplicateValues" dxfId="15074" priority="12723"/>
    <cfRule type="duplicateValues" dxfId="15073" priority="12724"/>
    <cfRule type="duplicateValues" dxfId="15072" priority="12725"/>
    <cfRule type="duplicateValues" dxfId="15071" priority="12726"/>
    <cfRule type="duplicateValues" dxfId="15070" priority="12727"/>
    <cfRule type="duplicateValues" dxfId="15069" priority="12728"/>
    <cfRule type="duplicateValues" dxfId="15068" priority="12729"/>
    <cfRule type="duplicateValues" dxfId="15067" priority="12730"/>
    <cfRule type="duplicateValues" dxfId="15066" priority="12731"/>
    <cfRule type="duplicateValues" dxfId="15065" priority="12732"/>
    <cfRule type="duplicateValues" dxfId="15064" priority="12733"/>
    <cfRule type="duplicateValues" dxfId="15063" priority="12734"/>
    <cfRule type="duplicateValues" dxfId="15062" priority="12735"/>
    <cfRule type="duplicateValues" dxfId="15061" priority="12736"/>
    <cfRule type="duplicateValues" dxfId="15060" priority="12737"/>
    <cfRule type="duplicateValues" dxfId="15059" priority="12738"/>
    <cfRule type="duplicateValues" dxfId="15058" priority="12739"/>
    <cfRule type="duplicateValues" dxfId="15057" priority="12740"/>
    <cfRule type="duplicateValues" dxfId="15056" priority="12741"/>
    <cfRule type="duplicateValues" dxfId="15055" priority="12742"/>
    <cfRule type="duplicateValues" dxfId="15054" priority="12743"/>
    <cfRule type="duplicateValues" dxfId="15053" priority="12744"/>
    <cfRule type="duplicateValues" dxfId="15052" priority="12745"/>
    <cfRule type="duplicateValues" dxfId="15051" priority="12746"/>
    <cfRule type="duplicateValues" dxfId="15050" priority="12747"/>
    <cfRule type="duplicateValues" dxfId="15049" priority="12748"/>
    <cfRule type="duplicateValues" dxfId="15048" priority="12749"/>
    <cfRule type="duplicateValues" dxfId="15047" priority="12750"/>
    <cfRule type="duplicateValues" dxfId="15046" priority="12751"/>
    <cfRule type="duplicateValues" dxfId="15045" priority="12752"/>
    <cfRule type="duplicateValues" dxfId="15044" priority="12753"/>
    <cfRule type="duplicateValues" dxfId="15043" priority="12754"/>
    <cfRule type="duplicateValues" dxfId="15042" priority="12755"/>
    <cfRule type="duplicateValues" dxfId="15041" priority="12709"/>
  </conditionalFormatting>
  <conditionalFormatting sqref="B254:B256">
    <cfRule type="duplicateValues" dxfId="15040" priority="11851"/>
    <cfRule type="duplicateValues" dxfId="15039" priority="11850"/>
    <cfRule type="duplicateValues" dxfId="15038" priority="11849"/>
    <cfRule type="duplicateValues" dxfId="15037" priority="11854"/>
    <cfRule type="duplicateValues" dxfId="15036" priority="11848"/>
    <cfRule type="duplicateValues" dxfId="15035" priority="11847"/>
    <cfRule type="duplicateValues" dxfId="15034" priority="11846"/>
    <cfRule type="duplicateValues" dxfId="15033" priority="11845"/>
    <cfRule type="duplicateValues" dxfId="15032" priority="11844"/>
    <cfRule type="duplicateValues" dxfId="15031" priority="11843"/>
    <cfRule type="duplicateValues" dxfId="15030" priority="11842"/>
    <cfRule type="duplicateValues" dxfId="15029" priority="11841"/>
    <cfRule type="duplicateValues" dxfId="15028" priority="11840"/>
    <cfRule type="duplicateValues" dxfId="15027" priority="11839"/>
    <cfRule type="duplicateValues" dxfId="15026" priority="11838"/>
    <cfRule type="duplicateValues" dxfId="15025" priority="11837"/>
    <cfRule type="duplicateValues" dxfId="15024" priority="11836"/>
    <cfRule type="duplicateValues" dxfId="15023" priority="11835"/>
    <cfRule type="duplicateValues" dxfId="15022" priority="11834"/>
    <cfRule type="duplicateValues" dxfId="15021" priority="11833"/>
    <cfRule type="duplicateValues" dxfId="15020" priority="11832"/>
    <cfRule type="duplicateValues" dxfId="15019" priority="11831"/>
    <cfRule type="duplicateValues" dxfId="15018" priority="11830"/>
    <cfRule type="duplicateValues" dxfId="15017" priority="11829"/>
    <cfRule type="duplicateValues" dxfId="15016" priority="11828"/>
    <cfRule type="duplicateValues" dxfId="15015" priority="11827"/>
    <cfRule type="duplicateValues" dxfId="15014" priority="11826"/>
    <cfRule type="duplicateValues" dxfId="15013" priority="11825"/>
    <cfRule type="duplicateValues" dxfId="15012" priority="11824"/>
    <cfRule type="duplicateValues" dxfId="15011" priority="11823"/>
    <cfRule type="duplicateValues" dxfId="15010" priority="11822"/>
    <cfRule type="duplicateValues" dxfId="15009" priority="11821"/>
    <cfRule type="duplicateValues" dxfId="15008" priority="11820"/>
    <cfRule type="duplicateValues" dxfId="15007" priority="11819"/>
    <cfRule type="duplicateValues" dxfId="15006" priority="11818"/>
    <cfRule type="duplicateValues" dxfId="15005" priority="11817"/>
    <cfRule type="duplicateValues" dxfId="15004" priority="11853"/>
    <cfRule type="duplicateValues" dxfId="15003" priority="11852"/>
    <cfRule type="duplicateValues" dxfId="15002" priority="12004"/>
    <cfRule type="duplicateValues" dxfId="15001" priority="12003"/>
    <cfRule type="duplicateValues" dxfId="15000" priority="12002"/>
    <cfRule type="duplicateValues" dxfId="14999" priority="12001"/>
    <cfRule type="duplicateValues" dxfId="14998" priority="12000"/>
    <cfRule type="duplicateValues" dxfId="14997" priority="11999"/>
    <cfRule type="duplicateValues" dxfId="14996" priority="11998"/>
    <cfRule type="duplicateValues" dxfId="14995" priority="11997"/>
    <cfRule type="duplicateValues" dxfId="14994" priority="11996"/>
    <cfRule type="duplicateValues" dxfId="14993" priority="11995"/>
    <cfRule type="duplicateValues" dxfId="14992" priority="11994"/>
    <cfRule type="duplicateValues" dxfId="14991" priority="11993"/>
    <cfRule type="duplicateValues" dxfId="14990" priority="11992"/>
    <cfRule type="duplicateValues" dxfId="14989" priority="11991"/>
    <cfRule type="duplicateValues" dxfId="14988" priority="11990"/>
    <cfRule type="duplicateValues" dxfId="14987" priority="11989"/>
    <cfRule type="duplicateValues" dxfId="14986" priority="11988"/>
    <cfRule type="duplicateValues" dxfId="14985" priority="11987"/>
    <cfRule type="duplicateValues" dxfId="14984" priority="11986"/>
    <cfRule type="duplicateValues" dxfId="14983" priority="11985"/>
    <cfRule type="duplicateValues" dxfId="14982" priority="11984"/>
    <cfRule type="duplicateValues" dxfId="14981" priority="11983"/>
    <cfRule type="duplicateValues" dxfId="14980" priority="11982"/>
    <cfRule type="duplicateValues" dxfId="14979" priority="11981"/>
    <cfRule type="duplicateValues" dxfId="14978" priority="11980"/>
    <cfRule type="duplicateValues" dxfId="14977" priority="11979"/>
    <cfRule type="duplicateValues" dxfId="14976" priority="11978"/>
    <cfRule type="duplicateValues" dxfId="14975" priority="11977"/>
    <cfRule type="duplicateValues" dxfId="14974" priority="11976"/>
    <cfRule type="duplicateValues" dxfId="14973" priority="11975"/>
    <cfRule type="duplicateValues" dxfId="14972" priority="11974"/>
    <cfRule type="duplicateValues" dxfId="14971" priority="11973"/>
    <cfRule type="duplicateValues" dxfId="14970" priority="11972"/>
    <cfRule type="duplicateValues" dxfId="14969" priority="11971"/>
    <cfRule type="duplicateValues" dxfId="14968" priority="11970"/>
    <cfRule type="duplicateValues" dxfId="14967" priority="11969"/>
    <cfRule type="duplicateValues" dxfId="14966" priority="11968"/>
    <cfRule type="duplicateValues" dxfId="14965" priority="11967"/>
    <cfRule type="duplicateValues" dxfId="14964" priority="11966"/>
    <cfRule type="duplicateValues" dxfId="14963" priority="11965"/>
    <cfRule type="duplicateValues" dxfId="14962" priority="11964"/>
    <cfRule type="duplicateValues" dxfId="14961" priority="11963"/>
    <cfRule type="duplicateValues" dxfId="14960" priority="11962"/>
    <cfRule type="duplicateValues" dxfId="14959" priority="11961"/>
    <cfRule type="duplicateValues" dxfId="14958" priority="11960"/>
    <cfRule type="duplicateValues" dxfId="14957" priority="11959"/>
    <cfRule type="duplicateValues" dxfId="14956" priority="11958"/>
    <cfRule type="duplicateValues" dxfId="14955" priority="11957"/>
    <cfRule type="duplicateValues" dxfId="14954" priority="11956"/>
    <cfRule type="duplicateValues" dxfId="14953" priority="11955"/>
    <cfRule type="duplicateValues" dxfId="14952" priority="11954"/>
    <cfRule type="duplicateValues" dxfId="14951" priority="11953"/>
    <cfRule type="duplicateValues" dxfId="14950" priority="11952"/>
    <cfRule type="duplicateValues" dxfId="14949" priority="11951"/>
    <cfRule type="duplicateValues" dxfId="14948" priority="11950"/>
    <cfRule type="duplicateValues" dxfId="14947" priority="11949"/>
    <cfRule type="duplicateValues" dxfId="14946" priority="11948"/>
    <cfRule type="duplicateValues" dxfId="14945" priority="11947"/>
    <cfRule type="duplicateValues" dxfId="14944" priority="11946"/>
    <cfRule type="duplicateValues" dxfId="14943" priority="11945"/>
    <cfRule type="duplicateValues" dxfId="14942" priority="11944"/>
    <cfRule type="duplicateValues" dxfId="14941" priority="11943"/>
    <cfRule type="duplicateValues" dxfId="14940" priority="11942"/>
    <cfRule type="duplicateValues" dxfId="14939" priority="11941"/>
    <cfRule type="duplicateValues" dxfId="14938" priority="11940"/>
    <cfRule type="duplicateValues" dxfId="14937" priority="11939"/>
    <cfRule type="duplicateValues" dxfId="14936" priority="11938"/>
    <cfRule type="duplicateValues" dxfId="14935" priority="11937"/>
    <cfRule type="duplicateValues" dxfId="14934" priority="11936"/>
    <cfRule type="duplicateValues" dxfId="14933" priority="11935"/>
    <cfRule type="duplicateValues" dxfId="14932" priority="11934"/>
    <cfRule type="duplicateValues" dxfId="14931" priority="11933"/>
    <cfRule type="duplicateValues" dxfId="14930" priority="11932"/>
    <cfRule type="duplicateValues" dxfId="14929" priority="11931"/>
    <cfRule type="duplicateValues" dxfId="14928" priority="11930"/>
    <cfRule type="duplicateValues" dxfId="14927" priority="11929"/>
    <cfRule type="duplicateValues" dxfId="14926" priority="11928"/>
    <cfRule type="duplicateValues" dxfId="14925" priority="11927"/>
    <cfRule type="duplicateValues" dxfId="14924" priority="11926"/>
    <cfRule type="duplicateValues" dxfId="14923" priority="11925"/>
    <cfRule type="duplicateValues" dxfId="14922" priority="11924"/>
    <cfRule type="duplicateValues" dxfId="14921" priority="11923"/>
    <cfRule type="duplicateValues" dxfId="14920" priority="11922"/>
    <cfRule type="duplicateValues" dxfId="14919" priority="11921"/>
    <cfRule type="duplicateValues" dxfId="14918" priority="11920"/>
    <cfRule type="duplicateValues" dxfId="14917" priority="11919"/>
    <cfRule type="duplicateValues" dxfId="14916" priority="11918"/>
    <cfRule type="duplicateValues" dxfId="14915" priority="11917"/>
    <cfRule type="duplicateValues" dxfId="14914" priority="11916"/>
    <cfRule type="duplicateValues" dxfId="14913" priority="11915"/>
    <cfRule type="duplicateValues" dxfId="14912" priority="11914"/>
    <cfRule type="duplicateValues" dxfId="14911" priority="11913"/>
    <cfRule type="duplicateValues" dxfId="14910" priority="11912"/>
    <cfRule type="duplicateValues" dxfId="14909" priority="11911"/>
    <cfRule type="duplicateValues" dxfId="14908" priority="11910"/>
    <cfRule type="duplicateValues" dxfId="14907" priority="11909"/>
    <cfRule type="duplicateValues" dxfId="14906" priority="11908"/>
    <cfRule type="duplicateValues" dxfId="14905" priority="11907"/>
    <cfRule type="duplicateValues" dxfId="14904" priority="11906"/>
    <cfRule type="duplicateValues" dxfId="14903" priority="11905"/>
    <cfRule type="duplicateValues" dxfId="14902" priority="11904"/>
    <cfRule type="duplicateValues" dxfId="14901" priority="11903"/>
    <cfRule type="duplicateValues" dxfId="14900" priority="11902"/>
    <cfRule type="duplicateValues" dxfId="14899" priority="11901"/>
    <cfRule type="duplicateValues" dxfId="14898" priority="11900"/>
    <cfRule type="duplicateValues" dxfId="14897" priority="11899"/>
    <cfRule type="duplicateValues" dxfId="14896" priority="11898"/>
    <cfRule type="duplicateValues" dxfId="14895" priority="11897"/>
    <cfRule type="duplicateValues" dxfId="14894" priority="11896"/>
    <cfRule type="duplicateValues" dxfId="14893" priority="11895"/>
    <cfRule type="duplicateValues" dxfId="14892" priority="11894"/>
    <cfRule type="duplicateValues" dxfId="14891" priority="11893"/>
    <cfRule type="duplicateValues" dxfId="14890" priority="11892"/>
    <cfRule type="duplicateValues" dxfId="14889" priority="11891"/>
    <cfRule type="duplicateValues" dxfId="14888" priority="11890"/>
    <cfRule type="duplicateValues" dxfId="14887" priority="11889"/>
    <cfRule type="duplicateValues" dxfId="14886" priority="11888"/>
    <cfRule type="duplicateValues" dxfId="14885" priority="11887"/>
    <cfRule type="duplicateValues" dxfId="14884" priority="11886"/>
    <cfRule type="duplicateValues" dxfId="14883" priority="11885"/>
    <cfRule type="duplicateValues" dxfId="14882" priority="11884"/>
    <cfRule type="duplicateValues" dxfId="14881" priority="11883"/>
    <cfRule type="duplicateValues" dxfId="14880" priority="11882"/>
    <cfRule type="duplicateValues" dxfId="14879" priority="11881"/>
    <cfRule type="duplicateValues" dxfId="14878" priority="11880"/>
    <cfRule type="duplicateValues" dxfId="14877" priority="11879"/>
    <cfRule type="duplicateValues" dxfId="14876" priority="11878"/>
    <cfRule type="duplicateValues" dxfId="14875" priority="11877"/>
    <cfRule type="duplicateValues" dxfId="14874" priority="11876"/>
    <cfRule type="duplicateValues" dxfId="14873" priority="11875"/>
    <cfRule type="duplicateValues" dxfId="14872" priority="11874"/>
    <cfRule type="duplicateValues" dxfId="14871" priority="11873"/>
    <cfRule type="duplicateValues" dxfId="14870" priority="11872"/>
    <cfRule type="duplicateValues" dxfId="14869" priority="11871"/>
    <cfRule type="duplicateValues" dxfId="14868" priority="11870"/>
    <cfRule type="duplicateValues" dxfId="14867" priority="11869"/>
    <cfRule type="duplicateValues" dxfId="14866" priority="11868"/>
    <cfRule type="duplicateValues" dxfId="14865" priority="11867"/>
    <cfRule type="duplicateValues" dxfId="14864" priority="11866"/>
    <cfRule type="duplicateValues" dxfId="14863" priority="11865"/>
    <cfRule type="duplicateValues" dxfId="14862" priority="11864"/>
    <cfRule type="duplicateValues" dxfId="14861" priority="11863"/>
    <cfRule type="duplicateValues" dxfId="14860" priority="11862"/>
    <cfRule type="duplicateValues" dxfId="14859" priority="11861"/>
    <cfRule type="duplicateValues" dxfId="14858" priority="11860"/>
    <cfRule type="duplicateValues" dxfId="14857" priority="11859"/>
    <cfRule type="duplicateValues" dxfId="14856" priority="11858"/>
    <cfRule type="duplicateValues" dxfId="14855" priority="11857"/>
    <cfRule type="duplicateValues" dxfId="14854" priority="11856"/>
    <cfRule type="duplicateValues" dxfId="14853" priority="11855"/>
  </conditionalFormatting>
  <conditionalFormatting sqref="B257:B258">
    <cfRule type="duplicateValues" dxfId="14852" priority="12210"/>
    <cfRule type="duplicateValues" dxfId="14851" priority="12349"/>
    <cfRule type="duplicateValues" dxfId="14850" priority="12348"/>
    <cfRule type="duplicateValues" dxfId="14849" priority="12347"/>
    <cfRule type="duplicateValues" dxfId="14848" priority="12346"/>
    <cfRule type="duplicateValues" dxfId="14847" priority="12345"/>
    <cfRule type="duplicateValues" dxfId="14846" priority="12344"/>
    <cfRule type="duplicateValues" dxfId="14845" priority="12343"/>
    <cfRule type="duplicateValues" dxfId="14844" priority="12342"/>
    <cfRule type="duplicateValues" dxfId="14843" priority="12341"/>
    <cfRule type="duplicateValues" dxfId="14842" priority="12340"/>
    <cfRule type="duplicateValues" dxfId="14841" priority="12339"/>
    <cfRule type="duplicateValues" dxfId="14840" priority="12338"/>
    <cfRule type="duplicateValues" dxfId="14839" priority="12224"/>
    <cfRule type="duplicateValues" dxfId="14838" priority="12337"/>
    <cfRule type="duplicateValues" dxfId="14837" priority="12336"/>
    <cfRule type="duplicateValues" dxfId="14836" priority="12335"/>
    <cfRule type="duplicateValues" dxfId="14835" priority="12334"/>
    <cfRule type="duplicateValues" dxfId="14834" priority="12333"/>
    <cfRule type="duplicateValues" dxfId="14833" priority="12332"/>
    <cfRule type="duplicateValues" dxfId="14832" priority="12331"/>
    <cfRule type="duplicateValues" dxfId="14831" priority="12330"/>
    <cfRule type="duplicateValues" dxfId="14830" priority="12329"/>
    <cfRule type="duplicateValues" dxfId="14829" priority="12328"/>
    <cfRule type="duplicateValues" dxfId="14828" priority="12327"/>
    <cfRule type="duplicateValues" dxfId="14827" priority="12326"/>
    <cfRule type="duplicateValues" dxfId="14826" priority="12325"/>
    <cfRule type="duplicateValues" dxfId="14825" priority="12324"/>
    <cfRule type="duplicateValues" dxfId="14824" priority="12323"/>
    <cfRule type="duplicateValues" dxfId="14823" priority="12322"/>
    <cfRule type="duplicateValues" dxfId="14822" priority="12321"/>
    <cfRule type="duplicateValues" dxfId="14821" priority="12320"/>
    <cfRule type="duplicateValues" dxfId="14820" priority="12319"/>
    <cfRule type="duplicateValues" dxfId="14819" priority="12318"/>
    <cfRule type="duplicateValues" dxfId="14818" priority="12317"/>
    <cfRule type="duplicateValues" dxfId="14817" priority="12316"/>
    <cfRule type="duplicateValues" dxfId="14816" priority="12315"/>
    <cfRule type="duplicateValues" dxfId="14815" priority="12314"/>
    <cfRule type="duplicateValues" dxfId="14814" priority="12312"/>
    <cfRule type="duplicateValues" dxfId="14813" priority="12311"/>
    <cfRule type="duplicateValues" dxfId="14812" priority="12310"/>
    <cfRule type="duplicateValues" dxfId="14811" priority="12309"/>
    <cfRule type="duplicateValues" dxfId="14810" priority="12308"/>
    <cfRule type="duplicateValues" dxfId="14809" priority="12307"/>
    <cfRule type="duplicateValues" dxfId="14808" priority="12306"/>
    <cfRule type="duplicateValues" dxfId="14807" priority="12305"/>
    <cfRule type="duplicateValues" dxfId="14806" priority="12304"/>
    <cfRule type="duplicateValues" dxfId="14805" priority="12303"/>
    <cfRule type="duplicateValues" dxfId="14804" priority="12302"/>
    <cfRule type="duplicateValues" dxfId="14803" priority="12301"/>
    <cfRule type="duplicateValues" dxfId="14802" priority="12300"/>
    <cfRule type="duplicateValues" dxfId="14801" priority="12299"/>
    <cfRule type="duplicateValues" dxfId="14800" priority="12226"/>
    <cfRule type="duplicateValues" dxfId="14799" priority="12298"/>
    <cfRule type="duplicateValues" dxfId="14798" priority="12297"/>
    <cfRule type="duplicateValues" dxfId="14797" priority="12296"/>
    <cfRule type="duplicateValues" dxfId="14796" priority="12295"/>
    <cfRule type="duplicateValues" dxfId="14795" priority="12294"/>
    <cfRule type="duplicateValues" dxfId="14794" priority="12293"/>
    <cfRule type="duplicateValues" dxfId="14793" priority="12292"/>
    <cfRule type="duplicateValues" dxfId="14792" priority="12291"/>
    <cfRule type="duplicateValues" dxfId="14791" priority="12290"/>
    <cfRule type="duplicateValues" dxfId="14790" priority="12289"/>
    <cfRule type="duplicateValues" dxfId="14789" priority="12288"/>
    <cfRule type="duplicateValues" dxfId="14788" priority="12287"/>
    <cfRule type="duplicateValues" dxfId="14787" priority="12286"/>
    <cfRule type="duplicateValues" dxfId="14786" priority="12285"/>
    <cfRule type="duplicateValues" dxfId="14785" priority="12284"/>
    <cfRule type="duplicateValues" dxfId="14784" priority="12283"/>
    <cfRule type="duplicateValues" dxfId="14783" priority="12282"/>
    <cfRule type="duplicateValues" dxfId="14782" priority="12313"/>
    <cfRule type="duplicateValues" dxfId="14781" priority="12281"/>
    <cfRule type="duplicateValues" dxfId="14780" priority="12280"/>
    <cfRule type="duplicateValues" dxfId="14779" priority="12279"/>
    <cfRule type="duplicateValues" dxfId="14778" priority="12278"/>
    <cfRule type="duplicateValues" dxfId="14777" priority="12277"/>
    <cfRule type="duplicateValues" dxfId="14776" priority="12276"/>
    <cfRule type="duplicateValues" dxfId="14775" priority="12275"/>
    <cfRule type="duplicateValues" dxfId="14774" priority="12274"/>
    <cfRule type="duplicateValues" dxfId="14773" priority="12273"/>
    <cfRule type="duplicateValues" dxfId="14772" priority="12272"/>
    <cfRule type="duplicateValues" dxfId="14771" priority="12271"/>
    <cfRule type="duplicateValues" dxfId="14770" priority="12270"/>
    <cfRule type="duplicateValues" dxfId="14769" priority="12269"/>
    <cfRule type="duplicateValues" dxfId="14768" priority="12268"/>
    <cfRule type="duplicateValues" dxfId="14767" priority="12267"/>
    <cfRule type="duplicateValues" dxfId="14766" priority="12266"/>
    <cfRule type="duplicateValues" dxfId="14765" priority="12265"/>
    <cfRule type="duplicateValues" dxfId="14764" priority="12264"/>
    <cfRule type="duplicateValues" dxfId="14763" priority="12263"/>
    <cfRule type="duplicateValues" dxfId="14762" priority="12262"/>
    <cfRule type="duplicateValues" dxfId="14761" priority="12261"/>
    <cfRule type="duplicateValues" dxfId="14760" priority="12260"/>
    <cfRule type="duplicateValues" dxfId="14759" priority="12259"/>
    <cfRule type="duplicateValues" dxfId="14758" priority="12258"/>
    <cfRule type="duplicateValues" dxfId="14757" priority="12257"/>
    <cfRule type="duplicateValues" dxfId="14756" priority="12256"/>
    <cfRule type="duplicateValues" dxfId="14755" priority="12255"/>
    <cfRule type="duplicateValues" dxfId="14754" priority="12254"/>
    <cfRule type="duplicateValues" dxfId="14753" priority="12253"/>
    <cfRule type="duplicateValues" dxfId="14752" priority="12252"/>
    <cfRule type="duplicateValues" dxfId="14751" priority="12251"/>
    <cfRule type="duplicateValues" dxfId="14750" priority="12250"/>
    <cfRule type="duplicateValues" dxfId="14749" priority="12249"/>
    <cfRule type="duplicateValues" dxfId="14748" priority="12248"/>
    <cfRule type="duplicateValues" dxfId="14747" priority="12247"/>
    <cfRule type="duplicateValues" dxfId="14746" priority="12246"/>
    <cfRule type="duplicateValues" dxfId="14745" priority="12245"/>
    <cfRule type="duplicateValues" dxfId="14744" priority="12244"/>
    <cfRule type="duplicateValues" dxfId="14743" priority="12243"/>
    <cfRule type="duplicateValues" dxfId="14742" priority="12242"/>
    <cfRule type="duplicateValues" dxfId="14741" priority="12241"/>
    <cfRule type="duplicateValues" dxfId="14740" priority="12240"/>
    <cfRule type="duplicateValues" dxfId="14739" priority="12239"/>
    <cfRule type="duplicateValues" dxfId="14738" priority="12238"/>
    <cfRule type="duplicateValues" dxfId="14737" priority="12237"/>
    <cfRule type="duplicateValues" dxfId="14736" priority="12236"/>
    <cfRule type="duplicateValues" dxfId="14735" priority="12235"/>
    <cfRule type="duplicateValues" dxfId="14734" priority="12234"/>
    <cfRule type="duplicateValues" dxfId="14733" priority="12233"/>
    <cfRule type="duplicateValues" dxfId="14732" priority="12232"/>
    <cfRule type="duplicateValues" dxfId="14731" priority="12231"/>
    <cfRule type="duplicateValues" dxfId="14730" priority="12225"/>
    <cfRule type="duplicateValues" dxfId="14729" priority="12193"/>
    <cfRule type="duplicateValues" dxfId="14728" priority="12194"/>
    <cfRule type="duplicateValues" dxfId="14727" priority="12195"/>
    <cfRule type="duplicateValues" dxfId="14726" priority="12196"/>
    <cfRule type="duplicateValues" dxfId="14725" priority="12197"/>
    <cfRule type="duplicateValues" dxfId="14724" priority="12198"/>
    <cfRule type="duplicateValues" dxfId="14723" priority="12199"/>
    <cfRule type="duplicateValues" dxfId="14722" priority="12200"/>
    <cfRule type="duplicateValues" dxfId="14721" priority="12201"/>
    <cfRule type="duplicateValues" dxfId="14720" priority="12202"/>
    <cfRule type="duplicateValues" dxfId="14719" priority="12203"/>
    <cfRule type="duplicateValues" dxfId="14718" priority="12204"/>
    <cfRule type="duplicateValues" dxfId="14717" priority="12205"/>
    <cfRule type="duplicateValues" dxfId="14716" priority="12206"/>
    <cfRule type="duplicateValues" dxfId="14715" priority="12207"/>
    <cfRule type="duplicateValues" dxfId="14714" priority="12208"/>
    <cfRule type="duplicateValues" dxfId="14713" priority="12209"/>
    <cfRule type="duplicateValues" dxfId="14712" priority="12354"/>
    <cfRule type="duplicateValues" dxfId="14711" priority="12366"/>
    <cfRule type="duplicateValues" dxfId="14710" priority="12211"/>
    <cfRule type="duplicateValues" dxfId="14709" priority="12212"/>
    <cfRule type="duplicateValues" dxfId="14708" priority="12213"/>
    <cfRule type="duplicateValues" dxfId="14707" priority="12214"/>
    <cfRule type="duplicateValues" dxfId="14706" priority="12215"/>
    <cfRule type="duplicateValues" dxfId="14705" priority="12216"/>
    <cfRule type="duplicateValues" dxfId="14704" priority="12217"/>
    <cfRule type="duplicateValues" dxfId="14703" priority="12218"/>
    <cfRule type="duplicateValues" dxfId="14702" priority="12219"/>
    <cfRule type="duplicateValues" dxfId="14701" priority="12220"/>
    <cfRule type="duplicateValues" dxfId="14700" priority="12221"/>
    <cfRule type="duplicateValues" dxfId="14699" priority="12222"/>
    <cfRule type="duplicateValues" dxfId="14698" priority="12223"/>
    <cfRule type="duplicateValues" dxfId="14697" priority="12230"/>
    <cfRule type="duplicateValues" dxfId="14696" priority="12229"/>
    <cfRule type="duplicateValues" dxfId="14695" priority="12227"/>
    <cfRule type="duplicateValues" dxfId="14694" priority="12353"/>
    <cfRule type="duplicateValues" dxfId="14693" priority="12352"/>
    <cfRule type="duplicateValues" dxfId="14692" priority="12351"/>
    <cfRule type="duplicateValues" dxfId="14691" priority="12350"/>
    <cfRule type="duplicateValues" dxfId="14690" priority="12355"/>
    <cfRule type="duplicateValues" dxfId="14689" priority="12356"/>
    <cfRule type="duplicateValues" dxfId="14688" priority="12357"/>
    <cfRule type="duplicateValues" dxfId="14687" priority="12358"/>
    <cfRule type="duplicateValues" dxfId="14686" priority="12359"/>
    <cfRule type="duplicateValues" dxfId="14685" priority="12360"/>
    <cfRule type="duplicateValues" dxfId="14684" priority="12361"/>
    <cfRule type="duplicateValues" dxfId="14683" priority="12362"/>
    <cfRule type="duplicateValues" dxfId="14682" priority="12363"/>
    <cfRule type="duplicateValues" dxfId="14681" priority="12364"/>
    <cfRule type="duplicateValues" dxfId="14680" priority="12365"/>
    <cfRule type="duplicateValues" dxfId="14679" priority="12367"/>
    <cfRule type="duplicateValues" dxfId="14678" priority="12368"/>
    <cfRule type="duplicateValues" dxfId="14677" priority="12369"/>
    <cfRule type="duplicateValues" dxfId="14676" priority="12370"/>
    <cfRule type="duplicateValues" dxfId="14675" priority="12371"/>
    <cfRule type="duplicateValues" dxfId="14674" priority="12372"/>
    <cfRule type="duplicateValues" dxfId="14673" priority="12373"/>
    <cfRule type="duplicateValues" dxfId="14672" priority="12374"/>
    <cfRule type="duplicateValues" dxfId="14671" priority="12375"/>
    <cfRule type="duplicateValues" dxfId="14670" priority="12376"/>
    <cfRule type="duplicateValues" dxfId="14669" priority="12377"/>
    <cfRule type="duplicateValues" dxfId="14668" priority="12378"/>
    <cfRule type="duplicateValues" dxfId="14667" priority="12379"/>
    <cfRule type="duplicateValues" dxfId="14666" priority="12380"/>
    <cfRule type="duplicateValues" dxfId="14665" priority="12228"/>
  </conditionalFormatting>
  <conditionalFormatting sqref="B259:B261">
    <cfRule type="duplicateValues" dxfId="14664" priority="12098"/>
    <cfRule type="duplicateValues" dxfId="14663" priority="12099"/>
    <cfRule type="duplicateValues" dxfId="14662" priority="12100"/>
    <cfRule type="duplicateValues" dxfId="14661" priority="12101"/>
    <cfRule type="duplicateValues" dxfId="14660" priority="12102"/>
    <cfRule type="duplicateValues" dxfId="14659" priority="12103"/>
    <cfRule type="duplicateValues" dxfId="14658" priority="12104"/>
    <cfRule type="duplicateValues" dxfId="14657" priority="12105"/>
    <cfRule type="duplicateValues" dxfId="14656" priority="12106"/>
    <cfRule type="duplicateValues" dxfId="14655" priority="12107"/>
    <cfRule type="duplicateValues" dxfId="14654" priority="12108"/>
    <cfRule type="duplicateValues" dxfId="14653" priority="12109"/>
    <cfRule type="duplicateValues" dxfId="14652" priority="12110"/>
    <cfRule type="duplicateValues" dxfId="14651" priority="12111"/>
    <cfRule type="duplicateValues" dxfId="14650" priority="12112"/>
    <cfRule type="duplicateValues" dxfId="14649" priority="12113"/>
    <cfRule type="duplicateValues" dxfId="14648" priority="12114"/>
    <cfRule type="duplicateValues" dxfId="14647" priority="12115"/>
    <cfRule type="duplicateValues" dxfId="14646" priority="12116"/>
    <cfRule type="duplicateValues" dxfId="14645" priority="12117"/>
    <cfRule type="duplicateValues" dxfId="14644" priority="12118"/>
    <cfRule type="duplicateValues" dxfId="14643" priority="12119"/>
    <cfRule type="duplicateValues" dxfId="14642" priority="12120"/>
    <cfRule type="duplicateValues" dxfId="14641" priority="12121"/>
    <cfRule type="duplicateValues" dxfId="14640" priority="12122"/>
    <cfRule type="duplicateValues" dxfId="14639" priority="12123"/>
    <cfRule type="duplicateValues" dxfId="14638" priority="12124"/>
    <cfRule type="duplicateValues" dxfId="14637" priority="12125"/>
    <cfRule type="duplicateValues" dxfId="14636" priority="12126"/>
    <cfRule type="duplicateValues" dxfId="14635" priority="12127"/>
    <cfRule type="duplicateValues" dxfId="14634" priority="12128"/>
    <cfRule type="duplicateValues" dxfId="14633" priority="12129"/>
    <cfRule type="duplicateValues" dxfId="14632" priority="12130"/>
    <cfRule type="duplicateValues" dxfId="14631" priority="12131"/>
    <cfRule type="duplicateValues" dxfId="14630" priority="12132"/>
    <cfRule type="duplicateValues" dxfId="14629" priority="12133"/>
    <cfRule type="duplicateValues" dxfId="14628" priority="12134"/>
    <cfRule type="duplicateValues" dxfId="14627" priority="12135"/>
    <cfRule type="duplicateValues" dxfId="14626" priority="12136"/>
    <cfRule type="duplicateValues" dxfId="14625" priority="12137"/>
    <cfRule type="duplicateValues" dxfId="14624" priority="12138"/>
    <cfRule type="duplicateValues" dxfId="14623" priority="12139"/>
    <cfRule type="duplicateValues" dxfId="14622" priority="12141"/>
    <cfRule type="duplicateValues" dxfId="14621" priority="12142"/>
    <cfRule type="duplicateValues" dxfId="14620" priority="12143"/>
    <cfRule type="duplicateValues" dxfId="14619" priority="12144"/>
    <cfRule type="duplicateValues" dxfId="14618" priority="12145"/>
    <cfRule type="duplicateValues" dxfId="14617" priority="12146"/>
    <cfRule type="duplicateValues" dxfId="14616" priority="12147"/>
    <cfRule type="duplicateValues" dxfId="14615" priority="12148"/>
    <cfRule type="duplicateValues" dxfId="14614" priority="12149"/>
    <cfRule type="duplicateValues" dxfId="14613" priority="12150"/>
    <cfRule type="duplicateValues" dxfId="14612" priority="12151"/>
    <cfRule type="duplicateValues" dxfId="14611" priority="12152"/>
    <cfRule type="duplicateValues" dxfId="14610" priority="12153"/>
    <cfRule type="duplicateValues" dxfId="14609" priority="12154"/>
    <cfRule type="duplicateValues" dxfId="14608" priority="12155"/>
    <cfRule type="duplicateValues" dxfId="14607" priority="12156"/>
    <cfRule type="duplicateValues" dxfId="14606" priority="12157"/>
    <cfRule type="duplicateValues" dxfId="14605" priority="12158"/>
    <cfRule type="duplicateValues" dxfId="14604" priority="12159"/>
    <cfRule type="duplicateValues" dxfId="14603" priority="12160"/>
    <cfRule type="duplicateValues" dxfId="14602" priority="12161"/>
    <cfRule type="duplicateValues" dxfId="14601" priority="12162"/>
    <cfRule type="duplicateValues" dxfId="14600" priority="12163"/>
    <cfRule type="duplicateValues" dxfId="14599" priority="12164"/>
    <cfRule type="duplicateValues" dxfId="14598" priority="12165"/>
    <cfRule type="duplicateValues" dxfId="14597" priority="12166"/>
    <cfRule type="duplicateValues" dxfId="14596" priority="12167"/>
    <cfRule type="duplicateValues" dxfId="14595" priority="12168"/>
    <cfRule type="duplicateValues" dxfId="14594" priority="12169"/>
    <cfRule type="duplicateValues" dxfId="14593" priority="12170"/>
    <cfRule type="duplicateValues" dxfId="14592" priority="12171"/>
    <cfRule type="duplicateValues" dxfId="14591" priority="12172"/>
    <cfRule type="duplicateValues" dxfId="14590" priority="12173"/>
    <cfRule type="duplicateValues" dxfId="14589" priority="12174"/>
    <cfRule type="duplicateValues" dxfId="14588" priority="12175"/>
    <cfRule type="duplicateValues" dxfId="14587" priority="12176"/>
    <cfRule type="duplicateValues" dxfId="14586" priority="12177"/>
    <cfRule type="duplicateValues" dxfId="14585" priority="12178"/>
    <cfRule type="duplicateValues" dxfId="14584" priority="12179"/>
    <cfRule type="duplicateValues" dxfId="14583" priority="12180"/>
    <cfRule type="duplicateValues" dxfId="14582" priority="12181"/>
    <cfRule type="duplicateValues" dxfId="14581" priority="12182"/>
    <cfRule type="duplicateValues" dxfId="14580" priority="12183"/>
    <cfRule type="duplicateValues" dxfId="14579" priority="12184"/>
    <cfRule type="duplicateValues" dxfId="14578" priority="12185"/>
    <cfRule type="duplicateValues" dxfId="14577" priority="12186"/>
    <cfRule type="duplicateValues" dxfId="14576" priority="12187"/>
    <cfRule type="duplicateValues" dxfId="14575" priority="12188"/>
    <cfRule type="duplicateValues" dxfId="14574" priority="12189"/>
    <cfRule type="duplicateValues" dxfId="14573" priority="12190"/>
    <cfRule type="duplicateValues" dxfId="14572" priority="12191"/>
    <cfRule type="duplicateValues" dxfId="14571" priority="12192"/>
    <cfRule type="duplicateValues" dxfId="14570" priority="12140"/>
    <cfRule type="duplicateValues" dxfId="14569" priority="12005"/>
    <cfRule type="duplicateValues" dxfId="14568" priority="12006"/>
    <cfRule type="duplicateValues" dxfId="14567" priority="12007"/>
    <cfRule type="duplicateValues" dxfId="14566" priority="12008"/>
    <cfRule type="duplicateValues" dxfId="14565" priority="12009"/>
    <cfRule type="duplicateValues" dxfId="14564" priority="12010"/>
    <cfRule type="duplicateValues" dxfId="14563" priority="12011"/>
    <cfRule type="duplicateValues" dxfId="14562" priority="12012"/>
    <cfRule type="duplicateValues" dxfId="14561" priority="12014"/>
    <cfRule type="duplicateValues" dxfId="14560" priority="12015"/>
    <cfRule type="duplicateValues" dxfId="14559" priority="12016"/>
    <cfRule type="duplicateValues" dxfId="14558" priority="12017"/>
    <cfRule type="duplicateValues" dxfId="14557" priority="12018"/>
    <cfRule type="duplicateValues" dxfId="14556" priority="12019"/>
    <cfRule type="duplicateValues" dxfId="14555" priority="12020"/>
    <cfRule type="duplicateValues" dxfId="14554" priority="12021"/>
    <cfRule type="duplicateValues" dxfId="14553" priority="12022"/>
    <cfRule type="duplicateValues" dxfId="14552" priority="12023"/>
    <cfRule type="duplicateValues" dxfId="14551" priority="12024"/>
    <cfRule type="duplicateValues" dxfId="14550" priority="12025"/>
    <cfRule type="duplicateValues" dxfId="14549" priority="12026"/>
    <cfRule type="duplicateValues" dxfId="14548" priority="12027"/>
    <cfRule type="duplicateValues" dxfId="14547" priority="12028"/>
    <cfRule type="duplicateValues" dxfId="14546" priority="12029"/>
    <cfRule type="duplicateValues" dxfId="14545" priority="12030"/>
    <cfRule type="duplicateValues" dxfId="14544" priority="12031"/>
    <cfRule type="duplicateValues" dxfId="14543" priority="12032"/>
    <cfRule type="duplicateValues" dxfId="14542" priority="12033"/>
    <cfRule type="duplicateValues" dxfId="14541" priority="12034"/>
    <cfRule type="duplicateValues" dxfId="14540" priority="12035"/>
    <cfRule type="duplicateValues" dxfId="14539" priority="12036"/>
    <cfRule type="duplicateValues" dxfId="14538" priority="12037"/>
    <cfRule type="duplicateValues" dxfId="14537" priority="12038"/>
    <cfRule type="duplicateValues" dxfId="14536" priority="12039"/>
    <cfRule type="duplicateValues" dxfId="14535" priority="12040"/>
    <cfRule type="duplicateValues" dxfId="14534" priority="12041"/>
    <cfRule type="duplicateValues" dxfId="14533" priority="12042"/>
    <cfRule type="duplicateValues" dxfId="14532" priority="12043"/>
    <cfRule type="duplicateValues" dxfId="14531" priority="12044"/>
    <cfRule type="duplicateValues" dxfId="14530" priority="12045"/>
    <cfRule type="duplicateValues" dxfId="14529" priority="12046"/>
    <cfRule type="duplicateValues" dxfId="14528" priority="12047"/>
    <cfRule type="duplicateValues" dxfId="14527" priority="12048"/>
    <cfRule type="duplicateValues" dxfId="14526" priority="12049"/>
    <cfRule type="duplicateValues" dxfId="14525" priority="12050"/>
    <cfRule type="duplicateValues" dxfId="14524" priority="12051"/>
    <cfRule type="duplicateValues" dxfId="14523" priority="12052"/>
    <cfRule type="duplicateValues" dxfId="14522" priority="12053"/>
    <cfRule type="duplicateValues" dxfId="14521" priority="12054"/>
    <cfRule type="duplicateValues" dxfId="14520" priority="12055"/>
    <cfRule type="duplicateValues" dxfId="14519" priority="12056"/>
    <cfRule type="duplicateValues" dxfId="14518" priority="12057"/>
    <cfRule type="duplicateValues" dxfId="14517" priority="12058"/>
    <cfRule type="duplicateValues" dxfId="14516" priority="12059"/>
    <cfRule type="duplicateValues" dxfId="14515" priority="12060"/>
    <cfRule type="duplicateValues" dxfId="14514" priority="12061"/>
    <cfRule type="duplicateValues" dxfId="14513" priority="12062"/>
    <cfRule type="duplicateValues" dxfId="14512" priority="12063"/>
    <cfRule type="duplicateValues" dxfId="14511" priority="12064"/>
    <cfRule type="duplicateValues" dxfId="14510" priority="12065"/>
    <cfRule type="duplicateValues" dxfId="14509" priority="12066"/>
    <cfRule type="duplicateValues" dxfId="14508" priority="12067"/>
    <cfRule type="duplicateValues" dxfId="14507" priority="12068"/>
    <cfRule type="duplicateValues" dxfId="14506" priority="12069"/>
    <cfRule type="duplicateValues" dxfId="14505" priority="12070"/>
    <cfRule type="duplicateValues" dxfId="14504" priority="12013"/>
    <cfRule type="duplicateValues" dxfId="14503" priority="12071"/>
    <cfRule type="duplicateValues" dxfId="14502" priority="12072"/>
    <cfRule type="duplicateValues" dxfId="14501" priority="12073"/>
    <cfRule type="duplicateValues" dxfId="14500" priority="12074"/>
    <cfRule type="duplicateValues" dxfId="14499" priority="12075"/>
    <cfRule type="duplicateValues" dxfId="14498" priority="12076"/>
    <cfRule type="duplicateValues" dxfId="14497" priority="12077"/>
    <cfRule type="duplicateValues" dxfId="14496" priority="12078"/>
    <cfRule type="duplicateValues" dxfId="14495" priority="12079"/>
    <cfRule type="duplicateValues" dxfId="14494" priority="12080"/>
    <cfRule type="duplicateValues" dxfId="14493" priority="12081"/>
    <cfRule type="duplicateValues" dxfId="14492" priority="12083"/>
    <cfRule type="duplicateValues" dxfId="14491" priority="12082"/>
    <cfRule type="duplicateValues" dxfId="14490" priority="12084"/>
    <cfRule type="duplicateValues" dxfId="14489" priority="12085"/>
    <cfRule type="duplicateValues" dxfId="14488" priority="12086"/>
    <cfRule type="duplicateValues" dxfId="14487" priority="12087"/>
    <cfRule type="duplicateValues" dxfId="14486" priority="12088"/>
    <cfRule type="duplicateValues" dxfId="14485" priority="12089"/>
    <cfRule type="duplicateValues" dxfId="14484" priority="12090"/>
    <cfRule type="duplicateValues" dxfId="14483" priority="12091"/>
    <cfRule type="duplicateValues" dxfId="14482" priority="12092"/>
    <cfRule type="duplicateValues" dxfId="14481" priority="12093"/>
    <cfRule type="duplicateValues" dxfId="14480" priority="12094"/>
    <cfRule type="duplicateValues" dxfId="14479" priority="12095"/>
    <cfRule type="duplicateValues" dxfId="14478" priority="12096"/>
    <cfRule type="duplicateValues" dxfId="14477" priority="12097"/>
  </conditionalFormatting>
  <conditionalFormatting sqref="B262">
    <cfRule type="duplicateValues" dxfId="14476" priority="11188"/>
    <cfRule type="duplicateValues" dxfId="14475" priority="11221"/>
    <cfRule type="duplicateValues" dxfId="14474" priority="11222"/>
    <cfRule type="duplicateValues" dxfId="14473" priority="11223"/>
    <cfRule type="duplicateValues" dxfId="14472" priority="11224"/>
    <cfRule type="duplicateValues" dxfId="14471" priority="11225"/>
    <cfRule type="duplicateValues" dxfId="14470" priority="11226"/>
    <cfRule type="duplicateValues" dxfId="14469" priority="11227"/>
    <cfRule type="duplicateValues" dxfId="14468" priority="11228"/>
    <cfRule type="duplicateValues" dxfId="14467" priority="11229"/>
    <cfRule type="duplicateValues" dxfId="14466" priority="11230"/>
    <cfRule type="duplicateValues" dxfId="14465" priority="11231"/>
    <cfRule type="duplicateValues" dxfId="14464" priority="11232"/>
    <cfRule type="duplicateValues" dxfId="14463" priority="11233"/>
    <cfRule type="duplicateValues" dxfId="14462" priority="11234"/>
    <cfRule type="duplicateValues" dxfId="14461" priority="11235"/>
    <cfRule type="duplicateValues" dxfId="14460" priority="11236"/>
    <cfRule type="duplicateValues" dxfId="14459" priority="11237"/>
    <cfRule type="duplicateValues" dxfId="14458" priority="11238"/>
    <cfRule type="duplicateValues" dxfId="14457" priority="11239"/>
    <cfRule type="duplicateValues" dxfId="14456" priority="11240"/>
    <cfRule type="duplicateValues" dxfId="14455" priority="11241"/>
    <cfRule type="duplicateValues" dxfId="14454" priority="11242"/>
    <cfRule type="duplicateValues" dxfId="14453" priority="11243"/>
    <cfRule type="duplicateValues" dxfId="14452" priority="11244"/>
    <cfRule type="duplicateValues" dxfId="14451" priority="11245"/>
    <cfRule type="duplicateValues" dxfId="14450" priority="11246"/>
    <cfRule type="duplicateValues" dxfId="14449" priority="11247"/>
    <cfRule type="duplicateValues" dxfId="14448" priority="11248"/>
    <cfRule type="duplicateValues" dxfId="14447" priority="11249"/>
    <cfRule type="duplicateValues" dxfId="14446" priority="11250"/>
    <cfRule type="duplicateValues" dxfId="14445" priority="11190"/>
    <cfRule type="duplicateValues" dxfId="14444" priority="11191"/>
    <cfRule type="duplicateValues" dxfId="14443" priority="11192"/>
    <cfRule type="duplicateValues" dxfId="14442" priority="11193"/>
    <cfRule type="duplicateValues" dxfId="14441" priority="11187"/>
    <cfRule type="duplicateValues" dxfId="14440" priority="11186"/>
    <cfRule type="duplicateValues" dxfId="14439" priority="11185"/>
    <cfRule type="duplicateValues" dxfId="14438" priority="11184"/>
    <cfRule type="duplicateValues" dxfId="14437" priority="11183"/>
    <cfRule type="duplicateValues" dxfId="14436" priority="11182"/>
    <cfRule type="duplicateValues" dxfId="14435" priority="11181"/>
    <cfRule type="duplicateValues" dxfId="14434" priority="11180"/>
    <cfRule type="duplicateValues" dxfId="14433" priority="11179"/>
    <cfRule type="duplicateValues" dxfId="14432" priority="11178"/>
    <cfRule type="duplicateValues" dxfId="14431" priority="11177"/>
    <cfRule type="duplicateValues" dxfId="14430" priority="11176"/>
    <cfRule type="duplicateValues" dxfId="14429" priority="11175"/>
    <cfRule type="duplicateValues" dxfId="14428" priority="11174"/>
    <cfRule type="duplicateValues" dxfId="14427" priority="11173"/>
    <cfRule type="duplicateValues" dxfId="14426" priority="11172"/>
    <cfRule type="duplicateValues" dxfId="14425" priority="11171"/>
    <cfRule type="duplicateValues" dxfId="14424" priority="11170"/>
    <cfRule type="duplicateValues" dxfId="14423" priority="11169"/>
    <cfRule type="duplicateValues" dxfId="14422" priority="11168"/>
    <cfRule type="duplicateValues" dxfId="14421" priority="11167"/>
    <cfRule type="duplicateValues" dxfId="14420" priority="11166"/>
    <cfRule type="duplicateValues" dxfId="14419" priority="11165"/>
    <cfRule type="duplicateValues" dxfId="14418" priority="11164"/>
    <cfRule type="duplicateValues" dxfId="14417" priority="11163"/>
    <cfRule type="duplicateValues" dxfId="14416" priority="11162"/>
    <cfRule type="duplicateValues" dxfId="14415" priority="11161"/>
    <cfRule type="duplicateValues" dxfId="14414" priority="11160"/>
    <cfRule type="duplicateValues" dxfId="14413" priority="11159"/>
    <cfRule type="duplicateValues" dxfId="14412" priority="11158"/>
    <cfRule type="duplicateValues" dxfId="14411" priority="11157"/>
    <cfRule type="duplicateValues" dxfId="14410" priority="11156"/>
    <cfRule type="duplicateValues" dxfId="14409" priority="11155"/>
    <cfRule type="duplicateValues" dxfId="14408" priority="11154"/>
    <cfRule type="duplicateValues" dxfId="14407" priority="11153"/>
    <cfRule type="duplicateValues" dxfId="14406" priority="11152"/>
    <cfRule type="duplicateValues" dxfId="14405" priority="11151"/>
    <cfRule type="duplicateValues" dxfId="14404" priority="11150"/>
    <cfRule type="duplicateValues" dxfId="14403" priority="11149"/>
    <cfRule type="duplicateValues" dxfId="14402" priority="11148"/>
    <cfRule type="duplicateValues" dxfId="14401" priority="11147"/>
    <cfRule type="duplicateValues" dxfId="14400" priority="11146"/>
    <cfRule type="duplicateValues" dxfId="14399" priority="11145"/>
    <cfRule type="duplicateValues" dxfId="14398" priority="11144"/>
    <cfRule type="duplicateValues" dxfId="14397" priority="11143"/>
    <cfRule type="duplicateValues" dxfId="14396" priority="11142"/>
    <cfRule type="duplicateValues" dxfId="14395" priority="11141"/>
    <cfRule type="duplicateValues" dxfId="14394" priority="11140"/>
    <cfRule type="duplicateValues" dxfId="14393" priority="11139"/>
    <cfRule type="duplicateValues" dxfId="14392" priority="11138"/>
    <cfRule type="duplicateValues" dxfId="14391" priority="11137"/>
    <cfRule type="duplicateValues" dxfId="14390" priority="11136"/>
    <cfRule type="duplicateValues" dxfId="14389" priority="11135"/>
    <cfRule type="duplicateValues" dxfId="14388" priority="11134"/>
    <cfRule type="duplicateValues" dxfId="14387" priority="11133"/>
    <cfRule type="duplicateValues" dxfId="14386" priority="11132"/>
    <cfRule type="duplicateValues" dxfId="14385" priority="11131"/>
    <cfRule type="duplicateValues" dxfId="14384" priority="11130"/>
    <cfRule type="duplicateValues" dxfId="14383" priority="11129"/>
    <cfRule type="duplicateValues" dxfId="14382" priority="11128"/>
    <cfRule type="duplicateValues" dxfId="14381" priority="11127"/>
    <cfRule type="duplicateValues" dxfId="14380" priority="11126"/>
    <cfRule type="duplicateValues" dxfId="14379" priority="11125"/>
    <cfRule type="duplicateValues" dxfId="14378" priority="11124"/>
    <cfRule type="duplicateValues" dxfId="14377" priority="11123"/>
    <cfRule type="duplicateValues" dxfId="14376" priority="11122"/>
    <cfRule type="duplicateValues" dxfId="14375" priority="11121"/>
    <cfRule type="duplicateValues" dxfId="14374" priority="11120"/>
    <cfRule type="duplicateValues" dxfId="14373" priority="11118"/>
    <cfRule type="duplicateValues" dxfId="14372" priority="11117"/>
    <cfRule type="duplicateValues" dxfId="14371" priority="11116"/>
    <cfRule type="duplicateValues" dxfId="14370" priority="11115"/>
    <cfRule type="duplicateValues" dxfId="14369" priority="11114"/>
    <cfRule type="duplicateValues" dxfId="14368" priority="11113"/>
    <cfRule type="duplicateValues" dxfId="14367" priority="11112"/>
    <cfRule type="duplicateValues" dxfId="14366" priority="11111"/>
    <cfRule type="duplicateValues" dxfId="14365" priority="11110"/>
    <cfRule type="duplicateValues" dxfId="14364" priority="11109"/>
    <cfRule type="duplicateValues" dxfId="14363" priority="11108"/>
    <cfRule type="duplicateValues" dxfId="14362" priority="11107"/>
    <cfRule type="duplicateValues" dxfId="14361" priority="11106"/>
    <cfRule type="duplicateValues" dxfId="14360" priority="11105"/>
    <cfRule type="duplicateValues" dxfId="14359" priority="11194"/>
    <cfRule type="duplicateValues" dxfId="14358" priority="11104"/>
    <cfRule type="duplicateValues" dxfId="14357" priority="11103"/>
    <cfRule type="duplicateValues" dxfId="14356" priority="11102"/>
    <cfRule type="duplicateValues" dxfId="14355" priority="11101"/>
    <cfRule type="duplicateValues" dxfId="14354" priority="11100"/>
    <cfRule type="duplicateValues" dxfId="14353" priority="11099"/>
    <cfRule type="duplicateValues" dxfId="14352" priority="11098"/>
    <cfRule type="duplicateValues" dxfId="14351" priority="11097"/>
    <cfRule type="duplicateValues" dxfId="14350" priority="11096"/>
    <cfRule type="duplicateValues" dxfId="14349" priority="11095"/>
    <cfRule type="duplicateValues" dxfId="14348" priority="11094"/>
    <cfRule type="duplicateValues" dxfId="14347" priority="11093"/>
    <cfRule type="duplicateValues" dxfId="14346" priority="11092"/>
    <cfRule type="duplicateValues" dxfId="14345" priority="11091"/>
    <cfRule type="duplicateValues" dxfId="14344" priority="11090"/>
    <cfRule type="duplicateValues" dxfId="14343" priority="11089"/>
    <cfRule type="duplicateValues" dxfId="14342" priority="11088"/>
    <cfRule type="duplicateValues" dxfId="14341" priority="11087"/>
    <cfRule type="duplicateValues" dxfId="14340" priority="11086"/>
    <cfRule type="duplicateValues" dxfId="14339" priority="11085"/>
    <cfRule type="duplicateValues" dxfId="14338" priority="11084"/>
    <cfRule type="duplicateValues" dxfId="14337" priority="11083"/>
    <cfRule type="duplicateValues" dxfId="14336" priority="11082"/>
    <cfRule type="duplicateValues" dxfId="14335" priority="11081"/>
    <cfRule type="duplicateValues" dxfId="14334" priority="11080"/>
    <cfRule type="duplicateValues" dxfId="14333" priority="11079"/>
    <cfRule type="duplicateValues" dxfId="14332" priority="11078"/>
    <cfRule type="duplicateValues" dxfId="14331" priority="11077"/>
    <cfRule type="duplicateValues" dxfId="14330" priority="11076"/>
    <cfRule type="duplicateValues" dxfId="14329" priority="11075"/>
    <cfRule type="duplicateValues" dxfId="14328" priority="11074"/>
    <cfRule type="duplicateValues" dxfId="14327" priority="11073"/>
    <cfRule type="duplicateValues" dxfId="14326" priority="11072"/>
    <cfRule type="duplicateValues" dxfId="14325" priority="11071"/>
    <cfRule type="duplicateValues" dxfId="14324" priority="11070"/>
    <cfRule type="duplicateValues" dxfId="14323" priority="11069"/>
    <cfRule type="duplicateValues" dxfId="14322" priority="11068"/>
    <cfRule type="duplicateValues" dxfId="14321" priority="11067"/>
    <cfRule type="duplicateValues" dxfId="14320" priority="11066"/>
    <cfRule type="duplicateValues" dxfId="14319" priority="11065"/>
    <cfRule type="duplicateValues" dxfId="14318" priority="11189"/>
    <cfRule type="duplicateValues" dxfId="14317" priority="11195"/>
    <cfRule type="duplicateValues" dxfId="14316" priority="11196"/>
    <cfRule type="duplicateValues" dxfId="14315" priority="11197"/>
    <cfRule type="duplicateValues" dxfId="14314" priority="11119"/>
    <cfRule type="duplicateValues" dxfId="14313" priority="11198"/>
    <cfRule type="duplicateValues" dxfId="14312" priority="11199"/>
    <cfRule type="duplicateValues" dxfId="14311" priority="11200"/>
    <cfRule type="duplicateValues" dxfId="14310" priority="11201"/>
    <cfRule type="duplicateValues" dxfId="14309" priority="11202"/>
    <cfRule type="duplicateValues" dxfId="14308" priority="11203"/>
    <cfRule type="duplicateValues" dxfId="14307" priority="11204"/>
    <cfRule type="duplicateValues" dxfId="14306" priority="11205"/>
    <cfRule type="duplicateValues" dxfId="14305" priority="11206"/>
    <cfRule type="duplicateValues" dxfId="14304" priority="11207"/>
    <cfRule type="duplicateValues" dxfId="14303" priority="11208"/>
    <cfRule type="duplicateValues" dxfId="14302" priority="11209"/>
    <cfRule type="duplicateValues" dxfId="14301" priority="11210"/>
    <cfRule type="duplicateValues" dxfId="14300" priority="11211"/>
    <cfRule type="duplicateValues" dxfId="14299" priority="11212"/>
    <cfRule type="duplicateValues" dxfId="14298" priority="11213"/>
    <cfRule type="duplicateValues" dxfId="14297" priority="11214"/>
    <cfRule type="duplicateValues" dxfId="14296" priority="11215"/>
    <cfRule type="duplicateValues" dxfId="14295" priority="11216"/>
    <cfRule type="duplicateValues" dxfId="14294" priority="11217"/>
    <cfRule type="duplicateValues" dxfId="14293" priority="11218"/>
    <cfRule type="duplicateValues" dxfId="14292" priority="11219"/>
    <cfRule type="duplicateValues" dxfId="14291" priority="11220"/>
    <cfRule type="duplicateValues" dxfId="14290" priority="11251"/>
    <cfRule type="duplicateValues" dxfId="14289" priority="11252"/>
  </conditionalFormatting>
  <conditionalFormatting sqref="B263:B265">
    <cfRule type="duplicateValues" dxfId="14288" priority="11676"/>
    <cfRule type="duplicateValues" dxfId="14287" priority="11816"/>
    <cfRule type="duplicateValues" dxfId="14286" priority="11815"/>
    <cfRule type="duplicateValues" dxfId="14285" priority="11814"/>
    <cfRule type="duplicateValues" dxfId="14284" priority="11813"/>
    <cfRule type="duplicateValues" dxfId="14283" priority="11812"/>
    <cfRule type="duplicateValues" dxfId="14282" priority="11811"/>
    <cfRule type="duplicateValues" dxfId="14281" priority="11810"/>
    <cfRule type="duplicateValues" dxfId="14280" priority="11809"/>
    <cfRule type="duplicateValues" dxfId="14279" priority="11808"/>
    <cfRule type="duplicateValues" dxfId="14278" priority="11807"/>
    <cfRule type="duplicateValues" dxfId="14277" priority="11806"/>
    <cfRule type="duplicateValues" dxfId="14276" priority="11805"/>
    <cfRule type="duplicateValues" dxfId="14275" priority="11804"/>
    <cfRule type="duplicateValues" dxfId="14274" priority="11803"/>
    <cfRule type="duplicateValues" dxfId="14273" priority="11802"/>
    <cfRule type="duplicateValues" dxfId="14272" priority="11801"/>
    <cfRule type="duplicateValues" dxfId="14271" priority="11800"/>
    <cfRule type="duplicateValues" dxfId="14270" priority="11799"/>
    <cfRule type="duplicateValues" dxfId="14269" priority="11798"/>
    <cfRule type="duplicateValues" dxfId="14268" priority="11797"/>
    <cfRule type="duplicateValues" dxfId="14267" priority="11796"/>
    <cfRule type="duplicateValues" dxfId="14266" priority="11795"/>
    <cfRule type="duplicateValues" dxfId="14265" priority="11794"/>
    <cfRule type="duplicateValues" dxfId="14264" priority="11793"/>
    <cfRule type="duplicateValues" dxfId="14263" priority="11792"/>
    <cfRule type="duplicateValues" dxfId="14262" priority="11791"/>
    <cfRule type="duplicateValues" dxfId="14261" priority="11790"/>
    <cfRule type="duplicateValues" dxfId="14260" priority="11789"/>
    <cfRule type="duplicateValues" dxfId="14259" priority="11788"/>
    <cfRule type="duplicateValues" dxfId="14258" priority="11787"/>
    <cfRule type="duplicateValues" dxfId="14257" priority="11786"/>
    <cfRule type="duplicateValues" dxfId="14256" priority="11785"/>
    <cfRule type="duplicateValues" dxfId="14255" priority="11784"/>
    <cfRule type="duplicateValues" dxfId="14254" priority="11783"/>
    <cfRule type="duplicateValues" dxfId="14253" priority="11782"/>
    <cfRule type="duplicateValues" dxfId="14252" priority="11781"/>
    <cfRule type="duplicateValues" dxfId="14251" priority="11780"/>
    <cfRule type="duplicateValues" dxfId="14250" priority="11779"/>
    <cfRule type="duplicateValues" dxfId="14249" priority="11778"/>
    <cfRule type="duplicateValues" dxfId="14248" priority="11777"/>
    <cfRule type="duplicateValues" dxfId="14247" priority="11776"/>
    <cfRule type="duplicateValues" dxfId="14246" priority="11775"/>
    <cfRule type="duplicateValues" dxfId="14245" priority="11774"/>
    <cfRule type="duplicateValues" dxfId="14244" priority="11773"/>
    <cfRule type="duplicateValues" dxfId="14243" priority="11772"/>
    <cfRule type="duplicateValues" dxfId="14242" priority="11771"/>
    <cfRule type="duplicateValues" dxfId="14241" priority="11770"/>
    <cfRule type="duplicateValues" dxfId="14240" priority="11769"/>
    <cfRule type="duplicateValues" dxfId="14239" priority="11768"/>
    <cfRule type="duplicateValues" dxfId="14238" priority="11767"/>
    <cfRule type="duplicateValues" dxfId="14237" priority="11766"/>
    <cfRule type="duplicateValues" dxfId="14236" priority="11765"/>
    <cfRule type="duplicateValues" dxfId="14235" priority="11764"/>
    <cfRule type="duplicateValues" dxfId="14234" priority="11763"/>
    <cfRule type="duplicateValues" dxfId="14233" priority="11762"/>
    <cfRule type="duplicateValues" dxfId="14232" priority="11761"/>
    <cfRule type="duplicateValues" dxfId="14231" priority="11760"/>
    <cfRule type="duplicateValues" dxfId="14230" priority="11759"/>
    <cfRule type="duplicateValues" dxfId="14229" priority="11758"/>
    <cfRule type="duplicateValues" dxfId="14228" priority="11757"/>
    <cfRule type="duplicateValues" dxfId="14227" priority="11756"/>
    <cfRule type="duplicateValues" dxfId="14226" priority="11755"/>
    <cfRule type="duplicateValues" dxfId="14225" priority="11754"/>
    <cfRule type="duplicateValues" dxfId="14224" priority="11753"/>
    <cfRule type="duplicateValues" dxfId="14223" priority="11752"/>
    <cfRule type="duplicateValues" dxfId="14222" priority="11751"/>
    <cfRule type="duplicateValues" dxfId="14221" priority="11750"/>
    <cfRule type="duplicateValues" dxfId="14220" priority="11749"/>
    <cfRule type="duplicateValues" dxfId="14219" priority="11748"/>
    <cfRule type="duplicateValues" dxfId="14218" priority="11747"/>
    <cfRule type="duplicateValues" dxfId="14217" priority="11746"/>
    <cfRule type="duplicateValues" dxfId="14216" priority="11745"/>
    <cfRule type="duplicateValues" dxfId="14215" priority="11744"/>
    <cfRule type="duplicateValues" dxfId="14214" priority="11743"/>
    <cfRule type="duplicateValues" dxfId="14213" priority="11742"/>
    <cfRule type="duplicateValues" dxfId="14212" priority="11741"/>
    <cfRule type="duplicateValues" dxfId="14211" priority="11740"/>
    <cfRule type="duplicateValues" dxfId="14210" priority="11739"/>
    <cfRule type="duplicateValues" dxfId="14209" priority="11738"/>
    <cfRule type="duplicateValues" dxfId="14208" priority="11737"/>
    <cfRule type="duplicateValues" dxfId="14207" priority="11736"/>
    <cfRule type="duplicateValues" dxfId="14206" priority="11735"/>
    <cfRule type="duplicateValues" dxfId="14205" priority="11734"/>
    <cfRule type="duplicateValues" dxfId="14204" priority="11733"/>
    <cfRule type="duplicateValues" dxfId="14203" priority="11732"/>
    <cfRule type="duplicateValues" dxfId="14202" priority="11731"/>
    <cfRule type="duplicateValues" dxfId="14201" priority="11730"/>
    <cfRule type="duplicateValues" dxfId="14200" priority="11729"/>
    <cfRule type="duplicateValues" dxfId="14199" priority="11728"/>
    <cfRule type="duplicateValues" dxfId="14198" priority="11727"/>
    <cfRule type="duplicateValues" dxfId="14197" priority="11726"/>
    <cfRule type="duplicateValues" dxfId="14196" priority="11725"/>
    <cfRule type="duplicateValues" dxfId="14195" priority="11724"/>
    <cfRule type="duplicateValues" dxfId="14194" priority="11723"/>
    <cfRule type="duplicateValues" dxfId="14193" priority="11722"/>
    <cfRule type="duplicateValues" dxfId="14192" priority="11721"/>
    <cfRule type="duplicateValues" dxfId="14191" priority="11720"/>
    <cfRule type="duplicateValues" dxfId="14190" priority="11719"/>
    <cfRule type="duplicateValues" dxfId="14189" priority="11718"/>
    <cfRule type="duplicateValues" dxfId="14188" priority="11717"/>
    <cfRule type="duplicateValues" dxfId="14187" priority="11716"/>
    <cfRule type="duplicateValues" dxfId="14186" priority="11715"/>
    <cfRule type="duplicateValues" dxfId="14185" priority="11714"/>
    <cfRule type="duplicateValues" dxfId="14184" priority="11713"/>
    <cfRule type="duplicateValues" dxfId="14183" priority="11712"/>
    <cfRule type="duplicateValues" dxfId="14182" priority="11711"/>
    <cfRule type="duplicateValues" dxfId="14181" priority="11710"/>
    <cfRule type="duplicateValues" dxfId="14180" priority="11709"/>
    <cfRule type="duplicateValues" dxfId="14179" priority="11708"/>
    <cfRule type="duplicateValues" dxfId="14178" priority="11707"/>
    <cfRule type="duplicateValues" dxfId="14177" priority="11706"/>
    <cfRule type="duplicateValues" dxfId="14176" priority="11705"/>
    <cfRule type="duplicateValues" dxfId="14175" priority="11704"/>
    <cfRule type="duplicateValues" dxfId="14174" priority="11703"/>
    <cfRule type="duplicateValues" dxfId="14173" priority="11702"/>
    <cfRule type="duplicateValues" dxfId="14172" priority="11701"/>
    <cfRule type="duplicateValues" dxfId="14171" priority="11700"/>
    <cfRule type="duplicateValues" dxfId="14170" priority="11699"/>
    <cfRule type="duplicateValues" dxfId="14169" priority="11698"/>
    <cfRule type="duplicateValues" dxfId="14168" priority="11697"/>
    <cfRule type="duplicateValues" dxfId="14167" priority="11696"/>
    <cfRule type="duplicateValues" dxfId="14166" priority="11695"/>
    <cfRule type="duplicateValues" dxfId="14165" priority="11694"/>
    <cfRule type="duplicateValues" dxfId="14164" priority="11693"/>
    <cfRule type="duplicateValues" dxfId="14163" priority="11692"/>
    <cfRule type="duplicateValues" dxfId="14162" priority="11691"/>
    <cfRule type="duplicateValues" dxfId="14161" priority="11690"/>
    <cfRule type="duplicateValues" dxfId="14160" priority="11689"/>
    <cfRule type="duplicateValues" dxfId="14159" priority="11688"/>
    <cfRule type="duplicateValues" dxfId="14158" priority="11687"/>
    <cfRule type="duplicateValues" dxfId="14157" priority="11686"/>
    <cfRule type="duplicateValues" dxfId="14156" priority="11685"/>
    <cfRule type="duplicateValues" dxfId="14155" priority="11684"/>
    <cfRule type="duplicateValues" dxfId="14154" priority="11683"/>
    <cfRule type="duplicateValues" dxfId="14153" priority="11682"/>
    <cfRule type="duplicateValues" dxfId="14152" priority="11681"/>
    <cfRule type="duplicateValues" dxfId="14151" priority="11680"/>
    <cfRule type="duplicateValues" dxfId="14150" priority="11679"/>
    <cfRule type="duplicateValues" dxfId="14149" priority="11678"/>
    <cfRule type="duplicateValues" dxfId="14148" priority="11677"/>
    <cfRule type="duplicateValues" dxfId="14147" priority="11675"/>
    <cfRule type="duplicateValues" dxfId="14146" priority="11674"/>
    <cfRule type="duplicateValues" dxfId="14145" priority="11673"/>
    <cfRule type="duplicateValues" dxfId="14144" priority="11672"/>
    <cfRule type="duplicateValues" dxfId="14143" priority="11671"/>
    <cfRule type="duplicateValues" dxfId="14142" priority="11670"/>
    <cfRule type="duplicateValues" dxfId="14141" priority="11669"/>
    <cfRule type="duplicateValues" dxfId="14140" priority="11668"/>
    <cfRule type="duplicateValues" dxfId="14139" priority="11667"/>
    <cfRule type="duplicateValues" dxfId="14138" priority="11666"/>
    <cfRule type="duplicateValues" dxfId="14137" priority="11662"/>
    <cfRule type="duplicateValues" dxfId="14136" priority="11661"/>
    <cfRule type="duplicateValues" dxfId="14135" priority="11660"/>
    <cfRule type="duplicateValues" dxfId="14134" priority="11659"/>
    <cfRule type="duplicateValues" dxfId="14133" priority="11658"/>
    <cfRule type="duplicateValues" dxfId="14132" priority="11657"/>
    <cfRule type="duplicateValues" dxfId="14131" priority="11656"/>
    <cfRule type="duplicateValues" dxfId="14130" priority="11655"/>
    <cfRule type="duplicateValues" dxfId="14129" priority="11654"/>
    <cfRule type="duplicateValues" dxfId="14128" priority="11653"/>
    <cfRule type="duplicateValues" dxfId="14127" priority="11652"/>
    <cfRule type="duplicateValues" dxfId="14126" priority="11651"/>
    <cfRule type="duplicateValues" dxfId="14125" priority="11650"/>
    <cfRule type="duplicateValues" dxfId="14124" priority="11649"/>
    <cfRule type="duplicateValues" dxfId="14123" priority="11648"/>
    <cfRule type="duplicateValues" dxfId="14122" priority="11647"/>
    <cfRule type="duplicateValues" dxfId="14121" priority="11646"/>
    <cfRule type="duplicateValues" dxfId="14120" priority="11645"/>
    <cfRule type="duplicateValues" dxfId="14119" priority="11644"/>
    <cfRule type="duplicateValues" dxfId="14118" priority="11643"/>
    <cfRule type="duplicateValues" dxfId="14117" priority="11642"/>
    <cfRule type="duplicateValues" dxfId="14116" priority="11641"/>
    <cfRule type="duplicateValues" dxfId="14115" priority="11640"/>
    <cfRule type="duplicateValues" dxfId="14114" priority="11639"/>
    <cfRule type="duplicateValues" dxfId="14113" priority="11638"/>
    <cfRule type="duplicateValues" dxfId="14112" priority="11637"/>
    <cfRule type="duplicateValues" dxfId="14111" priority="11636"/>
    <cfRule type="duplicateValues" dxfId="14110" priority="11635"/>
    <cfRule type="duplicateValues" dxfId="14109" priority="11634"/>
    <cfRule type="duplicateValues" dxfId="14108" priority="11633"/>
    <cfRule type="duplicateValues" dxfId="14107" priority="11632"/>
    <cfRule type="duplicateValues" dxfId="14106" priority="11631"/>
    <cfRule type="duplicateValues" dxfId="14105" priority="11630"/>
    <cfRule type="duplicateValues" dxfId="14104" priority="11629"/>
    <cfRule type="duplicateValues" dxfId="14103" priority="11665"/>
    <cfRule type="duplicateValues" dxfId="14102" priority="11664"/>
    <cfRule type="duplicateValues" dxfId="14101" priority="11663"/>
  </conditionalFormatting>
  <conditionalFormatting sqref="B266">
    <cfRule type="duplicateValues" dxfId="14100" priority="11583"/>
    <cfRule type="duplicateValues" dxfId="14099" priority="11442"/>
    <cfRule type="duplicateValues" dxfId="14098" priority="11628"/>
    <cfRule type="duplicateValues" dxfId="14097" priority="11627"/>
    <cfRule type="duplicateValues" dxfId="14096" priority="11626"/>
    <cfRule type="duplicateValues" dxfId="14095" priority="11625"/>
    <cfRule type="duplicateValues" dxfId="14094" priority="11624"/>
    <cfRule type="duplicateValues" dxfId="14093" priority="11623"/>
    <cfRule type="duplicateValues" dxfId="14092" priority="11622"/>
    <cfRule type="duplicateValues" dxfId="14091" priority="11621"/>
    <cfRule type="duplicateValues" dxfId="14090" priority="11620"/>
    <cfRule type="duplicateValues" dxfId="14089" priority="11619"/>
    <cfRule type="duplicateValues" dxfId="14088" priority="11618"/>
    <cfRule type="duplicateValues" dxfId="14087" priority="11617"/>
    <cfRule type="duplicateValues" dxfId="14086" priority="11616"/>
    <cfRule type="duplicateValues" dxfId="14085" priority="11615"/>
    <cfRule type="duplicateValues" dxfId="14084" priority="11614"/>
    <cfRule type="duplicateValues" dxfId="14083" priority="11613"/>
    <cfRule type="duplicateValues" dxfId="14082" priority="11612"/>
    <cfRule type="duplicateValues" dxfId="14081" priority="11611"/>
    <cfRule type="duplicateValues" dxfId="14080" priority="11610"/>
    <cfRule type="duplicateValues" dxfId="14079" priority="11609"/>
    <cfRule type="duplicateValues" dxfId="14078" priority="11608"/>
    <cfRule type="duplicateValues" dxfId="14077" priority="11607"/>
    <cfRule type="duplicateValues" dxfId="14076" priority="11606"/>
    <cfRule type="duplicateValues" dxfId="14075" priority="11605"/>
    <cfRule type="duplicateValues" dxfId="14074" priority="11604"/>
    <cfRule type="duplicateValues" dxfId="14073" priority="11603"/>
    <cfRule type="duplicateValues" dxfId="14072" priority="11602"/>
    <cfRule type="duplicateValues" dxfId="14071" priority="11601"/>
    <cfRule type="duplicateValues" dxfId="14070" priority="11600"/>
    <cfRule type="duplicateValues" dxfId="14069" priority="11599"/>
    <cfRule type="duplicateValues" dxfId="14068" priority="11598"/>
    <cfRule type="duplicateValues" dxfId="14067" priority="11597"/>
    <cfRule type="duplicateValues" dxfId="14066" priority="11596"/>
    <cfRule type="duplicateValues" dxfId="14065" priority="11595"/>
    <cfRule type="duplicateValues" dxfId="14064" priority="11594"/>
    <cfRule type="duplicateValues" dxfId="14063" priority="11593"/>
    <cfRule type="duplicateValues" dxfId="14062" priority="11592"/>
    <cfRule type="duplicateValues" dxfId="14061" priority="11591"/>
    <cfRule type="duplicateValues" dxfId="14060" priority="11590"/>
    <cfRule type="duplicateValues" dxfId="14059" priority="11589"/>
    <cfRule type="duplicateValues" dxfId="14058" priority="11588"/>
    <cfRule type="duplicateValues" dxfId="14057" priority="11587"/>
    <cfRule type="duplicateValues" dxfId="14056" priority="11586"/>
    <cfRule type="duplicateValues" dxfId="14055" priority="11585"/>
    <cfRule type="duplicateValues" dxfId="14054" priority="11584"/>
    <cfRule type="duplicateValues" dxfId="14053" priority="11536"/>
    <cfRule type="duplicateValues" dxfId="14052" priority="11582"/>
    <cfRule type="duplicateValues" dxfId="14051" priority="11581"/>
    <cfRule type="duplicateValues" dxfId="14050" priority="11580"/>
    <cfRule type="duplicateValues" dxfId="14049" priority="11579"/>
    <cfRule type="duplicateValues" dxfId="14048" priority="11578"/>
    <cfRule type="duplicateValues" dxfId="14047" priority="11577"/>
    <cfRule type="duplicateValues" dxfId="14046" priority="11576"/>
    <cfRule type="duplicateValues" dxfId="14045" priority="11575"/>
    <cfRule type="duplicateValues" dxfId="14044" priority="11574"/>
    <cfRule type="duplicateValues" dxfId="14043" priority="11573"/>
    <cfRule type="duplicateValues" dxfId="14042" priority="11572"/>
    <cfRule type="duplicateValues" dxfId="14041" priority="11571"/>
    <cfRule type="duplicateValues" dxfId="14040" priority="11570"/>
    <cfRule type="duplicateValues" dxfId="14039" priority="11569"/>
    <cfRule type="duplicateValues" dxfId="14038" priority="11568"/>
    <cfRule type="duplicateValues" dxfId="14037" priority="11567"/>
    <cfRule type="duplicateValues" dxfId="14036" priority="11566"/>
    <cfRule type="duplicateValues" dxfId="14035" priority="11565"/>
    <cfRule type="duplicateValues" dxfId="14034" priority="11564"/>
    <cfRule type="duplicateValues" dxfId="14033" priority="11563"/>
    <cfRule type="duplicateValues" dxfId="14032" priority="11562"/>
    <cfRule type="duplicateValues" dxfId="14031" priority="11561"/>
    <cfRule type="duplicateValues" dxfId="14030" priority="11560"/>
    <cfRule type="duplicateValues" dxfId="14029" priority="11559"/>
    <cfRule type="duplicateValues" dxfId="14028" priority="11558"/>
    <cfRule type="duplicateValues" dxfId="14027" priority="11557"/>
    <cfRule type="duplicateValues" dxfId="14026" priority="11556"/>
    <cfRule type="duplicateValues" dxfId="14025" priority="11555"/>
    <cfRule type="duplicateValues" dxfId="14024" priority="11554"/>
    <cfRule type="duplicateValues" dxfId="14023" priority="11553"/>
    <cfRule type="duplicateValues" dxfId="14022" priority="11552"/>
    <cfRule type="duplicateValues" dxfId="14021" priority="11551"/>
    <cfRule type="duplicateValues" dxfId="14020" priority="11550"/>
    <cfRule type="duplicateValues" dxfId="14019" priority="11549"/>
    <cfRule type="duplicateValues" dxfId="14018" priority="11548"/>
    <cfRule type="duplicateValues" dxfId="14017" priority="11547"/>
    <cfRule type="duplicateValues" dxfId="14016" priority="11546"/>
    <cfRule type="duplicateValues" dxfId="14015" priority="11545"/>
    <cfRule type="duplicateValues" dxfId="14014" priority="11544"/>
    <cfRule type="duplicateValues" dxfId="14013" priority="11543"/>
    <cfRule type="duplicateValues" dxfId="14012" priority="11542"/>
    <cfRule type="duplicateValues" dxfId="14011" priority="11541"/>
    <cfRule type="duplicateValues" dxfId="14010" priority="11540"/>
    <cfRule type="duplicateValues" dxfId="14009" priority="11539"/>
    <cfRule type="duplicateValues" dxfId="14008" priority="11538"/>
    <cfRule type="duplicateValues" dxfId="14007" priority="11537"/>
    <cfRule type="duplicateValues" dxfId="14006" priority="11441"/>
    <cfRule type="duplicateValues" dxfId="14005" priority="11535"/>
    <cfRule type="duplicateValues" dxfId="14004" priority="11534"/>
    <cfRule type="duplicateValues" dxfId="14003" priority="11533"/>
    <cfRule type="duplicateValues" dxfId="14002" priority="11532"/>
    <cfRule type="duplicateValues" dxfId="14001" priority="11531"/>
    <cfRule type="duplicateValues" dxfId="14000" priority="11530"/>
    <cfRule type="duplicateValues" dxfId="13999" priority="11529"/>
    <cfRule type="duplicateValues" dxfId="13998" priority="11528"/>
    <cfRule type="duplicateValues" dxfId="13997" priority="11527"/>
    <cfRule type="duplicateValues" dxfId="13996" priority="11526"/>
    <cfRule type="duplicateValues" dxfId="13995" priority="11525"/>
    <cfRule type="duplicateValues" dxfId="13994" priority="11524"/>
    <cfRule type="duplicateValues" dxfId="13993" priority="11523"/>
    <cfRule type="duplicateValues" dxfId="13992" priority="11522"/>
    <cfRule type="duplicateValues" dxfId="13991" priority="11521"/>
    <cfRule type="duplicateValues" dxfId="13990" priority="11520"/>
    <cfRule type="duplicateValues" dxfId="13989" priority="11519"/>
    <cfRule type="duplicateValues" dxfId="13988" priority="11518"/>
    <cfRule type="duplicateValues" dxfId="13987" priority="11517"/>
    <cfRule type="duplicateValues" dxfId="13986" priority="11516"/>
    <cfRule type="duplicateValues" dxfId="13985" priority="11515"/>
    <cfRule type="duplicateValues" dxfId="13984" priority="11514"/>
    <cfRule type="duplicateValues" dxfId="13983" priority="11513"/>
    <cfRule type="duplicateValues" dxfId="13982" priority="11512"/>
    <cfRule type="duplicateValues" dxfId="13981" priority="11511"/>
    <cfRule type="duplicateValues" dxfId="13980" priority="11510"/>
    <cfRule type="duplicateValues" dxfId="13979" priority="11509"/>
    <cfRule type="duplicateValues" dxfId="13978" priority="11508"/>
    <cfRule type="duplicateValues" dxfId="13977" priority="11507"/>
    <cfRule type="duplicateValues" dxfId="13976" priority="11506"/>
    <cfRule type="duplicateValues" dxfId="13975" priority="11505"/>
    <cfRule type="duplicateValues" dxfId="13974" priority="11504"/>
    <cfRule type="duplicateValues" dxfId="13973" priority="11503"/>
    <cfRule type="duplicateValues" dxfId="13972" priority="11502"/>
    <cfRule type="duplicateValues" dxfId="13971" priority="11501"/>
    <cfRule type="duplicateValues" dxfId="13970" priority="11500"/>
    <cfRule type="duplicateValues" dxfId="13969" priority="11499"/>
    <cfRule type="duplicateValues" dxfId="13968" priority="11498"/>
    <cfRule type="duplicateValues" dxfId="13967" priority="11497"/>
    <cfRule type="duplicateValues" dxfId="13966" priority="11496"/>
    <cfRule type="duplicateValues" dxfId="13965" priority="11495"/>
    <cfRule type="duplicateValues" dxfId="13964" priority="11494"/>
    <cfRule type="duplicateValues" dxfId="13963" priority="11493"/>
    <cfRule type="duplicateValues" dxfId="13962" priority="11492"/>
    <cfRule type="duplicateValues" dxfId="13961" priority="11491"/>
    <cfRule type="duplicateValues" dxfId="13960" priority="11490"/>
    <cfRule type="duplicateValues" dxfId="13959" priority="11489"/>
    <cfRule type="duplicateValues" dxfId="13958" priority="11488"/>
    <cfRule type="duplicateValues" dxfId="13957" priority="11487"/>
    <cfRule type="duplicateValues" dxfId="13956" priority="11486"/>
    <cfRule type="duplicateValues" dxfId="13955" priority="11485"/>
    <cfRule type="duplicateValues" dxfId="13954" priority="11484"/>
    <cfRule type="duplicateValues" dxfId="13953" priority="11483"/>
    <cfRule type="duplicateValues" dxfId="13952" priority="11482"/>
    <cfRule type="duplicateValues" dxfId="13951" priority="11481"/>
    <cfRule type="duplicateValues" dxfId="13950" priority="11480"/>
    <cfRule type="duplicateValues" dxfId="13949" priority="11479"/>
    <cfRule type="duplicateValues" dxfId="13948" priority="11478"/>
    <cfRule type="duplicateValues" dxfId="13947" priority="11477"/>
    <cfRule type="duplicateValues" dxfId="13946" priority="11476"/>
    <cfRule type="duplicateValues" dxfId="13945" priority="11475"/>
    <cfRule type="duplicateValues" dxfId="13944" priority="11474"/>
    <cfRule type="duplicateValues" dxfId="13943" priority="11473"/>
    <cfRule type="duplicateValues" dxfId="13942" priority="11472"/>
    <cfRule type="duplicateValues" dxfId="13941" priority="11471"/>
    <cfRule type="duplicateValues" dxfId="13940" priority="11470"/>
    <cfRule type="duplicateValues" dxfId="13939" priority="11469"/>
    <cfRule type="duplicateValues" dxfId="13938" priority="11468"/>
    <cfRule type="duplicateValues" dxfId="13937" priority="11467"/>
    <cfRule type="duplicateValues" dxfId="13936" priority="11466"/>
    <cfRule type="duplicateValues" dxfId="13935" priority="11465"/>
    <cfRule type="duplicateValues" dxfId="13934" priority="11464"/>
    <cfRule type="duplicateValues" dxfId="13933" priority="11463"/>
    <cfRule type="duplicateValues" dxfId="13932" priority="11462"/>
    <cfRule type="duplicateValues" dxfId="13931" priority="11461"/>
    <cfRule type="duplicateValues" dxfId="13930" priority="11460"/>
    <cfRule type="duplicateValues" dxfId="13929" priority="11459"/>
    <cfRule type="duplicateValues" dxfId="13928" priority="11458"/>
    <cfRule type="duplicateValues" dxfId="13927" priority="11457"/>
    <cfRule type="duplicateValues" dxfId="13926" priority="11456"/>
    <cfRule type="duplicateValues" dxfId="13925" priority="11455"/>
    <cfRule type="duplicateValues" dxfId="13924" priority="11454"/>
    <cfRule type="duplicateValues" dxfId="13923" priority="11453"/>
    <cfRule type="duplicateValues" dxfId="13922" priority="11452"/>
    <cfRule type="duplicateValues" dxfId="13921" priority="11451"/>
    <cfRule type="duplicateValues" dxfId="13920" priority="11450"/>
    <cfRule type="duplicateValues" dxfId="13919" priority="11449"/>
    <cfRule type="duplicateValues" dxfId="13918" priority="11448"/>
    <cfRule type="duplicateValues" dxfId="13917" priority="11447"/>
    <cfRule type="duplicateValues" dxfId="13916" priority="11446"/>
    <cfRule type="duplicateValues" dxfId="13915" priority="11445"/>
    <cfRule type="duplicateValues" dxfId="13914" priority="11444"/>
    <cfRule type="duplicateValues" dxfId="13913" priority="11443"/>
  </conditionalFormatting>
  <conditionalFormatting sqref="B267">
    <cfRule type="duplicateValues" dxfId="13912" priority="11436"/>
    <cfRule type="duplicateValues" dxfId="13911" priority="11437"/>
    <cfRule type="duplicateValues" dxfId="13910" priority="11438"/>
    <cfRule type="duplicateValues" dxfId="13909" priority="11439"/>
    <cfRule type="duplicateValues" dxfId="13908" priority="11440"/>
    <cfRule type="duplicateValues" dxfId="13907" priority="11253"/>
    <cfRule type="duplicateValues" dxfId="13906" priority="11254"/>
    <cfRule type="duplicateValues" dxfId="13905" priority="11255"/>
    <cfRule type="duplicateValues" dxfId="13904" priority="11256"/>
    <cfRule type="duplicateValues" dxfId="13903" priority="11257"/>
    <cfRule type="duplicateValues" dxfId="13902" priority="11258"/>
    <cfRule type="duplicateValues" dxfId="13901" priority="11259"/>
    <cfRule type="duplicateValues" dxfId="13900" priority="11260"/>
    <cfRule type="duplicateValues" dxfId="13899" priority="11261"/>
    <cfRule type="duplicateValues" dxfId="13898" priority="11262"/>
    <cfRule type="duplicateValues" dxfId="13897" priority="11263"/>
    <cfRule type="duplicateValues" dxfId="13896" priority="11264"/>
    <cfRule type="duplicateValues" dxfId="13895" priority="11265"/>
    <cfRule type="duplicateValues" dxfId="13894" priority="11266"/>
    <cfRule type="duplicateValues" dxfId="13893" priority="11267"/>
    <cfRule type="duplicateValues" dxfId="13892" priority="11268"/>
    <cfRule type="duplicateValues" dxfId="13891" priority="11269"/>
    <cfRule type="duplicateValues" dxfId="13890" priority="11270"/>
    <cfRule type="duplicateValues" dxfId="13889" priority="11271"/>
    <cfRule type="duplicateValues" dxfId="13888" priority="11272"/>
    <cfRule type="duplicateValues" dxfId="13887" priority="11273"/>
    <cfRule type="duplicateValues" dxfId="13886" priority="11274"/>
    <cfRule type="duplicateValues" dxfId="13885" priority="11275"/>
    <cfRule type="duplicateValues" dxfId="13884" priority="11276"/>
    <cfRule type="duplicateValues" dxfId="13883" priority="11277"/>
    <cfRule type="duplicateValues" dxfId="13882" priority="11278"/>
    <cfRule type="duplicateValues" dxfId="13881" priority="11279"/>
    <cfRule type="duplicateValues" dxfId="13880" priority="11280"/>
    <cfRule type="duplicateValues" dxfId="13879" priority="11281"/>
    <cfRule type="duplicateValues" dxfId="13878" priority="11282"/>
    <cfRule type="duplicateValues" dxfId="13877" priority="11283"/>
    <cfRule type="duplicateValues" dxfId="13876" priority="11284"/>
    <cfRule type="duplicateValues" dxfId="13875" priority="11285"/>
    <cfRule type="duplicateValues" dxfId="13874" priority="11286"/>
    <cfRule type="duplicateValues" dxfId="13873" priority="11287"/>
    <cfRule type="duplicateValues" dxfId="13872" priority="11288"/>
    <cfRule type="duplicateValues" dxfId="13871" priority="11289"/>
    <cfRule type="duplicateValues" dxfId="13870" priority="11290"/>
    <cfRule type="duplicateValues" dxfId="13869" priority="11291"/>
    <cfRule type="duplicateValues" dxfId="13868" priority="11292"/>
    <cfRule type="duplicateValues" dxfId="13867" priority="11293"/>
    <cfRule type="duplicateValues" dxfId="13866" priority="11294"/>
    <cfRule type="duplicateValues" dxfId="13865" priority="11295"/>
    <cfRule type="duplicateValues" dxfId="13864" priority="11296"/>
    <cfRule type="duplicateValues" dxfId="13863" priority="11297"/>
    <cfRule type="duplicateValues" dxfId="13862" priority="11298"/>
    <cfRule type="duplicateValues" dxfId="13861" priority="11299"/>
    <cfRule type="duplicateValues" dxfId="13860" priority="11300"/>
    <cfRule type="duplicateValues" dxfId="13859" priority="11301"/>
    <cfRule type="duplicateValues" dxfId="13858" priority="11302"/>
    <cfRule type="duplicateValues" dxfId="13857" priority="11303"/>
    <cfRule type="duplicateValues" dxfId="13856" priority="11304"/>
    <cfRule type="duplicateValues" dxfId="13855" priority="11305"/>
    <cfRule type="duplicateValues" dxfId="13854" priority="11306"/>
    <cfRule type="duplicateValues" dxfId="13853" priority="11307"/>
    <cfRule type="duplicateValues" dxfId="13852" priority="11308"/>
    <cfRule type="duplicateValues" dxfId="13851" priority="11309"/>
    <cfRule type="duplicateValues" dxfId="13850" priority="11310"/>
    <cfRule type="duplicateValues" dxfId="13849" priority="11311"/>
    <cfRule type="duplicateValues" dxfId="13848" priority="11312"/>
    <cfRule type="duplicateValues" dxfId="13847" priority="11313"/>
    <cfRule type="duplicateValues" dxfId="13846" priority="11314"/>
    <cfRule type="duplicateValues" dxfId="13845" priority="11315"/>
    <cfRule type="duplicateValues" dxfId="13844" priority="11316"/>
    <cfRule type="duplicateValues" dxfId="13843" priority="11317"/>
    <cfRule type="duplicateValues" dxfId="13842" priority="11318"/>
    <cfRule type="duplicateValues" dxfId="13841" priority="11319"/>
    <cfRule type="duplicateValues" dxfId="13840" priority="11320"/>
    <cfRule type="duplicateValues" dxfId="13839" priority="11321"/>
    <cfRule type="duplicateValues" dxfId="13838" priority="11322"/>
    <cfRule type="duplicateValues" dxfId="13837" priority="11323"/>
    <cfRule type="duplicateValues" dxfId="13836" priority="11324"/>
    <cfRule type="duplicateValues" dxfId="13835" priority="11325"/>
    <cfRule type="duplicateValues" dxfId="13834" priority="11326"/>
    <cfRule type="duplicateValues" dxfId="13833" priority="11327"/>
    <cfRule type="duplicateValues" dxfId="13832" priority="11328"/>
    <cfRule type="duplicateValues" dxfId="13831" priority="11329"/>
    <cfRule type="duplicateValues" dxfId="13830" priority="11330"/>
    <cfRule type="duplicateValues" dxfId="13829" priority="11331"/>
    <cfRule type="duplicateValues" dxfId="13828" priority="11332"/>
    <cfRule type="duplicateValues" dxfId="13827" priority="11333"/>
    <cfRule type="duplicateValues" dxfId="13826" priority="11334"/>
    <cfRule type="duplicateValues" dxfId="13825" priority="11335"/>
    <cfRule type="duplicateValues" dxfId="13824" priority="11336"/>
    <cfRule type="duplicateValues" dxfId="13823" priority="11337"/>
    <cfRule type="duplicateValues" dxfId="13822" priority="11338"/>
    <cfRule type="duplicateValues" dxfId="13821" priority="11339"/>
    <cfRule type="duplicateValues" dxfId="13820" priority="11340"/>
    <cfRule type="duplicateValues" dxfId="13819" priority="11341"/>
    <cfRule type="duplicateValues" dxfId="13818" priority="11342"/>
    <cfRule type="duplicateValues" dxfId="13817" priority="11343"/>
    <cfRule type="duplicateValues" dxfId="13816" priority="11344"/>
    <cfRule type="duplicateValues" dxfId="13815" priority="11345"/>
    <cfRule type="duplicateValues" dxfId="13814" priority="11346"/>
    <cfRule type="duplicateValues" dxfId="13813" priority="11347"/>
    <cfRule type="duplicateValues" dxfId="13812" priority="11348"/>
    <cfRule type="duplicateValues" dxfId="13811" priority="11349"/>
    <cfRule type="duplicateValues" dxfId="13810" priority="11350"/>
    <cfRule type="duplicateValues" dxfId="13809" priority="11351"/>
    <cfRule type="duplicateValues" dxfId="13808" priority="11352"/>
    <cfRule type="duplicateValues" dxfId="13807" priority="11353"/>
    <cfRule type="duplicateValues" dxfId="13806" priority="11354"/>
    <cfRule type="duplicateValues" dxfId="13805" priority="11355"/>
    <cfRule type="duplicateValues" dxfId="13804" priority="11356"/>
    <cfRule type="duplicateValues" dxfId="13803" priority="11357"/>
    <cfRule type="duplicateValues" dxfId="13802" priority="11358"/>
    <cfRule type="duplicateValues" dxfId="13801" priority="11359"/>
    <cfRule type="duplicateValues" dxfId="13800" priority="11360"/>
    <cfRule type="duplicateValues" dxfId="13799" priority="11361"/>
    <cfRule type="duplicateValues" dxfId="13798" priority="11362"/>
    <cfRule type="duplicateValues" dxfId="13797" priority="11363"/>
    <cfRule type="duplicateValues" dxfId="13796" priority="11364"/>
    <cfRule type="duplicateValues" dxfId="13795" priority="11365"/>
    <cfRule type="duplicateValues" dxfId="13794" priority="11366"/>
    <cfRule type="duplicateValues" dxfId="13793" priority="11367"/>
    <cfRule type="duplicateValues" dxfId="13792" priority="11368"/>
    <cfRule type="duplicateValues" dxfId="13791" priority="11369"/>
    <cfRule type="duplicateValues" dxfId="13790" priority="11370"/>
    <cfRule type="duplicateValues" dxfId="13789" priority="11371"/>
    <cfRule type="duplicateValues" dxfId="13788" priority="11372"/>
    <cfRule type="duplicateValues" dxfId="13787" priority="11373"/>
    <cfRule type="duplicateValues" dxfId="13786" priority="11374"/>
    <cfRule type="duplicateValues" dxfId="13785" priority="11375"/>
    <cfRule type="duplicateValues" dxfId="13784" priority="11376"/>
    <cfRule type="duplicateValues" dxfId="13783" priority="11377"/>
    <cfRule type="duplicateValues" dxfId="13782" priority="11378"/>
    <cfRule type="duplicateValues" dxfId="13781" priority="11379"/>
    <cfRule type="duplicateValues" dxfId="13780" priority="11380"/>
    <cfRule type="duplicateValues" dxfId="13779" priority="11381"/>
    <cfRule type="duplicateValues" dxfId="13778" priority="11382"/>
    <cfRule type="duplicateValues" dxfId="13777" priority="11383"/>
    <cfRule type="duplicateValues" dxfId="13776" priority="11384"/>
    <cfRule type="duplicateValues" dxfId="13775" priority="11385"/>
    <cfRule type="duplicateValues" dxfId="13774" priority="11386"/>
    <cfRule type="duplicateValues" dxfId="13773" priority="11387"/>
    <cfRule type="duplicateValues" dxfId="13772" priority="11388"/>
    <cfRule type="duplicateValues" dxfId="13771" priority="11389"/>
    <cfRule type="duplicateValues" dxfId="13770" priority="11390"/>
    <cfRule type="duplicateValues" dxfId="13769" priority="11391"/>
    <cfRule type="duplicateValues" dxfId="13768" priority="11392"/>
    <cfRule type="duplicateValues" dxfId="13767" priority="11393"/>
    <cfRule type="duplicateValues" dxfId="13766" priority="11394"/>
    <cfRule type="duplicateValues" dxfId="13765" priority="11395"/>
    <cfRule type="duplicateValues" dxfId="13764" priority="11396"/>
    <cfRule type="duplicateValues" dxfId="13763" priority="11397"/>
    <cfRule type="duplicateValues" dxfId="13762" priority="11398"/>
    <cfRule type="duplicateValues" dxfId="13761" priority="11399"/>
    <cfRule type="duplicateValues" dxfId="13760" priority="11400"/>
    <cfRule type="duplicateValues" dxfId="13759" priority="11401"/>
    <cfRule type="duplicateValues" dxfId="13758" priority="11402"/>
    <cfRule type="duplicateValues" dxfId="13757" priority="11403"/>
    <cfRule type="duplicateValues" dxfId="13756" priority="11404"/>
    <cfRule type="duplicateValues" dxfId="13755" priority="11405"/>
    <cfRule type="duplicateValues" dxfId="13754" priority="11406"/>
    <cfRule type="duplicateValues" dxfId="13753" priority="11407"/>
    <cfRule type="duplicateValues" dxfId="13752" priority="11408"/>
    <cfRule type="duplicateValues" dxfId="13751" priority="11409"/>
    <cfRule type="duplicateValues" dxfId="13750" priority="11410"/>
    <cfRule type="duplicateValues" dxfId="13749" priority="11411"/>
    <cfRule type="duplicateValues" dxfId="13748" priority="11412"/>
    <cfRule type="duplicateValues" dxfId="13747" priority="11413"/>
    <cfRule type="duplicateValues" dxfId="13746" priority="11414"/>
    <cfRule type="duplicateValues" dxfId="13745" priority="11415"/>
    <cfRule type="duplicateValues" dxfId="13744" priority="11416"/>
    <cfRule type="duplicateValues" dxfId="13743" priority="11417"/>
    <cfRule type="duplicateValues" dxfId="13742" priority="11418"/>
    <cfRule type="duplicateValues" dxfId="13741" priority="11419"/>
    <cfRule type="duplicateValues" dxfId="13740" priority="11420"/>
    <cfRule type="duplicateValues" dxfId="13739" priority="11421"/>
    <cfRule type="duplicateValues" dxfId="13738" priority="11422"/>
    <cfRule type="duplicateValues" dxfId="13737" priority="11423"/>
    <cfRule type="duplicateValues" dxfId="13736" priority="11424"/>
    <cfRule type="duplicateValues" dxfId="13735" priority="11425"/>
    <cfRule type="duplicateValues" dxfId="13734" priority="11426"/>
    <cfRule type="duplicateValues" dxfId="13733" priority="11427"/>
    <cfRule type="duplicateValues" dxfId="13732" priority="11428"/>
    <cfRule type="duplicateValues" dxfId="13731" priority="11429"/>
    <cfRule type="duplicateValues" dxfId="13730" priority="11430"/>
    <cfRule type="duplicateValues" dxfId="13729" priority="11431"/>
    <cfRule type="duplicateValues" dxfId="13728" priority="11432"/>
    <cfRule type="duplicateValues" dxfId="13727" priority="11433"/>
    <cfRule type="duplicateValues" dxfId="13726" priority="11434"/>
    <cfRule type="duplicateValues" dxfId="13725" priority="11435"/>
  </conditionalFormatting>
  <conditionalFormatting sqref="B268:B271">
    <cfRule type="duplicateValues" dxfId="13724" priority="11062"/>
    <cfRule type="duplicateValues" dxfId="13723" priority="10877"/>
    <cfRule type="duplicateValues" dxfId="13722" priority="10878"/>
    <cfRule type="duplicateValues" dxfId="13721" priority="10879"/>
    <cfRule type="duplicateValues" dxfId="13720" priority="10880"/>
    <cfRule type="duplicateValues" dxfId="13719" priority="10881"/>
    <cfRule type="duplicateValues" dxfId="13718" priority="10882"/>
    <cfRule type="duplicateValues" dxfId="13717" priority="10883"/>
    <cfRule type="duplicateValues" dxfId="13716" priority="10884"/>
    <cfRule type="duplicateValues" dxfId="13715" priority="10885"/>
    <cfRule type="duplicateValues" dxfId="13714" priority="10886"/>
    <cfRule type="duplicateValues" dxfId="13713" priority="10887"/>
    <cfRule type="duplicateValues" dxfId="13712" priority="10888"/>
    <cfRule type="duplicateValues" dxfId="13711" priority="10889"/>
    <cfRule type="duplicateValues" dxfId="13710" priority="10890"/>
    <cfRule type="duplicateValues" dxfId="13709" priority="10891"/>
    <cfRule type="duplicateValues" dxfId="13708" priority="10892"/>
    <cfRule type="duplicateValues" dxfId="13707" priority="10893"/>
    <cfRule type="duplicateValues" dxfId="13706" priority="10894"/>
    <cfRule type="duplicateValues" dxfId="13705" priority="10895"/>
    <cfRule type="duplicateValues" dxfId="13704" priority="10896"/>
    <cfRule type="duplicateValues" dxfId="13703" priority="10897"/>
    <cfRule type="duplicateValues" dxfId="13702" priority="10898"/>
    <cfRule type="duplicateValues" dxfId="13701" priority="10899"/>
    <cfRule type="duplicateValues" dxfId="13700" priority="10900"/>
    <cfRule type="duplicateValues" dxfId="13699" priority="10901"/>
    <cfRule type="duplicateValues" dxfId="13698" priority="10902"/>
    <cfRule type="duplicateValues" dxfId="13697" priority="10903"/>
    <cfRule type="duplicateValues" dxfId="13696" priority="10904"/>
    <cfRule type="duplicateValues" dxfId="13695" priority="10905"/>
    <cfRule type="duplicateValues" dxfId="13694" priority="10906"/>
    <cfRule type="duplicateValues" dxfId="13693" priority="10907"/>
    <cfRule type="duplicateValues" dxfId="13692" priority="10908"/>
    <cfRule type="duplicateValues" dxfId="13691" priority="10909"/>
    <cfRule type="duplicateValues" dxfId="13690" priority="10910"/>
    <cfRule type="duplicateValues" dxfId="13689" priority="10911"/>
    <cfRule type="duplicateValues" dxfId="13688" priority="10912"/>
    <cfRule type="duplicateValues" dxfId="13687" priority="10913"/>
    <cfRule type="duplicateValues" dxfId="13686" priority="10914"/>
    <cfRule type="duplicateValues" dxfId="13685" priority="10915"/>
    <cfRule type="duplicateValues" dxfId="13684" priority="10916"/>
    <cfRule type="duplicateValues" dxfId="13683" priority="10917"/>
    <cfRule type="duplicateValues" dxfId="13682" priority="10918"/>
    <cfRule type="duplicateValues" dxfId="13681" priority="10919"/>
    <cfRule type="duplicateValues" dxfId="13680" priority="10920"/>
    <cfRule type="duplicateValues" dxfId="13679" priority="10921"/>
    <cfRule type="duplicateValues" dxfId="13678" priority="10922"/>
    <cfRule type="duplicateValues" dxfId="13677" priority="10923"/>
    <cfRule type="duplicateValues" dxfId="13676" priority="10924"/>
    <cfRule type="duplicateValues" dxfId="13675" priority="10925"/>
    <cfRule type="duplicateValues" dxfId="13674" priority="10926"/>
    <cfRule type="duplicateValues" dxfId="13673" priority="10927"/>
    <cfRule type="duplicateValues" dxfId="13672" priority="10928"/>
    <cfRule type="duplicateValues" dxfId="13671" priority="10929"/>
    <cfRule type="duplicateValues" dxfId="13670" priority="10930"/>
    <cfRule type="duplicateValues" dxfId="13669" priority="10931"/>
    <cfRule type="duplicateValues" dxfId="13668" priority="10932"/>
    <cfRule type="duplicateValues" dxfId="13667" priority="10933"/>
    <cfRule type="duplicateValues" dxfId="13666" priority="10934"/>
    <cfRule type="duplicateValues" dxfId="13665" priority="10935"/>
    <cfRule type="duplicateValues" dxfId="13664" priority="10936"/>
    <cfRule type="duplicateValues" dxfId="13663" priority="10937"/>
    <cfRule type="duplicateValues" dxfId="13662" priority="10938"/>
    <cfRule type="duplicateValues" dxfId="13661" priority="10939"/>
    <cfRule type="duplicateValues" dxfId="13660" priority="10940"/>
    <cfRule type="duplicateValues" dxfId="13659" priority="10941"/>
    <cfRule type="duplicateValues" dxfId="13658" priority="10942"/>
    <cfRule type="duplicateValues" dxfId="13657" priority="10943"/>
    <cfRule type="duplicateValues" dxfId="13656" priority="10944"/>
    <cfRule type="duplicateValues" dxfId="13655" priority="10945"/>
    <cfRule type="duplicateValues" dxfId="13654" priority="10946"/>
    <cfRule type="duplicateValues" dxfId="13653" priority="10947"/>
    <cfRule type="duplicateValues" dxfId="13652" priority="10948"/>
    <cfRule type="duplicateValues" dxfId="13651" priority="10949"/>
    <cfRule type="duplicateValues" dxfId="13650" priority="10950"/>
    <cfRule type="duplicateValues" dxfId="13649" priority="10951"/>
    <cfRule type="duplicateValues" dxfId="13648" priority="10952"/>
    <cfRule type="duplicateValues" dxfId="13647" priority="10953"/>
    <cfRule type="duplicateValues" dxfId="13646" priority="10954"/>
    <cfRule type="duplicateValues" dxfId="13645" priority="10955"/>
    <cfRule type="duplicateValues" dxfId="13644" priority="10956"/>
    <cfRule type="duplicateValues" dxfId="13643" priority="10957"/>
    <cfRule type="duplicateValues" dxfId="13642" priority="10958"/>
    <cfRule type="duplicateValues" dxfId="13641" priority="10959"/>
    <cfRule type="duplicateValues" dxfId="13640" priority="10960"/>
    <cfRule type="duplicateValues" dxfId="13639" priority="10961"/>
    <cfRule type="duplicateValues" dxfId="13638" priority="10962"/>
    <cfRule type="duplicateValues" dxfId="13637" priority="10963"/>
    <cfRule type="duplicateValues" dxfId="13636" priority="10964"/>
    <cfRule type="duplicateValues" dxfId="13635" priority="10965"/>
    <cfRule type="duplicateValues" dxfId="13634" priority="10966"/>
    <cfRule type="duplicateValues" dxfId="13633" priority="10967"/>
    <cfRule type="duplicateValues" dxfId="13632" priority="10968"/>
    <cfRule type="duplicateValues" dxfId="13631" priority="10969"/>
    <cfRule type="duplicateValues" dxfId="13630" priority="10970"/>
    <cfRule type="duplicateValues" dxfId="13629" priority="10971"/>
    <cfRule type="duplicateValues" dxfId="13628" priority="10972"/>
    <cfRule type="duplicateValues" dxfId="13627" priority="10973"/>
    <cfRule type="duplicateValues" dxfId="13626" priority="10974"/>
    <cfRule type="duplicateValues" dxfId="13625" priority="10975"/>
    <cfRule type="duplicateValues" dxfId="13624" priority="10976"/>
    <cfRule type="duplicateValues" dxfId="13623" priority="10977"/>
    <cfRule type="duplicateValues" dxfId="13622" priority="10978"/>
    <cfRule type="duplicateValues" dxfId="13621" priority="10979"/>
    <cfRule type="duplicateValues" dxfId="13620" priority="10980"/>
    <cfRule type="duplicateValues" dxfId="13619" priority="10981"/>
    <cfRule type="duplicateValues" dxfId="13618" priority="10982"/>
    <cfRule type="duplicateValues" dxfId="13617" priority="10983"/>
    <cfRule type="duplicateValues" dxfId="13616" priority="10984"/>
    <cfRule type="duplicateValues" dxfId="13615" priority="10985"/>
    <cfRule type="duplicateValues" dxfId="13614" priority="10986"/>
    <cfRule type="duplicateValues" dxfId="13613" priority="10987"/>
    <cfRule type="duplicateValues" dxfId="13612" priority="10988"/>
    <cfRule type="duplicateValues" dxfId="13611" priority="10989"/>
    <cfRule type="duplicateValues" dxfId="13610" priority="10990"/>
    <cfRule type="duplicateValues" dxfId="13609" priority="10991"/>
    <cfRule type="duplicateValues" dxfId="13608" priority="10992"/>
    <cfRule type="duplicateValues" dxfId="13607" priority="10993"/>
    <cfRule type="duplicateValues" dxfId="13606" priority="10994"/>
    <cfRule type="duplicateValues" dxfId="13605" priority="10995"/>
    <cfRule type="duplicateValues" dxfId="13604" priority="10996"/>
    <cfRule type="duplicateValues" dxfId="13603" priority="10997"/>
    <cfRule type="duplicateValues" dxfId="13602" priority="10998"/>
    <cfRule type="duplicateValues" dxfId="13601" priority="10999"/>
    <cfRule type="duplicateValues" dxfId="13600" priority="11000"/>
    <cfRule type="duplicateValues" dxfId="13599" priority="11001"/>
    <cfRule type="duplicateValues" dxfId="13598" priority="11002"/>
    <cfRule type="duplicateValues" dxfId="13597" priority="11003"/>
    <cfRule type="duplicateValues" dxfId="13596" priority="11004"/>
    <cfRule type="duplicateValues" dxfId="13595" priority="11005"/>
    <cfRule type="duplicateValues" dxfId="13594" priority="11006"/>
    <cfRule type="duplicateValues" dxfId="13593" priority="11007"/>
    <cfRule type="duplicateValues" dxfId="13592" priority="11008"/>
    <cfRule type="duplicateValues" dxfId="13591" priority="11009"/>
    <cfRule type="duplicateValues" dxfId="13590" priority="11010"/>
    <cfRule type="duplicateValues" dxfId="13589" priority="11011"/>
    <cfRule type="duplicateValues" dxfId="13588" priority="11012"/>
    <cfRule type="duplicateValues" dxfId="13587" priority="11013"/>
    <cfRule type="duplicateValues" dxfId="13586" priority="11014"/>
    <cfRule type="duplicateValues" dxfId="13585" priority="11015"/>
    <cfRule type="duplicateValues" dxfId="13584" priority="11016"/>
    <cfRule type="duplicateValues" dxfId="13583" priority="11017"/>
    <cfRule type="duplicateValues" dxfId="13582" priority="11018"/>
    <cfRule type="duplicateValues" dxfId="13581" priority="11019"/>
    <cfRule type="duplicateValues" dxfId="13580" priority="11020"/>
    <cfRule type="duplicateValues" dxfId="13579" priority="11021"/>
    <cfRule type="duplicateValues" dxfId="13578" priority="11022"/>
    <cfRule type="duplicateValues" dxfId="13577" priority="11023"/>
    <cfRule type="duplicateValues" dxfId="13576" priority="11024"/>
    <cfRule type="duplicateValues" dxfId="13575" priority="11025"/>
    <cfRule type="duplicateValues" dxfId="13574" priority="11026"/>
    <cfRule type="duplicateValues" dxfId="13573" priority="11027"/>
    <cfRule type="duplicateValues" dxfId="13572" priority="11028"/>
    <cfRule type="duplicateValues" dxfId="13571" priority="11029"/>
    <cfRule type="duplicateValues" dxfId="13570" priority="11030"/>
    <cfRule type="duplicateValues" dxfId="13569" priority="11031"/>
    <cfRule type="duplicateValues" dxfId="13568" priority="11032"/>
    <cfRule type="duplicateValues" dxfId="13567" priority="11033"/>
    <cfRule type="duplicateValues" dxfId="13566" priority="11034"/>
    <cfRule type="duplicateValues" dxfId="13565" priority="11035"/>
    <cfRule type="duplicateValues" dxfId="13564" priority="11036"/>
    <cfRule type="duplicateValues" dxfId="13563" priority="11037"/>
    <cfRule type="duplicateValues" dxfId="13562" priority="11038"/>
    <cfRule type="duplicateValues" dxfId="13561" priority="11039"/>
    <cfRule type="duplicateValues" dxfId="13560" priority="11040"/>
    <cfRule type="duplicateValues" dxfId="13559" priority="11041"/>
    <cfRule type="duplicateValues" dxfId="13558" priority="11042"/>
    <cfRule type="duplicateValues" dxfId="13557" priority="11043"/>
    <cfRule type="duplicateValues" dxfId="13556" priority="11044"/>
    <cfRule type="duplicateValues" dxfId="13555" priority="11045"/>
    <cfRule type="duplicateValues" dxfId="13554" priority="11046"/>
    <cfRule type="duplicateValues" dxfId="13553" priority="11047"/>
    <cfRule type="duplicateValues" dxfId="13552" priority="11048"/>
    <cfRule type="duplicateValues" dxfId="13551" priority="11049"/>
    <cfRule type="duplicateValues" dxfId="13550" priority="11050"/>
    <cfRule type="duplicateValues" dxfId="13549" priority="11051"/>
    <cfRule type="duplicateValues" dxfId="13548" priority="11052"/>
    <cfRule type="duplicateValues" dxfId="13547" priority="11053"/>
    <cfRule type="duplicateValues" dxfId="13546" priority="11054"/>
    <cfRule type="duplicateValues" dxfId="13545" priority="11055"/>
    <cfRule type="duplicateValues" dxfId="13544" priority="11056"/>
    <cfRule type="duplicateValues" dxfId="13543" priority="11057"/>
    <cfRule type="duplicateValues" dxfId="13542" priority="11058"/>
    <cfRule type="duplicateValues" dxfId="13541" priority="11059"/>
    <cfRule type="duplicateValues" dxfId="13540" priority="11060"/>
    <cfRule type="duplicateValues" dxfId="13539" priority="11061"/>
    <cfRule type="duplicateValues" dxfId="13538" priority="11063"/>
    <cfRule type="duplicateValues" dxfId="13537" priority="11064"/>
  </conditionalFormatting>
  <conditionalFormatting sqref="B272">
    <cfRule type="duplicateValues" dxfId="13536" priority="10855"/>
    <cfRule type="duplicateValues" dxfId="13535" priority="10750"/>
    <cfRule type="duplicateValues" dxfId="13534" priority="10751"/>
    <cfRule type="duplicateValues" dxfId="13533" priority="10752"/>
    <cfRule type="duplicateValues" dxfId="13532" priority="10753"/>
    <cfRule type="duplicateValues" dxfId="13531" priority="10754"/>
    <cfRule type="duplicateValues" dxfId="13530" priority="10755"/>
    <cfRule type="duplicateValues" dxfId="13529" priority="10756"/>
    <cfRule type="duplicateValues" dxfId="13528" priority="10757"/>
    <cfRule type="duplicateValues" dxfId="13527" priority="10758"/>
    <cfRule type="duplicateValues" dxfId="13526" priority="10760"/>
    <cfRule type="duplicateValues" dxfId="13525" priority="10761"/>
    <cfRule type="duplicateValues" dxfId="13524" priority="10762"/>
    <cfRule type="duplicateValues" dxfId="13523" priority="10763"/>
    <cfRule type="duplicateValues" dxfId="13522" priority="10764"/>
    <cfRule type="duplicateValues" dxfId="13521" priority="10765"/>
    <cfRule type="duplicateValues" dxfId="13520" priority="10766"/>
    <cfRule type="duplicateValues" dxfId="13519" priority="10767"/>
    <cfRule type="duplicateValues" dxfId="13518" priority="10768"/>
    <cfRule type="duplicateValues" dxfId="13517" priority="10769"/>
    <cfRule type="duplicateValues" dxfId="13516" priority="10770"/>
    <cfRule type="duplicateValues" dxfId="13515" priority="10771"/>
    <cfRule type="duplicateValues" dxfId="13514" priority="10772"/>
    <cfRule type="duplicateValues" dxfId="13513" priority="10773"/>
    <cfRule type="duplicateValues" dxfId="13512" priority="10774"/>
    <cfRule type="duplicateValues" dxfId="13511" priority="10775"/>
    <cfRule type="duplicateValues" dxfId="13510" priority="10776"/>
    <cfRule type="duplicateValues" dxfId="13509" priority="10777"/>
    <cfRule type="duplicateValues" dxfId="13508" priority="10778"/>
    <cfRule type="duplicateValues" dxfId="13507" priority="10779"/>
    <cfRule type="duplicateValues" dxfId="13506" priority="10780"/>
    <cfRule type="duplicateValues" dxfId="13505" priority="10781"/>
    <cfRule type="duplicateValues" dxfId="13504" priority="10782"/>
    <cfRule type="duplicateValues" dxfId="13503" priority="10783"/>
    <cfRule type="duplicateValues" dxfId="13502" priority="10784"/>
    <cfRule type="duplicateValues" dxfId="13501" priority="10785"/>
    <cfRule type="duplicateValues" dxfId="13500" priority="10746"/>
    <cfRule type="duplicateValues" dxfId="13499" priority="10745"/>
    <cfRule type="duplicateValues" dxfId="13498" priority="10744"/>
    <cfRule type="duplicateValues" dxfId="13497" priority="10743"/>
    <cfRule type="duplicateValues" dxfId="13496" priority="10742"/>
    <cfRule type="duplicateValues" dxfId="13495" priority="10741"/>
    <cfRule type="duplicateValues" dxfId="13494" priority="10740"/>
    <cfRule type="duplicateValues" dxfId="13493" priority="10739"/>
    <cfRule type="duplicateValues" dxfId="13492" priority="10738"/>
    <cfRule type="duplicateValues" dxfId="13491" priority="10737"/>
    <cfRule type="duplicateValues" dxfId="13490" priority="10736"/>
    <cfRule type="duplicateValues" dxfId="13489" priority="10735"/>
    <cfRule type="duplicateValues" dxfId="13488" priority="10734"/>
    <cfRule type="duplicateValues" dxfId="13487" priority="10733"/>
    <cfRule type="duplicateValues" dxfId="13486" priority="10732"/>
    <cfRule type="duplicateValues" dxfId="13485" priority="10731"/>
    <cfRule type="duplicateValues" dxfId="13484" priority="10730"/>
    <cfRule type="duplicateValues" dxfId="13483" priority="10729"/>
    <cfRule type="duplicateValues" dxfId="13482" priority="10728"/>
    <cfRule type="duplicateValues" dxfId="13481" priority="10727"/>
    <cfRule type="duplicateValues" dxfId="13480" priority="10726"/>
    <cfRule type="duplicateValues" dxfId="13479" priority="10725"/>
    <cfRule type="duplicateValues" dxfId="13478" priority="10724"/>
    <cfRule type="duplicateValues" dxfId="13477" priority="10723"/>
    <cfRule type="duplicateValues" dxfId="13476" priority="10722"/>
    <cfRule type="duplicateValues" dxfId="13475" priority="10721"/>
    <cfRule type="duplicateValues" dxfId="13474" priority="10720"/>
    <cfRule type="duplicateValues" dxfId="13473" priority="10719"/>
    <cfRule type="duplicateValues" dxfId="13472" priority="10718"/>
    <cfRule type="duplicateValues" dxfId="13471" priority="10717"/>
    <cfRule type="duplicateValues" dxfId="13470" priority="10716"/>
    <cfRule type="duplicateValues" dxfId="13469" priority="10715"/>
    <cfRule type="duplicateValues" dxfId="13468" priority="10714"/>
    <cfRule type="duplicateValues" dxfId="13467" priority="10713"/>
    <cfRule type="duplicateValues" dxfId="13466" priority="10712"/>
    <cfRule type="duplicateValues" dxfId="13465" priority="10711"/>
    <cfRule type="duplicateValues" dxfId="13464" priority="10710"/>
    <cfRule type="duplicateValues" dxfId="13463" priority="10709"/>
    <cfRule type="duplicateValues" dxfId="13462" priority="10708"/>
    <cfRule type="duplicateValues" dxfId="13461" priority="10707"/>
    <cfRule type="duplicateValues" dxfId="13460" priority="10706"/>
    <cfRule type="duplicateValues" dxfId="13459" priority="10705"/>
    <cfRule type="duplicateValues" dxfId="13458" priority="10704"/>
    <cfRule type="duplicateValues" dxfId="13457" priority="10703"/>
    <cfRule type="duplicateValues" dxfId="13456" priority="10702"/>
    <cfRule type="duplicateValues" dxfId="13455" priority="10701"/>
    <cfRule type="duplicateValues" dxfId="13454" priority="10700"/>
    <cfRule type="duplicateValues" dxfId="13453" priority="10699"/>
    <cfRule type="duplicateValues" dxfId="13452" priority="10698"/>
    <cfRule type="duplicateValues" dxfId="13451" priority="10697"/>
    <cfRule type="duplicateValues" dxfId="13450" priority="10696"/>
    <cfRule type="duplicateValues" dxfId="13449" priority="10695"/>
    <cfRule type="duplicateValues" dxfId="13448" priority="10694"/>
    <cfRule type="duplicateValues" dxfId="13447" priority="10693"/>
    <cfRule type="duplicateValues" dxfId="13446" priority="10692"/>
    <cfRule type="duplicateValues" dxfId="13445" priority="10691"/>
    <cfRule type="duplicateValues" dxfId="13444" priority="10690"/>
    <cfRule type="duplicateValues" dxfId="13443" priority="10689"/>
    <cfRule type="duplicateValues" dxfId="13442" priority="10799"/>
    <cfRule type="duplicateValues" dxfId="13441" priority="10759"/>
    <cfRule type="duplicateValues" dxfId="13440" priority="10749"/>
    <cfRule type="duplicateValues" dxfId="13439" priority="10786"/>
    <cfRule type="duplicateValues" dxfId="13438" priority="10876"/>
    <cfRule type="duplicateValues" dxfId="13437" priority="10875"/>
    <cfRule type="duplicateValues" dxfId="13436" priority="10874"/>
    <cfRule type="duplicateValues" dxfId="13435" priority="10873"/>
    <cfRule type="duplicateValues" dxfId="13434" priority="10872"/>
    <cfRule type="duplicateValues" dxfId="13433" priority="10871"/>
    <cfRule type="duplicateValues" dxfId="13432" priority="10870"/>
    <cfRule type="duplicateValues" dxfId="13431" priority="10869"/>
    <cfRule type="duplicateValues" dxfId="13430" priority="10868"/>
    <cfRule type="duplicateValues" dxfId="13429" priority="10867"/>
    <cfRule type="duplicateValues" dxfId="13428" priority="10866"/>
    <cfRule type="duplicateValues" dxfId="13427" priority="10865"/>
    <cfRule type="duplicateValues" dxfId="13426" priority="10864"/>
    <cfRule type="duplicateValues" dxfId="13425" priority="10863"/>
    <cfRule type="duplicateValues" dxfId="13424" priority="10862"/>
    <cfRule type="duplicateValues" dxfId="13423" priority="10861"/>
    <cfRule type="duplicateValues" dxfId="13422" priority="10860"/>
    <cfRule type="duplicateValues" dxfId="13421" priority="10859"/>
    <cfRule type="duplicateValues" dxfId="13420" priority="10858"/>
    <cfRule type="duplicateValues" dxfId="13419" priority="10857"/>
    <cfRule type="duplicateValues" dxfId="13418" priority="10856"/>
    <cfRule type="duplicateValues" dxfId="13417" priority="10854"/>
    <cfRule type="duplicateValues" dxfId="13416" priority="10853"/>
    <cfRule type="duplicateValues" dxfId="13415" priority="10852"/>
    <cfRule type="duplicateValues" dxfId="13414" priority="10851"/>
    <cfRule type="duplicateValues" dxfId="13413" priority="10850"/>
    <cfRule type="duplicateValues" dxfId="13412" priority="10849"/>
    <cfRule type="duplicateValues" dxfId="13411" priority="10848"/>
    <cfRule type="duplicateValues" dxfId="13410" priority="10847"/>
    <cfRule type="duplicateValues" dxfId="13409" priority="10846"/>
    <cfRule type="duplicateValues" dxfId="13408" priority="10845"/>
    <cfRule type="duplicateValues" dxfId="13407" priority="10844"/>
    <cfRule type="duplicateValues" dxfId="13406" priority="10787"/>
    <cfRule type="duplicateValues" dxfId="13405" priority="10788"/>
    <cfRule type="duplicateValues" dxfId="13404" priority="10789"/>
    <cfRule type="duplicateValues" dxfId="13403" priority="10790"/>
    <cfRule type="duplicateValues" dxfId="13402" priority="10791"/>
    <cfRule type="duplicateValues" dxfId="13401" priority="10792"/>
    <cfRule type="duplicateValues" dxfId="13400" priority="10793"/>
    <cfRule type="duplicateValues" dxfId="13399" priority="10794"/>
    <cfRule type="duplicateValues" dxfId="13398" priority="10795"/>
    <cfRule type="duplicateValues" dxfId="13397" priority="10796"/>
    <cfRule type="duplicateValues" dxfId="13396" priority="10797"/>
    <cfRule type="duplicateValues" dxfId="13395" priority="10798"/>
    <cfRule type="duplicateValues" dxfId="13394" priority="10800"/>
    <cfRule type="duplicateValues" dxfId="13393" priority="10801"/>
    <cfRule type="duplicateValues" dxfId="13392" priority="10802"/>
    <cfRule type="duplicateValues" dxfId="13391" priority="10803"/>
    <cfRule type="duplicateValues" dxfId="13390" priority="10804"/>
    <cfRule type="duplicateValues" dxfId="13389" priority="10805"/>
    <cfRule type="duplicateValues" dxfId="13388" priority="10806"/>
    <cfRule type="duplicateValues" dxfId="13387" priority="10807"/>
    <cfRule type="duplicateValues" dxfId="13386" priority="10808"/>
    <cfRule type="duplicateValues" dxfId="13385" priority="10809"/>
    <cfRule type="duplicateValues" dxfId="13384" priority="10810"/>
    <cfRule type="duplicateValues" dxfId="13383" priority="10811"/>
    <cfRule type="duplicateValues" dxfId="13382" priority="10812"/>
    <cfRule type="duplicateValues" dxfId="13381" priority="10813"/>
    <cfRule type="duplicateValues" dxfId="13380" priority="10814"/>
    <cfRule type="duplicateValues" dxfId="13379" priority="10815"/>
    <cfRule type="duplicateValues" dxfId="13378" priority="10816"/>
    <cfRule type="duplicateValues" dxfId="13377" priority="10817"/>
    <cfRule type="duplicateValues" dxfId="13376" priority="10818"/>
    <cfRule type="duplicateValues" dxfId="13375" priority="10819"/>
    <cfRule type="duplicateValues" dxfId="13374" priority="10820"/>
    <cfRule type="duplicateValues" dxfId="13373" priority="10821"/>
    <cfRule type="duplicateValues" dxfId="13372" priority="10822"/>
    <cfRule type="duplicateValues" dxfId="13371" priority="10823"/>
    <cfRule type="duplicateValues" dxfId="13370" priority="10824"/>
    <cfRule type="duplicateValues" dxfId="13369" priority="10825"/>
    <cfRule type="duplicateValues" dxfId="13368" priority="10826"/>
    <cfRule type="duplicateValues" dxfId="13367" priority="10827"/>
    <cfRule type="duplicateValues" dxfId="13366" priority="10828"/>
    <cfRule type="duplicateValues" dxfId="13365" priority="10829"/>
    <cfRule type="duplicateValues" dxfId="13364" priority="10830"/>
    <cfRule type="duplicateValues" dxfId="13363" priority="10831"/>
    <cfRule type="duplicateValues" dxfId="13362" priority="10832"/>
    <cfRule type="duplicateValues" dxfId="13361" priority="10833"/>
    <cfRule type="duplicateValues" dxfId="13360" priority="10834"/>
    <cfRule type="duplicateValues" dxfId="13359" priority="10835"/>
    <cfRule type="duplicateValues" dxfId="13358" priority="10836"/>
    <cfRule type="duplicateValues" dxfId="13357" priority="10837"/>
    <cfRule type="duplicateValues" dxfId="13356" priority="10838"/>
    <cfRule type="duplicateValues" dxfId="13355" priority="10839"/>
    <cfRule type="duplicateValues" dxfId="13354" priority="10840"/>
    <cfRule type="duplicateValues" dxfId="13353" priority="10841"/>
    <cfRule type="duplicateValues" dxfId="13352" priority="10842"/>
    <cfRule type="duplicateValues" dxfId="13351" priority="10843"/>
    <cfRule type="duplicateValues" dxfId="13350" priority="10748"/>
    <cfRule type="duplicateValues" dxfId="13349" priority="10747"/>
  </conditionalFormatting>
  <conditionalFormatting sqref="B273">
    <cfRule type="duplicateValues" dxfId="13348" priority="10456"/>
    <cfRule type="duplicateValues" dxfId="13347" priority="10469"/>
    <cfRule type="duplicateValues" dxfId="13346" priority="10337"/>
    <cfRule type="duplicateValues" dxfId="13345" priority="10500"/>
    <cfRule type="duplicateValues" dxfId="13344" priority="10499"/>
    <cfRule type="duplicateValues" dxfId="13343" priority="10498"/>
    <cfRule type="duplicateValues" dxfId="13342" priority="10497"/>
    <cfRule type="duplicateValues" dxfId="13341" priority="10496"/>
    <cfRule type="duplicateValues" dxfId="13340" priority="10495"/>
    <cfRule type="duplicateValues" dxfId="13339" priority="10494"/>
    <cfRule type="duplicateValues" dxfId="13338" priority="10493"/>
    <cfRule type="duplicateValues" dxfId="13337" priority="10492"/>
    <cfRule type="duplicateValues" dxfId="13336" priority="10491"/>
    <cfRule type="duplicateValues" dxfId="13335" priority="10490"/>
    <cfRule type="duplicateValues" dxfId="13334" priority="10489"/>
    <cfRule type="duplicateValues" dxfId="13333" priority="10488"/>
    <cfRule type="duplicateValues" dxfId="13332" priority="10487"/>
    <cfRule type="duplicateValues" dxfId="13331" priority="10486"/>
    <cfRule type="duplicateValues" dxfId="13330" priority="10485"/>
    <cfRule type="duplicateValues" dxfId="13329" priority="10484"/>
    <cfRule type="duplicateValues" dxfId="13328" priority="10483"/>
    <cfRule type="duplicateValues" dxfId="13327" priority="10482"/>
    <cfRule type="duplicateValues" dxfId="13326" priority="10481"/>
    <cfRule type="duplicateValues" dxfId="13325" priority="10373"/>
    <cfRule type="duplicateValues" dxfId="13324" priority="10480"/>
    <cfRule type="duplicateValues" dxfId="13323" priority="10479"/>
    <cfRule type="duplicateValues" dxfId="13322" priority="10478"/>
    <cfRule type="duplicateValues" dxfId="13321" priority="10477"/>
    <cfRule type="duplicateValues" dxfId="13320" priority="10476"/>
    <cfRule type="duplicateValues" dxfId="13319" priority="10475"/>
    <cfRule type="duplicateValues" dxfId="13318" priority="10474"/>
    <cfRule type="duplicateValues" dxfId="13317" priority="10473"/>
    <cfRule type="duplicateValues" dxfId="13316" priority="10472"/>
    <cfRule type="duplicateValues" dxfId="13315" priority="10471"/>
    <cfRule type="duplicateValues" dxfId="13314" priority="10470"/>
    <cfRule type="duplicateValues" dxfId="13313" priority="10468"/>
    <cfRule type="duplicateValues" dxfId="13312" priority="10467"/>
    <cfRule type="duplicateValues" dxfId="13311" priority="10466"/>
    <cfRule type="duplicateValues" dxfId="13310" priority="10465"/>
    <cfRule type="duplicateValues" dxfId="13309" priority="10464"/>
    <cfRule type="duplicateValues" dxfId="13308" priority="10463"/>
    <cfRule type="duplicateValues" dxfId="13307" priority="10462"/>
    <cfRule type="duplicateValues" dxfId="13306" priority="10461"/>
    <cfRule type="duplicateValues" dxfId="13305" priority="10460"/>
    <cfRule type="duplicateValues" dxfId="13304" priority="10459"/>
    <cfRule type="duplicateValues" dxfId="13303" priority="10458"/>
    <cfRule type="duplicateValues" dxfId="13302" priority="10457"/>
    <cfRule type="duplicateValues" dxfId="13301" priority="10409"/>
    <cfRule type="duplicateValues" dxfId="13300" priority="10455"/>
    <cfRule type="duplicateValues" dxfId="13299" priority="10454"/>
    <cfRule type="duplicateValues" dxfId="13298" priority="10453"/>
    <cfRule type="duplicateValues" dxfId="13297" priority="10452"/>
    <cfRule type="duplicateValues" dxfId="13296" priority="10451"/>
    <cfRule type="duplicateValues" dxfId="13295" priority="10450"/>
    <cfRule type="duplicateValues" dxfId="13294" priority="10449"/>
    <cfRule type="duplicateValues" dxfId="13293" priority="10448"/>
    <cfRule type="duplicateValues" dxfId="13292" priority="10447"/>
    <cfRule type="duplicateValues" dxfId="13291" priority="10446"/>
    <cfRule type="duplicateValues" dxfId="13290" priority="10445"/>
    <cfRule type="duplicateValues" dxfId="13289" priority="10444"/>
    <cfRule type="duplicateValues" dxfId="13288" priority="10443"/>
    <cfRule type="duplicateValues" dxfId="13287" priority="10442"/>
    <cfRule type="duplicateValues" dxfId="13286" priority="10441"/>
    <cfRule type="duplicateValues" dxfId="13285" priority="10440"/>
    <cfRule type="duplicateValues" dxfId="13284" priority="10439"/>
    <cfRule type="duplicateValues" dxfId="13283" priority="10438"/>
    <cfRule type="duplicateValues" dxfId="13282" priority="10437"/>
    <cfRule type="duplicateValues" dxfId="13281" priority="10436"/>
    <cfRule type="duplicateValues" dxfId="13280" priority="10435"/>
    <cfRule type="duplicateValues" dxfId="13279" priority="10434"/>
    <cfRule type="duplicateValues" dxfId="13278" priority="10433"/>
    <cfRule type="duplicateValues" dxfId="13277" priority="10432"/>
    <cfRule type="duplicateValues" dxfId="13276" priority="10431"/>
    <cfRule type="duplicateValues" dxfId="13275" priority="10430"/>
    <cfRule type="duplicateValues" dxfId="13274" priority="10429"/>
    <cfRule type="duplicateValues" dxfId="13273" priority="10428"/>
    <cfRule type="duplicateValues" dxfId="13272" priority="10427"/>
    <cfRule type="duplicateValues" dxfId="13271" priority="10426"/>
    <cfRule type="duplicateValues" dxfId="13270" priority="10425"/>
    <cfRule type="duplicateValues" dxfId="13269" priority="10424"/>
    <cfRule type="duplicateValues" dxfId="13268" priority="10423"/>
    <cfRule type="duplicateValues" dxfId="13267" priority="10422"/>
    <cfRule type="duplicateValues" dxfId="13266" priority="10421"/>
    <cfRule type="duplicateValues" dxfId="13265" priority="10420"/>
    <cfRule type="duplicateValues" dxfId="13264" priority="10419"/>
    <cfRule type="duplicateValues" dxfId="13263" priority="10418"/>
    <cfRule type="duplicateValues" dxfId="13262" priority="10417"/>
    <cfRule type="duplicateValues" dxfId="13261" priority="10416"/>
    <cfRule type="duplicateValues" dxfId="13260" priority="10415"/>
    <cfRule type="duplicateValues" dxfId="13259" priority="10414"/>
    <cfRule type="duplicateValues" dxfId="13258" priority="10413"/>
    <cfRule type="duplicateValues" dxfId="13257" priority="10374"/>
    <cfRule type="duplicateValues" dxfId="13256" priority="10412"/>
    <cfRule type="duplicateValues" dxfId="13255" priority="10411"/>
    <cfRule type="duplicateValues" dxfId="13254" priority="10375"/>
    <cfRule type="duplicateValues" dxfId="13253" priority="10407"/>
    <cfRule type="duplicateValues" dxfId="13252" priority="10406"/>
    <cfRule type="duplicateValues" dxfId="13251" priority="10405"/>
    <cfRule type="duplicateValues" dxfId="13250" priority="10404"/>
    <cfRule type="duplicateValues" dxfId="13249" priority="10403"/>
    <cfRule type="duplicateValues" dxfId="13248" priority="10402"/>
    <cfRule type="duplicateValues" dxfId="13247" priority="10401"/>
    <cfRule type="duplicateValues" dxfId="13246" priority="10400"/>
    <cfRule type="duplicateValues" dxfId="13245" priority="10399"/>
    <cfRule type="duplicateValues" dxfId="13244" priority="10398"/>
    <cfRule type="duplicateValues" dxfId="13243" priority="10397"/>
    <cfRule type="duplicateValues" dxfId="13242" priority="10396"/>
    <cfRule type="duplicateValues" dxfId="13241" priority="10395"/>
    <cfRule type="duplicateValues" dxfId="13240" priority="10394"/>
    <cfRule type="duplicateValues" dxfId="13239" priority="10393"/>
    <cfRule type="duplicateValues" dxfId="13238" priority="10392"/>
    <cfRule type="duplicateValues" dxfId="13237" priority="10391"/>
    <cfRule type="duplicateValues" dxfId="13236" priority="10390"/>
    <cfRule type="duplicateValues" dxfId="13235" priority="10389"/>
    <cfRule type="duplicateValues" dxfId="13234" priority="10388"/>
    <cfRule type="duplicateValues" dxfId="13233" priority="10387"/>
    <cfRule type="duplicateValues" dxfId="13232" priority="10386"/>
    <cfRule type="duplicateValues" dxfId="13231" priority="10385"/>
    <cfRule type="duplicateValues" dxfId="13230" priority="10384"/>
    <cfRule type="duplicateValues" dxfId="13229" priority="10383"/>
    <cfRule type="duplicateValues" dxfId="13228" priority="10382"/>
    <cfRule type="duplicateValues" dxfId="13227" priority="10381"/>
    <cfRule type="duplicateValues" dxfId="13226" priority="10380"/>
    <cfRule type="duplicateValues" dxfId="13225" priority="10379"/>
    <cfRule type="duplicateValues" dxfId="13224" priority="10378"/>
    <cfRule type="duplicateValues" dxfId="13223" priority="10377"/>
    <cfRule type="duplicateValues" dxfId="13222" priority="10376"/>
    <cfRule type="duplicateValues" dxfId="13221" priority="10313"/>
    <cfRule type="duplicateValues" dxfId="13220" priority="10314"/>
    <cfRule type="duplicateValues" dxfId="13219" priority="10315"/>
    <cfRule type="duplicateValues" dxfId="13218" priority="10316"/>
    <cfRule type="duplicateValues" dxfId="13217" priority="10317"/>
    <cfRule type="duplicateValues" dxfId="13216" priority="10318"/>
    <cfRule type="duplicateValues" dxfId="13215" priority="10319"/>
    <cfRule type="duplicateValues" dxfId="13214" priority="10320"/>
    <cfRule type="duplicateValues" dxfId="13213" priority="10321"/>
    <cfRule type="duplicateValues" dxfId="13212" priority="10322"/>
    <cfRule type="duplicateValues" dxfId="13211" priority="10323"/>
    <cfRule type="duplicateValues" dxfId="13210" priority="10324"/>
    <cfRule type="duplicateValues" dxfId="13209" priority="10325"/>
    <cfRule type="duplicateValues" dxfId="13208" priority="10408"/>
    <cfRule type="duplicateValues" dxfId="13207" priority="10327"/>
    <cfRule type="duplicateValues" dxfId="13206" priority="10328"/>
    <cfRule type="duplicateValues" dxfId="13205" priority="10329"/>
    <cfRule type="duplicateValues" dxfId="13204" priority="10330"/>
    <cfRule type="duplicateValues" dxfId="13203" priority="10331"/>
    <cfRule type="duplicateValues" dxfId="13202" priority="10332"/>
    <cfRule type="duplicateValues" dxfId="13201" priority="10333"/>
    <cfRule type="duplicateValues" dxfId="13200" priority="10334"/>
    <cfRule type="duplicateValues" dxfId="13199" priority="10335"/>
    <cfRule type="duplicateValues" dxfId="13198" priority="10336"/>
    <cfRule type="duplicateValues" dxfId="13197" priority="10338"/>
    <cfRule type="duplicateValues" dxfId="13196" priority="10339"/>
    <cfRule type="duplicateValues" dxfId="13195" priority="10340"/>
    <cfRule type="duplicateValues" dxfId="13194" priority="10341"/>
    <cfRule type="duplicateValues" dxfId="13193" priority="10342"/>
    <cfRule type="duplicateValues" dxfId="13192" priority="10343"/>
    <cfRule type="duplicateValues" dxfId="13191" priority="10344"/>
    <cfRule type="duplicateValues" dxfId="13190" priority="10345"/>
    <cfRule type="duplicateValues" dxfId="13189" priority="10346"/>
    <cfRule type="duplicateValues" dxfId="13188" priority="10347"/>
    <cfRule type="duplicateValues" dxfId="13187" priority="10348"/>
    <cfRule type="duplicateValues" dxfId="13186" priority="10349"/>
    <cfRule type="duplicateValues" dxfId="13185" priority="10350"/>
    <cfRule type="duplicateValues" dxfId="13184" priority="10351"/>
    <cfRule type="duplicateValues" dxfId="13183" priority="10352"/>
    <cfRule type="duplicateValues" dxfId="13182" priority="10353"/>
    <cfRule type="duplicateValues" dxfId="13181" priority="10354"/>
    <cfRule type="duplicateValues" dxfId="13180" priority="10355"/>
    <cfRule type="duplicateValues" dxfId="13179" priority="10356"/>
    <cfRule type="duplicateValues" dxfId="13178" priority="10357"/>
    <cfRule type="duplicateValues" dxfId="13177" priority="10358"/>
    <cfRule type="duplicateValues" dxfId="13176" priority="10359"/>
    <cfRule type="duplicateValues" dxfId="13175" priority="10360"/>
    <cfRule type="duplicateValues" dxfId="13174" priority="10361"/>
    <cfRule type="duplicateValues" dxfId="13173" priority="10362"/>
    <cfRule type="duplicateValues" dxfId="13172" priority="10363"/>
    <cfRule type="duplicateValues" dxfId="13171" priority="10364"/>
    <cfRule type="duplicateValues" dxfId="13170" priority="10365"/>
    <cfRule type="duplicateValues" dxfId="13169" priority="10366"/>
    <cfRule type="duplicateValues" dxfId="13168" priority="10367"/>
    <cfRule type="duplicateValues" dxfId="13167" priority="10368"/>
    <cfRule type="duplicateValues" dxfId="13166" priority="10369"/>
    <cfRule type="duplicateValues" dxfId="13165" priority="10370"/>
    <cfRule type="duplicateValues" dxfId="13164" priority="10371"/>
    <cfRule type="duplicateValues" dxfId="13163" priority="10372"/>
    <cfRule type="duplicateValues" dxfId="13162" priority="10410"/>
    <cfRule type="duplicateValues" dxfId="13161" priority="10326"/>
  </conditionalFormatting>
  <conditionalFormatting sqref="B274">
    <cfRule type="duplicateValues" dxfId="13160" priority="10561"/>
    <cfRule type="duplicateValues" dxfId="13159" priority="10501"/>
    <cfRule type="duplicateValues" dxfId="13158" priority="10686"/>
    <cfRule type="duplicateValues" dxfId="13157" priority="10502"/>
    <cfRule type="duplicateValues" dxfId="13156" priority="10503"/>
    <cfRule type="duplicateValues" dxfId="13155" priority="10504"/>
    <cfRule type="duplicateValues" dxfId="13154" priority="10505"/>
    <cfRule type="duplicateValues" dxfId="13153" priority="10506"/>
    <cfRule type="duplicateValues" dxfId="13152" priority="10507"/>
    <cfRule type="duplicateValues" dxfId="13151" priority="10508"/>
    <cfRule type="duplicateValues" dxfId="13150" priority="10509"/>
    <cfRule type="duplicateValues" dxfId="13149" priority="10510"/>
    <cfRule type="duplicateValues" dxfId="13148" priority="10511"/>
    <cfRule type="duplicateValues" dxfId="13147" priority="10512"/>
    <cfRule type="duplicateValues" dxfId="13146" priority="10513"/>
    <cfRule type="duplicateValues" dxfId="13145" priority="10514"/>
    <cfRule type="duplicateValues" dxfId="13144" priority="10515"/>
    <cfRule type="duplicateValues" dxfId="13143" priority="10516"/>
    <cfRule type="duplicateValues" dxfId="13142" priority="10517"/>
    <cfRule type="duplicateValues" dxfId="13141" priority="10518"/>
    <cfRule type="duplicateValues" dxfId="13140" priority="10519"/>
    <cfRule type="duplicateValues" dxfId="13139" priority="10520"/>
    <cfRule type="duplicateValues" dxfId="13138" priority="10521"/>
    <cfRule type="duplicateValues" dxfId="13137" priority="10522"/>
    <cfRule type="duplicateValues" dxfId="13136" priority="10523"/>
    <cfRule type="duplicateValues" dxfId="13135" priority="10524"/>
    <cfRule type="duplicateValues" dxfId="13134" priority="10525"/>
    <cfRule type="duplicateValues" dxfId="13133" priority="10526"/>
    <cfRule type="duplicateValues" dxfId="13132" priority="10527"/>
    <cfRule type="duplicateValues" dxfId="13131" priority="10528"/>
    <cfRule type="duplicateValues" dxfId="13130" priority="10529"/>
    <cfRule type="duplicateValues" dxfId="13129" priority="10530"/>
    <cfRule type="duplicateValues" dxfId="13128" priority="10531"/>
    <cfRule type="duplicateValues" dxfId="13127" priority="10532"/>
    <cfRule type="duplicateValues" dxfId="13126" priority="10533"/>
    <cfRule type="duplicateValues" dxfId="13125" priority="10534"/>
    <cfRule type="duplicateValues" dxfId="13124" priority="10535"/>
    <cfRule type="duplicateValues" dxfId="13123" priority="10536"/>
    <cfRule type="duplicateValues" dxfId="13122" priority="10537"/>
    <cfRule type="duplicateValues" dxfId="13121" priority="10538"/>
    <cfRule type="duplicateValues" dxfId="13120" priority="10539"/>
    <cfRule type="duplicateValues" dxfId="13119" priority="10540"/>
    <cfRule type="duplicateValues" dxfId="13118" priority="10541"/>
    <cfRule type="duplicateValues" dxfId="13117" priority="10542"/>
    <cfRule type="duplicateValues" dxfId="13116" priority="10543"/>
    <cfRule type="duplicateValues" dxfId="13115" priority="10544"/>
    <cfRule type="duplicateValues" dxfId="13114" priority="10545"/>
    <cfRule type="duplicateValues" dxfId="13113" priority="10546"/>
    <cfRule type="duplicateValues" dxfId="13112" priority="10548"/>
    <cfRule type="duplicateValues" dxfId="13111" priority="10549"/>
    <cfRule type="duplicateValues" dxfId="13110" priority="10550"/>
    <cfRule type="duplicateValues" dxfId="13109" priority="10551"/>
    <cfRule type="duplicateValues" dxfId="13108" priority="10552"/>
    <cfRule type="duplicateValues" dxfId="13107" priority="10553"/>
    <cfRule type="duplicateValues" dxfId="13106" priority="10554"/>
    <cfRule type="duplicateValues" dxfId="13105" priority="10555"/>
    <cfRule type="duplicateValues" dxfId="13104" priority="10556"/>
    <cfRule type="duplicateValues" dxfId="13103" priority="10557"/>
    <cfRule type="duplicateValues" dxfId="13102" priority="10558"/>
    <cfRule type="duplicateValues" dxfId="13101" priority="10559"/>
    <cfRule type="duplicateValues" dxfId="13100" priority="10560"/>
    <cfRule type="duplicateValues" dxfId="13099" priority="10562"/>
    <cfRule type="duplicateValues" dxfId="13098" priority="10563"/>
    <cfRule type="duplicateValues" dxfId="13097" priority="10564"/>
    <cfRule type="duplicateValues" dxfId="13096" priority="10565"/>
    <cfRule type="duplicateValues" dxfId="13095" priority="10566"/>
    <cfRule type="duplicateValues" dxfId="13094" priority="10567"/>
    <cfRule type="duplicateValues" dxfId="13093" priority="10568"/>
    <cfRule type="duplicateValues" dxfId="13092" priority="10569"/>
    <cfRule type="duplicateValues" dxfId="13091" priority="10570"/>
    <cfRule type="duplicateValues" dxfId="13090" priority="10571"/>
    <cfRule type="duplicateValues" dxfId="13089" priority="10572"/>
    <cfRule type="duplicateValues" dxfId="13088" priority="10573"/>
    <cfRule type="duplicateValues" dxfId="13087" priority="10574"/>
    <cfRule type="duplicateValues" dxfId="13086" priority="10575"/>
    <cfRule type="duplicateValues" dxfId="13085" priority="10576"/>
    <cfRule type="duplicateValues" dxfId="13084" priority="10577"/>
    <cfRule type="duplicateValues" dxfId="13083" priority="10578"/>
    <cfRule type="duplicateValues" dxfId="13082" priority="10579"/>
    <cfRule type="duplicateValues" dxfId="13081" priority="10580"/>
    <cfRule type="duplicateValues" dxfId="13080" priority="10581"/>
    <cfRule type="duplicateValues" dxfId="13079" priority="10582"/>
    <cfRule type="duplicateValues" dxfId="13078" priority="10583"/>
    <cfRule type="duplicateValues" dxfId="13077" priority="10584"/>
    <cfRule type="duplicateValues" dxfId="13076" priority="10585"/>
    <cfRule type="duplicateValues" dxfId="13075" priority="10586"/>
    <cfRule type="duplicateValues" dxfId="13074" priority="10587"/>
    <cfRule type="duplicateValues" dxfId="13073" priority="10588"/>
    <cfRule type="duplicateValues" dxfId="13072" priority="10589"/>
    <cfRule type="duplicateValues" dxfId="13071" priority="10590"/>
    <cfRule type="duplicateValues" dxfId="13070" priority="10591"/>
    <cfRule type="duplicateValues" dxfId="13069" priority="10592"/>
    <cfRule type="duplicateValues" dxfId="13068" priority="10593"/>
    <cfRule type="duplicateValues" dxfId="13067" priority="10594"/>
    <cfRule type="duplicateValues" dxfId="13066" priority="10595"/>
    <cfRule type="duplicateValues" dxfId="13065" priority="10596"/>
    <cfRule type="duplicateValues" dxfId="13064" priority="10597"/>
    <cfRule type="duplicateValues" dxfId="13063" priority="10598"/>
    <cfRule type="duplicateValues" dxfId="13062" priority="10599"/>
    <cfRule type="duplicateValues" dxfId="13061" priority="10600"/>
    <cfRule type="duplicateValues" dxfId="13060" priority="10601"/>
    <cfRule type="duplicateValues" dxfId="13059" priority="10602"/>
    <cfRule type="duplicateValues" dxfId="13058" priority="10603"/>
    <cfRule type="duplicateValues" dxfId="13057" priority="10604"/>
    <cfRule type="duplicateValues" dxfId="13056" priority="10605"/>
    <cfRule type="duplicateValues" dxfId="13055" priority="10606"/>
    <cfRule type="duplicateValues" dxfId="13054" priority="10607"/>
    <cfRule type="duplicateValues" dxfId="13053" priority="10608"/>
    <cfRule type="duplicateValues" dxfId="13052" priority="10609"/>
    <cfRule type="duplicateValues" dxfId="13051" priority="10610"/>
    <cfRule type="duplicateValues" dxfId="13050" priority="10611"/>
    <cfRule type="duplicateValues" dxfId="13049" priority="10612"/>
    <cfRule type="duplicateValues" dxfId="13048" priority="10613"/>
    <cfRule type="duplicateValues" dxfId="13047" priority="10614"/>
    <cfRule type="duplicateValues" dxfId="13046" priority="10615"/>
    <cfRule type="duplicateValues" dxfId="13045" priority="10616"/>
    <cfRule type="duplicateValues" dxfId="13044" priority="10617"/>
    <cfRule type="duplicateValues" dxfId="13043" priority="10618"/>
    <cfRule type="duplicateValues" dxfId="13042" priority="10619"/>
    <cfRule type="duplicateValues" dxfId="13041" priority="10620"/>
    <cfRule type="duplicateValues" dxfId="13040" priority="10621"/>
    <cfRule type="duplicateValues" dxfId="13039" priority="10622"/>
    <cfRule type="duplicateValues" dxfId="13038" priority="10623"/>
    <cfRule type="duplicateValues" dxfId="13037" priority="10624"/>
    <cfRule type="duplicateValues" dxfId="13036" priority="10625"/>
    <cfRule type="duplicateValues" dxfId="13035" priority="10626"/>
    <cfRule type="duplicateValues" dxfId="13034" priority="10627"/>
    <cfRule type="duplicateValues" dxfId="13033" priority="10628"/>
    <cfRule type="duplicateValues" dxfId="13032" priority="10629"/>
    <cfRule type="duplicateValues" dxfId="13031" priority="10630"/>
    <cfRule type="duplicateValues" dxfId="13030" priority="10631"/>
    <cfRule type="duplicateValues" dxfId="13029" priority="10632"/>
    <cfRule type="duplicateValues" dxfId="13028" priority="10633"/>
    <cfRule type="duplicateValues" dxfId="13027" priority="10634"/>
    <cfRule type="duplicateValues" dxfId="13026" priority="10635"/>
    <cfRule type="duplicateValues" dxfId="13025" priority="10636"/>
    <cfRule type="duplicateValues" dxfId="13024" priority="10637"/>
    <cfRule type="duplicateValues" dxfId="13023" priority="10638"/>
    <cfRule type="duplicateValues" dxfId="13022" priority="10639"/>
    <cfRule type="duplicateValues" dxfId="13021" priority="10640"/>
    <cfRule type="duplicateValues" dxfId="13020" priority="10641"/>
    <cfRule type="duplicateValues" dxfId="13019" priority="10642"/>
    <cfRule type="duplicateValues" dxfId="13018" priority="10643"/>
    <cfRule type="duplicateValues" dxfId="13017" priority="10644"/>
    <cfRule type="duplicateValues" dxfId="13016" priority="10645"/>
    <cfRule type="duplicateValues" dxfId="13015" priority="10646"/>
    <cfRule type="duplicateValues" dxfId="13014" priority="10647"/>
    <cfRule type="duplicateValues" dxfId="13013" priority="10648"/>
    <cfRule type="duplicateValues" dxfId="13012" priority="10649"/>
    <cfRule type="duplicateValues" dxfId="13011" priority="10650"/>
    <cfRule type="duplicateValues" dxfId="13010" priority="10651"/>
    <cfRule type="duplicateValues" dxfId="13009" priority="10652"/>
    <cfRule type="duplicateValues" dxfId="13008" priority="10653"/>
    <cfRule type="duplicateValues" dxfId="13007" priority="10655"/>
    <cfRule type="duplicateValues" dxfId="13006" priority="10656"/>
    <cfRule type="duplicateValues" dxfId="13005" priority="10657"/>
    <cfRule type="duplicateValues" dxfId="13004" priority="10658"/>
    <cfRule type="duplicateValues" dxfId="13003" priority="10659"/>
    <cfRule type="duplicateValues" dxfId="13002" priority="10660"/>
    <cfRule type="duplicateValues" dxfId="13001" priority="10661"/>
    <cfRule type="duplicateValues" dxfId="13000" priority="10662"/>
    <cfRule type="duplicateValues" dxfId="12999" priority="10663"/>
    <cfRule type="duplicateValues" dxfId="12998" priority="10664"/>
    <cfRule type="duplicateValues" dxfId="12997" priority="10665"/>
    <cfRule type="duplicateValues" dxfId="12996" priority="10666"/>
    <cfRule type="duplicateValues" dxfId="12995" priority="10667"/>
    <cfRule type="duplicateValues" dxfId="12994" priority="10668"/>
    <cfRule type="duplicateValues" dxfId="12993" priority="10669"/>
    <cfRule type="duplicateValues" dxfId="12992" priority="10670"/>
    <cfRule type="duplicateValues" dxfId="12991" priority="10671"/>
    <cfRule type="duplicateValues" dxfId="12990" priority="10672"/>
    <cfRule type="duplicateValues" dxfId="12989" priority="10673"/>
    <cfRule type="duplicateValues" dxfId="12988" priority="10674"/>
    <cfRule type="duplicateValues" dxfId="12987" priority="10675"/>
    <cfRule type="duplicateValues" dxfId="12986" priority="10676"/>
    <cfRule type="duplicateValues" dxfId="12985" priority="10677"/>
    <cfRule type="duplicateValues" dxfId="12984" priority="10678"/>
    <cfRule type="duplicateValues" dxfId="12983" priority="10679"/>
    <cfRule type="duplicateValues" dxfId="12982" priority="10680"/>
    <cfRule type="duplicateValues" dxfId="12981" priority="10681"/>
    <cfRule type="duplicateValues" dxfId="12980" priority="10682"/>
    <cfRule type="duplicateValues" dxfId="12979" priority="10683"/>
    <cfRule type="duplicateValues" dxfId="12978" priority="10684"/>
    <cfRule type="duplicateValues" dxfId="12977" priority="10685"/>
    <cfRule type="duplicateValues" dxfId="12976" priority="10688"/>
    <cfRule type="duplicateValues" dxfId="12975" priority="10547"/>
    <cfRule type="duplicateValues" dxfId="12974" priority="10687"/>
    <cfRule type="duplicateValues" dxfId="12973" priority="10654"/>
  </conditionalFormatting>
  <conditionalFormatting sqref="B275">
    <cfRule type="duplicateValues" dxfId="12972" priority="10250"/>
    <cfRule type="duplicateValues" dxfId="12971" priority="10249"/>
    <cfRule type="duplicateValues" dxfId="12970" priority="10248"/>
    <cfRule type="duplicateValues" dxfId="12969" priority="10247"/>
    <cfRule type="duplicateValues" dxfId="12968" priority="10246"/>
    <cfRule type="duplicateValues" dxfId="12967" priority="10245"/>
    <cfRule type="duplicateValues" dxfId="12966" priority="10244"/>
    <cfRule type="duplicateValues" dxfId="12965" priority="10243"/>
    <cfRule type="duplicateValues" dxfId="12964" priority="10242"/>
    <cfRule type="duplicateValues" dxfId="12963" priority="10241"/>
    <cfRule type="duplicateValues" dxfId="12962" priority="10240"/>
    <cfRule type="duplicateValues" dxfId="12961" priority="10239"/>
    <cfRule type="duplicateValues" dxfId="12960" priority="10238"/>
    <cfRule type="duplicateValues" dxfId="12959" priority="10237"/>
    <cfRule type="duplicateValues" dxfId="12958" priority="10236"/>
    <cfRule type="duplicateValues" dxfId="12957" priority="10235"/>
    <cfRule type="duplicateValues" dxfId="12956" priority="10234"/>
    <cfRule type="duplicateValues" dxfId="12955" priority="10233"/>
    <cfRule type="duplicateValues" dxfId="12954" priority="10232"/>
    <cfRule type="duplicateValues" dxfId="12953" priority="10231"/>
    <cfRule type="duplicateValues" dxfId="12952" priority="10230"/>
    <cfRule type="duplicateValues" dxfId="12951" priority="10229"/>
    <cfRule type="duplicateValues" dxfId="12950" priority="10228"/>
    <cfRule type="duplicateValues" dxfId="12949" priority="10227"/>
    <cfRule type="duplicateValues" dxfId="12948" priority="10226"/>
    <cfRule type="duplicateValues" dxfId="12947" priority="10225"/>
    <cfRule type="duplicateValues" dxfId="12946" priority="10224"/>
    <cfRule type="duplicateValues" dxfId="12945" priority="10223"/>
    <cfRule type="duplicateValues" dxfId="12944" priority="10222"/>
    <cfRule type="duplicateValues" dxfId="12943" priority="10221"/>
    <cfRule type="duplicateValues" dxfId="12942" priority="10220"/>
    <cfRule type="duplicateValues" dxfId="12941" priority="10219"/>
    <cfRule type="duplicateValues" dxfId="12940" priority="10218"/>
    <cfRule type="duplicateValues" dxfId="12939" priority="10279"/>
    <cfRule type="duplicateValues" dxfId="12938" priority="10217"/>
    <cfRule type="duplicateValues" dxfId="12937" priority="10216"/>
    <cfRule type="duplicateValues" dxfId="12936" priority="10215"/>
    <cfRule type="duplicateValues" dxfId="12935" priority="10214"/>
    <cfRule type="duplicateValues" dxfId="12934" priority="10213"/>
    <cfRule type="duplicateValues" dxfId="12933" priority="10212"/>
    <cfRule type="duplicateValues" dxfId="12932" priority="10211"/>
    <cfRule type="duplicateValues" dxfId="12931" priority="10210"/>
    <cfRule type="duplicateValues" dxfId="12930" priority="10209"/>
    <cfRule type="duplicateValues" dxfId="12929" priority="10208"/>
    <cfRule type="duplicateValues" dxfId="12928" priority="10207"/>
    <cfRule type="duplicateValues" dxfId="12927" priority="10206"/>
    <cfRule type="duplicateValues" dxfId="12926" priority="10205"/>
    <cfRule type="duplicateValues" dxfId="12925" priority="10204"/>
    <cfRule type="duplicateValues" dxfId="12924" priority="10203"/>
    <cfRule type="duplicateValues" dxfId="12923" priority="10202"/>
    <cfRule type="duplicateValues" dxfId="12922" priority="10201"/>
    <cfRule type="duplicateValues" dxfId="12921" priority="10200"/>
    <cfRule type="duplicateValues" dxfId="12920" priority="10199"/>
    <cfRule type="duplicateValues" dxfId="12919" priority="10198"/>
    <cfRule type="duplicateValues" dxfId="12918" priority="10197"/>
    <cfRule type="duplicateValues" dxfId="12917" priority="10196"/>
    <cfRule type="duplicateValues" dxfId="12916" priority="10195"/>
    <cfRule type="duplicateValues" dxfId="12915" priority="10194"/>
    <cfRule type="duplicateValues" dxfId="12914" priority="10193"/>
    <cfRule type="duplicateValues" dxfId="12913" priority="10192"/>
    <cfRule type="duplicateValues" dxfId="12912" priority="10191"/>
    <cfRule type="duplicateValues" dxfId="12911" priority="10190"/>
    <cfRule type="duplicateValues" dxfId="12910" priority="10189"/>
    <cfRule type="duplicateValues" dxfId="12909" priority="10188"/>
    <cfRule type="duplicateValues" dxfId="12908" priority="10187"/>
    <cfRule type="duplicateValues" dxfId="12907" priority="10312"/>
    <cfRule type="duplicateValues" dxfId="12906" priority="10311"/>
    <cfRule type="duplicateValues" dxfId="12905" priority="10309"/>
    <cfRule type="duplicateValues" dxfId="12904" priority="10308"/>
    <cfRule type="duplicateValues" dxfId="12903" priority="10307"/>
    <cfRule type="duplicateValues" dxfId="12902" priority="10306"/>
    <cfRule type="duplicateValues" dxfId="12901" priority="10184"/>
    <cfRule type="duplicateValues" dxfId="12900" priority="10305"/>
    <cfRule type="duplicateValues" dxfId="12899" priority="10304"/>
    <cfRule type="duplicateValues" dxfId="12898" priority="10303"/>
    <cfRule type="duplicateValues" dxfId="12897" priority="10302"/>
    <cfRule type="duplicateValues" dxfId="12896" priority="10301"/>
    <cfRule type="duplicateValues" dxfId="12895" priority="10300"/>
    <cfRule type="duplicateValues" dxfId="12894" priority="10299"/>
    <cfRule type="duplicateValues" dxfId="12893" priority="10298"/>
    <cfRule type="duplicateValues" dxfId="12892" priority="10297"/>
    <cfRule type="duplicateValues" dxfId="12891" priority="10296"/>
    <cfRule type="duplicateValues" dxfId="12890" priority="10295"/>
    <cfRule type="duplicateValues" dxfId="12889" priority="10294"/>
    <cfRule type="duplicateValues" dxfId="12888" priority="10293"/>
    <cfRule type="duplicateValues" dxfId="12887" priority="10292"/>
    <cfRule type="duplicateValues" dxfId="12886" priority="10291"/>
    <cfRule type="duplicateValues" dxfId="12885" priority="10290"/>
    <cfRule type="duplicateValues" dxfId="12884" priority="10289"/>
    <cfRule type="duplicateValues" dxfId="12883" priority="10288"/>
    <cfRule type="duplicateValues" dxfId="12882" priority="10287"/>
    <cfRule type="duplicateValues" dxfId="12881" priority="10286"/>
    <cfRule type="duplicateValues" dxfId="12880" priority="10285"/>
    <cfRule type="duplicateValues" dxfId="12879" priority="10183"/>
    <cfRule type="duplicateValues" dxfId="12878" priority="10284"/>
    <cfRule type="duplicateValues" dxfId="12877" priority="10283"/>
    <cfRule type="duplicateValues" dxfId="12876" priority="10282"/>
    <cfRule type="duplicateValues" dxfId="12875" priority="10281"/>
    <cfRule type="duplicateValues" dxfId="12874" priority="10280"/>
    <cfRule type="duplicateValues" dxfId="12873" priority="10278"/>
    <cfRule type="duplicateValues" dxfId="12872" priority="10277"/>
    <cfRule type="duplicateValues" dxfId="12871" priority="10276"/>
    <cfRule type="duplicateValues" dxfId="12870" priority="10275"/>
    <cfRule type="duplicateValues" dxfId="12869" priority="10274"/>
    <cfRule type="duplicateValues" dxfId="12868" priority="10273"/>
    <cfRule type="duplicateValues" dxfId="12867" priority="10272"/>
    <cfRule type="duplicateValues" dxfId="12866" priority="10271"/>
    <cfRule type="duplicateValues" dxfId="12865" priority="10270"/>
    <cfRule type="duplicateValues" dxfId="12864" priority="10269"/>
    <cfRule type="duplicateValues" dxfId="12863" priority="10268"/>
    <cfRule type="duplicateValues" dxfId="12862" priority="10267"/>
    <cfRule type="duplicateValues" dxfId="12861" priority="10266"/>
    <cfRule type="duplicateValues" dxfId="12860" priority="10265"/>
    <cfRule type="duplicateValues" dxfId="12859" priority="10264"/>
    <cfRule type="duplicateValues" dxfId="12858" priority="10186"/>
    <cfRule type="duplicateValues" dxfId="12857" priority="10263"/>
    <cfRule type="duplicateValues" dxfId="12856" priority="10262"/>
    <cfRule type="duplicateValues" dxfId="12855" priority="10261"/>
    <cfRule type="duplicateValues" dxfId="12854" priority="10260"/>
    <cfRule type="duplicateValues" dxfId="12853" priority="10259"/>
    <cfRule type="duplicateValues" dxfId="12852" priority="10258"/>
    <cfRule type="duplicateValues" dxfId="12851" priority="10257"/>
    <cfRule type="duplicateValues" dxfId="12850" priority="10256"/>
    <cfRule type="duplicateValues" dxfId="12849" priority="10255"/>
    <cfRule type="duplicateValues" dxfId="12848" priority="10254"/>
    <cfRule type="duplicateValues" dxfId="12847" priority="10310"/>
    <cfRule type="duplicateValues" dxfId="12846" priority="10253"/>
    <cfRule type="duplicateValues" dxfId="12845" priority="10182"/>
    <cfRule type="duplicateValues" dxfId="12844" priority="10181"/>
    <cfRule type="duplicateValues" dxfId="12843" priority="10180"/>
    <cfRule type="duplicateValues" dxfId="12842" priority="10179"/>
    <cfRule type="duplicateValues" dxfId="12841" priority="10178"/>
    <cfRule type="duplicateValues" dxfId="12840" priority="10177"/>
    <cfRule type="duplicateValues" dxfId="12839" priority="10176"/>
    <cfRule type="duplicateValues" dxfId="12838" priority="10175"/>
    <cfRule type="duplicateValues" dxfId="12837" priority="10174"/>
    <cfRule type="duplicateValues" dxfId="12836" priority="10173"/>
    <cfRule type="duplicateValues" dxfId="12835" priority="10172"/>
    <cfRule type="duplicateValues" dxfId="12834" priority="10171"/>
    <cfRule type="duplicateValues" dxfId="12833" priority="10170"/>
    <cfRule type="duplicateValues" dxfId="12832" priority="10169"/>
    <cfRule type="duplicateValues" dxfId="12831" priority="10168"/>
    <cfRule type="duplicateValues" dxfId="12830" priority="10167"/>
    <cfRule type="duplicateValues" dxfId="12829" priority="10166"/>
    <cfRule type="duplicateValues" dxfId="12828" priority="10165"/>
    <cfRule type="duplicateValues" dxfId="12827" priority="10164"/>
    <cfRule type="duplicateValues" dxfId="12826" priority="10163"/>
    <cfRule type="duplicateValues" dxfId="12825" priority="10162"/>
    <cfRule type="duplicateValues" dxfId="12824" priority="10161"/>
    <cfRule type="duplicateValues" dxfId="12823" priority="10160"/>
    <cfRule type="duplicateValues" dxfId="12822" priority="10159"/>
    <cfRule type="duplicateValues" dxfId="12821" priority="10158"/>
    <cfRule type="duplicateValues" dxfId="12820" priority="10157"/>
    <cfRule type="duplicateValues" dxfId="12819" priority="10156"/>
    <cfRule type="duplicateValues" dxfId="12818" priority="10155"/>
    <cfRule type="duplicateValues" dxfId="12817" priority="10154"/>
    <cfRule type="duplicateValues" dxfId="12816" priority="10153"/>
    <cfRule type="duplicateValues" dxfId="12815" priority="10152"/>
    <cfRule type="duplicateValues" dxfId="12814" priority="10151"/>
    <cfRule type="duplicateValues" dxfId="12813" priority="10150"/>
    <cfRule type="duplicateValues" dxfId="12812" priority="10149"/>
    <cfRule type="duplicateValues" dxfId="12811" priority="10148"/>
    <cfRule type="duplicateValues" dxfId="12810" priority="10147"/>
    <cfRule type="duplicateValues" dxfId="12809" priority="10146"/>
    <cfRule type="duplicateValues" dxfId="12808" priority="10145"/>
    <cfRule type="duplicateValues" dxfId="12807" priority="10144"/>
    <cfRule type="duplicateValues" dxfId="12806" priority="10143"/>
    <cfRule type="duplicateValues" dxfId="12805" priority="10142"/>
    <cfRule type="duplicateValues" dxfId="12804" priority="10141"/>
    <cfRule type="duplicateValues" dxfId="12803" priority="10140"/>
    <cfRule type="duplicateValues" dxfId="12802" priority="10139"/>
    <cfRule type="duplicateValues" dxfId="12801" priority="10138"/>
    <cfRule type="duplicateValues" dxfId="12800" priority="10137"/>
    <cfRule type="duplicateValues" dxfId="12799" priority="10136"/>
    <cfRule type="duplicateValues" dxfId="12798" priority="10135"/>
    <cfRule type="duplicateValues" dxfId="12797" priority="10134"/>
    <cfRule type="duplicateValues" dxfId="12796" priority="10133"/>
    <cfRule type="duplicateValues" dxfId="12795" priority="10132"/>
    <cfRule type="duplicateValues" dxfId="12794" priority="10131"/>
    <cfRule type="duplicateValues" dxfId="12793" priority="10130"/>
    <cfRule type="duplicateValues" dxfId="12792" priority="10129"/>
    <cfRule type="duplicateValues" dxfId="12791" priority="10128"/>
    <cfRule type="duplicateValues" dxfId="12790" priority="10127"/>
    <cfRule type="duplicateValues" dxfId="12789" priority="10126"/>
    <cfRule type="duplicateValues" dxfId="12788" priority="10125"/>
    <cfRule type="duplicateValues" dxfId="12787" priority="10252"/>
    <cfRule type="duplicateValues" dxfId="12786" priority="10251"/>
    <cfRule type="duplicateValues" dxfId="12785" priority="10185"/>
  </conditionalFormatting>
  <conditionalFormatting sqref="B276">
    <cfRule type="duplicateValues" dxfId="12784" priority="10090"/>
    <cfRule type="duplicateValues" dxfId="12783" priority="10091"/>
    <cfRule type="duplicateValues" dxfId="12782" priority="10092"/>
    <cfRule type="duplicateValues" dxfId="12781" priority="10093"/>
    <cfRule type="duplicateValues" dxfId="12780" priority="10094"/>
    <cfRule type="duplicateValues" dxfId="12779" priority="10095"/>
    <cfRule type="duplicateValues" dxfId="12778" priority="10096"/>
    <cfRule type="duplicateValues" dxfId="12777" priority="10097"/>
    <cfRule type="duplicateValues" dxfId="12776" priority="10098"/>
    <cfRule type="duplicateValues" dxfId="12775" priority="10099"/>
    <cfRule type="duplicateValues" dxfId="12774" priority="10100"/>
    <cfRule type="duplicateValues" dxfId="12773" priority="10101"/>
    <cfRule type="duplicateValues" dxfId="12772" priority="10102"/>
    <cfRule type="duplicateValues" dxfId="12771" priority="10103"/>
    <cfRule type="duplicateValues" dxfId="12770" priority="10104"/>
    <cfRule type="duplicateValues" dxfId="12769" priority="10105"/>
    <cfRule type="duplicateValues" dxfId="12768" priority="10106"/>
    <cfRule type="duplicateValues" dxfId="12767" priority="10107"/>
    <cfRule type="duplicateValues" dxfId="12766" priority="10108"/>
    <cfRule type="duplicateValues" dxfId="12765" priority="10109"/>
    <cfRule type="duplicateValues" dxfId="12764" priority="10110"/>
    <cfRule type="duplicateValues" dxfId="12763" priority="10111"/>
    <cfRule type="duplicateValues" dxfId="12762" priority="10112"/>
    <cfRule type="duplicateValues" dxfId="12761" priority="10113"/>
    <cfRule type="duplicateValues" dxfId="12760" priority="10114"/>
    <cfRule type="duplicateValues" dxfId="12759" priority="10115"/>
    <cfRule type="duplicateValues" dxfId="12758" priority="10116"/>
    <cfRule type="duplicateValues" dxfId="12757" priority="10117"/>
    <cfRule type="duplicateValues" dxfId="12756" priority="10118"/>
    <cfRule type="duplicateValues" dxfId="12755" priority="10119"/>
    <cfRule type="duplicateValues" dxfId="12754" priority="10120"/>
    <cfRule type="duplicateValues" dxfId="12753" priority="10121"/>
    <cfRule type="duplicateValues" dxfId="12752" priority="10122"/>
    <cfRule type="duplicateValues" dxfId="12751" priority="10123"/>
    <cfRule type="duplicateValues" dxfId="12750" priority="10124"/>
    <cfRule type="duplicateValues" dxfId="12749" priority="10030"/>
    <cfRule type="duplicateValues" dxfId="12748" priority="10031"/>
    <cfRule type="duplicateValues" dxfId="12747" priority="10032"/>
    <cfRule type="duplicateValues" dxfId="12746" priority="10033"/>
    <cfRule type="duplicateValues" dxfId="12745" priority="10034"/>
    <cfRule type="duplicateValues" dxfId="12744" priority="10035"/>
    <cfRule type="duplicateValues" dxfId="12743" priority="10036"/>
    <cfRule type="duplicateValues" dxfId="12742" priority="10037"/>
    <cfRule type="duplicateValues" dxfId="12741" priority="10038"/>
    <cfRule type="duplicateValues" dxfId="12740" priority="10039"/>
    <cfRule type="duplicateValues" dxfId="12739" priority="10040"/>
    <cfRule type="duplicateValues" dxfId="12738" priority="10041"/>
    <cfRule type="duplicateValues" dxfId="12737" priority="10042"/>
    <cfRule type="duplicateValues" dxfId="12736" priority="10043"/>
    <cfRule type="duplicateValues" dxfId="12735" priority="10044"/>
    <cfRule type="duplicateValues" dxfId="12734" priority="10045"/>
    <cfRule type="duplicateValues" dxfId="12733" priority="10046"/>
    <cfRule type="duplicateValues" dxfId="12732" priority="10047"/>
    <cfRule type="duplicateValues" dxfId="12731" priority="10048"/>
    <cfRule type="duplicateValues" dxfId="12730" priority="10049"/>
    <cfRule type="duplicateValues" dxfId="12729" priority="10050"/>
    <cfRule type="duplicateValues" dxfId="12728" priority="10051"/>
    <cfRule type="duplicateValues" dxfId="12727" priority="10052"/>
    <cfRule type="duplicateValues" dxfId="12726" priority="10053"/>
    <cfRule type="duplicateValues" dxfId="12725" priority="10054"/>
    <cfRule type="duplicateValues" dxfId="12724" priority="10055"/>
    <cfRule type="duplicateValues" dxfId="12723" priority="10056"/>
    <cfRule type="duplicateValues" dxfId="12722" priority="10057"/>
    <cfRule type="duplicateValues" dxfId="12721" priority="10058"/>
    <cfRule type="duplicateValues" dxfId="12720" priority="10059"/>
    <cfRule type="duplicateValues" dxfId="12719" priority="10060"/>
    <cfRule type="duplicateValues" dxfId="12718" priority="10061"/>
    <cfRule type="duplicateValues" dxfId="12717" priority="10062"/>
    <cfRule type="duplicateValues" dxfId="12716" priority="10063"/>
    <cfRule type="duplicateValues" dxfId="12715" priority="10064"/>
    <cfRule type="duplicateValues" dxfId="12714" priority="10065"/>
    <cfRule type="duplicateValues" dxfId="12713" priority="10066"/>
    <cfRule type="duplicateValues" dxfId="12712" priority="10067"/>
    <cfRule type="duplicateValues" dxfId="12711" priority="10068"/>
    <cfRule type="duplicateValues" dxfId="12710" priority="10069"/>
    <cfRule type="duplicateValues" dxfId="12709" priority="10070"/>
    <cfRule type="duplicateValues" dxfId="12708" priority="10071"/>
    <cfRule type="duplicateValues" dxfId="12707" priority="10072"/>
    <cfRule type="duplicateValues" dxfId="12706" priority="10073"/>
    <cfRule type="duplicateValues" dxfId="12705" priority="10074"/>
    <cfRule type="duplicateValues" dxfId="12704" priority="10075"/>
    <cfRule type="duplicateValues" dxfId="12703" priority="10076"/>
    <cfRule type="duplicateValues" dxfId="12702" priority="10077"/>
    <cfRule type="duplicateValues" dxfId="12701" priority="10078"/>
    <cfRule type="duplicateValues" dxfId="12700" priority="10079"/>
    <cfRule type="duplicateValues" dxfId="12699" priority="10080"/>
    <cfRule type="duplicateValues" dxfId="12698" priority="10081"/>
    <cfRule type="duplicateValues" dxfId="12697" priority="10082"/>
    <cfRule type="duplicateValues" dxfId="12696" priority="10083"/>
    <cfRule type="duplicateValues" dxfId="12695" priority="10084"/>
    <cfRule type="duplicateValues" dxfId="12694" priority="10085"/>
    <cfRule type="duplicateValues" dxfId="12693" priority="10086"/>
    <cfRule type="duplicateValues" dxfId="12692" priority="10087"/>
    <cfRule type="duplicateValues" dxfId="12691" priority="10088"/>
    <cfRule type="duplicateValues" dxfId="12690" priority="10089"/>
    <cfRule type="duplicateValues" dxfId="12689" priority="9937"/>
    <cfRule type="duplicateValues" dxfId="12688" priority="9938"/>
    <cfRule type="duplicateValues" dxfId="12687" priority="9939"/>
    <cfRule type="duplicateValues" dxfId="12686" priority="9940"/>
    <cfRule type="duplicateValues" dxfId="12685" priority="9941"/>
    <cfRule type="duplicateValues" dxfId="12684" priority="9942"/>
    <cfRule type="duplicateValues" dxfId="12683" priority="9943"/>
    <cfRule type="duplicateValues" dxfId="12682" priority="9944"/>
    <cfRule type="duplicateValues" dxfId="12681" priority="9945"/>
    <cfRule type="duplicateValues" dxfId="12680" priority="9946"/>
    <cfRule type="duplicateValues" dxfId="12679" priority="9947"/>
    <cfRule type="duplicateValues" dxfId="12678" priority="9948"/>
    <cfRule type="duplicateValues" dxfId="12677" priority="9949"/>
    <cfRule type="duplicateValues" dxfId="12676" priority="9950"/>
    <cfRule type="duplicateValues" dxfId="12675" priority="9951"/>
    <cfRule type="duplicateValues" dxfId="12674" priority="9952"/>
    <cfRule type="duplicateValues" dxfId="12673" priority="9953"/>
    <cfRule type="duplicateValues" dxfId="12672" priority="9954"/>
    <cfRule type="duplicateValues" dxfId="12671" priority="9955"/>
    <cfRule type="duplicateValues" dxfId="12670" priority="9956"/>
    <cfRule type="duplicateValues" dxfId="12669" priority="9957"/>
    <cfRule type="duplicateValues" dxfId="12668" priority="9958"/>
    <cfRule type="duplicateValues" dxfId="12667" priority="9959"/>
    <cfRule type="duplicateValues" dxfId="12666" priority="9960"/>
    <cfRule type="duplicateValues" dxfId="12665" priority="9961"/>
    <cfRule type="duplicateValues" dxfId="12664" priority="9962"/>
    <cfRule type="duplicateValues" dxfId="12663" priority="9963"/>
    <cfRule type="duplicateValues" dxfId="12662" priority="9964"/>
    <cfRule type="duplicateValues" dxfId="12661" priority="9965"/>
    <cfRule type="duplicateValues" dxfId="12660" priority="9966"/>
    <cfRule type="duplicateValues" dxfId="12659" priority="9967"/>
    <cfRule type="duplicateValues" dxfId="12658" priority="9968"/>
    <cfRule type="duplicateValues" dxfId="12657" priority="9969"/>
    <cfRule type="duplicateValues" dxfId="12656" priority="9970"/>
    <cfRule type="duplicateValues" dxfId="12655" priority="9971"/>
    <cfRule type="duplicateValues" dxfId="12654" priority="9972"/>
    <cfRule type="duplicateValues" dxfId="12653" priority="9973"/>
    <cfRule type="duplicateValues" dxfId="12652" priority="9974"/>
    <cfRule type="duplicateValues" dxfId="12651" priority="9975"/>
    <cfRule type="duplicateValues" dxfId="12650" priority="9976"/>
    <cfRule type="duplicateValues" dxfId="12649" priority="9977"/>
    <cfRule type="duplicateValues" dxfId="12648" priority="9978"/>
    <cfRule type="duplicateValues" dxfId="12647" priority="9979"/>
    <cfRule type="duplicateValues" dxfId="12646" priority="9980"/>
    <cfRule type="duplicateValues" dxfId="12645" priority="9981"/>
    <cfRule type="duplicateValues" dxfId="12644" priority="9982"/>
    <cfRule type="duplicateValues" dxfId="12643" priority="9983"/>
    <cfRule type="duplicateValues" dxfId="12642" priority="9984"/>
    <cfRule type="duplicateValues" dxfId="12641" priority="9985"/>
    <cfRule type="duplicateValues" dxfId="12640" priority="9986"/>
    <cfRule type="duplicateValues" dxfId="12639" priority="9987"/>
    <cfRule type="duplicateValues" dxfId="12638" priority="9988"/>
    <cfRule type="duplicateValues" dxfId="12637" priority="9989"/>
    <cfRule type="duplicateValues" dxfId="12636" priority="9990"/>
    <cfRule type="duplicateValues" dxfId="12635" priority="9991"/>
    <cfRule type="duplicateValues" dxfId="12634" priority="9992"/>
    <cfRule type="duplicateValues" dxfId="12633" priority="9993"/>
    <cfRule type="duplicateValues" dxfId="12632" priority="9994"/>
    <cfRule type="duplicateValues" dxfId="12631" priority="9995"/>
    <cfRule type="duplicateValues" dxfId="12630" priority="9996"/>
    <cfRule type="duplicateValues" dxfId="12629" priority="9997"/>
    <cfRule type="duplicateValues" dxfId="12628" priority="9998"/>
    <cfRule type="duplicateValues" dxfId="12627" priority="9999"/>
    <cfRule type="duplicateValues" dxfId="12626" priority="10000"/>
    <cfRule type="duplicateValues" dxfId="12625" priority="10001"/>
    <cfRule type="duplicateValues" dxfId="12624" priority="10002"/>
    <cfRule type="duplicateValues" dxfId="12623" priority="10003"/>
    <cfRule type="duplicateValues" dxfId="12622" priority="10004"/>
    <cfRule type="duplicateValues" dxfId="12621" priority="10005"/>
    <cfRule type="duplicateValues" dxfId="12620" priority="10006"/>
    <cfRule type="duplicateValues" dxfId="12619" priority="10007"/>
    <cfRule type="duplicateValues" dxfId="12618" priority="10008"/>
    <cfRule type="duplicateValues" dxfId="12617" priority="10009"/>
    <cfRule type="duplicateValues" dxfId="12616" priority="10010"/>
    <cfRule type="duplicateValues" dxfId="12615" priority="10011"/>
    <cfRule type="duplicateValues" dxfId="12614" priority="10012"/>
    <cfRule type="duplicateValues" dxfId="12613" priority="10013"/>
    <cfRule type="duplicateValues" dxfId="12612" priority="10014"/>
    <cfRule type="duplicateValues" dxfId="12611" priority="10015"/>
    <cfRule type="duplicateValues" dxfId="12610" priority="10016"/>
    <cfRule type="duplicateValues" dxfId="12609" priority="10017"/>
    <cfRule type="duplicateValues" dxfId="12608" priority="10018"/>
    <cfRule type="duplicateValues" dxfId="12607" priority="10019"/>
    <cfRule type="duplicateValues" dxfId="12606" priority="10020"/>
    <cfRule type="duplicateValues" dxfId="12605" priority="10021"/>
    <cfRule type="duplicateValues" dxfId="12604" priority="10022"/>
    <cfRule type="duplicateValues" dxfId="12603" priority="10023"/>
    <cfRule type="duplicateValues" dxfId="12602" priority="10024"/>
    <cfRule type="duplicateValues" dxfId="12601" priority="10025"/>
    <cfRule type="duplicateValues" dxfId="12600" priority="10026"/>
    <cfRule type="duplicateValues" dxfId="12599" priority="10027"/>
    <cfRule type="duplicateValues" dxfId="12598" priority="10028"/>
    <cfRule type="duplicateValues" dxfId="12597" priority="10029"/>
  </conditionalFormatting>
  <conditionalFormatting sqref="B277">
    <cfRule type="duplicateValues" dxfId="12596" priority="9935"/>
    <cfRule type="duplicateValues" dxfId="12595" priority="9934"/>
    <cfRule type="duplicateValues" dxfId="12594" priority="9933"/>
    <cfRule type="duplicateValues" dxfId="12593" priority="9932"/>
    <cfRule type="duplicateValues" dxfId="12592" priority="9931"/>
    <cfRule type="duplicateValues" dxfId="12591" priority="9930"/>
    <cfRule type="duplicateValues" dxfId="12590" priority="9929"/>
    <cfRule type="duplicateValues" dxfId="12589" priority="9928"/>
    <cfRule type="duplicateValues" dxfId="12588" priority="9927"/>
    <cfRule type="duplicateValues" dxfId="12587" priority="9926"/>
    <cfRule type="duplicateValues" dxfId="12586" priority="9925"/>
    <cfRule type="duplicateValues" dxfId="12585" priority="9924"/>
    <cfRule type="duplicateValues" dxfId="12584" priority="9923"/>
    <cfRule type="duplicateValues" dxfId="12583" priority="9922"/>
    <cfRule type="duplicateValues" dxfId="12582" priority="9921"/>
    <cfRule type="duplicateValues" dxfId="12581" priority="9920"/>
    <cfRule type="duplicateValues" dxfId="12580" priority="9919"/>
    <cfRule type="duplicateValues" dxfId="12579" priority="9918"/>
    <cfRule type="duplicateValues" dxfId="12578" priority="9917"/>
    <cfRule type="duplicateValues" dxfId="12577" priority="9916"/>
    <cfRule type="duplicateValues" dxfId="12576" priority="9915"/>
    <cfRule type="duplicateValues" dxfId="12575" priority="9914"/>
    <cfRule type="duplicateValues" dxfId="12574" priority="9913"/>
    <cfRule type="duplicateValues" dxfId="12573" priority="9912"/>
    <cfRule type="duplicateValues" dxfId="12572" priority="9911"/>
    <cfRule type="duplicateValues" dxfId="12571" priority="9910"/>
    <cfRule type="duplicateValues" dxfId="12570" priority="9909"/>
    <cfRule type="duplicateValues" dxfId="12569" priority="9908"/>
    <cfRule type="duplicateValues" dxfId="12568" priority="9907"/>
    <cfRule type="duplicateValues" dxfId="12567" priority="9906"/>
    <cfRule type="duplicateValues" dxfId="12566" priority="9905"/>
    <cfRule type="duplicateValues" dxfId="12565" priority="9904"/>
    <cfRule type="duplicateValues" dxfId="12564" priority="9903"/>
    <cfRule type="duplicateValues" dxfId="12563" priority="9902"/>
    <cfRule type="duplicateValues" dxfId="12562" priority="9901"/>
    <cfRule type="duplicateValues" dxfId="12561" priority="9900"/>
    <cfRule type="duplicateValues" dxfId="12560" priority="9899"/>
    <cfRule type="duplicateValues" dxfId="12559" priority="9898"/>
    <cfRule type="duplicateValues" dxfId="12558" priority="9897"/>
    <cfRule type="duplicateValues" dxfId="12557" priority="9896"/>
    <cfRule type="duplicateValues" dxfId="12556" priority="9895"/>
    <cfRule type="duplicateValues" dxfId="12555" priority="9894"/>
    <cfRule type="duplicateValues" dxfId="12554" priority="9893"/>
    <cfRule type="duplicateValues" dxfId="12553" priority="9892"/>
    <cfRule type="duplicateValues" dxfId="12552" priority="9891"/>
    <cfRule type="duplicateValues" dxfId="12551" priority="9890"/>
    <cfRule type="duplicateValues" dxfId="12550" priority="9889"/>
    <cfRule type="duplicateValues" dxfId="12549" priority="9888"/>
    <cfRule type="duplicateValues" dxfId="12548" priority="9887"/>
    <cfRule type="duplicateValues" dxfId="12547" priority="9886"/>
    <cfRule type="duplicateValues" dxfId="12546" priority="9885"/>
    <cfRule type="duplicateValues" dxfId="12545" priority="9884"/>
    <cfRule type="duplicateValues" dxfId="12544" priority="9883"/>
    <cfRule type="duplicateValues" dxfId="12543" priority="9882"/>
    <cfRule type="duplicateValues" dxfId="12542" priority="9881"/>
    <cfRule type="duplicateValues" dxfId="12541" priority="9880"/>
    <cfRule type="duplicateValues" dxfId="12540" priority="9879"/>
    <cfRule type="duplicateValues" dxfId="12539" priority="9878"/>
    <cfRule type="duplicateValues" dxfId="12538" priority="9877"/>
    <cfRule type="duplicateValues" dxfId="12537" priority="9830"/>
    <cfRule type="duplicateValues" dxfId="12536" priority="9750"/>
    <cfRule type="duplicateValues" dxfId="12535" priority="9751"/>
    <cfRule type="duplicateValues" dxfId="12534" priority="9752"/>
    <cfRule type="duplicateValues" dxfId="12533" priority="9753"/>
    <cfRule type="duplicateValues" dxfId="12532" priority="9754"/>
    <cfRule type="duplicateValues" dxfId="12531" priority="9755"/>
    <cfRule type="duplicateValues" dxfId="12530" priority="9756"/>
    <cfRule type="duplicateValues" dxfId="12529" priority="9757"/>
    <cfRule type="duplicateValues" dxfId="12528" priority="9758"/>
    <cfRule type="duplicateValues" dxfId="12527" priority="9759"/>
    <cfRule type="duplicateValues" dxfId="12526" priority="9760"/>
    <cfRule type="duplicateValues" dxfId="12525" priority="9761"/>
    <cfRule type="duplicateValues" dxfId="12524" priority="9762"/>
    <cfRule type="duplicateValues" dxfId="12523" priority="9763"/>
    <cfRule type="duplicateValues" dxfId="12522" priority="9764"/>
    <cfRule type="duplicateValues" dxfId="12521" priority="9765"/>
    <cfRule type="duplicateValues" dxfId="12520" priority="9766"/>
    <cfRule type="duplicateValues" dxfId="12519" priority="9767"/>
    <cfRule type="duplicateValues" dxfId="12518" priority="9768"/>
    <cfRule type="duplicateValues" dxfId="12517" priority="9769"/>
    <cfRule type="duplicateValues" dxfId="12516" priority="9770"/>
    <cfRule type="duplicateValues" dxfId="12515" priority="9771"/>
    <cfRule type="duplicateValues" dxfId="12514" priority="9772"/>
    <cfRule type="duplicateValues" dxfId="12513" priority="9773"/>
    <cfRule type="duplicateValues" dxfId="12512" priority="9774"/>
    <cfRule type="duplicateValues" dxfId="12511" priority="9775"/>
    <cfRule type="duplicateValues" dxfId="12510" priority="9776"/>
    <cfRule type="duplicateValues" dxfId="12509" priority="9777"/>
    <cfRule type="duplicateValues" dxfId="12508" priority="9778"/>
    <cfRule type="duplicateValues" dxfId="12507" priority="9779"/>
    <cfRule type="duplicateValues" dxfId="12506" priority="9780"/>
    <cfRule type="duplicateValues" dxfId="12505" priority="9781"/>
    <cfRule type="duplicateValues" dxfId="12504" priority="9782"/>
    <cfRule type="duplicateValues" dxfId="12503" priority="9783"/>
    <cfRule type="duplicateValues" dxfId="12502" priority="9784"/>
    <cfRule type="duplicateValues" dxfId="12501" priority="9785"/>
    <cfRule type="duplicateValues" dxfId="12500" priority="9786"/>
    <cfRule type="duplicateValues" dxfId="12499" priority="9787"/>
    <cfRule type="duplicateValues" dxfId="12498" priority="9788"/>
    <cfRule type="duplicateValues" dxfId="12497" priority="9789"/>
    <cfRule type="duplicateValues" dxfId="12496" priority="9790"/>
    <cfRule type="duplicateValues" dxfId="12495" priority="9791"/>
    <cfRule type="duplicateValues" dxfId="12494" priority="9792"/>
    <cfRule type="duplicateValues" dxfId="12493" priority="9793"/>
    <cfRule type="duplicateValues" dxfId="12492" priority="9794"/>
    <cfRule type="duplicateValues" dxfId="12491" priority="9795"/>
    <cfRule type="duplicateValues" dxfId="12490" priority="9796"/>
    <cfRule type="duplicateValues" dxfId="12489" priority="9797"/>
    <cfRule type="duplicateValues" dxfId="12488" priority="9798"/>
    <cfRule type="duplicateValues" dxfId="12487" priority="9799"/>
    <cfRule type="duplicateValues" dxfId="12486" priority="9800"/>
    <cfRule type="duplicateValues" dxfId="12485" priority="9801"/>
    <cfRule type="duplicateValues" dxfId="12484" priority="9802"/>
    <cfRule type="duplicateValues" dxfId="12483" priority="9803"/>
    <cfRule type="duplicateValues" dxfId="12482" priority="9804"/>
    <cfRule type="duplicateValues" dxfId="12481" priority="9805"/>
    <cfRule type="duplicateValues" dxfId="12480" priority="9806"/>
    <cfRule type="duplicateValues" dxfId="12479" priority="9807"/>
    <cfRule type="duplicateValues" dxfId="12478" priority="9808"/>
    <cfRule type="duplicateValues" dxfId="12477" priority="9809"/>
    <cfRule type="duplicateValues" dxfId="12476" priority="9810"/>
    <cfRule type="duplicateValues" dxfId="12475" priority="9811"/>
    <cfRule type="duplicateValues" dxfId="12474" priority="9812"/>
    <cfRule type="duplicateValues" dxfId="12473" priority="9813"/>
    <cfRule type="duplicateValues" dxfId="12472" priority="9814"/>
    <cfRule type="duplicateValues" dxfId="12471" priority="9815"/>
    <cfRule type="duplicateValues" dxfId="12470" priority="9816"/>
    <cfRule type="duplicateValues" dxfId="12469" priority="9817"/>
    <cfRule type="duplicateValues" dxfId="12468" priority="9818"/>
    <cfRule type="duplicateValues" dxfId="12467" priority="9819"/>
    <cfRule type="duplicateValues" dxfId="12466" priority="9820"/>
    <cfRule type="duplicateValues" dxfId="12465" priority="9821"/>
    <cfRule type="duplicateValues" dxfId="12464" priority="9822"/>
    <cfRule type="duplicateValues" dxfId="12463" priority="9823"/>
    <cfRule type="duplicateValues" dxfId="12462" priority="9824"/>
    <cfRule type="duplicateValues" dxfId="12461" priority="9825"/>
    <cfRule type="duplicateValues" dxfId="12460" priority="9826"/>
    <cfRule type="duplicateValues" dxfId="12459" priority="9827"/>
    <cfRule type="duplicateValues" dxfId="12458" priority="9828"/>
    <cfRule type="duplicateValues" dxfId="12457" priority="9829"/>
    <cfRule type="duplicateValues" dxfId="12456" priority="9831"/>
    <cfRule type="duplicateValues" dxfId="12455" priority="9832"/>
    <cfRule type="duplicateValues" dxfId="12454" priority="9833"/>
    <cfRule type="duplicateValues" dxfId="12453" priority="9834"/>
    <cfRule type="duplicateValues" dxfId="12452" priority="9835"/>
    <cfRule type="duplicateValues" dxfId="12451" priority="9836"/>
    <cfRule type="duplicateValues" dxfId="12450" priority="9837"/>
    <cfRule type="duplicateValues" dxfId="12449" priority="9838"/>
    <cfRule type="duplicateValues" dxfId="12448" priority="9839"/>
    <cfRule type="duplicateValues" dxfId="12447" priority="9840"/>
    <cfRule type="duplicateValues" dxfId="12446" priority="9841"/>
    <cfRule type="duplicateValues" dxfId="12445" priority="9842"/>
    <cfRule type="duplicateValues" dxfId="12444" priority="9843"/>
    <cfRule type="duplicateValues" dxfId="12443" priority="9844"/>
    <cfRule type="duplicateValues" dxfId="12442" priority="9845"/>
    <cfRule type="duplicateValues" dxfId="12441" priority="9846"/>
    <cfRule type="duplicateValues" dxfId="12440" priority="9847"/>
    <cfRule type="duplicateValues" dxfId="12439" priority="9848"/>
    <cfRule type="duplicateValues" dxfId="12438" priority="9849"/>
    <cfRule type="duplicateValues" dxfId="12437" priority="9850"/>
    <cfRule type="duplicateValues" dxfId="12436" priority="9851"/>
    <cfRule type="duplicateValues" dxfId="12435" priority="9852"/>
    <cfRule type="duplicateValues" dxfId="12434" priority="9853"/>
    <cfRule type="duplicateValues" dxfId="12433" priority="9854"/>
    <cfRule type="duplicateValues" dxfId="12432" priority="9855"/>
    <cfRule type="duplicateValues" dxfId="12431" priority="9856"/>
    <cfRule type="duplicateValues" dxfId="12430" priority="9857"/>
    <cfRule type="duplicateValues" dxfId="12429" priority="9858"/>
    <cfRule type="duplicateValues" dxfId="12428" priority="9859"/>
    <cfRule type="duplicateValues" dxfId="12427" priority="9860"/>
    <cfRule type="duplicateValues" dxfId="12426" priority="9861"/>
    <cfRule type="duplicateValues" dxfId="12425" priority="9862"/>
    <cfRule type="duplicateValues" dxfId="12424" priority="9863"/>
    <cfRule type="duplicateValues" dxfId="12423" priority="9864"/>
    <cfRule type="duplicateValues" dxfId="12422" priority="9865"/>
    <cfRule type="duplicateValues" dxfId="12421" priority="9866"/>
    <cfRule type="duplicateValues" dxfId="12420" priority="9867"/>
    <cfRule type="duplicateValues" dxfId="12419" priority="9868"/>
    <cfRule type="duplicateValues" dxfId="12418" priority="9869"/>
    <cfRule type="duplicateValues" dxfId="12417" priority="9870"/>
    <cfRule type="duplicateValues" dxfId="12416" priority="9871"/>
    <cfRule type="duplicateValues" dxfId="12415" priority="9872"/>
    <cfRule type="duplicateValues" dxfId="12414" priority="9873"/>
    <cfRule type="duplicateValues" dxfId="12413" priority="9874"/>
    <cfRule type="duplicateValues" dxfId="12412" priority="9875"/>
    <cfRule type="duplicateValues" dxfId="12411" priority="9876"/>
    <cfRule type="duplicateValues" dxfId="12410" priority="9936"/>
    <cfRule type="duplicateValues" dxfId="12409" priority="9749"/>
  </conditionalFormatting>
  <conditionalFormatting sqref="B278">
    <cfRule type="duplicateValues" dxfId="12408" priority="9691"/>
    <cfRule type="duplicateValues" dxfId="12407" priority="9690"/>
    <cfRule type="duplicateValues" dxfId="12406" priority="9689"/>
    <cfRule type="duplicateValues" dxfId="12405" priority="9688"/>
    <cfRule type="duplicateValues" dxfId="12404" priority="9687"/>
    <cfRule type="duplicateValues" dxfId="12403" priority="9686"/>
    <cfRule type="duplicateValues" dxfId="12402" priority="9685"/>
    <cfRule type="duplicateValues" dxfId="12401" priority="9684"/>
    <cfRule type="duplicateValues" dxfId="12400" priority="9683"/>
    <cfRule type="duplicateValues" dxfId="12399" priority="9682"/>
    <cfRule type="duplicateValues" dxfId="12398" priority="9681"/>
    <cfRule type="duplicateValues" dxfId="12397" priority="9680"/>
    <cfRule type="duplicateValues" dxfId="12396" priority="9679"/>
    <cfRule type="duplicateValues" dxfId="12395" priority="9678"/>
    <cfRule type="duplicateValues" dxfId="12394" priority="9677"/>
    <cfRule type="duplicateValues" dxfId="12393" priority="9676"/>
    <cfRule type="duplicateValues" dxfId="12392" priority="9675"/>
    <cfRule type="duplicateValues" dxfId="12391" priority="9674"/>
    <cfRule type="duplicateValues" dxfId="12390" priority="9673"/>
    <cfRule type="duplicateValues" dxfId="12389" priority="9672"/>
    <cfRule type="duplicateValues" dxfId="12388" priority="9671"/>
    <cfRule type="duplicateValues" dxfId="12387" priority="9670"/>
    <cfRule type="duplicateValues" dxfId="12386" priority="9669"/>
    <cfRule type="duplicateValues" dxfId="12385" priority="9668"/>
    <cfRule type="duplicateValues" dxfId="12384" priority="9667"/>
    <cfRule type="duplicateValues" dxfId="12383" priority="9666"/>
    <cfRule type="duplicateValues" dxfId="12382" priority="9665"/>
    <cfRule type="duplicateValues" dxfId="12381" priority="9664"/>
    <cfRule type="duplicateValues" dxfId="12380" priority="9663"/>
    <cfRule type="duplicateValues" dxfId="12379" priority="9662"/>
    <cfRule type="duplicateValues" dxfId="12378" priority="9661"/>
    <cfRule type="duplicateValues" dxfId="12377" priority="9660"/>
    <cfRule type="duplicateValues" dxfId="12376" priority="9659"/>
    <cfRule type="duplicateValues" dxfId="12375" priority="9658"/>
    <cfRule type="duplicateValues" dxfId="12374" priority="9563"/>
    <cfRule type="duplicateValues" dxfId="12373" priority="9561"/>
    <cfRule type="duplicateValues" dxfId="12372" priority="9564"/>
    <cfRule type="duplicateValues" dxfId="12371" priority="9565"/>
    <cfRule type="duplicateValues" dxfId="12370" priority="9566"/>
    <cfRule type="duplicateValues" dxfId="12369" priority="9567"/>
    <cfRule type="duplicateValues" dxfId="12368" priority="9568"/>
    <cfRule type="duplicateValues" dxfId="12367" priority="9569"/>
    <cfRule type="duplicateValues" dxfId="12366" priority="9570"/>
    <cfRule type="duplicateValues" dxfId="12365" priority="9571"/>
    <cfRule type="duplicateValues" dxfId="12364" priority="9572"/>
    <cfRule type="duplicateValues" dxfId="12363" priority="9573"/>
    <cfRule type="duplicateValues" dxfId="12362" priority="9574"/>
    <cfRule type="duplicateValues" dxfId="12361" priority="9575"/>
    <cfRule type="duplicateValues" dxfId="12360" priority="9576"/>
    <cfRule type="duplicateValues" dxfId="12359" priority="9577"/>
    <cfRule type="duplicateValues" dxfId="12358" priority="9578"/>
    <cfRule type="duplicateValues" dxfId="12357" priority="9579"/>
    <cfRule type="duplicateValues" dxfId="12356" priority="9580"/>
    <cfRule type="duplicateValues" dxfId="12355" priority="9581"/>
    <cfRule type="duplicateValues" dxfId="12354" priority="9582"/>
    <cfRule type="duplicateValues" dxfId="12353" priority="9583"/>
    <cfRule type="duplicateValues" dxfId="12352" priority="9584"/>
    <cfRule type="duplicateValues" dxfId="12351" priority="9585"/>
    <cfRule type="duplicateValues" dxfId="12350" priority="9657"/>
    <cfRule type="duplicateValues" dxfId="12349" priority="9586"/>
    <cfRule type="duplicateValues" dxfId="12348" priority="9587"/>
    <cfRule type="duplicateValues" dxfId="12347" priority="9588"/>
    <cfRule type="duplicateValues" dxfId="12346" priority="9589"/>
    <cfRule type="duplicateValues" dxfId="12345" priority="9590"/>
    <cfRule type="duplicateValues" dxfId="12344" priority="9591"/>
    <cfRule type="duplicateValues" dxfId="12343" priority="9592"/>
    <cfRule type="duplicateValues" dxfId="12342" priority="9593"/>
    <cfRule type="duplicateValues" dxfId="12341" priority="9594"/>
    <cfRule type="duplicateValues" dxfId="12340" priority="9595"/>
    <cfRule type="duplicateValues" dxfId="12339" priority="9596"/>
    <cfRule type="duplicateValues" dxfId="12338" priority="9597"/>
    <cfRule type="duplicateValues" dxfId="12337" priority="9598"/>
    <cfRule type="duplicateValues" dxfId="12336" priority="9599"/>
    <cfRule type="duplicateValues" dxfId="12335" priority="9600"/>
    <cfRule type="duplicateValues" dxfId="12334" priority="9601"/>
    <cfRule type="duplicateValues" dxfId="12333" priority="9602"/>
    <cfRule type="duplicateValues" dxfId="12332" priority="9603"/>
    <cfRule type="duplicateValues" dxfId="12331" priority="9604"/>
    <cfRule type="duplicateValues" dxfId="12330" priority="9605"/>
    <cfRule type="duplicateValues" dxfId="12329" priority="9606"/>
    <cfRule type="duplicateValues" dxfId="12328" priority="9607"/>
    <cfRule type="duplicateValues" dxfId="12327" priority="9608"/>
    <cfRule type="duplicateValues" dxfId="12326" priority="9609"/>
    <cfRule type="duplicateValues" dxfId="12325" priority="9610"/>
    <cfRule type="duplicateValues" dxfId="12324" priority="9611"/>
    <cfRule type="duplicateValues" dxfId="12323" priority="9612"/>
    <cfRule type="duplicateValues" dxfId="12322" priority="9613"/>
    <cfRule type="duplicateValues" dxfId="12321" priority="9614"/>
    <cfRule type="duplicateValues" dxfId="12320" priority="9615"/>
    <cfRule type="duplicateValues" dxfId="12319" priority="9616"/>
    <cfRule type="duplicateValues" dxfId="12318" priority="9617"/>
    <cfRule type="duplicateValues" dxfId="12317" priority="9618"/>
    <cfRule type="duplicateValues" dxfId="12316" priority="9619"/>
    <cfRule type="duplicateValues" dxfId="12315" priority="9620"/>
    <cfRule type="duplicateValues" dxfId="12314" priority="9621"/>
    <cfRule type="duplicateValues" dxfId="12313" priority="9622"/>
    <cfRule type="duplicateValues" dxfId="12312" priority="9623"/>
    <cfRule type="duplicateValues" dxfId="12311" priority="9624"/>
    <cfRule type="duplicateValues" dxfId="12310" priority="9625"/>
    <cfRule type="duplicateValues" dxfId="12309" priority="9626"/>
    <cfRule type="duplicateValues" dxfId="12308" priority="9627"/>
    <cfRule type="duplicateValues" dxfId="12307" priority="9628"/>
    <cfRule type="duplicateValues" dxfId="12306" priority="9629"/>
    <cfRule type="duplicateValues" dxfId="12305" priority="9630"/>
    <cfRule type="duplicateValues" dxfId="12304" priority="9631"/>
    <cfRule type="duplicateValues" dxfId="12303" priority="9632"/>
    <cfRule type="duplicateValues" dxfId="12302" priority="9633"/>
    <cfRule type="duplicateValues" dxfId="12301" priority="9634"/>
    <cfRule type="duplicateValues" dxfId="12300" priority="9635"/>
    <cfRule type="duplicateValues" dxfId="12299" priority="9636"/>
    <cfRule type="duplicateValues" dxfId="12298" priority="9637"/>
    <cfRule type="duplicateValues" dxfId="12297" priority="9638"/>
    <cfRule type="duplicateValues" dxfId="12296" priority="9639"/>
    <cfRule type="duplicateValues" dxfId="12295" priority="9640"/>
    <cfRule type="duplicateValues" dxfId="12294" priority="9641"/>
    <cfRule type="duplicateValues" dxfId="12293" priority="9642"/>
    <cfRule type="duplicateValues" dxfId="12292" priority="9643"/>
    <cfRule type="duplicateValues" dxfId="12291" priority="9644"/>
    <cfRule type="duplicateValues" dxfId="12290" priority="9645"/>
    <cfRule type="duplicateValues" dxfId="12289" priority="9646"/>
    <cfRule type="duplicateValues" dxfId="12288" priority="9647"/>
    <cfRule type="duplicateValues" dxfId="12287" priority="9648"/>
    <cfRule type="duplicateValues" dxfId="12286" priority="9649"/>
    <cfRule type="duplicateValues" dxfId="12285" priority="9650"/>
    <cfRule type="duplicateValues" dxfId="12284" priority="9651"/>
    <cfRule type="duplicateValues" dxfId="12283" priority="9652"/>
    <cfRule type="duplicateValues" dxfId="12282" priority="9653"/>
    <cfRule type="duplicateValues" dxfId="12281" priority="9654"/>
    <cfRule type="duplicateValues" dxfId="12280" priority="9700"/>
    <cfRule type="duplicateValues" dxfId="12279" priority="9701"/>
    <cfRule type="duplicateValues" dxfId="12278" priority="9702"/>
    <cfRule type="duplicateValues" dxfId="12277" priority="9703"/>
    <cfRule type="duplicateValues" dxfId="12276" priority="9704"/>
    <cfRule type="duplicateValues" dxfId="12275" priority="9705"/>
    <cfRule type="duplicateValues" dxfId="12274" priority="9706"/>
    <cfRule type="duplicateValues" dxfId="12273" priority="9707"/>
    <cfRule type="duplicateValues" dxfId="12272" priority="9708"/>
    <cfRule type="duplicateValues" dxfId="12271" priority="9709"/>
    <cfRule type="duplicateValues" dxfId="12270" priority="9710"/>
    <cfRule type="duplicateValues" dxfId="12269" priority="9711"/>
    <cfRule type="duplicateValues" dxfId="12268" priority="9562"/>
    <cfRule type="duplicateValues" dxfId="12267" priority="9712"/>
    <cfRule type="duplicateValues" dxfId="12266" priority="9713"/>
    <cfRule type="duplicateValues" dxfId="12265" priority="9714"/>
    <cfRule type="duplicateValues" dxfId="12264" priority="9715"/>
    <cfRule type="duplicateValues" dxfId="12263" priority="9716"/>
    <cfRule type="duplicateValues" dxfId="12262" priority="9717"/>
    <cfRule type="duplicateValues" dxfId="12261" priority="9718"/>
    <cfRule type="duplicateValues" dxfId="12260" priority="9719"/>
    <cfRule type="duplicateValues" dxfId="12259" priority="9720"/>
    <cfRule type="duplicateValues" dxfId="12258" priority="9721"/>
    <cfRule type="duplicateValues" dxfId="12257" priority="9722"/>
    <cfRule type="duplicateValues" dxfId="12256" priority="9723"/>
    <cfRule type="duplicateValues" dxfId="12255" priority="9724"/>
    <cfRule type="duplicateValues" dxfId="12254" priority="9725"/>
    <cfRule type="duplicateValues" dxfId="12253" priority="9726"/>
    <cfRule type="duplicateValues" dxfId="12252" priority="9727"/>
    <cfRule type="duplicateValues" dxfId="12251" priority="9728"/>
    <cfRule type="duplicateValues" dxfId="12250" priority="9729"/>
    <cfRule type="duplicateValues" dxfId="12249" priority="9730"/>
    <cfRule type="duplicateValues" dxfId="12248" priority="9731"/>
    <cfRule type="duplicateValues" dxfId="12247" priority="9732"/>
    <cfRule type="duplicateValues" dxfId="12246" priority="9733"/>
    <cfRule type="duplicateValues" dxfId="12245" priority="9734"/>
    <cfRule type="duplicateValues" dxfId="12244" priority="9735"/>
    <cfRule type="duplicateValues" dxfId="12243" priority="9736"/>
    <cfRule type="duplicateValues" dxfId="12242" priority="9737"/>
    <cfRule type="duplicateValues" dxfId="12241" priority="9738"/>
    <cfRule type="duplicateValues" dxfId="12240" priority="9739"/>
    <cfRule type="duplicateValues" dxfId="12239" priority="9740"/>
    <cfRule type="duplicateValues" dxfId="12238" priority="9741"/>
    <cfRule type="duplicateValues" dxfId="12237" priority="9742"/>
    <cfRule type="duplicateValues" dxfId="12236" priority="9743"/>
    <cfRule type="duplicateValues" dxfId="12235" priority="9744"/>
    <cfRule type="duplicateValues" dxfId="12234" priority="9745"/>
    <cfRule type="duplicateValues" dxfId="12233" priority="9746"/>
    <cfRule type="duplicateValues" dxfId="12232" priority="9747"/>
    <cfRule type="duplicateValues" dxfId="12231" priority="9748"/>
    <cfRule type="duplicateValues" dxfId="12230" priority="9655"/>
    <cfRule type="duplicateValues" dxfId="12229" priority="9656"/>
    <cfRule type="duplicateValues" dxfId="12228" priority="9692"/>
    <cfRule type="duplicateValues" dxfId="12227" priority="9693"/>
    <cfRule type="duplicateValues" dxfId="12226" priority="9694"/>
    <cfRule type="duplicateValues" dxfId="12225" priority="9695"/>
    <cfRule type="duplicateValues" dxfId="12224" priority="9696"/>
    <cfRule type="duplicateValues" dxfId="12223" priority="9697"/>
    <cfRule type="duplicateValues" dxfId="12222" priority="9698"/>
    <cfRule type="duplicateValues" dxfId="12221" priority="9699"/>
  </conditionalFormatting>
  <conditionalFormatting sqref="B279:B280">
    <cfRule type="duplicateValues" dxfId="12220" priority="9374"/>
    <cfRule type="duplicateValues" dxfId="12219" priority="9373"/>
    <cfRule type="duplicateValues" dxfId="12218" priority="9375"/>
    <cfRule type="duplicateValues" dxfId="12217" priority="9376"/>
    <cfRule type="duplicateValues" dxfId="12216" priority="9377"/>
    <cfRule type="duplicateValues" dxfId="12215" priority="9378"/>
    <cfRule type="duplicateValues" dxfId="12214" priority="9379"/>
    <cfRule type="duplicateValues" dxfId="12213" priority="9380"/>
    <cfRule type="duplicateValues" dxfId="12212" priority="9381"/>
    <cfRule type="duplicateValues" dxfId="12211" priority="9382"/>
    <cfRule type="duplicateValues" dxfId="12210" priority="9383"/>
    <cfRule type="duplicateValues" dxfId="12209" priority="9384"/>
    <cfRule type="duplicateValues" dxfId="12208" priority="9385"/>
    <cfRule type="duplicateValues" dxfId="12207" priority="9386"/>
    <cfRule type="duplicateValues" dxfId="12206" priority="9387"/>
    <cfRule type="duplicateValues" dxfId="12205" priority="9388"/>
    <cfRule type="duplicateValues" dxfId="12204" priority="9389"/>
    <cfRule type="duplicateValues" dxfId="12203" priority="9390"/>
    <cfRule type="duplicateValues" dxfId="12202" priority="9391"/>
    <cfRule type="duplicateValues" dxfId="12201" priority="9392"/>
    <cfRule type="duplicateValues" dxfId="12200" priority="9393"/>
    <cfRule type="duplicateValues" dxfId="12199" priority="9394"/>
    <cfRule type="duplicateValues" dxfId="12198" priority="9395"/>
    <cfRule type="duplicateValues" dxfId="12197" priority="9396"/>
    <cfRule type="duplicateValues" dxfId="12196" priority="9397"/>
    <cfRule type="duplicateValues" dxfId="12195" priority="9398"/>
    <cfRule type="duplicateValues" dxfId="12194" priority="9399"/>
    <cfRule type="duplicateValues" dxfId="12193" priority="9400"/>
    <cfRule type="duplicateValues" dxfId="12192" priority="9401"/>
    <cfRule type="duplicateValues" dxfId="12191" priority="9402"/>
    <cfRule type="duplicateValues" dxfId="12190" priority="9403"/>
    <cfRule type="duplicateValues" dxfId="12189" priority="9404"/>
    <cfRule type="duplicateValues" dxfId="12188" priority="9405"/>
    <cfRule type="duplicateValues" dxfId="12187" priority="9406"/>
    <cfRule type="duplicateValues" dxfId="12186" priority="9407"/>
    <cfRule type="duplicateValues" dxfId="12185" priority="9408"/>
    <cfRule type="duplicateValues" dxfId="12184" priority="9409"/>
    <cfRule type="duplicateValues" dxfId="12183" priority="9410"/>
    <cfRule type="duplicateValues" dxfId="12182" priority="9411"/>
    <cfRule type="duplicateValues" dxfId="12181" priority="9412"/>
    <cfRule type="duplicateValues" dxfId="12180" priority="9413"/>
    <cfRule type="duplicateValues" dxfId="12179" priority="9414"/>
    <cfRule type="duplicateValues" dxfId="12178" priority="9415"/>
    <cfRule type="duplicateValues" dxfId="12177" priority="9416"/>
    <cfRule type="duplicateValues" dxfId="12176" priority="9417"/>
    <cfRule type="duplicateValues" dxfId="12175" priority="9418"/>
    <cfRule type="duplicateValues" dxfId="12174" priority="9419"/>
    <cfRule type="duplicateValues" dxfId="12173" priority="9420"/>
    <cfRule type="duplicateValues" dxfId="12172" priority="9421"/>
    <cfRule type="duplicateValues" dxfId="12171" priority="9422"/>
    <cfRule type="duplicateValues" dxfId="12170" priority="9423"/>
    <cfRule type="duplicateValues" dxfId="12169" priority="9424"/>
    <cfRule type="duplicateValues" dxfId="12168" priority="9425"/>
    <cfRule type="duplicateValues" dxfId="12167" priority="9426"/>
    <cfRule type="duplicateValues" dxfId="12166" priority="9427"/>
    <cfRule type="duplicateValues" dxfId="12165" priority="9428"/>
    <cfRule type="duplicateValues" dxfId="12164" priority="9429"/>
    <cfRule type="duplicateValues" dxfId="12163" priority="9430"/>
    <cfRule type="duplicateValues" dxfId="12162" priority="9431"/>
    <cfRule type="duplicateValues" dxfId="12161" priority="9432"/>
    <cfRule type="duplicateValues" dxfId="12160" priority="9433"/>
    <cfRule type="duplicateValues" dxfId="12159" priority="9434"/>
    <cfRule type="duplicateValues" dxfId="12158" priority="9435"/>
    <cfRule type="duplicateValues" dxfId="12157" priority="9436"/>
    <cfRule type="duplicateValues" dxfId="12156" priority="9437"/>
    <cfRule type="duplicateValues" dxfId="12155" priority="9438"/>
    <cfRule type="duplicateValues" dxfId="12154" priority="9439"/>
    <cfRule type="duplicateValues" dxfId="12153" priority="9440"/>
    <cfRule type="duplicateValues" dxfId="12152" priority="9441"/>
    <cfRule type="duplicateValues" dxfId="12151" priority="9442"/>
    <cfRule type="duplicateValues" dxfId="12150" priority="9443"/>
    <cfRule type="duplicateValues" dxfId="12149" priority="9444"/>
    <cfRule type="duplicateValues" dxfId="12148" priority="9445"/>
    <cfRule type="duplicateValues" dxfId="12147" priority="9446"/>
    <cfRule type="duplicateValues" dxfId="12146" priority="9447"/>
    <cfRule type="duplicateValues" dxfId="12145" priority="9448"/>
    <cfRule type="duplicateValues" dxfId="12144" priority="9449"/>
    <cfRule type="duplicateValues" dxfId="12143" priority="9450"/>
    <cfRule type="duplicateValues" dxfId="12142" priority="9451"/>
    <cfRule type="duplicateValues" dxfId="12141" priority="9452"/>
    <cfRule type="duplicateValues" dxfId="12140" priority="9453"/>
    <cfRule type="duplicateValues" dxfId="12139" priority="9454"/>
    <cfRule type="duplicateValues" dxfId="12138" priority="9455"/>
    <cfRule type="duplicateValues" dxfId="12137" priority="9456"/>
    <cfRule type="duplicateValues" dxfId="12136" priority="9457"/>
    <cfRule type="duplicateValues" dxfId="12135" priority="9458"/>
    <cfRule type="duplicateValues" dxfId="12134" priority="9459"/>
    <cfRule type="duplicateValues" dxfId="12133" priority="9460"/>
    <cfRule type="duplicateValues" dxfId="12132" priority="9461"/>
    <cfRule type="duplicateValues" dxfId="12131" priority="9462"/>
    <cfRule type="duplicateValues" dxfId="12130" priority="9463"/>
    <cfRule type="duplicateValues" dxfId="12129" priority="9464"/>
    <cfRule type="duplicateValues" dxfId="12128" priority="9465"/>
    <cfRule type="duplicateValues" dxfId="12127" priority="9466"/>
    <cfRule type="duplicateValues" dxfId="12126" priority="9467"/>
    <cfRule type="duplicateValues" dxfId="12125" priority="9468"/>
    <cfRule type="duplicateValues" dxfId="12124" priority="9469"/>
    <cfRule type="duplicateValues" dxfId="12123" priority="9470"/>
    <cfRule type="duplicateValues" dxfId="12122" priority="9471"/>
    <cfRule type="duplicateValues" dxfId="12121" priority="9472"/>
    <cfRule type="duplicateValues" dxfId="12120" priority="9473"/>
    <cfRule type="duplicateValues" dxfId="12119" priority="9474"/>
    <cfRule type="duplicateValues" dxfId="12118" priority="9475"/>
    <cfRule type="duplicateValues" dxfId="12117" priority="9476"/>
    <cfRule type="duplicateValues" dxfId="12116" priority="9477"/>
    <cfRule type="duplicateValues" dxfId="12115" priority="9478"/>
    <cfRule type="duplicateValues" dxfId="12114" priority="9479"/>
    <cfRule type="duplicateValues" dxfId="12113" priority="9480"/>
    <cfRule type="duplicateValues" dxfId="12112" priority="9481"/>
    <cfRule type="duplicateValues" dxfId="12111" priority="9482"/>
    <cfRule type="duplicateValues" dxfId="12110" priority="9483"/>
    <cfRule type="duplicateValues" dxfId="12109" priority="9484"/>
    <cfRule type="duplicateValues" dxfId="12108" priority="9485"/>
    <cfRule type="duplicateValues" dxfId="12107" priority="9486"/>
    <cfRule type="duplicateValues" dxfId="12106" priority="9487"/>
    <cfRule type="duplicateValues" dxfId="12105" priority="9488"/>
    <cfRule type="duplicateValues" dxfId="12104" priority="9489"/>
    <cfRule type="duplicateValues" dxfId="12103" priority="9490"/>
    <cfRule type="duplicateValues" dxfId="12102" priority="9491"/>
    <cfRule type="duplicateValues" dxfId="12101" priority="9492"/>
    <cfRule type="duplicateValues" dxfId="12100" priority="9493"/>
    <cfRule type="duplicateValues" dxfId="12099" priority="9494"/>
    <cfRule type="duplicateValues" dxfId="12098" priority="9495"/>
    <cfRule type="duplicateValues" dxfId="12097" priority="9496"/>
    <cfRule type="duplicateValues" dxfId="12096" priority="9497"/>
    <cfRule type="duplicateValues" dxfId="12095" priority="9498"/>
    <cfRule type="duplicateValues" dxfId="12094" priority="9499"/>
    <cfRule type="duplicateValues" dxfId="12093" priority="9500"/>
    <cfRule type="duplicateValues" dxfId="12092" priority="9522"/>
    <cfRule type="duplicateValues" dxfId="12091" priority="9501"/>
    <cfRule type="duplicateValues" dxfId="12090" priority="9502"/>
    <cfRule type="duplicateValues" dxfId="12089" priority="9503"/>
    <cfRule type="duplicateValues" dxfId="12088" priority="9504"/>
    <cfRule type="duplicateValues" dxfId="12087" priority="9505"/>
    <cfRule type="duplicateValues" dxfId="12086" priority="9506"/>
    <cfRule type="duplicateValues" dxfId="12085" priority="9507"/>
    <cfRule type="duplicateValues" dxfId="12084" priority="9508"/>
    <cfRule type="duplicateValues" dxfId="12083" priority="9509"/>
    <cfRule type="duplicateValues" dxfId="12082" priority="9510"/>
    <cfRule type="duplicateValues" dxfId="12081" priority="9511"/>
    <cfRule type="duplicateValues" dxfId="12080" priority="9512"/>
    <cfRule type="duplicateValues" dxfId="12079" priority="9513"/>
    <cfRule type="duplicateValues" dxfId="12078" priority="9514"/>
    <cfRule type="duplicateValues" dxfId="12077" priority="9515"/>
    <cfRule type="duplicateValues" dxfId="12076" priority="9516"/>
    <cfRule type="duplicateValues" dxfId="12075" priority="9517"/>
    <cfRule type="duplicateValues" dxfId="12074" priority="9518"/>
    <cfRule type="duplicateValues" dxfId="12073" priority="9519"/>
    <cfRule type="duplicateValues" dxfId="12072" priority="9520"/>
    <cfRule type="duplicateValues" dxfId="12071" priority="9521"/>
    <cfRule type="duplicateValues" dxfId="12070" priority="9523"/>
    <cfRule type="duplicateValues" dxfId="12069" priority="9524"/>
    <cfRule type="duplicateValues" dxfId="12068" priority="9525"/>
    <cfRule type="duplicateValues" dxfId="12067" priority="9526"/>
    <cfRule type="duplicateValues" dxfId="12066" priority="9527"/>
    <cfRule type="duplicateValues" dxfId="12065" priority="9528"/>
    <cfRule type="duplicateValues" dxfId="12064" priority="9529"/>
    <cfRule type="duplicateValues" dxfId="12063" priority="9530"/>
    <cfRule type="duplicateValues" dxfId="12062" priority="9531"/>
    <cfRule type="duplicateValues" dxfId="12061" priority="9532"/>
    <cfRule type="duplicateValues" dxfId="12060" priority="9533"/>
    <cfRule type="duplicateValues" dxfId="12059" priority="9534"/>
    <cfRule type="duplicateValues" dxfId="12058" priority="9535"/>
    <cfRule type="duplicateValues" dxfId="12057" priority="9536"/>
    <cfRule type="duplicateValues" dxfId="12056" priority="9537"/>
    <cfRule type="duplicateValues" dxfId="12055" priority="9538"/>
    <cfRule type="duplicateValues" dxfId="12054" priority="9539"/>
    <cfRule type="duplicateValues" dxfId="12053" priority="9540"/>
    <cfRule type="duplicateValues" dxfId="12052" priority="9541"/>
    <cfRule type="duplicateValues" dxfId="12051" priority="9542"/>
    <cfRule type="duplicateValues" dxfId="12050" priority="9543"/>
    <cfRule type="duplicateValues" dxfId="12049" priority="9544"/>
    <cfRule type="duplicateValues" dxfId="12048" priority="9545"/>
    <cfRule type="duplicateValues" dxfId="12047" priority="9546"/>
    <cfRule type="duplicateValues" dxfId="12046" priority="9547"/>
    <cfRule type="duplicateValues" dxfId="12045" priority="9548"/>
    <cfRule type="duplicateValues" dxfId="12044" priority="9549"/>
    <cfRule type="duplicateValues" dxfId="12043" priority="9550"/>
    <cfRule type="duplicateValues" dxfId="12042" priority="9551"/>
    <cfRule type="duplicateValues" dxfId="12041" priority="9552"/>
    <cfRule type="duplicateValues" dxfId="12040" priority="9553"/>
    <cfRule type="duplicateValues" dxfId="12039" priority="9554"/>
    <cfRule type="duplicateValues" dxfId="12038" priority="9555"/>
    <cfRule type="duplicateValues" dxfId="12037" priority="9556"/>
    <cfRule type="duplicateValues" dxfId="12036" priority="9557"/>
    <cfRule type="duplicateValues" dxfId="12035" priority="9558"/>
    <cfRule type="duplicateValues" dxfId="12034" priority="9559"/>
    <cfRule type="duplicateValues" dxfId="12033" priority="9560"/>
  </conditionalFormatting>
  <conditionalFormatting sqref="B281:B282">
    <cfRule type="duplicateValues" dxfId="12032" priority="9367"/>
    <cfRule type="duplicateValues" dxfId="12031" priority="9366"/>
    <cfRule type="duplicateValues" dxfId="12030" priority="9365"/>
    <cfRule type="duplicateValues" dxfId="12029" priority="9364"/>
    <cfRule type="duplicateValues" dxfId="12028" priority="9363"/>
    <cfRule type="duplicateValues" dxfId="12027" priority="9362"/>
    <cfRule type="duplicateValues" dxfId="12026" priority="9361"/>
    <cfRule type="duplicateValues" dxfId="12025" priority="9360"/>
    <cfRule type="duplicateValues" dxfId="12024" priority="9359"/>
    <cfRule type="duplicateValues" dxfId="12023" priority="9358"/>
    <cfRule type="duplicateValues" dxfId="12022" priority="9357"/>
    <cfRule type="duplicateValues" dxfId="12021" priority="9356"/>
    <cfRule type="duplicateValues" dxfId="12020" priority="9355"/>
    <cfRule type="duplicateValues" dxfId="12019" priority="9354"/>
    <cfRule type="duplicateValues" dxfId="12018" priority="9353"/>
    <cfRule type="duplicateValues" dxfId="12017" priority="9352"/>
    <cfRule type="duplicateValues" dxfId="12016" priority="9351"/>
    <cfRule type="duplicateValues" dxfId="12015" priority="9350"/>
    <cfRule type="duplicateValues" dxfId="12014" priority="9349"/>
    <cfRule type="duplicateValues" dxfId="12013" priority="9348"/>
    <cfRule type="duplicateValues" dxfId="12012" priority="9347"/>
    <cfRule type="duplicateValues" dxfId="12011" priority="9346"/>
    <cfRule type="duplicateValues" dxfId="12010" priority="9345"/>
    <cfRule type="duplicateValues" dxfId="12009" priority="9344"/>
    <cfRule type="duplicateValues" dxfId="12008" priority="9343"/>
    <cfRule type="duplicateValues" dxfId="12007" priority="9342"/>
    <cfRule type="duplicateValues" dxfId="12006" priority="9341"/>
    <cfRule type="duplicateValues" dxfId="12005" priority="9340"/>
    <cfRule type="duplicateValues" dxfId="12004" priority="9339"/>
    <cfRule type="duplicateValues" dxfId="12003" priority="9185"/>
    <cfRule type="duplicateValues" dxfId="12002" priority="9311"/>
    <cfRule type="duplicateValues" dxfId="12001" priority="9372"/>
    <cfRule type="duplicateValues" dxfId="12000" priority="9371"/>
    <cfRule type="duplicateValues" dxfId="11999" priority="9370"/>
    <cfRule type="duplicateValues" dxfId="11998" priority="9369"/>
    <cfRule type="duplicateValues" dxfId="11997" priority="9310"/>
    <cfRule type="duplicateValues" dxfId="11996" priority="9309"/>
    <cfRule type="duplicateValues" dxfId="11995" priority="9308"/>
    <cfRule type="duplicateValues" dxfId="11994" priority="9307"/>
    <cfRule type="duplicateValues" dxfId="11993" priority="9306"/>
    <cfRule type="duplicateValues" dxfId="11992" priority="9305"/>
    <cfRule type="duplicateValues" dxfId="11991" priority="9304"/>
    <cfRule type="duplicateValues" dxfId="11990" priority="9303"/>
    <cfRule type="duplicateValues" dxfId="11989" priority="9302"/>
    <cfRule type="duplicateValues" dxfId="11988" priority="9301"/>
    <cfRule type="duplicateValues" dxfId="11987" priority="9300"/>
    <cfRule type="duplicateValues" dxfId="11986" priority="9299"/>
    <cfRule type="duplicateValues" dxfId="11985" priority="9298"/>
    <cfRule type="duplicateValues" dxfId="11984" priority="9297"/>
    <cfRule type="duplicateValues" dxfId="11983" priority="9296"/>
    <cfRule type="duplicateValues" dxfId="11982" priority="9295"/>
    <cfRule type="duplicateValues" dxfId="11981" priority="9294"/>
    <cfRule type="duplicateValues" dxfId="11980" priority="9293"/>
    <cfRule type="duplicateValues" dxfId="11979" priority="9292"/>
    <cfRule type="duplicateValues" dxfId="11978" priority="9291"/>
    <cfRule type="duplicateValues" dxfId="11977" priority="9290"/>
    <cfRule type="duplicateValues" dxfId="11976" priority="9289"/>
    <cfRule type="duplicateValues" dxfId="11975" priority="9288"/>
    <cfRule type="duplicateValues" dxfId="11974" priority="9287"/>
    <cfRule type="duplicateValues" dxfId="11973" priority="9286"/>
    <cfRule type="duplicateValues" dxfId="11972" priority="9285"/>
    <cfRule type="duplicateValues" dxfId="11971" priority="9284"/>
    <cfRule type="duplicateValues" dxfId="11970" priority="9283"/>
    <cfRule type="duplicateValues" dxfId="11969" priority="9282"/>
    <cfRule type="duplicateValues" dxfId="11968" priority="9281"/>
    <cfRule type="duplicateValues" dxfId="11967" priority="9280"/>
    <cfRule type="duplicateValues" dxfId="11966" priority="9279"/>
    <cfRule type="duplicateValues" dxfId="11965" priority="9278"/>
    <cfRule type="duplicateValues" dxfId="11964" priority="9277"/>
    <cfRule type="duplicateValues" dxfId="11963" priority="9276"/>
    <cfRule type="duplicateValues" dxfId="11962" priority="9275"/>
    <cfRule type="duplicateValues" dxfId="11961" priority="9274"/>
    <cfRule type="duplicateValues" dxfId="11960" priority="9273"/>
    <cfRule type="duplicateValues" dxfId="11959" priority="9272"/>
    <cfRule type="duplicateValues" dxfId="11958" priority="9271"/>
    <cfRule type="duplicateValues" dxfId="11957" priority="9270"/>
    <cfRule type="duplicateValues" dxfId="11956" priority="9269"/>
    <cfRule type="duplicateValues" dxfId="11955" priority="9268"/>
    <cfRule type="duplicateValues" dxfId="11954" priority="9267"/>
    <cfRule type="duplicateValues" dxfId="11953" priority="9266"/>
    <cfRule type="duplicateValues" dxfId="11952" priority="9265"/>
    <cfRule type="duplicateValues" dxfId="11951" priority="9264"/>
    <cfRule type="duplicateValues" dxfId="11950" priority="9263"/>
    <cfRule type="duplicateValues" dxfId="11949" priority="9262"/>
    <cfRule type="duplicateValues" dxfId="11948" priority="9261"/>
    <cfRule type="duplicateValues" dxfId="11947" priority="9260"/>
    <cfRule type="duplicateValues" dxfId="11946" priority="9259"/>
    <cfRule type="duplicateValues" dxfId="11945" priority="9258"/>
    <cfRule type="duplicateValues" dxfId="11944" priority="9257"/>
    <cfRule type="duplicateValues" dxfId="11943" priority="9256"/>
    <cfRule type="duplicateValues" dxfId="11942" priority="9255"/>
    <cfRule type="duplicateValues" dxfId="11941" priority="9254"/>
    <cfRule type="duplicateValues" dxfId="11940" priority="9253"/>
    <cfRule type="duplicateValues" dxfId="11939" priority="9252"/>
    <cfRule type="duplicateValues" dxfId="11938" priority="9251"/>
    <cfRule type="duplicateValues" dxfId="11937" priority="9250"/>
    <cfRule type="duplicateValues" dxfId="11936" priority="9249"/>
    <cfRule type="duplicateValues" dxfId="11935" priority="9248"/>
    <cfRule type="duplicateValues" dxfId="11934" priority="9247"/>
    <cfRule type="duplicateValues" dxfId="11933" priority="9246"/>
    <cfRule type="duplicateValues" dxfId="11932" priority="9245"/>
    <cfRule type="duplicateValues" dxfId="11931" priority="9244"/>
    <cfRule type="duplicateValues" dxfId="11930" priority="9243"/>
    <cfRule type="duplicateValues" dxfId="11929" priority="9242"/>
    <cfRule type="duplicateValues" dxfId="11928" priority="9241"/>
    <cfRule type="duplicateValues" dxfId="11927" priority="9240"/>
    <cfRule type="duplicateValues" dxfId="11926" priority="9239"/>
    <cfRule type="duplicateValues" dxfId="11925" priority="9238"/>
    <cfRule type="duplicateValues" dxfId="11924" priority="9237"/>
    <cfRule type="duplicateValues" dxfId="11923" priority="9236"/>
    <cfRule type="duplicateValues" dxfId="11922" priority="9235"/>
    <cfRule type="duplicateValues" dxfId="11921" priority="9234"/>
    <cfRule type="duplicateValues" dxfId="11920" priority="9233"/>
    <cfRule type="duplicateValues" dxfId="11919" priority="9232"/>
    <cfRule type="duplicateValues" dxfId="11918" priority="9231"/>
    <cfRule type="duplicateValues" dxfId="11917" priority="9230"/>
    <cfRule type="duplicateValues" dxfId="11916" priority="9229"/>
    <cfRule type="duplicateValues" dxfId="11915" priority="9228"/>
    <cfRule type="duplicateValues" dxfId="11914" priority="9227"/>
    <cfRule type="duplicateValues" dxfId="11913" priority="9226"/>
    <cfRule type="duplicateValues" dxfId="11912" priority="9225"/>
    <cfRule type="duplicateValues" dxfId="11911" priority="9224"/>
    <cfRule type="duplicateValues" dxfId="11910" priority="9223"/>
    <cfRule type="duplicateValues" dxfId="11909" priority="9222"/>
    <cfRule type="duplicateValues" dxfId="11908" priority="9221"/>
    <cfRule type="duplicateValues" dxfId="11907" priority="9220"/>
    <cfRule type="duplicateValues" dxfId="11906" priority="9219"/>
    <cfRule type="duplicateValues" dxfId="11905" priority="9312"/>
    <cfRule type="duplicateValues" dxfId="11904" priority="9368"/>
    <cfRule type="duplicateValues" dxfId="11903" priority="9217"/>
    <cfRule type="duplicateValues" dxfId="11902" priority="9216"/>
    <cfRule type="duplicateValues" dxfId="11901" priority="9215"/>
    <cfRule type="duplicateValues" dxfId="11900" priority="9214"/>
    <cfRule type="duplicateValues" dxfId="11899" priority="9213"/>
    <cfRule type="duplicateValues" dxfId="11898" priority="9212"/>
    <cfRule type="duplicateValues" dxfId="11897" priority="9211"/>
    <cfRule type="duplicateValues" dxfId="11896" priority="9210"/>
    <cfRule type="duplicateValues" dxfId="11895" priority="9209"/>
    <cfRule type="duplicateValues" dxfId="11894" priority="9208"/>
    <cfRule type="duplicateValues" dxfId="11893" priority="9207"/>
    <cfRule type="duplicateValues" dxfId="11892" priority="9206"/>
    <cfRule type="duplicateValues" dxfId="11891" priority="9205"/>
    <cfRule type="duplicateValues" dxfId="11890" priority="9204"/>
    <cfRule type="duplicateValues" dxfId="11889" priority="9203"/>
    <cfRule type="duplicateValues" dxfId="11888" priority="9202"/>
    <cfRule type="duplicateValues" dxfId="11887" priority="9201"/>
    <cfRule type="duplicateValues" dxfId="11886" priority="9200"/>
    <cfRule type="duplicateValues" dxfId="11885" priority="9199"/>
    <cfRule type="duplicateValues" dxfId="11884" priority="9198"/>
    <cfRule type="duplicateValues" dxfId="11883" priority="9197"/>
    <cfRule type="duplicateValues" dxfId="11882" priority="9196"/>
    <cfRule type="duplicateValues" dxfId="11881" priority="9195"/>
    <cfRule type="duplicateValues" dxfId="11880" priority="9194"/>
    <cfRule type="duplicateValues" dxfId="11879" priority="9193"/>
    <cfRule type="duplicateValues" dxfId="11878" priority="9192"/>
    <cfRule type="duplicateValues" dxfId="11877" priority="9191"/>
    <cfRule type="duplicateValues" dxfId="11876" priority="9190"/>
    <cfRule type="duplicateValues" dxfId="11875" priority="9189"/>
    <cfRule type="duplicateValues" dxfId="11874" priority="9188"/>
    <cfRule type="duplicateValues" dxfId="11873" priority="9187"/>
    <cfRule type="duplicateValues" dxfId="11872" priority="9186"/>
    <cfRule type="duplicateValues" dxfId="11871" priority="9313"/>
    <cfRule type="duplicateValues" dxfId="11870" priority="9314"/>
    <cfRule type="duplicateValues" dxfId="11869" priority="9315"/>
    <cfRule type="duplicateValues" dxfId="11868" priority="9316"/>
    <cfRule type="duplicateValues" dxfId="11867" priority="9317"/>
    <cfRule type="duplicateValues" dxfId="11866" priority="9318"/>
    <cfRule type="duplicateValues" dxfId="11865" priority="9319"/>
    <cfRule type="duplicateValues" dxfId="11864" priority="9320"/>
    <cfRule type="duplicateValues" dxfId="11863" priority="9321"/>
    <cfRule type="duplicateValues" dxfId="11862" priority="9322"/>
    <cfRule type="duplicateValues" dxfId="11861" priority="9323"/>
    <cfRule type="duplicateValues" dxfId="11860" priority="9324"/>
    <cfRule type="duplicateValues" dxfId="11859" priority="9325"/>
    <cfRule type="duplicateValues" dxfId="11858" priority="9326"/>
    <cfRule type="duplicateValues" dxfId="11857" priority="9327"/>
    <cfRule type="duplicateValues" dxfId="11856" priority="9328"/>
    <cfRule type="duplicateValues" dxfId="11855" priority="9329"/>
    <cfRule type="duplicateValues" dxfId="11854" priority="9330"/>
    <cfRule type="duplicateValues" dxfId="11853" priority="9331"/>
    <cfRule type="duplicateValues" dxfId="11852" priority="9332"/>
    <cfRule type="duplicateValues" dxfId="11851" priority="9333"/>
    <cfRule type="duplicateValues" dxfId="11850" priority="9334"/>
    <cfRule type="duplicateValues" dxfId="11849" priority="9335"/>
    <cfRule type="duplicateValues" dxfId="11848" priority="9336"/>
    <cfRule type="duplicateValues" dxfId="11847" priority="9337"/>
    <cfRule type="duplicateValues" dxfId="11846" priority="9338"/>
    <cfRule type="duplicateValues" dxfId="11845" priority="9218"/>
  </conditionalFormatting>
  <conditionalFormatting sqref="B283:B284">
    <cfRule type="duplicateValues" dxfId="11844" priority="8998"/>
    <cfRule type="duplicateValues" dxfId="11843" priority="8997"/>
    <cfRule type="duplicateValues" dxfId="11842" priority="9118"/>
    <cfRule type="duplicateValues" dxfId="11841" priority="9184"/>
    <cfRule type="duplicateValues" dxfId="11840" priority="9183"/>
    <cfRule type="duplicateValues" dxfId="11839" priority="9182"/>
    <cfRule type="duplicateValues" dxfId="11838" priority="9181"/>
    <cfRule type="duplicateValues" dxfId="11837" priority="9180"/>
    <cfRule type="duplicateValues" dxfId="11836" priority="9179"/>
    <cfRule type="duplicateValues" dxfId="11835" priority="9178"/>
    <cfRule type="duplicateValues" dxfId="11834" priority="9177"/>
    <cfRule type="duplicateValues" dxfId="11833" priority="9176"/>
    <cfRule type="duplicateValues" dxfId="11832" priority="9175"/>
    <cfRule type="duplicateValues" dxfId="11831" priority="9174"/>
    <cfRule type="duplicateValues" dxfId="11830" priority="9173"/>
    <cfRule type="duplicateValues" dxfId="11829" priority="9172"/>
    <cfRule type="duplicateValues" dxfId="11828" priority="9171"/>
    <cfRule type="duplicateValues" dxfId="11827" priority="9170"/>
    <cfRule type="duplicateValues" dxfId="11826" priority="9169"/>
    <cfRule type="duplicateValues" dxfId="11825" priority="9168"/>
    <cfRule type="duplicateValues" dxfId="11824" priority="9167"/>
    <cfRule type="duplicateValues" dxfId="11823" priority="9166"/>
    <cfRule type="duplicateValues" dxfId="11822" priority="9165"/>
    <cfRule type="duplicateValues" dxfId="11821" priority="9164"/>
    <cfRule type="duplicateValues" dxfId="11820" priority="9163"/>
    <cfRule type="duplicateValues" dxfId="11819" priority="9162"/>
    <cfRule type="duplicateValues" dxfId="11818" priority="9161"/>
    <cfRule type="duplicateValues" dxfId="11817" priority="9160"/>
    <cfRule type="duplicateValues" dxfId="11816" priority="9159"/>
    <cfRule type="duplicateValues" dxfId="11815" priority="9158"/>
    <cfRule type="duplicateValues" dxfId="11814" priority="9157"/>
    <cfRule type="duplicateValues" dxfId="11813" priority="9156"/>
    <cfRule type="duplicateValues" dxfId="11812" priority="9155"/>
    <cfRule type="duplicateValues" dxfId="11811" priority="9154"/>
    <cfRule type="duplicateValues" dxfId="11810" priority="9153"/>
    <cfRule type="duplicateValues" dxfId="11809" priority="9152"/>
    <cfRule type="duplicateValues" dxfId="11808" priority="9151"/>
    <cfRule type="duplicateValues" dxfId="11807" priority="9150"/>
    <cfRule type="duplicateValues" dxfId="11806" priority="9149"/>
    <cfRule type="duplicateValues" dxfId="11805" priority="9148"/>
    <cfRule type="duplicateValues" dxfId="11804" priority="9147"/>
    <cfRule type="duplicateValues" dxfId="11803" priority="9146"/>
    <cfRule type="duplicateValues" dxfId="11802" priority="9145"/>
    <cfRule type="duplicateValues" dxfId="11801" priority="9144"/>
    <cfRule type="duplicateValues" dxfId="11800" priority="9143"/>
    <cfRule type="duplicateValues" dxfId="11799" priority="9142"/>
    <cfRule type="duplicateValues" dxfId="11798" priority="9141"/>
    <cfRule type="duplicateValues" dxfId="11797" priority="9140"/>
    <cfRule type="duplicateValues" dxfId="11796" priority="9139"/>
    <cfRule type="duplicateValues" dxfId="11795" priority="9138"/>
    <cfRule type="duplicateValues" dxfId="11794" priority="9137"/>
    <cfRule type="duplicateValues" dxfId="11793" priority="9136"/>
    <cfRule type="duplicateValues" dxfId="11792" priority="9135"/>
    <cfRule type="duplicateValues" dxfId="11791" priority="9134"/>
    <cfRule type="duplicateValues" dxfId="11790" priority="9133"/>
    <cfRule type="duplicateValues" dxfId="11789" priority="9132"/>
    <cfRule type="duplicateValues" dxfId="11788" priority="9131"/>
    <cfRule type="duplicateValues" dxfId="11787" priority="9130"/>
    <cfRule type="duplicateValues" dxfId="11786" priority="9129"/>
    <cfRule type="duplicateValues" dxfId="11785" priority="9128"/>
    <cfRule type="duplicateValues" dxfId="11784" priority="9127"/>
    <cfRule type="duplicateValues" dxfId="11783" priority="9126"/>
    <cfRule type="duplicateValues" dxfId="11782" priority="9125"/>
    <cfRule type="duplicateValues" dxfId="11781" priority="9124"/>
    <cfRule type="duplicateValues" dxfId="11780" priority="9123"/>
    <cfRule type="duplicateValues" dxfId="11779" priority="9122"/>
    <cfRule type="duplicateValues" dxfId="11778" priority="9121"/>
    <cfRule type="duplicateValues" dxfId="11777" priority="9120"/>
    <cfRule type="duplicateValues" dxfId="11776" priority="9119"/>
    <cfRule type="duplicateValues" dxfId="11775" priority="9117"/>
    <cfRule type="duplicateValues" dxfId="11774" priority="9116"/>
    <cfRule type="duplicateValues" dxfId="11773" priority="9115"/>
    <cfRule type="duplicateValues" dxfId="11772" priority="9114"/>
    <cfRule type="duplicateValues" dxfId="11771" priority="9113"/>
    <cfRule type="duplicateValues" dxfId="11770" priority="9112"/>
    <cfRule type="duplicateValues" dxfId="11769" priority="9111"/>
    <cfRule type="duplicateValues" dxfId="11768" priority="9110"/>
    <cfRule type="duplicateValues" dxfId="11767" priority="9109"/>
    <cfRule type="duplicateValues" dxfId="11766" priority="9108"/>
    <cfRule type="duplicateValues" dxfId="11765" priority="9107"/>
    <cfRule type="duplicateValues" dxfId="11764" priority="9106"/>
    <cfRule type="duplicateValues" dxfId="11763" priority="9105"/>
    <cfRule type="duplicateValues" dxfId="11762" priority="9104"/>
    <cfRule type="duplicateValues" dxfId="11761" priority="9103"/>
    <cfRule type="duplicateValues" dxfId="11760" priority="9102"/>
    <cfRule type="duplicateValues" dxfId="11759" priority="9101"/>
    <cfRule type="duplicateValues" dxfId="11758" priority="9100"/>
    <cfRule type="duplicateValues" dxfId="11757" priority="9099"/>
    <cfRule type="duplicateValues" dxfId="11756" priority="9098"/>
    <cfRule type="duplicateValues" dxfId="11755" priority="9097"/>
    <cfRule type="duplicateValues" dxfId="11754" priority="9096"/>
    <cfRule type="duplicateValues" dxfId="11753" priority="9095"/>
    <cfRule type="duplicateValues" dxfId="11752" priority="9094"/>
    <cfRule type="duplicateValues" dxfId="11751" priority="9093"/>
    <cfRule type="duplicateValues" dxfId="11750" priority="9092"/>
    <cfRule type="duplicateValues" dxfId="11749" priority="9091"/>
    <cfRule type="duplicateValues" dxfId="11748" priority="9090"/>
    <cfRule type="duplicateValues" dxfId="11747" priority="9089"/>
    <cfRule type="duplicateValues" dxfId="11746" priority="9088"/>
    <cfRule type="duplicateValues" dxfId="11745" priority="9087"/>
    <cfRule type="duplicateValues" dxfId="11744" priority="9086"/>
    <cfRule type="duplicateValues" dxfId="11743" priority="9085"/>
    <cfRule type="duplicateValues" dxfId="11742" priority="9084"/>
    <cfRule type="duplicateValues" dxfId="11741" priority="9083"/>
    <cfRule type="duplicateValues" dxfId="11740" priority="9082"/>
    <cfRule type="duplicateValues" dxfId="11739" priority="9081"/>
    <cfRule type="duplicateValues" dxfId="11738" priority="9080"/>
    <cfRule type="duplicateValues" dxfId="11737" priority="9079"/>
    <cfRule type="duplicateValues" dxfId="11736" priority="9078"/>
    <cfRule type="duplicateValues" dxfId="11735" priority="9077"/>
    <cfRule type="duplicateValues" dxfId="11734" priority="9076"/>
    <cfRule type="duplicateValues" dxfId="11733" priority="9075"/>
    <cfRule type="duplicateValues" dxfId="11732" priority="9074"/>
    <cfRule type="duplicateValues" dxfId="11731" priority="9073"/>
    <cfRule type="duplicateValues" dxfId="11730" priority="9072"/>
    <cfRule type="duplicateValues" dxfId="11729" priority="9071"/>
    <cfRule type="duplicateValues" dxfId="11728" priority="9070"/>
    <cfRule type="duplicateValues" dxfId="11727" priority="9069"/>
    <cfRule type="duplicateValues" dxfId="11726" priority="9068"/>
    <cfRule type="duplicateValues" dxfId="11725" priority="9067"/>
    <cfRule type="duplicateValues" dxfId="11724" priority="9066"/>
    <cfRule type="duplicateValues" dxfId="11723" priority="9065"/>
    <cfRule type="duplicateValues" dxfId="11722" priority="9064"/>
    <cfRule type="duplicateValues" dxfId="11721" priority="9063"/>
    <cfRule type="duplicateValues" dxfId="11720" priority="9062"/>
    <cfRule type="duplicateValues" dxfId="11719" priority="9061"/>
    <cfRule type="duplicateValues" dxfId="11718" priority="9060"/>
    <cfRule type="duplicateValues" dxfId="11717" priority="9059"/>
    <cfRule type="duplicateValues" dxfId="11716" priority="9058"/>
    <cfRule type="duplicateValues" dxfId="11715" priority="9057"/>
    <cfRule type="duplicateValues" dxfId="11714" priority="9056"/>
    <cfRule type="duplicateValues" dxfId="11713" priority="9055"/>
    <cfRule type="duplicateValues" dxfId="11712" priority="9054"/>
    <cfRule type="duplicateValues" dxfId="11711" priority="9053"/>
    <cfRule type="duplicateValues" dxfId="11710" priority="9052"/>
    <cfRule type="duplicateValues" dxfId="11709" priority="9051"/>
    <cfRule type="duplicateValues" dxfId="11708" priority="9050"/>
    <cfRule type="duplicateValues" dxfId="11707" priority="9049"/>
    <cfRule type="duplicateValues" dxfId="11706" priority="9048"/>
    <cfRule type="duplicateValues" dxfId="11705" priority="9047"/>
    <cfRule type="duplicateValues" dxfId="11704" priority="9046"/>
    <cfRule type="duplicateValues" dxfId="11703" priority="9045"/>
    <cfRule type="duplicateValues" dxfId="11702" priority="9044"/>
    <cfRule type="duplicateValues" dxfId="11701" priority="9043"/>
    <cfRule type="duplicateValues" dxfId="11700" priority="9042"/>
    <cfRule type="duplicateValues" dxfId="11699" priority="9041"/>
    <cfRule type="duplicateValues" dxfId="11698" priority="9040"/>
    <cfRule type="duplicateValues" dxfId="11697" priority="9039"/>
    <cfRule type="duplicateValues" dxfId="11696" priority="9038"/>
    <cfRule type="duplicateValues" dxfId="11695" priority="9037"/>
    <cfRule type="duplicateValues" dxfId="11694" priority="9036"/>
    <cfRule type="duplicateValues" dxfId="11693" priority="9035"/>
    <cfRule type="duplicateValues" dxfId="11692" priority="9034"/>
    <cfRule type="duplicateValues" dxfId="11691" priority="9033"/>
    <cfRule type="duplicateValues" dxfId="11690" priority="9032"/>
    <cfRule type="duplicateValues" dxfId="11689" priority="9031"/>
    <cfRule type="duplicateValues" dxfId="11688" priority="9030"/>
    <cfRule type="duplicateValues" dxfId="11687" priority="9029"/>
    <cfRule type="duplicateValues" dxfId="11686" priority="9028"/>
    <cfRule type="duplicateValues" dxfId="11685" priority="9027"/>
    <cfRule type="duplicateValues" dxfId="11684" priority="9026"/>
    <cfRule type="duplicateValues" dxfId="11683" priority="9025"/>
    <cfRule type="duplicateValues" dxfId="11682" priority="9024"/>
    <cfRule type="duplicateValues" dxfId="11681" priority="9023"/>
    <cfRule type="duplicateValues" dxfId="11680" priority="9022"/>
    <cfRule type="duplicateValues" dxfId="11679" priority="9021"/>
    <cfRule type="duplicateValues" dxfId="11678" priority="9020"/>
    <cfRule type="duplicateValues" dxfId="11677" priority="9019"/>
    <cfRule type="duplicateValues" dxfId="11676" priority="9018"/>
    <cfRule type="duplicateValues" dxfId="11675" priority="9017"/>
    <cfRule type="duplicateValues" dxfId="11674" priority="9016"/>
    <cfRule type="duplicateValues" dxfId="11673" priority="9015"/>
    <cfRule type="duplicateValues" dxfId="11672" priority="9014"/>
    <cfRule type="duplicateValues" dxfId="11671" priority="9013"/>
    <cfRule type="duplicateValues" dxfId="11670" priority="9012"/>
    <cfRule type="duplicateValues" dxfId="11669" priority="9011"/>
    <cfRule type="duplicateValues" dxfId="11668" priority="9010"/>
    <cfRule type="duplicateValues" dxfId="11667" priority="9009"/>
    <cfRule type="duplicateValues" dxfId="11666" priority="9008"/>
    <cfRule type="duplicateValues" dxfId="11665" priority="9007"/>
    <cfRule type="duplicateValues" dxfId="11664" priority="9006"/>
    <cfRule type="duplicateValues" dxfId="11663" priority="9005"/>
    <cfRule type="duplicateValues" dxfId="11662" priority="9004"/>
    <cfRule type="duplicateValues" dxfId="11661" priority="9003"/>
    <cfRule type="duplicateValues" dxfId="11660" priority="9002"/>
    <cfRule type="duplicateValues" dxfId="11659" priority="9001"/>
    <cfRule type="duplicateValues" dxfId="11658" priority="9000"/>
    <cfRule type="duplicateValues" dxfId="11657" priority="8999"/>
  </conditionalFormatting>
  <conditionalFormatting sqref="B285:B286">
    <cfRule type="duplicateValues" dxfId="11656" priority="8863"/>
    <cfRule type="duplicateValues" dxfId="11655" priority="8932"/>
    <cfRule type="duplicateValues" dxfId="11654" priority="8931"/>
    <cfRule type="duplicateValues" dxfId="11653" priority="8930"/>
    <cfRule type="duplicateValues" dxfId="11652" priority="8929"/>
    <cfRule type="duplicateValues" dxfId="11651" priority="8928"/>
    <cfRule type="duplicateValues" dxfId="11650" priority="8927"/>
    <cfRule type="duplicateValues" dxfId="11649" priority="8926"/>
    <cfRule type="duplicateValues" dxfId="11648" priority="8925"/>
    <cfRule type="duplicateValues" dxfId="11647" priority="8924"/>
    <cfRule type="duplicateValues" dxfId="11646" priority="8923"/>
    <cfRule type="duplicateValues" dxfId="11645" priority="8922"/>
    <cfRule type="duplicateValues" dxfId="11644" priority="8921"/>
    <cfRule type="duplicateValues" dxfId="11643" priority="8920"/>
    <cfRule type="duplicateValues" dxfId="11642" priority="8919"/>
    <cfRule type="duplicateValues" dxfId="11641" priority="8918"/>
    <cfRule type="duplicateValues" dxfId="11640" priority="8917"/>
    <cfRule type="duplicateValues" dxfId="11639" priority="8916"/>
    <cfRule type="duplicateValues" dxfId="11638" priority="8915"/>
    <cfRule type="duplicateValues" dxfId="11637" priority="8914"/>
    <cfRule type="duplicateValues" dxfId="11636" priority="8913"/>
    <cfRule type="duplicateValues" dxfId="11635" priority="8912"/>
    <cfRule type="duplicateValues" dxfId="11634" priority="8911"/>
    <cfRule type="duplicateValues" dxfId="11633" priority="8910"/>
    <cfRule type="duplicateValues" dxfId="11632" priority="8909"/>
    <cfRule type="duplicateValues" dxfId="11631" priority="8908"/>
    <cfRule type="duplicateValues" dxfId="11630" priority="8907"/>
    <cfRule type="duplicateValues" dxfId="11629" priority="8906"/>
    <cfRule type="duplicateValues" dxfId="11628" priority="8905"/>
    <cfRule type="duplicateValues" dxfId="11627" priority="8904"/>
    <cfRule type="duplicateValues" dxfId="11626" priority="8903"/>
    <cfRule type="duplicateValues" dxfId="11625" priority="8902"/>
    <cfRule type="duplicateValues" dxfId="11624" priority="8901"/>
    <cfRule type="duplicateValues" dxfId="11623" priority="8900"/>
    <cfRule type="duplicateValues" dxfId="11622" priority="8899"/>
    <cfRule type="duplicateValues" dxfId="11621" priority="8898"/>
    <cfRule type="duplicateValues" dxfId="11620" priority="8897"/>
    <cfRule type="duplicateValues" dxfId="11619" priority="8896"/>
    <cfRule type="duplicateValues" dxfId="11618" priority="8895"/>
    <cfRule type="duplicateValues" dxfId="11617" priority="8894"/>
    <cfRule type="duplicateValues" dxfId="11616" priority="8893"/>
    <cfRule type="duplicateValues" dxfId="11615" priority="8892"/>
    <cfRule type="duplicateValues" dxfId="11614" priority="8891"/>
    <cfRule type="duplicateValues" dxfId="11613" priority="8890"/>
    <cfRule type="duplicateValues" dxfId="11612" priority="8889"/>
    <cfRule type="duplicateValues" dxfId="11611" priority="8888"/>
    <cfRule type="duplicateValues" dxfId="11610" priority="8887"/>
    <cfRule type="duplicateValues" dxfId="11609" priority="8886"/>
    <cfRule type="duplicateValues" dxfId="11608" priority="8884"/>
    <cfRule type="duplicateValues" dxfId="11607" priority="8883"/>
    <cfRule type="duplicateValues" dxfId="11606" priority="8882"/>
    <cfRule type="duplicateValues" dxfId="11605" priority="8881"/>
    <cfRule type="duplicateValues" dxfId="11604" priority="8880"/>
    <cfRule type="duplicateValues" dxfId="11603" priority="8879"/>
    <cfRule type="duplicateValues" dxfId="11602" priority="8878"/>
    <cfRule type="duplicateValues" dxfId="11601" priority="8877"/>
    <cfRule type="duplicateValues" dxfId="11600" priority="8876"/>
    <cfRule type="duplicateValues" dxfId="11599" priority="8875"/>
    <cfRule type="duplicateValues" dxfId="11598" priority="8874"/>
    <cfRule type="duplicateValues" dxfId="11597" priority="8873"/>
    <cfRule type="duplicateValues" dxfId="11596" priority="8872"/>
    <cfRule type="duplicateValues" dxfId="11595" priority="8871"/>
    <cfRule type="duplicateValues" dxfId="11594" priority="8870"/>
    <cfRule type="duplicateValues" dxfId="11593" priority="8869"/>
    <cfRule type="duplicateValues" dxfId="11592" priority="8868"/>
    <cfRule type="duplicateValues" dxfId="11591" priority="8934"/>
    <cfRule type="duplicateValues" dxfId="11590" priority="8867"/>
    <cfRule type="duplicateValues" dxfId="11589" priority="8866"/>
    <cfRule type="duplicateValues" dxfId="11588" priority="8865"/>
    <cfRule type="duplicateValues" dxfId="11587" priority="8864"/>
    <cfRule type="duplicateValues" dxfId="11586" priority="8936"/>
    <cfRule type="duplicateValues" dxfId="11585" priority="8862"/>
    <cfRule type="duplicateValues" dxfId="11584" priority="8861"/>
    <cfRule type="duplicateValues" dxfId="11583" priority="8860"/>
    <cfRule type="duplicateValues" dxfId="11582" priority="8859"/>
    <cfRule type="duplicateValues" dxfId="11581" priority="8858"/>
    <cfRule type="duplicateValues" dxfId="11580" priority="8857"/>
    <cfRule type="duplicateValues" dxfId="11579" priority="8856"/>
    <cfRule type="duplicateValues" dxfId="11578" priority="8855"/>
    <cfRule type="duplicateValues" dxfId="11577" priority="8854"/>
    <cfRule type="duplicateValues" dxfId="11576" priority="8853"/>
    <cfRule type="duplicateValues" dxfId="11575" priority="8852"/>
    <cfRule type="duplicateValues" dxfId="11574" priority="8851"/>
    <cfRule type="duplicateValues" dxfId="11573" priority="8850"/>
    <cfRule type="duplicateValues" dxfId="11572" priority="8849"/>
    <cfRule type="duplicateValues" dxfId="11571" priority="8848"/>
    <cfRule type="duplicateValues" dxfId="11570" priority="8847"/>
    <cfRule type="duplicateValues" dxfId="11569" priority="8846"/>
    <cfRule type="duplicateValues" dxfId="11568" priority="8845"/>
    <cfRule type="duplicateValues" dxfId="11567" priority="8844"/>
    <cfRule type="duplicateValues" dxfId="11566" priority="8843"/>
    <cfRule type="duplicateValues" dxfId="11565" priority="8842"/>
    <cfRule type="duplicateValues" dxfId="11564" priority="8841"/>
    <cfRule type="duplicateValues" dxfId="11563" priority="8840"/>
    <cfRule type="duplicateValues" dxfId="11562" priority="8839"/>
    <cfRule type="duplicateValues" dxfId="11561" priority="8838"/>
    <cfRule type="duplicateValues" dxfId="11560" priority="8837"/>
    <cfRule type="duplicateValues" dxfId="11559" priority="8836"/>
    <cfRule type="duplicateValues" dxfId="11558" priority="8835"/>
    <cfRule type="duplicateValues" dxfId="11557" priority="8834"/>
    <cfRule type="duplicateValues" dxfId="11556" priority="8833"/>
    <cfRule type="duplicateValues" dxfId="11555" priority="8832"/>
    <cfRule type="duplicateValues" dxfId="11554" priority="8831"/>
    <cfRule type="duplicateValues" dxfId="11553" priority="8830"/>
    <cfRule type="duplicateValues" dxfId="11552" priority="8829"/>
    <cfRule type="duplicateValues" dxfId="11551" priority="8828"/>
    <cfRule type="duplicateValues" dxfId="11550" priority="8827"/>
    <cfRule type="duplicateValues" dxfId="11549" priority="8826"/>
    <cfRule type="duplicateValues" dxfId="11548" priority="8825"/>
    <cfRule type="duplicateValues" dxfId="11547" priority="8824"/>
    <cfRule type="duplicateValues" dxfId="11546" priority="8823"/>
    <cfRule type="duplicateValues" dxfId="11545" priority="8822"/>
    <cfRule type="duplicateValues" dxfId="11544" priority="8821"/>
    <cfRule type="duplicateValues" dxfId="11543" priority="8820"/>
    <cfRule type="duplicateValues" dxfId="11542" priority="8819"/>
    <cfRule type="duplicateValues" dxfId="11541" priority="8818"/>
    <cfRule type="duplicateValues" dxfId="11540" priority="8817"/>
    <cfRule type="duplicateValues" dxfId="11539" priority="8816"/>
    <cfRule type="duplicateValues" dxfId="11538" priority="8815"/>
    <cfRule type="duplicateValues" dxfId="11537" priority="8814"/>
    <cfRule type="duplicateValues" dxfId="11536" priority="8813"/>
    <cfRule type="duplicateValues" dxfId="11535" priority="8812"/>
    <cfRule type="duplicateValues" dxfId="11534" priority="8811"/>
    <cfRule type="duplicateValues" dxfId="11533" priority="8810"/>
    <cfRule type="duplicateValues" dxfId="11532" priority="8809"/>
    <cfRule type="duplicateValues" dxfId="11531" priority="8966"/>
    <cfRule type="duplicateValues" dxfId="11530" priority="8965"/>
    <cfRule type="duplicateValues" dxfId="11529" priority="8964"/>
    <cfRule type="duplicateValues" dxfId="11528" priority="8963"/>
    <cfRule type="duplicateValues" dxfId="11527" priority="8962"/>
    <cfRule type="duplicateValues" dxfId="11526" priority="8961"/>
    <cfRule type="duplicateValues" dxfId="11525" priority="8960"/>
    <cfRule type="duplicateValues" dxfId="11524" priority="8959"/>
    <cfRule type="duplicateValues" dxfId="11523" priority="8958"/>
    <cfRule type="duplicateValues" dxfId="11522" priority="8957"/>
    <cfRule type="duplicateValues" dxfId="11521" priority="8956"/>
    <cfRule type="duplicateValues" dxfId="11520" priority="8955"/>
    <cfRule type="duplicateValues" dxfId="11519" priority="8954"/>
    <cfRule type="duplicateValues" dxfId="11518" priority="8953"/>
    <cfRule type="duplicateValues" dxfId="11517" priority="8952"/>
    <cfRule type="duplicateValues" dxfId="11516" priority="8951"/>
    <cfRule type="duplicateValues" dxfId="11515" priority="8950"/>
    <cfRule type="duplicateValues" dxfId="11514" priority="8949"/>
    <cfRule type="duplicateValues" dxfId="11513" priority="8948"/>
    <cfRule type="duplicateValues" dxfId="11512" priority="8947"/>
    <cfRule type="duplicateValues" dxfId="11511" priority="8946"/>
    <cfRule type="duplicateValues" dxfId="11510" priority="8945"/>
    <cfRule type="duplicateValues" dxfId="11509" priority="8944"/>
    <cfRule type="duplicateValues" dxfId="11508" priority="8943"/>
    <cfRule type="duplicateValues" dxfId="11507" priority="8942"/>
    <cfRule type="duplicateValues" dxfId="11506" priority="8941"/>
    <cfRule type="duplicateValues" dxfId="11505" priority="8940"/>
    <cfRule type="duplicateValues" dxfId="11504" priority="8939"/>
    <cfRule type="duplicateValues" dxfId="11503" priority="8938"/>
    <cfRule type="duplicateValues" dxfId="11502" priority="8937"/>
    <cfRule type="duplicateValues" dxfId="11501" priority="8885"/>
    <cfRule type="duplicateValues" dxfId="11500" priority="8967"/>
    <cfRule type="duplicateValues" dxfId="11499" priority="8968"/>
    <cfRule type="duplicateValues" dxfId="11498" priority="8969"/>
    <cfRule type="duplicateValues" dxfId="11497" priority="8970"/>
    <cfRule type="duplicateValues" dxfId="11496" priority="8971"/>
    <cfRule type="duplicateValues" dxfId="11495" priority="8972"/>
    <cfRule type="duplicateValues" dxfId="11494" priority="8973"/>
    <cfRule type="duplicateValues" dxfId="11493" priority="8974"/>
    <cfRule type="duplicateValues" dxfId="11492" priority="8975"/>
    <cfRule type="duplicateValues" dxfId="11491" priority="8976"/>
    <cfRule type="duplicateValues" dxfId="11490" priority="8977"/>
    <cfRule type="duplicateValues" dxfId="11489" priority="8978"/>
    <cfRule type="duplicateValues" dxfId="11488" priority="8979"/>
    <cfRule type="duplicateValues" dxfId="11487" priority="8980"/>
    <cfRule type="duplicateValues" dxfId="11486" priority="8981"/>
    <cfRule type="duplicateValues" dxfId="11485" priority="8982"/>
    <cfRule type="duplicateValues" dxfId="11484" priority="8983"/>
    <cfRule type="duplicateValues" dxfId="11483" priority="8984"/>
    <cfRule type="duplicateValues" dxfId="11482" priority="8985"/>
    <cfRule type="duplicateValues" dxfId="11481" priority="8986"/>
    <cfRule type="duplicateValues" dxfId="11480" priority="8987"/>
    <cfRule type="duplicateValues" dxfId="11479" priority="8988"/>
    <cfRule type="duplicateValues" dxfId="11478" priority="8989"/>
    <cfRule type="duplicateValues" dxfId="11477" priority="8990"/>
    <cfRule type="duplicateValues" dxfId="11476" priority="8991"/>
    <cfRule type="duplicateValues" dxfId="11475" priority="8992"/>
    <cfRule type="duplicateValues" dxfId="11474" priority="8993"/>
    <cfRule type="duplicateValues" dxfId="11473" priority="8994"/>
    <cfRule type="duplicateValues" dxfId="11472" priority="8995"/>
    <cfRule type="duplicateValues" dxfId="11471" priority="8996"/>
    <cfRule type="duplicateValues" dxfId="11470" priority="8935"/>
    <cfRule type="duplicateValues" dxfId="11469" priority="8933"/>
  </conditionalFormatting>
  <conditionalFormatting sqref="B287">
    <cfRule type="duplicateValues" dxfId="11468" priority="8460"/>
    <cfRule type="duplicateValues" dxfId="11467" priority="8461"/>
    <cfRule type="duplicateValues" dxfId="11466" priority="8462"/>
    <cfRule type="duplicateValues" dxfId="11465" priority="8463"/>
    <cfRule type="duplicateValues" dxfId="11464" priority="8464"/>
    <cfRule type="duplicateValues" dxfId="11463" priority="8465"/>
    <cfRule type="duplicateValues" dxfId="11462" priority="8466"/>
    <cfRule type="duplicateValues" dxfId="11461" priority="8467"/>
    <cfRule type="duplicateValues" dxfId="11460" priority="8468"/>
    <cfRule type="duplicateValues" dxfId="11459" priority="8469"/>
    <cfRule type="duplicateValues" dxfId="11458" priority="8470"/>
    <cfRule type="duplicateValues" dxfId="11457" priority="8471"/>
    <cfRule type="duplicateValues" dxfId="11456" priority="8472"/>
    <cfRule type="duplicateValues" dxfId="11455" priority="8473"/>
    <cfRule type="duplicateValues" dxfId="11454" priority="8474"/>
    <cfRule type="duplicateValues" dxfId="11453" priority="8475"/>
    <cfRule type="duplicateValues" dxfId="11452" priority="8476"/>
    <cfRule type="duplicateValues" dxfId="11451" priority="8477"/>
    <cfRule type="duplicateValues" dxfId="11450" priority="8478"/>
    <cfRule type="duplicateValues" dxfId="11449" priority="8479"/>
    <cfRule type="duplicateValues" dxfId="11448" priority="8480"/>
    <cfRule type="duplicateValues" dxfId="11447" priority="8481"/>
    <cfRule type="duplicateValues" dxfId="11446" priority="8482"/>
    <cfRule type="duplicateValues" dxfId="11445" priority="8483"/>
    <cfRule type="duplicateValues" dxfId="11444" priority="8484"/>
    <cfRule type="duplicateValues" dxfId="11443" priority="8485"/>
    <cfRule type="duplicateValues" dxfId="11442" priority="8486"/>
    <cfRule type="duplicateValues" dxfId="11441" priority="8487"/>
    <cfRule type="duplicateValues" dxfId="11440" priority="8488"/>
    <cfRule type="duplicateValues" dxfId="11439" priority="8489"/>
    <cfRule type="duplicateValues" dxfId="11438" priority="8490"/>
    <cfRule type="duplicateValues" dxfId="11437" priority="8491"/>
    <cfRule type="duplicateValues" dxfId="11436" priority="8492"/>
    <cfRule type="duplicateValues" dxfId="11435" priority="8493"/>
    <cfRule type="duplicateValues" dxfId="11434" priority="8494"/>
    <cfRule type="duplicateValues" dxfId="11433" priority="8495"/>
    <cfRule type="duplicateValues" dxfId="11432" priority="8496"/>
    <cfRule type="duplicateValues" dxfId="11431" priority="8497"/>
    <cfRule type="duplicateValues" dxfId="11430" priority="8498"/>
    <cfRule type="duplicateValues" dxfId="11429" priority="8499"/>
    <cfRule type="duplicateValues" dxfId="11428" priority="8500"/>
    <cfRule type="duplicateValues" dxfId="11427" priority="8501"/>
    <cfRule type="duplicateValues" dxfId="11426" priority="8502"/>
    <cfRule type="duplicateValues" dxfId="11425" priority="8503"/>
    <cfRule type="duplicateValues" dxfId="11424" priority="8504"/>
    <cfRule type="duplicateValues" dxfId="11423" priority="8505"/>
    <cfRule type="duplicateValues" dxfId="11422" priority="8506"/>
    <cfRule type="duplicateValues" dxfId="11421" priority="8507"/>
    <cfRule type="duplicateValues" dxfId="11420" priority="8508"/>
    <cfRule type="duplicateValues" dxfId="11419" priority="8509"/>
    <cfRule type="duplicateValues" dxfId="11418" priority="8510"/>
    <cfRule type="duplicateValues" dxfId="11417" priority="8511"/>
    <cfRule type="duplicateValues" dxfId="11416" priority="8512"/>
    <cfRule type="duplicateValues" dxfId="11415" priority="8513"/>
    <cfRule type="duplicateValues" dxfId="11414" priority="8514"/>
    <cfRule type="duplicateValues" dxfId="11413" priority="8515"/>
    <cfRule type="duplicateValues" dxfId="11412" priority="8516"/>
    <cfRule type="duplicateValues" dxfId="11411" priority="8517"/>
    <cfRule type="duplicateValues" dxfId="11410" priority="8518"/>
    <cfRule type="duplicateValues" dxfId="11409" priority="8519"/>
    <cfRule type="duplicateValues" dxfId="11408" priority="8520"/>
    <cfRule type="duplicateValues" dxfId="11407" priority="8521"/>
    <cfRule type="duplicateValues" dxfId="11406" priority="8522"/>
    <cfRule type="duplicateValues" dxfId="11405" priority="8523"/>
    <cfRule type="duplicateValues" dxfId="11404" priority="8524"/>
    <cfRule type="duplicateValues" dxfId="11403" priority="8525"/>
    <cfRule type="duplicateValues" dxfId="11402" priority="8526"/>
    <cfRule type="duplicateValues" dxfId="11401" priority="8527"/>
    <cfRule type="duplicateValues" dxfId="11400" priority="8528"/>
    <cfRule type="duplicateValues" dxfId="11399" priority="8529"/>
    <cfRule type="duplicateValues" dxfId="11398" priority="8530"/>
    <cfRule type="duplicateValues" dxfId="11397" priority="8531"/>
    <cfRule type="duplicateValues" dxfId="11396" priority="8532"/>
    <cfRule type="duplicateValues" dxfId="11395" priority="8533"/>
    <cfRule type="duplicateValues" dxfId="11394" priority="8534"/>
    <cfRule type="duplicateValues" dxfId="11393" priority="8535"/>
    <cfRule type="duplicateValues" dxfId="11392" priority="8536"/>
    <cfRule type="duplicateValues" dxfId="11391" priority="8537"/>
    <cfRule type="duplicateValues" dxfId="11390" priority="8538"/>
    <cfRule type="duplicateValues" dxfId="11389" priority="8539"/>
    <cfRule type="duplicateValues" dxfId="11388" priority="8540"/>
    <cfRule type="duplicateValues" dxfId="11387" priority="8541"/>
    <cfRule type="duplicateValues" dxfId="11386" priority="8542"/>
    <cfRule type="duplicateValues" dxfId="11385" priority="8543"/>
    <cfRule type="duplicateValues" dxfId="11384" priority="8544"/>
    <cfRule type="duplicateValues" dxfId="11383" priority="8545"/>
    <cfRule type="duplicateValues" dxfId="11382" priority="8546"/>
    <cfRule type="duplicateValues" dxfId="11381" priority="8547"/>
    <cfRule type="duplicateValues" dxfId="11380" priority="8548"/>
    <cfRule type="duplicateValues" dxfId="11379" priority="8549"/>
    <cfRule type="duplicateValues" dxfId="11378" priority="8550"/>
    <cfRule type="duplicateValues" dxfId="11377" priority="8551"/>
    <cfRule type="duplicateValues" dxfId="11376" priority="8552"/>
    <cfRule type="duplicateValues" dxfId="11375" priority="8553"/>
    <cfRule type="duplicateValues" dxfId="11374" priority="8556"/>
    <cfRule type="duplicateValues" dxfId="11373" priority="8555"/>
    <cfRule type="duplicateValues" dxfId="11372" priority="8554"/>
    <cfRule type="duplicateValues" dxfId="11371" priority="8429"/>
    <cfRule type="duplicateValues" dxfId="11370" priority="8430"/>
    <cfRule type="duplicateValues" dxfId="11369" priority="8431"/>
    <cfRule type="duplicateValues" dxfId="11368" priority="8432"/>
    <cfRule type="duplicateValues" dxfId="11367" priority="8433"/>
    <cfRule type="duplicateValues" dxfId="11366" priority="8434"/>
    <cfRule type="duplicateValues" dxfId="11365" priority="8435"/>
    <cfRule type="duplicateValues" dxfId="11364" priority="8436"/>
    <cfRule type="duplicateValues" dxfId="11363" priority="8437"/>
    <cfRule type="duplicateValues" dxfId="11362" priority="8438"/>
    <cfRule type="duplicateValues" dxfId="11361" priority="8439"/>
    <cfRule type="duplicateValues" dxfId="11360" priority="8440"/>
    <cfRule type="duplicateValues" dxfId="11359" priority="8441"/>
    <cfRule type="duplicateValues" dxfId="11358" priority="8442"/>
    <cfRule type="duplicateValues" dxfId="11357" priority="8443"/>
    <cfRule type="duplicateValues" dxfId="11356" priority="8444"/>
    <cfRule type="duplicateValues" dxfId="11355" priority="8445"/>
    <cfRule type="duplicateValues" dxfId="11354" priority="8446"/>
    <cfRule type="duplicateValues" dxfId="11353" priority="8447"/>
    <cfRule type="duplicateValues" dxfId="11352" priority="8448"/>
    <cfRule type="duplicateValues" dxfId="11351" priority="8449"/>
    <cfRule type="duplicateValues" dxfId="11350" priority="8450"/>
    <cfRule type="duplicateValues" dxfId="11349" priority="8451"/>
    <cfRule type="duplicateValues" dxfId="11348" priority="8452"/>
    <cfRule type="duplicateValues" dxfId="11347" priority="8453"/>
    <cfRule type="duplicateValues" dxfId="11346" priority="8454"/>
    <cfRule type="duplicateValues" dxfId="11345" priority="8455"/>
    <cfRule type="duplicateValues" dxfId="11344" priority="8456"/>
    <cfRule type="duplicateValues" dxfId="11343" priority="8457"/>
    <cfRule type="duplicateValues" dxfId="11342" priority="8458"/>
    <cfRule type="duplicateValues" dxfId="11341" priority="8557"/>
    <cfRule type="duplicateValues" dxfId="11340" priority="8459"/>
    <cfRule type="duplicateValues" dxfId="11339" priority="8616"/>
    <cfRule type="duplicateValues" dxfId="11338" priority="8615"/>
    <cfRule type="duplicateValues" dxfId="11337" priority="8614"/>
    <cfRule type="duplicateValues" dxfId="11336" priority="8613"/>
    <cfRule type="duplicateValues" dxfId="11335" priority="8612"/>
    <cfRule type="duplicateValues" dxfId="11334" priority="8611"/>
    <cfRule type="duplicateValues" dxfId="11333" priority="8610"/>
    <cfRule type="duplicateValues" dxfId="11332" priority="8609"/>
    <cfRule type="duplicateValues" dxfId="11331" priority="8608"/>
    <cfRule type="duplicateValues" dxfId="11330" priority="8607"/>
    <cfRule type="duplicateValues" dxfId="11329" priority="8606"/>
    <cfRule type="duplicateValues" dxfId="11328" priority="8605"/>
    <cfRule type="duplicateValues" dxfId="11327" priority="8604"/>
    <cfRule type="duplicateValues" dxfId="11326" priority="8603"/>
    <cfRule type="duplicateValues" dxfId="11325" priority="8602"/>
    <cfRule type="duplicateValues" dxfId="11324" priority="8601"/>
    <cfRule type="duplicateValues" dxfId="11323" priority="8600"/>
    <cfRule type="duplicateValues" dxfId="11322" priority="8599"/>
    <cfRule type="duplicateValues" dxfId="11321" priority="8598"/>
    <cfRule type="duplicateValues" dxfId="11320" priority="8597"/>
    <cfRule type="duplicateValues" dxfId="11319" priority="8596"/>
    <cfRule type="duplicateValues" dxfId="11318" priority="8595"/>
    <cfRule type="duplicateValues" dxfId="11317" priority="8594"/>
    <cfRule type="duplicateValues" dxfId="11316" priority="8593"/>
    <cfRule type="duplicateValues" dxfId="11315" priority="8592"/>
    <cfRule type="duplicateValues" dxfId="11314" priority="8591"/>
    <cfRule type="duplicateValues" dxfId="11313" priority="8590"/>
    <cfRule type="duplicateValues" dxfId="11312" priority="8589"/>
    <cfRule type="duplicateValues" dxfId="11311" priority="8588"/>
    <cfRule type="duplicateValues" dxfId="11310" priority="8587"/>
    <cfRule type="duplicateValues" dxfId="11309" priority="8586"/>
    <cfRule type="duplicateValues" dxfId="11308" priority="8585"/>
    <cfRule type="duplicateValues" dxfId="11307" priority="8584"/>
    <cfRule type="duplicateValues" dxfId="11306" priority="8583"/>
    <cfRule type="duplicateValues" dxfId="11305" priority="8582"/>
    <cfRule type="duplicateValues" dxfId="11304" priority="8581"/>
    <cfRule type="duplicateValues" dxfId="11303" priority="8580"/>
    <cfRule type="duplicateValues" dxfId="11302" priority="8579"/>
    <cfRule type="duplicateValues" dxfId="11301" priority="8578"/>
    <cfRule type="duplicateValues" dxfId="11300" priority="8577"/>
    <cfRule type="duplicateValues" dxfId="11299" priority="8576"/>
    <cfRule type="duplicateValues" dxfId="11298" priority="8575"/>
    <cfRule type="duplicateValues" dxfId="11297" priority="8574"/>
    <cfRule type="duplicateValues" dxfId="11296" priority="8573"/>
    <cfRule type="duplicateValues" dxfId="11295" priority="8572"/>
    <cfRule type="duplicateValues" dxfId="11294" priority="8571"/>
    <cfRule type="duplicateValues" dxfId="11293" priority="8570"/>
    <cfRule type="duplicateValues" dxfId="11292" priority="8569"/>
    <cfRule type="duplicateValues" dxfId="11291" priority="8568"/>
    <cfRule type="duplicateValues" dxfId="11290" priority="8567"/>
    <cfRule type="duplicateValues" dxfId="11289" priority="8566"/>
    <cfRule type="duplicateValues" dxfId="11288" priority="8565"/>
    <cfRule type="duplicateValues" dxfId="11287" priority="8564"/>
    <cfRule type="duplicateValues" dxfId="11286" priority="8563"/>
    <cfRule type="duplicateValues" dxfId="11285" priority="8562"/>
    <cfRule type="duplicateValues" dxfId="11284" priority="8561"/>
    <cfRule type="duplicateValues" dxfId="11283" priority="8560"/>
    <cfRule type="duplicateValues" dxfId="11282" priority="8559"/>
    <cfRule type="duplicateValues" dxfId="11281" priority="8558"/>
  </conditionalFormatting>
  <conditionalFormatting sqref="B288:B290">
    <cfRule type="duplicateValues" dxfId="11280" priority="8773"/>
    <cfRule type="duplicateValues" dxfId="11279" priority="8774"/>
    <cfRule type="duplicateValues" dxfId="11278" priority="8742"/>
    <cfRule type="duplicateValues" dxfId="11277" priority="8741"/>
    <cfRule type="duplicateValues" dxfId="11276" priority="8740"/>
    <cfRule type="duplicateValues" dxfId="11275" priority="8739"/>
    <cfRule type="duplicateValues" dxfId="11274" priority="8738"/>
    <cfRule type="duplicateValues" dxfId="11273" priority="8737"/>
    <cfRule type="duplicateValues" dxfId="11272" priority="8736"/>
    <cfRule type="duplicateValues" dxfId="11271" priority="8735"/>
    <cfRule type="duplicateValues" dxfId="11270" priority="8734"/>
    <cfRule type="duplicateValues" dxfId="11269" priority="8733"/>
    <cfRule type="duplicateValues" dxfId="11268" priority="8732"/>
    <cfRule type="duplicateValues" dxfId="11267" priority="8731"/>
    <cfRule type="duplicateValues" dxfId="11266" priority="8730"/>
    <cfRule type="duplicateValues" dxfId="11265" priority="8729"/>
    <cfRule type="duplicateValues" dxfId="11264" priority="8728"/>
    <cfRule type="duplicateValues" dxfId="11263" priority="8727"/>
    <cfRule type="duplicateValues" dxfId="11262" priority="8726"/>
    <cfRule type="duplicateValues" dxfId="11261" priority="8725"/>
    <cfRule type="duplicateValues" dxfId="11260" priority="8724"/>
    <cfRule type="duplicateValues" dxfId="11259" priority="8723"/>
    <cfRule type="duplicateValues" dxfId="11258" priority="8722"/>
    <cfRule type="duplicateValues" dxfId="11257" priority="8775"/>
    <cfRule type="duplicateValues" dxfId="11256" priority="8720"/>
    <cfRule type="duplicateValues" dxfId="11255" priority="8719"/>
    <cfRule type="duplicateValues" dxfId="11254" priority="8718"/>
    <cfRule type="duplicateValues" dxfId="11253" priority="8717"/>
    <cfRule type="duplicateValues" dxfId="11252" priority="8716"/>
    <cfRule type="duplicateValues" dxfId="11251" priority="8715"/>
    <cfRule type="duplicateValues" dxfId="11250" priority="8714"/>
    <cfRule type="duplicateValues" dxfId="11249" priority="8713"/>
    <cfRule type="duplicateValues" dxfId="11248" priority="8712"/>
    <cfRule type="duplicateValues" dxfId="11247" priority="8711"/>
    <cfRule type="duplicateValues" dxfId="11246" priority="8710"/>
    <cfRule type="duplicateValues" dxfId="11245" priority="8709"/>
    <cfRule type="duplicateValues" dxfId="11244" priority="8708"/>
    <cfRule type="duplicateValues" dxfId="11243" priority="8707"/>
    <cfRule type="duplicateValues" dxfId="11242" priority="8706"/>
    <cfRule type="duplicateValues" dxfId="11241" priority="8705"/>
    <cfRule type="duplicateValues" dxfId="11240" priority="8704"/>
    <cfRule type="duplicateValues" dxfId="11239" priority="8703"/>
    <cfRule type="duplicateValues" dxfId="11238" priority="8702"/>
    <cfRule type="duplicateValues" dxfId="11237" priority="8701"/>
    <cfRule type="duplicateValues" dxfId="11236" priority="8700"/>
    <cfRule type="duplicateValues" dxfId="11235" priority="8699"/>
    <cfRule type="duplicateValues" dxfId="11234" priority="8698"/>
    <cfRule type="duplicateValues" dxfId="11233" priority="8776"/>
    <cfRule type="duplicateValues" dxfId="11232" priority="8696"/>
    <cfRule type="duplicateValues" dxfId="11231" priority="8695"/>
    <cfRule type="duplicateValues" dxfId="11230" priority="8694"/>
    <cfRule type="duplicateValues" dxfId="11229" priority="8693"/>
    <cfRule type="duplicateValues" dxfId="11228" priority="8692"/>
    <cfRule type="duplicateValues" dxfId="11227" priority="8691"/>
    <cfRule type="duplicateValues" dxfId="11226" priority="8690"/>
    <cfRule type="duplicateValues" dxfId="11225" priority="8689"/>
    <cfRule type="duplicateValues" dxfId="11224" priority="8688"/>
    <cfRule type="duplicateValues" dxfId="11223" priority="8687"/>
    <cfRule type="duplicateValues" dxfId="11222" priority="8686"/>
    <cfRule type="duplicateValues" dxfId="11221" priority="8685"/>
    <cfRule type="duplicateValues" dxfId="11220" priority="8684"/>
    <cfRule type="duplicateValues" dxfId="11219" priority="8683"/>
    <cfRule type="duplicateValues" dxfId="11218" priority="8682"/>
    <cfRule type="duplicateValues" dxfId="11217" priority="8681"/>
    <cfRule type="duplicateValues" dxfId="11216" priority="8680"/>
    <cfRule type="duplicateValues" dxfId="11215" priority="8679"/>
    <cfRule type="duplicateValues" dxfId="11214" priority="8678"/>
    <cfRule type="duplicateValues" dxfId="11213" priority="8677"/>
    <cfRule type="duplicateValues" dxfId="11212" priority="8676"/>
    <cfRule type="duplicateValues" dxfId="11211" priority="8675"/>
    <cfRule type="duplicateValues" dxfId="11210" priority="8674"/>
    <cfRule type="duplicateValues" dxfId="11209" priority="8673"/>
    <cfRule type="duplicateValues" dxfId="11208" priority="8672"/>
    <cfRule type="duplicateValues" dxfId="11207" priority="8671"/>
    <cfRule type="duplicateValues" dxfId="11206" priority="8670"/>
    <cfRule type="duplicateValues" dxfId="11205" priority="8669"/>
    <cfRule type="duplicateValues" dxfId="11204" priority="8668"/>
    <cfRule type="duplicateValues" dxfId="11203" priority="8667"/>
    <cfRule type="duplicateValues" dxfId="11202" priority="8666"/>
    <cfRule type="duplicateValues" dxfId="11201" priority="8665"/>
    <cfRule type="duplicateValues" dxfId="11200" priority="8664"/>
    <cfRule type="duplicateValues" dxfId="11199" priority="8663"/>
    <cfRule type="duplicateValues" dxfId="11198" priority="8662"/>
    <cfRule type="duplicateValues" dxfId="11197" priority="8661"/>
    <cfRule type="duplicateValues" dxfId="11196" priority="8660"/>
    <cfRule type="duplicateValues" dxfId="11195" priority="8659"/>
    <cfRule type="duplicateValues" dxfId="11194" priority="8658"/>
    <cfRule type="duplicateValues" dxfId="11193" priority="8657"/>
    <cfRule type="duplicateValues" dxfId="11192" priority="8656"/>
    <cfRule type="duplicateValues" dxfId="11191" priority="8655"/>
    <cfRule type="duplicateValues" dxfId="11190" priority="8654"/>
    <cfRule type="duplicateValues" dxfId="11189" priority="8653"/>
    <cfRule type="duplicateValues" dxfId="11188" priority="8652"/>
    <cfRule type="duplicateValues" dxfId="11187" priority="8651"/>
    <cfRule type="duplicateValues" dxfId="11186" priority="8650"/>
    <cfRule type="duplicateValues" dxfId="11185" priority="8649"/>
    <cfRule type="duplicateValues" dxfId="11184" priority="8648"/>
    <cfRule type="duplicateValues" dxfId="11183" priority="8647"/>
    <cfRule type="duplicateValues" dxfId="11182" priority="8646"/>
    <cfRule type="duplicateValues" dxfId="11181" priority="8645"/>
    <cfRule type="duplicateValues" dxfId="11180" priority="8644"/>
    <cfRule type="duplicateValues" dxfId="11179" priority="8643"/>
    <cfRule type="duplicateValues" dxfId="11178" priority="8642"/>
    <cfRule type="duplicateValues" dxfId="11177" priority="8641"/>
    <cfRule type="duplicateValues" dxfId="11176" priority="8640"/>
    <cfRule type="duplicateValues" dxfId="11175" priority="8639"/>
    <cfRule type="duplicateValues" dxfId="11174" priority="8638"/>
    <cfRule type="duplicateValues" dxfId="11173" priority="8637"/>
    <cfRule type="duplicateValues" dxfId="11172" priority="8636"/>
    <cfRule type="duplicateValues" dxfId="11171" priority="8635"/>
    <cfRule type="duplicateValues" dxfId="11170" priority="8634"/>
    <cfRule type="duplicateValues" dxfId="11169" priority="8633"/>
    <cfRule type="duplicateValues" dxfId="11168" priority="8632"/>
    <cfRule type="duplicateValues" dxfId="11167" priority="8631"/>
    <cfRule type="duplicateValues" dxfId="11166" priority="8630"/>
    <cfRule type="duplicateValues" dxfId="11165" priority="8629"/>
    <cfRule type="duplicateValues" dxfId="11164" priority="8628"/>
    <cfRule type="duplicateValues" dxfId="11163" priority="8721"/>
    <cfRule type="duplicateValues" dxfId="11162" priority="8626"/>
    <cfRule type="duplicateValues" dxfId="11161" priority="8625"/>
    <cfRule type="duplicateValues" dxfId="11160" priority="8624"/>
    <cfRule type="duplicateValues" dxfId="11159" priority="8623"/>
    <cfRule type="duplicateValues" dxfId="11158" priority="8622"/>
    <cfRule type="duplicateValues" dxfId="11157" priority="8621"/>
    <cfRule type="duplicateValues" dxfId="11156" priority="8620"/>
    <cfRule type="duplicateValues" dxfId="11155" priority="8619"/>
    <cfRule type="duplicateValues" dxfId="11154" priority="8618"/>
    <cfRule type="duplicateValues" dxfId="11153" priority="8617"/>
    <cfRule type="duplicateValues" dxfId="11152" priority="8777"/>
    <cfRule type="duplicateValues" dxfId="11151" priority="8778"/>
    <cfRule type="duplicateValues" dxfId="11150" priority="8779"/>
    <cfRule type="duplicateValues" dxfId="11149" priority="8780"/>
    <cfRule type="duplicateValues" dxfId="11148" priority="8781"/>
    <cfRule type="duplicateValues" dxfId="11147" priority="8782"/>
    <cfRule type="duplicateValues" dxfId="11146" priority="8783"/>
    <cfRule type="duplicateValues" dxfId="11145" priority="8784"/>
    <cfRule type="duplicateValues" dxfId="11144" priority="8785"/>
    <cfRule type="duplicateValues" dxfId="11143" priority="8786"/>
    <cfRule type="duplicateValues" dxfId="11142" priority="8787"/>
    <cfRule type="duplicateValues" dxfId="11141" priority="8788"/>
    <cfRule type="duplicateValues" dxfId="11140" priority="8697"/>
    <cfRule type="duplicateValues" dxfId="11139" priority="8789"/>
    <cfRule type="duplicateValues" dxfId="11138" priority="8790"/>
    <cfRule type="duplicateValues" dxfId="11137" priority="8791"/>
    <cfRule type="duplicateValues" dxfId="11136" priority="8792"/>
    <cfRule type="duplicateValues" dxfId="11135" priority="8793"/>
    <cfRule type="duplicateValues" dxfId="11134" priority="8794"/>
    <cfRule type="duplicateValues" dxfId="11133" priority="8795"/>
    <cfRule type="duplicateValues" dxfId="11132" priority="8796"/>
    <cfRule type="duplicateValues" dxfId="11131" priority="8797"/>
    <cfRule type="duplicateValues" dxfId="11130" priority="8798"/>
    <cfRule type="duplicateValues" dxfId="11129" priority="8799"/>
    <cfRule type="duplicateValues" dxfId="11128" priority="8800"/>
    <cfRule type="duplicateValues" dxfId="11127" priority="8801"/>
    <cfRule type="duplicateValues" dxfId="11126" priority="8802"/>
    <cfRule type="duplicateValues" dxfId="11125" priority="8803"/>
    <cfRule type="duplicateValues" dxfId="11124" priority="8743"/>
    <cfRule type="duplicateValues" dxfId="11123" priority="8744"/>
    <cfRule type="duplicateValues" dxfId="11122" priority="8745"/>
    <cfRule type="duplicateValues" dxfId="11121" priority="8746"/>
    <cfRule type="duplicateValues" dxfId="11120" priority="8747"/>
    <cfRule type="duplicateValues" dxfId="11119" priority="8748"/>
    <cfRule type="duplicateValues" dxfId="11118" priority="8749"/>
    <cfRule type="duplicateValues" dxfId="11117" priority="8750"/>
    <cfRule type="duplicateValues" dxfId="11116" priority="8751"/>
    <cfRule type="duplicateValues" dxfId="11115" priority="8752"/>
    <cfRule type="duplicateValues" dxfId="11114" priority="8804"/>
    <cfRule type="duplicateValues" dxfId="11113" priority="8753"/>
    <cfRule type="duplicateValues" dxfId="11112" priority="8754"/>
    <cfRule type="duplicateValues" dxfId="11111" priority="8755"/>
    <cfRule type="duplicateValues" dxfId="11110" priority="8756"/>
    <cfRule type="duplicateValues" dxfId="11109" priority="8757"/>
    <cfRule type="duplicateValues" dxfId="11108" priority="8758"/>
    <cfRule type="duplicateValues" dxfId="11107" priority="8759"/>
    <cfRule type="duplicateValues" dxfId="11106" priority="8760"/>
    <cfRule type="duplicateValues" dxfId="11105" priority="8761"/>
    <cfRule type="duplicateValues" dxfId="11104" priority="8762"/>
    <cfRule type="duplicateValues" dxfId="11103" priority="8763"/>
    <cfRule type="duplicateValues" dxfId="11102" priority="8764"/>
    <cfRule type="duplicateValues" dxfId="11101" priority="8765"/>
    <cfRule type="duplicateValues" dxfId="11100" priority="8766"/>
    <cfRule type="duplicateValues" dxfId="11099" priority="8767"/>
    <cfRule type="duplicateValues" dxfId="11098" priority="8768"/>
    <cfRule type="duplicateValues" dxfId="11097" priority="8769"/>
    <cfRule type="duplicateValues" dxfId="11096" priority="8770"/>
    <cfRule type="duplicateValues" dxfId="11095" priority="8771"/>
    <cfRule type="duplicateValues" dxfId="11094" priority="8772"/>
    <cfRule type="duplicateValues" dxfId="11093" priority="8627"/>
  </conditionalFormatting>
  <conditionalFormatting sqref="B291">
    <cfRule type="duplicateValues" dxfId="11092" priority="8275"/>
    <cfRule type="duplicateValues" dxfId="11091" priority="8428"/>
    <cfRule type="duplicateValues" dxfId="11090" priority="8427"/>
    <cfRule type="duplicateValues" dxfId="11089" priority="8426"/>
    <cfRule type="duplicateValues" dxfId="11088" priority="8425"/>
    <cfRule type="duplicateValues" dxfId="11087" priority="8424"/>
    <cfRule type="duplicateValues" dxfId="11086" priority="8423"/>
    <cfRule type="duplicateValues" dxfId="11085" priority="8422"/>
    <cfRule type="duplicateValues" dxfId="11084" priority="8421"/>
    <cfRule type="duplicateValues" dxfId="11083" priority="8420"/>
    <cfRule type="duplicateValues" dxfId="11082" priority="8419"/>
    <cfRule type="duplicateValues" dxfId="11081" priority="8418"/>
    <cfRule type="duplicateValues" dxfId="11080" priority="8417"/>
    <cfRule type="duplicateValues" dxfId="11079" priority="8416"/>
    <cfRule type="duplicateValues" dxfId="11078" priority="8415"/>
    <cfRule type="duplicateValues" dxfId="11077" priority="8414"/>
    <cfRule type="duplicateValues" dxfId="11076" priority="8413"/>
    <cfRule type="duplicateValues" dxfId="11075" priority="8412"/>
    <cfRule type="duplicateValues" dxfId="11074" priority="8411"/>
    <cfRule type="duplicateValues" dxfId="11073" priority="8410"/>
    <cfRule type="duplicateValues" dxfId="11072" priority="8409"/>
    <cfRule type="duplicateValues" dxfId="11071" priority="8408"/>
    <cfRule type="duplicateValues" dxfId="11070" priority="8407"/>
    <cfRule type="duplicateValues" dxfId="11069" priority="8406"/>
    <cfRule type="duplicateValues" dxfId="11068" priority="8405"/>
    <cfRule type="duplicateValues" dxfId="11067" priority="8404"/>
    <cfRule type="duplicateValues" dxfId="11066" priority="8403"/>
    <cfRule type="duplicateValues" dxfId="11065" priority="8402"/>
    <cfRule type="duplicateValues" dxfId="11064" priority="8401"/>
    <cfRule type="duplicateValues" dxfId="11063" priority="8400"/>
    <cfRule type="duplicateValues" dxfId="11062" priority="8399"/>
    <cfRule type="duplicateValues" dxfId="11061" priority="8398"/>
    <cfRule type="duplicateValues" dxfId="11060" priority="8397"/>
    <cfRule type="duplicateValues" dxfId="11059" priority="8396"/>
    <cfRule type="duplicateValues" dxfId="11058" priority="8395"/>
    <cfRule type="duplicateValues" dxfId="11057" priority="8394"/>
    <cfRule type="duplicateValues" dxfId="11056" priority="8393"/>
    <cfRule type="duplicateValues" dxfId="11055" priority="8392"/>
    <cfRule type="duplicateValues" dxfId="11054" priority="8391"/>
    <cfRule type="duplicateValues" dxfId="11053" priority="8390"/>
    <cfRule type="duplicateValues" dxfId="11052" priority="8389"/>
    <cfRule type="duplicateValues" dxfId="11051" priority="8388"/>
    <cfRule type="duplicateValues" dxfId="11050" priority="8387"/>
    <cfRule type="duplicateValues" dxfId="11049" priority="8386"/>
    <cfRule type="duplicateValues" dxfId="11048" priority="8385"/>
    <cfRule type="duplicateValues" dxfId="11047" priority="8384"/>
    <cfRule type="duplicateValues" dxfId="11046" priority="8383"/>
    <cfRule type="duplicateValues" dxfId="11045" priority="8382"/>
    <cfRule type="duplicateValues" dxfId="11044" priority="8381"/>
    <cfRule type="duplicateValues" dxfId="11043" priority="8380"/>
    <cfRule type="duplicateValues" dxfId="11042" priority="8379"/>
    <cfRule type="duplicateValues" dxfId="11041" priority="8378"/>
    <cfRule type="duplicateValues" dxfId="11040" priority="8377"/>
    <cfRule type="duplicateValues" dxfId="11039" priority="8376"/>
    <cfRule type="duplicateValues" dxfId="11038" priority="8375"/>
    <cfRule type="duplicateValues" dxfId="11037" priority="8374"/>
    <cfRule type="duplicateValues" dxfId="11036" priority="8373"/>
    <cfRule type="duplicateValues" dxfId="11035" priority="8372"/>
    <cfRule type="duplicateValues" dxfId="11034" priority="8371"/>
    <cfRule type="duplicateValues" dxfId="11033" priority="8370"/>
    <cfRule type="duplicateValues" dxfId="11032" priority="8369"/>
    <cfRule type="duplicateValues" dxfId="11031" priority="8368"/>
    <cfRule type="duplicateValues" dxfId="11030" priority="8367"/>
    <cfRule type="duplicateValues" dxfId="11029" priority="8366"/>
    <cfRule type="duplicateValues" dxfId="11028" priority="8365"/>
    <cfRule type="duplicateValues" dxfId="11027" priority="8364"/>
    <cfRule type="duplicateValues" dxfId="11026" priority="8363"/>
    <cfRule type="duplicateValues" dxfId="11025" priority="8362"/>
    <cfRule type="duplicateValues" dxfId="11024" priority="8361"/>
    <cfRule type="duplicateValues" dxfId="11023" priority="8360"/>
    <cfRule type="duplicateValues" dxfId="11022" priority="8359"/>
    <cfRule type="duplicateValues" dxfId="11021" priority="8358"/>
    <cfRule type="duplicateValues" dxfId="11020" priority="8357"/>
    <cfRule type="duplicateValues" dxfId="11019" priority="8356"/>
    <cfRule type="duplicateValues" dxfId="11018" priority="8355"/>
    <cfRule type="duplicateValues" dxfId="11017" priority="8354"/>
    <cfRule type="duplicateValues" dxfId="11016" priority="8353"/>
    <cfRule type="duplicateValues" dxfId="11015" priority="8352"/>
    <cfRule type="duplicateValues" dxfId="11014" priority="8351"/>
    <cfRule type="duplicateValues" dxfId="11013" priority="8350"/>
    <cfRule type="duplicateValues" dxfId="11012" priority="8349"/>
    <cfRule type="duplicateValues" dxfId="11011" priority="8348"/>
    <cfRule type="duplicateValues" dxfId="11010" priority="8347"/>
    <cfRule type="duplicateValues" dxfId="11009" priority="8346"/>
    <cfRule type="duplicateValues" dxfId="11008" priority="8345"/>
    <cfRule type="duplicateValues" dxfId="11007" priority="8344"/>
    <cfRule type="duplicateValues" dxfId="11006" priority="8343"/>
    <cfRule type="duplicateValues" dxfId="11005" priority="8342"/>
    <cfRule type="duplicateValues" dxfId="11004" priority="8341"/>
    <cfRule type="duplicateValues" dxfId="11003" priority="8340"/>
    <cfRule type="duplicateValues" dxfId="11002" priority="8339"/>
    <cfRule type="duplicateValues" dxfId="11001" priority="8338"/>
    <cfRule type="duplicateValues" dxfId="11000" priority="8337"/>
    <cfRule type="duplicateValues" dxfId="10999" priority="8336"/>
    <cfRule type="duplicateValues" dxfId="10998" priority="8335"/>
    <cfRule type="duplicateValues" dxfId="10997" priority="8334"/>
    <cfRule type="duplicateValues" dxfId="10996" priority="8333"/>
    <cfRule type="duplicateValues" dxfId="10995" priority="8332"/>
    <cfRule type="duplicateValues" dxfId="10994" priority="8331"/>
    <cfRule type="duplicateValues" dxfId="10993" priority="8330"/>
    <cfRule type="duplicateValues" dxfId="10992" priority="8329"/>
    <cfRule type="duplicateValues" dxfId="10991" priority="8328"/>
    <cfRule type="duplicateValues" dxfId="10990" priority="8327"/>
    <cfRule type="duplicateValues" dxfId="10989" priority="8326"/>
    <cfRule type="duplicateValues" dxfId="10988" priority="8325"/>
    <cfRule type="duplicateValues" dxfId="10987" priority="8324"/>
    <cfRule type="duplicateValues" dxfId="10986" priority="8323"/>
    <cfRule type="duplicateValues" dxfId="10985" priority="8322"/>
    <cfRule type="duplicateValues" dxfId="10984" priority="8321"/>
    <cfRule type="duplicateValues" dxfId="10983" priority="8320"/>
    <cfRule type="duplicateValues" dxfId="10982" priority="8319"/>
    <cfRule type="duplicateValues" dxfId="10981" priority="8318"/>
    <cfRule type="duplicateValues" dxfId="10980" priority="8317"/>
    <cfRule type="duplicateValues" dxfId="10979" priority="8316"/>
    <cfRule type="duplicateValues" dxfId="10978" priority="8315"/>
    <cfRule type="duplicateValues" dxfId="10977" priority="8314"/>
    <cfRule type="duplicateValues" dxfId="10976" priority="8313"/>
    <cfRule type="duplicateValues" dxfId="10975" priority="8312"/>
    <cfRule type="duplicateValues" dxfId="10974" priority="8311"/>
    <cfRule type="duplicateValues" dxfId="10973" priority="8310"/>
    <cfRule type="duplicateValues" dxfId="10972" priority="8309"/>
    <cfRule type="duplicateValues" dxfId="10971" priority="8308"/>
    <cfRule type="duplicateValues" dxfId="10970" priority="8307"/>
    <cfRule type="duplicateValues" dxfId="10969" priority="8306"/>
    <cfRule type="duplicateValues" dxfId="10968" priority="8305"/>
    <cfRule type="duplicateValues" dxfId="10967" priority="8304"/>
    <cfRule type="duplicateValues" dxfId="10966" priority="8303"/>
    <cfRule type="duplicateValues" dxfId="10965" priority="8302"/>
    <cfRule type="duplicateValues" dxfId="10964" priority="8301"/>
    <cfRule type="duplicateValues" dxfId="10963" priority="8300"/>
    <cfRule type="duplicateValues" dxfId="10962" priority="8299"/>
    <cfRule type="duplicateValues" dxfId="10961" priority="8297"/>
    <cfRule type="duplicateValues" dxfId="10960" priority="8296"/>
    <cfRule type="duplicateValues" dxfId="10959" priority="8295"/>
    <cfRule type="duplicateValues" dxfId="10958" priority="8294"/>
    <cfRule type="duplicateValues" dxfId="10957" priority="8293"/>
    <cfRule type="duplicateValues" dxfId="10956" priority="8292"/>
    <cfRule type="duplicateValues" dxfId="10955" priority="8291"/>
    <cfRule type="duplicateValues" dxfId="10954" priority="8290"/>
    <cfRule type="duplicateValues" dxfId="10953" priority="8289"/>
    <cfRule type="duplicateValues" dxfId="10952" priority="8288"/>
    <cfRule type="duplicateValues" dxfId="10951" priority="8287"/>
    <cfRule type="duplicateValues" dxfId="10950" priority="8286"/>
    <cfRule type="duplicateValues" dxfId="10949" priority="8285"/>
    <cfRule type="duplicateValues" dxfId="10948" priority="8284"/>
    <cfRule type="duplicateValues" dxfId="10947" priority="8283"/>
    <cfRule type="duplicateValues" dxfId="10946" priority="8282"/>
    <cfRule type="duplicateValues" dxfId="10945" priority="8281"/>
    <cfRule type="duplicateValues" dxfId="10944" priority="8280"/>
    <cfRule type="duplicateValues" dxfId="10943" priority="8279"/>
    <cfRule type="duplicateValues" dxfId="10942" priority="8278"/>
    <cfRule type="duplicateValues" dxfId="10941" priority="8277"/>
    <cfRule type="duplicateValues" dxfId="10940" priority="8276"/>
    <cfRule type="duplicateValues" dxfId="10939" priority="8274"/>
    <cfRule type="duplicateValues" dxfId="10938" priority="8273"/>
    <cfRule type="duplicateValues" dxfId="10937" priority="8272"/>
    <cfRule type="duplicateValues" dxfId="10936" priority="8271"/>
    <cfRule type="duplicateValues" dxfId="10935" priority="8270"/>
    <cfRule type="duplicateValues" dxfId="10934" priority="8269"/>
    <cfRule type="duplicateValues" dxfId="10933" priority="8268"/>
    <cfRule type="duplicateValues" dxfId="10932" priority="8267"/>
    <cfRule type="duplicateValues" dxfId="10931" priority="8266"/>
    <cfRule type="duplicateValues" dxfId="10930" priority="8265"/>
    <cfRule type="duplicateValues" dxfId="10929" priority="8264"/>
    <cfRule type="duplicateValues" dxfId="10928" priority="8263"/>
    <cfRule type="duplicateValues" dxfId="10927" priority="8262"/>
    <cfRule type="duplicateValues" dxfId="10926" priority="8261"/>
    <cfRule type="duplicateValues" dxfId="10925" priority="8260"/>
    <cfRule type="duplicateValues" dxfId="10924" priority="8259"/>
    <cfRule type="duplicateValues" dxfId="10923" priority="8258"/>
    <cfRule type="duplicateValues" dxfId="10922" priority="8257"/>
    <cfRule type="duplicateValues" dxfId="10921" priority="8256"/>
    <cfRule type="duplicateValues" dxfId="10920" priority="8255"/>
    <cfRule type="duplicateValues" dxfId="10919" priority="8254"/>
    <cfRule type="duplicateValues" dxfId="10918" priority="8253"/>
    <cfRule type="duplicateValues" dxfId="10917" priority="8252"/>
    <cfRule type="duplicateValues" dxfId="10916" priority="8251"/>
    <cfRule type="duplicateValues" dxfId="10915" priority="8250"/>
    <cfRule type="duplicateValues" dxfId="10914" priority="8249"/>
    <cfRule type="duplicateValues" dxfId="10913" priority="8248"/>
    <cfRule type="duplicateValues" dxfId="10912" priority="8247"/>
    <cfRule type="duplicateValues" dxfId="10911" priority="8246"/>
    <cfRule type="duplicateValues" dxfId="10910" priority="8245"/>
    <cfRule type="duplicateValues" dxfId="10909" priority="8244"/>
    <cfRule type="duplicateValues" dxfId="10908" priority="8243"/>
    <cfRule type="duplicateValues" dxfId="10907" priority="8242"/>
    <cfRule type="duplicateValues" dxfId="10906" priority="8241"/>
    <cfRule type="duplicateValues" dxfId="10905" priority="8298"/>
  </conditionalFormatting>
  <conditionalFormatting sqref="B292">
    <cfRule type="duplicateValues" dxfId="10904" priority="7770"/>
    <cfRule type="duplicateValues" dxfId="10903" priority="7771"/>
    <cfRule type="duplicateValues" dxfId="10902" priority="7772"/>
    <cfRule type="duplicateValues" dxfId="10901" priority="7773"/>
    <cfRule type="duplicateValues" dxfId="10900" priority="7774"/>
    <cfRule type="duplicateValues" dxfId="10899" priority="7775"/>
    <cfRule type="duplicateValues" dxfId="10898" priority="7776"/>
    <cfRule type="duplicateValues" dxfId="10897" priority="7777"/>
    <cfRule type="duplicateValues" dxfId="10896" priority="7778"/>
    <cfRule type="duplicateValues" dxfId="10895" priority="7779"/>
    <cfRule type="duplicateValues" dxfId="10894" priority="7780"/>
    <cfRule type="duplicateValues" dxfId="10893" priority="7781"/>
    <cfRule type="duplicateValues" dxfId="10892" priority="7782"/>
    <cfRule type="duplicateValues" dxfId="10891" priority="7783"/>
    <cfRule type="duplicateValues" dxfId="10890" priority="7784"/>
    <cfRule type="duplicateValues" dxfId="10889" priority="7785"/>
    <cfRule type="duplicateValues" dxfId="10888" priority="7786"/>
    <cfRule type="duplicateValues" dxfId="10887" priority="7787"/>
    <cfRule type="duplicateValues" dxfId="10886" priority="7788"/>
    <cfRule type="duplicateValues" dxfId="10885" priority="7789"/>
    <cfRule type="duplicateValues" dxfId="10884" priority="7790"/>
    <cfRule type="duplicateValues" dxfId="10883" priority="7791"/>
    <cfRule type="duplicateValues" dxfId="10882" priority="7792"/>
    <cfRule type="duplicateValues" dxfId="10881" priority="7793"/>
    <cfRule type="duplicateValues" dxfId="10880" priority="7794"/>
    <cfRule type="duplicateValues" dxfId="10879" priority="7795"/>
    <cfRule type="duplicateValues" dxfId="10878" priority="7796"/>
    <cfRule type="duplicateValues" dxfId="10877" priority="7797"/>
    <cfRule type="duplicateValues" dxfId="10876" priority="7798"/>
    <cfRule type="duplicateValues" dxfId="10875" priority="7799"/>
    <cfRule type="duplicateValues" dxfId="10874" priority="7800"/>
    <cfRule type="duplicateValues" dxfId="10873" priority="7801"/>
    <cfRule type="duplicateValues" dxfId="10872" priority="7802"/>
    <cfRule type="duplicateValues" dxfId="10871" priority="7803"/>
    <cfRule type="duplicateValues" dxfId="10870" priority="7804"/>
    <cfRule type="duplicateValues" dxfId="10869" priority="7805"/>
    <cfRule type="duplicateValues" dxfId="10868" priority="7806"/>
    <cfRule type="duplicateValues" dxfId="10867" priority="7807"/>
    <cfRule type="duplicateValues" dxfId="10866" priority="7808"/>
    <cfRule type="duplicateValues" dxfId="10865" priority="7809"/>
    <cfRule type="duplicateValues" dxfId="10864" priority="7810"/>
    <cfRule type="duplicateValues" dxfId="10863" priority="7811"/>
    <cfRule type="duplicateValues" dxfId="10862" priority="7812"/>
    <cfRule type="duplicateValues" dxfId="10861" priority="7813"/>
    <cfRule type="duplicateValues" dxfId="10860" priority="7814"/>
    <cfRule type="duplicateValues" dxfId="10859" priority="7815"/>
    <cfRule type="duplicateValues" dxfId="10858" priority="7816"/>
    <cfRule type="duplicateValues" dxfId="10857" priority="7817"/>
    <cfRule type="duplicateValues" dxfId="10856" priority="7818"/>
    <cfRule type="duplicateValues" dxfId="10855" priority="7819"/>
    <cfRule type="duplicateValues" dxfId="10854" priority="7820"/>
    <cfRule type="duplicateValues" dxfId="10853" priority="7821"/>
    <cfRule type="duplicateValues" dxfId="10852" priority="7822"/>
    <cfRule type="duplicateValues" dxfId="10851" priority="7823"/>
    <cfRule type="duplicateValues" dxfId="10850" priority="7824"/>
    <cfRule type="duplicateValues" dxfId="10849" priority="7825"/>
    <cfRule type="duplicateValues" dxfId="10848" priority="7826"/>
    <cfRule type="duplicateValues" dxfId="10847" priority="7827"/>
    <cfRule type="duplicateValues" dxfId="10846" priority="7828"/>
    <cfRule type="duplicateValues" dxfId="10845" priority="7829"/>
    <cfRule type="duplicateValues" dxfId="10844" priority="7830"/>
    <cfRule type="duplicateValues" dxfId="10843" priority="7831"/>
    <cfRule type="duplicateValues" dxfId="10842" priority="7832"/>
    <cfRule type="duplicateValues" dxfId="10841" priority="7833"/>
    <cfRule type="duplicateValues" dxfId="10840" priority="7834"/>
    <cfRule type="duplicateValues" dxfId="10839" priority="7835"/>
    <cfRule type="duplicateValues" dxfId="10838" priority="7836"/>
    <cfRule type="duplicateValues" dxfId="10837" priority="7710"/>
    <cfRule type="duplicateValues" dxfId="10836" priority="7711"/>
    <cfRule type="duplicateValues" dxfId="10835" priority="7712"/>
    <cfRule type="duplicateValues" dxfId="10834" priority="7837"/>
    <cfRule type="duplicateValues" dxfId="10833" priority="7713"/>
    <cfRule type="duplicateValues" dxfId="10832" priority="7714"/>
    <cfRule type="duplicateValues" dxfId="10831" priority="7715"/>
    <cfRule type="duplicateValues" dxfId="10830" priority="7716"/>
    <cfRule type="duplicateValues" dxfId="10829" priority="7717"/>
    <cfRule type="duplicateValues" dxfId="10828" priority="7718"/>
    <cfRule type="duplicateValues" dxfId="10827" priority="7719"/>
    <cfRule type="duplicateValues" dxfId="10826" priority="7720"/>
    <cfRule type="duplicateValues" dxfId="10825" priority="7721"/>
    <cfRule type="duplicateValues" dxfId="10824" priority="7722"/>
    <cfRule type="duplicateValues" dxfId="10823" priority="7723"/>
    <cfRule type="duplicateValues" dxfId="10822" priority="7724"/>
    <cfRule type="duplicateValues" dxfId="10821" priority="7725"/>
    <cfRule type="duplicateValues" dxfId="10820" priority="7726"/>
    <cfRule type="duplicateValues" dxfId="10819" priority="7727"/>
    <cfRule type="duplicateValues" dxfId="10818" priority="7728"/>
    <cfRule type="duplicateValues" dxfId="10817" priority="7729"/>
    <cfRule type="duplicateValues" dxfId="10816" priority="7730"/>
    <cfRule type="duplicateValues" dxfId="10815" priority="7731"/>
    <cfRule type="duplicateValues" dxfId="10814" priority="7732"/>
    <cfRule type="duplicateValues" dxfId="10813" priority="7733"/>
    <cfRule type="duplicateValues" dxfId="10812" priority="7734"/>
    <cfRule type="duplicateValues" dxfId="10811" priority="7838"/>
    <cfRule type="duplicateValues" dxfId="10810" priority="7735"/>
    <cfRule type="duplicateValues" dxfId="10809" priority="7736"/>
    <cfRule type="duplicateValues" dxfId="10808" priority="7737"/>
    <cfRule type="duplicateValues" dxfId="10807" priority="7738"/>
    <cfRule type="duplicateValues" dxfId="10806" priority="7739"/>
    <cfRule type="duplicateValues" dxfId="10805" priority="7740"/>
    <cfRule type="duplicateValues" dxfId="10804" priority="7741"/>
    <cfRule type="duplicateValues" dxfId="10803" priority="7742"/>
    <cfRule type="duplicateValues" dxfId="10802" priority="7743"/>
    <cfRule type="duplicateValues" dxfId="10801" priority="7744"/>
    <cfRule type="duplicateValues" dxfId="10800" priority="7745"/>
    <cfRule type="duplicateValues" dxfId="10799" priority="7746"/>
    <cfRule type="duplicateValues" dxfId="10798" priority="7747"/>
    <cfRule type="duplicateValues" dxfId="10797" priority="7748"/>
    <cfRule type="duplicateValues" dxfId="10796" priority="7749"/>
    <cfRule type="duplicateValues" dxfId="10795" priority="7750"/>
    <cfRule type="duplicateValues" dxfId="10794" priority="7751"/>
    <cfRule type="duplicateValues" dxfId="10793" priority="7752"/>
    <cfRule type="duplicateValues" dxfId="10792" priority="7753"/>
    <cfRule type="duplicateValues" dxfId="10791" priority="7754"/>
    <cfRule type="duplicateValues" dxfId="10790" priority="7755"/>
    <cfRule type="duplicateValues" dxfId="10789" priority="7756"/>
    <cfRule type="duplicateValues" dxfId="10788" priority="7757"/>
    <cfRule type="duplicateValues" dxfId="10787" priority="7758"/>
    <cfRule type="duplicateValues" dxfId="10786" priority="7759"/>
    <cfRule type="duplicateValues" dxfId="10785" priority="7760"/>
    <cfRule type="duplicateValues" dxfId="10784" priority="7761"/>
    <cfRule type="duplicateValues" dxfId="10783" priority="7762"/>
    <cfRule type="duplicateValues" dxfId="10782" priority="7763"/>
    <cfRule type="duplicateValues" dxfId="10781" priority="7764"/>
    <cfRule type="duplicateValues" dxfId="10780" priority="7765"/>
    <cfRule type="duplicateValues" dxfId="10779" priority="7766"/>
    <cfRule type="duplicateValues" dxfId="10778" priority="7767"/>
    <cfRule type="duplicateValues" dxfId="10777" priority="7768"/>
    <cfRule type="duplicateValues" dxfId="10776" priority="7839"/>
    <cfRule type="duplicateValues" dxfId="10775" priority="7840"/>
    <cfRule type="duplicateValues" dxfId="10774" priority="7841"/>
    <cfRule type="duplicateValues" dxfId="10773" priority="7842"/>
    <cfRule type="duplicateValues" dxfId="10772" priority="7843"/>
    <cfRule type="duplicateValues" dxfId="10771" priority="7844"/>
    <cfRule type="duplicateValues" dxfId="10770" priority="7845"/>
    <cfRule type="duplicateValues" dxfId="10769" priority="7846"/>
    <cfRule type="duplicateValues" dxfId="10768" priority="7847"/>
    <cfRule type="duplicateValues" dxfId="10767" priority="7848"/>
    <cfRule type="duplicateValues" dxfId="10766" priority="7849"/>
    <cfRule type="duplicateValues" dxfId="10765" priority="7850"/>
    <cfRule type="duplicateValues" dxfId="10764" priority="7851"/>
    <cfRule type="duplicateValues" dxfId="10763" priority="7853"/>
    <cfRule type="duplicateValues" dxfId="10762" priority="7854"/>
    <cfRule type="duplicateValues" dxfId="10761" priority="7855"/>
    <cfRule type="duplicateValues" dxfId="10760" priority="7856"/>
    <cfRule type="duplicateValues" dxfId="10759" priority="7857"/>
    <cfRule type="duplicateValues" dxfId="10758" priority="7858"/>
    <cfRule type="duplicateValues" dxfId="10757" priority="7859"/>
    <cfRule type="duplicateValues" dxfId="10756" priority="7860"/>
    <cfRule type="duplicateValues" dxfId="10755" priority="7861"/>
    <cfRule type="duplicateValues" dxfId="10754" priority="7862"/>
    <cfRule type="duplicateValues" dxfId="10753" priority="7863"/>
    <cfRule type="duplicateValues" dxfId="10752" priority="7864"/>
    <cfRule type="duplicateValues" dxfId="10751" priority="7852"/>
    <cfRule type="duplicateValues" dxfId="10750" priority="7697"/>
    <cfRule type="duplicateValues" dxfId="10749" priority="7769"/>
    <cfRule type="duplicateValues" dxfId="10748" priority="7709"/>
    <cfRule type="duplicateValues" dxfId="10747" priority="7708"/>
    <cfRule type="duplicateValues" dxfId="10746" priority="7707"/>
    <cfRule type="duplicateValues" dxfId="10745" priority="7706"/>
    <cfRule type="duplicateValues" dxfId="10744" priority="7705"/>
    <cfRule type="duplicateValues" dxfId="10743" priority="7704"/>
    <cfRule type="duplicateValues" dxfId="10742" priority="7703"/>
    <cfRule type="duplicateValues" dxfId="10741" priority="7702"/>
    <cfRule type="duplicateValues" dxfId="10740" priority="7701"/>
    <cfRule type="duplicateValues" dxfId="10739" priority="7700"/>
    <cfRule type="duplicateValues" dxfId="10738" priority="7699"/>
    <cfRule type="duplicateValues" dxfId="10737" priority="7698"/>
    <cfRule type="duplicateValues" dxfId="10736" priority="7696"/>
    <cfRule type="duplicateValues" dxfId="10735" priority="7695"/>
    <cfRule type="duplicateValues" dxfId="10734" priority="7694"/>
    <cfRule type="duplicateValues" dxfId="10733" priority="7693"/>
    <cfRule type="duplicateValues" dxfId="10732" priority="7692"/>
    <cfRule type="duplicateValues" dxfId="10731" priority="7691"/>
    <cfRule type="duplicateValues" dxfId="10730" priority="7690"/>
    <cfRule type="duplicateValues" dxfId="10729" priority="7689"/>
    <cfRule type="duplicateValues" dxfId="10728" priority="7688"/>
    <cfRule type="duplicateValues" dxfId="10727" priority="7687"/>
    <cfRule type="duplicateValues" dxfId="10726" priority="7686"/>
    <cfRule type="duplicateValues" dxfId="10725" priority="7685"/>
    <cfRule type="duplicateValues" dxfId="10724" priority="7684"/>
    <cfRule type="duplicateValues" dxfId="10723" priority="7683"/>
    <cfRule type="duplicateValues" dxfId="10722" priority="7682"/>
    <cfRule type="duplicateValues" dxfId="10721" priority="7681"/>
    <cfRule type="duplicateValues" dxfId="10720" priority="7680"/>
    <cfRule type="duplicateValues" dxfId="10719" priority="7679"/>
    <cfRule type="duplicateValues" dxfId="10718" priority="7678"/>
    <cfRule type="duplicateValues" dxfId="10717" priority="7677"/>
  </conditionalFormatting>
  <conditionalFormatting sqref="B293">
    <cfRule type="duplicateValues" dxfId="10716" priority="7558"/>
    <cfRule type="duplicateValues" dxfId="10715" priority="7559"/>
    <cfRule type="duplicateValues" dxfId="10714" priority="7560"/>
    <cfRule type="duplicateValues" dxfId="10713" priority="7561"/>
    <cfRule type="duplicateValues" dxfId="10712" priority="7562"/>
    <cfRule type="duplicateValues" dxfId="10711" priority="7563"/>
    <cfRule type="duplicateValues" dxfId="10710" priority="7564"/>
    <cfRule type="duplicateValues" dxfId="10709" priority="7565"/>
    <cfRule type="duplicateValues" dxfId="10708" priority="7566"/>
    <cfRule type="duplicateValues" dxfId="10707" priority="7567"/>
    <cfRule type="duplicateValues" dxfId="10706" priority="7568"/>
    <cfRule type="duplicateValues" dxfId="10705" priority="7569"/>
    <cfRule type="duplicateValues" dxfId="10704" priority="7570"/>
    <cfRule type="duplicateValues" dxfId="10703" priority="7571"/>
    <cfRule type="duplicateValues" dxfId="10702" priority="7572"/>
    <cfRule type="duplicateValues" dxfId="10701" priority="7573"/>
    <cfRule type="duplicateValues" dxfId="10700" priority="7574"/>
    <cfRule type="duplicateValues" dxfId="10699" priority="7575"/>
    <cfRule type="duplicateValues" dxfId="10698" priority="7576"/>
    <cfRule type="duplicateValues" dxfId="10697" priority="7577"/>
    <cfRule type="duplicateValues" dxfId="10696" priority="7578"/>
    <cfRule type="duplicateValues" dxfId="10695" priority="7522"/>
    <cfRule type="duplicateValues" dxfId="10694" priority="7579"/>
    <cfRule type="duplicateValues" dxfId="10693" priority="7580"/>
    <cfRule type="duplicateValues" dxfId="10692" priority="7581"/>
    <cfRule type="duplicateValues" dxfId="10691" priority="7582"/>
    <cfRule type="duplicateValues" dxfId="10690" priority="7583"/>
    <cfRule type="duplicateValues" dxfId="10689" priority="7584"/>
    <cfRule type="duplicateValues" dxfId="10688" priority="7585"/>
    <cfRule type="duplicateValues" dxfId="10687" priority="7586"/>
    <cfRule type="duplicateValues" dxfId="10686" priority="7587"/>
    <cfRule type="duplicateValues" dxfId="10685" priority="7588"/>
    <cfRule type="duplicateValues" dxfId="10684" priority="7589"/>
    <cfRule type="duplicateValues" dxfId="10683" priority="7590"/>
    <cfRule type="duplicateValues" dxfId="10682" priority="7591"/>
    <cfRule type="duplicateValues" dxfId="10681" priority="7592"/>
    <cfRule type="duplicateValues" dxfId="10680" priority="7593"/>
    <cfRule type="duplicateValues" dxfId="10679" priority="7594"/>
    <cfRule type="duplicateValues" dxfId="10678" priority="7595"/>
    <cfRule type="duplicateValues" dxfId="10677" priority="7596"/>
    <cfRule type="duplicateValues" dxfId="10676" priority="7597"/>
    <cfRule type="duplicateValues" dxfId="10675" priority="7598"/>
    <cfRule type="duplicateValues" dxfId="10674" priority="7599"/>
    <cfRule type="duplicateValues" dxfId="10673" priority="7600"/>
    <cfRule type="duplicateValues" dxfId="10672" priority="7601"/>
    <cfRule type="duplicateValues" dxfId="10671" priority="7602"/>
    <cfRule type="duplicateValues" dxfId="10670" priority="7523"/>
    <cfRule type="duplicateValues" dxfId="10669" priority="7603"/>
    <cfRule type="duplicateValues" dxfId="10668" priority="7604"/>
    <cfRule type="duplicateValues" dxfId="10667" priority="7605"/>
    <cfRule type="duplicateValues" dxfId="10666" priority="7606"/>
    <cfRule type="duplicateValues" dxfId="10665" priority="7607"/>
    <cfRule type="duplicateValues" dxfId="10664" priority="7608"/>
    <cfRule type="duplicateValues" dxfId="10663" priority="7609"/>
    <cfRule type="duplicateValues" dxfId="10662" priority="7610"/>
    <cfRule type="duplicateValues" dxfId="10661" priority="7611"/>
    <cfRule type="duplicateValues" dxfId="10660" priority="7612"/>
    <cfRule type="duplicateValues" dxfId="10659" priority="7613"/>
    <cfRule type="duplicateValues" dxfId="10658" priority="7614"/>
    <cfRule type="duplicateValues" dxfId="10657" priority="7615"/>
    <cfRule type="duplicateValues" dxfId="10656" priority="7616"/>
    <cfRule type="duplicateValues" dxfId="10655" priority="7617"/>
    <cfRule type="duplicateValues" dxfId="10654" priority="7618"/>
    <cfRule type="duplicateValues" dxfId="10653" priority="7619"/>
    <cfRule type="duplicateValues" dxfId="10652" priority="7620"/>
    <cfRule type="duplicateValues" dxfId="10651" priority="7621"/>
    <cfRule type="duplicateValues" dxfId="10650" priority="7622"/>
    <cfRule type="duplicateValues" dxfId="10649" priority="7623"/>
    <cfRule type="duplicateValues" dxfId="10648" priority="7624"/>
    <cfRule type="duplicateValues" dxfId="10647" priority="7625"/>
    <cfRule type="duplicateValues" dxfId="10646" priority="7626"/>
    <cfRule type="duplicateValues" dxfId="10645" priority="7627"/>
    <cfRule type="duplicateValues" dxfId="10644" priority="7628"/>
    <cfRule type="duplicateValues" dxfId="10643" priority="7629"/>
    <cfRule type="duplicateValues" dxfId="10642" priority="7630"/>
    <cfRule type="duplicateValues" dxfId="10641" priority="7631"/>
    <cfRule type="duplicateValues" dxfId="10640" priority="7632"/>
    <cfRule type="duplicateValues" dxfId="10639" priority="7633"/>
    <cfRule type="duplicateValues" dxfId="10638" priority="7634"/>
    <cfRule type="duplicateValues" dxfId="10637" priority="7635"/>
    <cfRule type="duplicateValues" dxfId="10636" priority="7636"/>
    <cfRule type="duplicateValues" dxfId="10635" priority="7637"/>
    <cfRule type="duplicateValues" dxfId="10634" priority="7638"/>
    <cfRule type="duplicateValues" dxfId="10633" priority="7639"/>
    <cfRule type="duplicateValues" dxfId="10632" priority="7640"/>
    <cfRule type="duplicateValues" dxfId="10631" priority="7641"/>
    <cfRule type="duplicateValues" dxfId="10630" priority="7642"/>
    <cfRule type="duplicateValues" dxfId="10629" priority="7643"/>
    <cfRule type="duplicateValues" dxfId="10628" priority="7644"/>
    <cfRule type="duplicateValues" dxfId="10627" priority="7645"/>
    <cfRule type="duplicateValues" dxfId="10626" priority="7646"/>
    <cfRule type="duplicateValues" dxfId="10625" priority="7647"/>
    <cfRule type="duplicateValues" dxfId="10624" priority="7648"/>
    <cfRule type="duplicateValues" dxfId="10623" priority="7524"/>
    <cfRule type="duplicateValues" dxfId="10622" priority="7525"/>
    <cfRule type="duplicateValues" dxfId="10621" priority="7489"/>
    <cfRule type="duplicateValues" dxfId="10620" priority="7490"/>
    <cfRule type="duplicateValues" dxfId="10619" priority="7491"/>
    <cfRule type="duplicateValues" dxfId="10618" priority="7492"/>
    <cfRule type="duplicateValues" dxfId="10617" priority="7493"/>
    <cfRule type="duplicateValues" dxfId="10616" priority="7494"/>
    <cfRule type="duplicateValues" dxfId="10615" priority="7495"/>
    <cfRule type="duplicateValues" dxfId="10614" priority="7496"/>
    <cfRule type="duplicateValues" dxfId="10613" priority="7497"/>
    <cfRule type="duplicateValues" dxfId="10612" priority="7498"/>
    <cfRule type="duplicateValues" dxfId="10611" priority="7499"/>
    <cfRule type="duplicateValues" dxfId="10610" priority="7500"/>
    <cfRule type="duplicateValues" dxfId="10609" priority="7501"/>
    <cfRule type="duplicateValues" dxfId="10608" priority="7502"/>
    <cfRule type="duplicateValues" dxfId="10607" priority="7503"/>
    <cfRule type="duplicateValues" dxfId="10606" priority="7504"/>
    <cfRule type="duplicateValues" dxfId="10605" priority="7505"/>
    <cfRule type="duplicateValues" dxfId="10604" priority="7506"/>
    <cfRule type="duplicateValues" dxfId="10603" priority="7507"/>
    <cfRule type="duplicateValues" dxfId="10602" priority="7508"/>
    <cfRule type="duplicateValues" dxfId="10601" priority="7509"/>
    <cfRule type="duplicateValues" dxfId="10600" priority="7510"/>
    <cfRule type="duplicateValues" dxfId="10599" priority="7511"/>
    <cfRule type="duplicateValues" dxfId="10598" priority="7512"/>
    <cfRule type="duplicateValues" dxfId="10597" priority="7513"/>
    <cfRule type="duplicateValues" dxfId="10596" priority="7514"/>
    <cfRule type="duplicateValues" dxfId="10595" priority="7515"/>
    <cfRule type="duplicateValues" dxfId="10594" priority="7516"/>
    <cfRule type="duplicateValues" dxfId="10593" priority="7517"/>
    <cfRule type="duplicateValues" dxfId="10592" priority="7518"/>
    <cfRule type="duplicateValues" dxfId="10591" priority="7519"/>
    <cfRule type="duplicateValues" dxfId="10590" priority="7520"/>
    <cfRule type="duplicateValues" dxfId="10589" priority="7521"/>
    <cfRule type="duplicateValues" dxfId="10588" priority="7526"/>
    <cfRule type="duplicateValues" dxfId="10587" priority="7527"/>
    <cfRule type="duplicateValues" dxfId="10586" priority="7528"/>
    <cfRule type="duplicateValues" dxfId="10585" priority="7529"/>
    <cfRule type="duplicateValues" dxfId="10584" priority="7530"/>
    <cfRule type="duplicateValues" dxfId="10583" priority="7531"/>
    <cfRule type="duplicateValues" dxfId="10582" priority="7532"/>
    <cfRule type="duplicateValues" dxfId="10581" priority="7533"/>
    <cfRule type="duplicateValues" dxfId="10580" priority="7534"/>
    <cfRule type="duplicateValues" dxfId="10579" priority="7535"/>
    <cfRule type="duplicateValues" dxfId="10578" priority="7536"/>
    <cfRule type="duplicateValues" dxfId="10577" priority="7537"/>
    <cfRule type="duplicateValues" dxfId="10576" priority="7649"/>
    <cfRule type="duplicateValues" dxfId="10575" priority="7538"/>
    <cfRule type="duplicateValues" dxfId="10574" priority="7539"/>
    <cfRule type="duplicateValues" dxfId="10573" priority="7540"/>
    <cfRule type="duplicateValues" dxfId="10572" priority="7541"/>
    <cfRule type="duplicateValues" dxfId="10571" priority="7542"/>
    <cfRule type="duplicateValues" dxfId="10570" priority="7543"/>
    <cfRule type="duplicateValues" dxfId="10569" priority="7544"/>
    <cfRule type="duplicateValues" dxfId="10568" priority="7545"/>
    <cfRule type="duplicateValues" dxfId="10567" priority="7546"/>
    <cfRule type="duplicateValues" dxfId="10566" priority="7547"/>
    <cfRule type="duplicateValues" dxfId="10565" priority="7548"/>
    <cfRule type="duplicateValues" dxfId="10564" priority="7549"/>
    <cfRule type="duplicateValues" dxfId="10563" priority="7550"/>
    <cfRule type="duplicateValues" dxfId="10562" priority="7551"/>
    <cfRule type="duplicateValues" dxfId="10561" priority="7552"/>
    <cfRule type="duplicateValues" dxfId="10560" priority="7553"/>
    <cfRule type="duplicateValues" dxfId="10559" priority="7554"/>
    <cfRule type="duplicateValues" dxfId="10558" priority="7555"/>
    <cfRule type="duplicateValues" dxfId="10557" priority="7556"/>
    <cfRule type="duplicateValues" dxfId="10556" priority="7557"/>
    <cfRule type="duplicateValues" dxfId="10555" priority="7676"/>
    <cfRule type="duplicateValues" dxfId="10554" priority="7675"/>
    <cfRule type="duplicateValues" dxfId="10553" priority="7674"/>
    <cfRule type="duplicateValues" dxfId="10552" priority="7673"/>
    <cfRule type="duplicateValues" dxfId="10551" priority="7672"/>
    <cfRule type="duplicateValues" dxfId="10550" priority="7671"/>
    <cfRule type="duplicateValues" dxfId="10549" priority="7670"/>
    <cfRule type="duplicateValues" dxfId="10548" priority="7669"/>
    <cfRule type="duplicateValues" dxfId="10547" priority="7668"/>
    <cfRule type="duplicateValues" dxfId="10546" priority="7667"/>
    <cfRule type="duplicateValues" dxfId="10545" priority="7666"/>
    <cfRule type="duplicateValues" dxfId="10544" priority="7665"/>
    <cfRule type="duplicateValues" dxfId="10543" priority="7664"/>
    <cfRule type="duplicateValues" dxfId="10542" priority="7663"/>
    <cfRule type="duplicateValues" dxfId="10541" priority="7662"/>
    <cfRule type="duplicateValues" dxfId="10540" priority="7661"/>
    <cfRule type="duplicateValues" dxfId="10539" priority="7660"/>
    <cfRule type="duplicateValues" dxfId="10538" priority="7659"/>
    <cfRule type="duplicateValues" dxfId="10537" priority="7658"/>
    <cfRule type="duplicateValues" dxfId="10536" priority="7657"/>
    <cfRule type="duplicateValues" dxfId="10535" priority="7656"/>
    <cfRule type="duplicateValues" dxfId="10534" priority="7655"/>
    <cfRule type="duplicateValues" dxfId="10533" priority="7654"/>
    <cfRule type="duplicateValues" dxfId="10532" priority="7653"/>
    <cfRule type="duplicateValues" dxfId="10531" priority="7652"/>
    <cfRule type="duplicateValues" dxfId="10530" priority="7651"/>
    <cfRule type="duplicateValues" dxfId="10529" priority="7650"/>
  </conditionalFormatting>
  <conditionalFormatting sqref="B294:B296">
    <cfRule type="duplicateValues" dxfId="10528" priority="7959"/>
    <cfRule type="duplicateValues" dxfId="10527" priority="7958"/>
    <cfRule type="duplicateValues" dxfId="10526" priority="7957"/>
    <cfRule type="duplicateValues" dxfId="10525" priority="7956"/>
    <cfRule type="duplicateValues" dxfId="10524" priority="7955"/>
    <cfRule type="duplicateValues" dxfId="10523" priority="7954"/>
    <cfRule type="duplicateValues" dxfId="10522" priority="7953"/>
    <cfRule type="duplicateValues" dxfId="10521" priority="7952"/>
    <cfRule type="duplicateValues" dxfId="10520" priority="7951"/>
    <cfRule type="duplicateValues" dxfId="10519" priority="7950"/>
    <cfRule type="duplicateValues" dxfId="10518" priority="7949"/>
    <cfRule type="duplicateValues" dxfId="10517" priority="7948"/>
    <cfRule type="duplicateValues" dxfId="10516" priority="7947"/>
    <cfRule type="duplicateValues" dxfId="10515" priority="7946"/>
    <cfRule type="duplicateValues" dxfId="10514" priority="7945"/>
    <cfRule type="duplicateValues" dxfId="10513" priority="7944"/>
    <cfRule type="duplicateValues" dxfId="10512" priority="7943"/>
    <cfRule type="duplicateValues" dxfId="10511" priority="7942"/>
    <cfRule type="duplicateValues" dxfId="10510" priority="7941"/>
    <cfRule type="duplicateValues" dxfId="10509" priority="7940"/>
    <cfRule type="duplicateValues" dxfId="10508" priority="7939"/>
    <cfRule type="duplicateValues" dxfId="10507" priority="7938"/>
    <cfRule type="duplicateValues" dxfId="10506" priority="7937"/>
    <cfRule type="duplicateValues" dxfId="10505" priority="7936"/>
    <cfRule type="duplicateValues" dxfId="10504" priority="7935"/>
    <cfRule type="duplicateValues" dxfId="10503" priority="7934"/>
    <cfRule type="duplicateValues" dxfId="10502" priority="7933"/>
    <cfRule type="duplicateValues" dxfId="10501" priority="7932"/>
    <cfRule type="duplicateValues" dxfId="10500" priority="7931"/>
    <cfRule type="duplicateValues" dxfId="10499" priority="7930"/>
    <cfRule type="duplicateValues" dxfId="10498" priority="7929"/>
    <cfRule type="duplicateValues" dxfId="10497" priority="7928"/>
    <cfRule type="duplicateValues" dxfId="10496" priority="7927"/>
    <cfRule type="duplicateValues" dxfId="10495" priority="7926"/>
    <cfRule type="duplicateValues" dxfId="10494" priority="7925"/>
    <cfRule type="duplicateValues" dxfId="10493" priority="7924"/>
    <cfRule type="duplicateValues" dxfId="10492" priority="7923"/>
    <cfRule type="duplicateValues" dxfId="10491" priority="7922"/>
    <cfRule type="duplicateValues" dxfId="10490" priority="7920"/>
    <cfRule type="duplicateValues" dxfId="10489" priority="7919"/>
    <cfRule type="duplicateValues" dxfId="10488" priority="7918"/>
    <cfRule type="duplicateValues" dxfId="10487" priority="7917"/>
    <cfRule type="duplicateValues" dxfId="10486" priority="7916"/>
    <cfRule type="duplicateValues" dxfId="10485" priority="7915"/>
    <cfRule type="duplicateValues" dxfId="10484" priority="7914"/>
    <cfRule type="duplicateValues" dxfId="10483" priority="7913"/>
    <cfRule type="duplicateValues" dxfId="10482" priority="7912"/>
    <cfRule type="duplicateValues" dxfId="10481" priority="7911"/>
    <cfRule type="duplicateValues" dxfId="10480" priority="7910"/>
    <cfRule type="duplicateValues" dxfId="10479" priority="7909"/>
    <cfRule type="duplicateValues" dxfId="10478" priority="7908"/>
    <cfRule type="duplicateValues" dxfId="10477" priority="7907"/>
    <cfRule type="duplicateValues" dxfId="10476" priority="7906"/>
    <cfRule type="duplicateValues" dxfId="10475" priority="7905"/>
    <cfRule type="duplicateValues" dxfId="10474" priority="7904"/>
    <cfRule type="duplicateValues" dxfId="10473" priority="7903"/>
    <cfRule type="duplicateValues" dxfId="10472" priority="7902"/>
    <cfRule type="duplicateValues" dxfId="10471" priority="7901"/>
    <cfRule type="duplicateValues" dxfId="10470" priority="7900"/>
    <cfRule type="duplicateValues" dxfId="10469" priority="7899"/>
    <cfRule type="duplicateValues" dxfId="10468" priority="7898"/>
    <cfRule type="duplicateValues" dxfId="10467" priority="7897"/>
    <cfRule type="duplicateValues" dxfId="10466" priority="7896"/>
    <cfRule type="duplicateValues" dxfId="10465" priority="7895"/>
    <cfRule type="duplicateValues" dxfId="10464" priority="7894"/>
    <cfRule type="duplicateValues" dxfId="10463" priority="7893"/>
    <cfRule type="duplicateValues" dxfId="10462" priority="7892"/>
    <cfRule type="duplicateValues" dxfId="10461" priority="7891"/>
    <cfRule type="duplicateValues" dxfId="10460" priority="7890"/>
    <cfRule type="duplicateValues" dxfId="10459" priority="7889"/>
    <cfRule type="duplicateValues" dxfId="10458" priority="7888"/>
    <cfRule type="duplicateValues" dxfId="10457" priority="7887"/>
    <cfRule type="duplicateValues" dxfId="10456" priority="7886"/>
    <cfRule type="duplicateValues" dxfId="10455" priority="7885"/>
    <cfRule type="duplicateValues" dxfId="10454" priority="7884"/>
    <cfRule type="duplicateValues" dxfId="10453" priority="7883"/>
    <cfRule type="duplicateValues" dxfId="10452" priority="7882"/>
    <cfRule type="duplicateValues" dxfId="10451" priority="7881"/>
    <cfRule type="duplicateValues" dxfId="10450" priority="7880"/>
    <cfRule type="duplicateValues" dxfId="10449" priority="7879"/>
    <cfRule type="duplicateValues" dxfId="10448" priority="7878"/>
    <cfRule type="duplicateValues" dxfId="10447" priority="7877"/>
    <cfRule type="duplicateValues" dxfId="10446" priority="7876"/>
    <cfRule type="duplicateValues" dxfId="10445" priority="7875"/>
    <cfRule type="duplicateValues" dxfId="10444" priority="7874"/>
    <cfRule type="duplicateValues" dxfId="10443" priority="7873"/>
    <cfRule type="duplicateValues" dxfId="10442" priority="7872"/>
    <cfRule type="duplicateValues" dxfId="10441" priority="7871"/>
    <cfRule type="duplicateValues" dxfId="10440" priority="7870"/>
    <cfRule type="duplicateValues" dxfId="10439" priority="7869"/>
    <cfRule type="duplicateValues" dxfId="10438" priority="7868"/>
    <cfRule type="duplicateValues" dxfId="10437" priority="7867"/>
    <cfRule type="duplicateValues" dxfId="10436" priority="7866"/>
    <cfRule type="duplicateValues" dxfId="10435" priority="7865"/>
    <cfRule type="duplicateValues" dxfId="10434" priority="7921"/>
    <cfRule type="duplicateValues" dxfId="10433" priority="8052"/>
    <cfRule type="duplicateValues" dxfId="10432" priority="8051"/>
    <cfRule type="duplicateValues" dxfId="10431" priority="8050"/>
    <cfRule type="duplicateValues" dxfId="10430" priority="8049"/>
    <cfRule type="duplicateValues" dxfId="10429" priority="8048"/>
    <cfRule type="duplicateValues" dxfId="10428" priority="8047"/>
    <cfRule type="duplicateValues" dxfId="10427" priority="8046"/>
    <cfRule type="duplicateValues" dxfId="10426" priority="8045"/>
    <cfRule type="duplicateValues" dxfId="10425" priority="8044"/>
    <cfRule type="duplicateValues" dxfId="10424" priority="8043"/>
    <cfRule type="duplicateValues" dxfId="10423" priority="8042"/>
    <cfRule type="duplicateValues" dxfId="10422" priority="8041"/>
    <cfRule type="duplicateValues" dxfId="10421" priority="8040"/>
    <cfRule type="duplicateValues" dxfId="10420" priority="8039"/>
    <cfRule type="duplicateValues" dxfId="10419" priority="8038"/>
    <cfRule type="duplicateValues" dxfId="10418" priority="8037"/>
    <cfRule type="duplicateValues" dxfId="10417" priority="8036"/>
    <cfRule type="duplicateValues" dxfId="10416" priority="8035"/>
    <cfRule type="duplicateValues" dxfId="10415" priority="8034"/>
    <cfRule type="duplicateValues" dxfId="10414" priority="8033"/>
    <cfRule type="duplicateValues" dxfId="10413" priority="8032"/>
    <cfRule type="duplicateValues" dxfId="10412" priority="8031"/>
    <cfRule type="duplicateValues" dxfId="10411" priority="8030"/>
    <cfRule type="duplicateValues" dxfId="10410" priority="8029"/>
    <cfRule type="duplicateValues" dxfId="10409" priority="8028"/>
    <cfRule type="duplicateValues" dxfId="10408" priority="8027"/>
    <cfRule type="duplicateValues" dxfId="10407" priority="8026"/>
    <cfRule type="duplicateValues" dxfId="10406" priority="8025"/>
    <cfRule type="duplicateValues" dxfId="10405" priority="8024"/>
    <cfRule type="duplicateValues" dxfId="10404" priority="8023"/>
    <cfRule type="duplicateValues" dxfId="10403" priority="8022"/>
    <cfRule type="duplicateValues" dxfId="10402" priority="8021"/>
    <cfRule type="duplicateValues" dxfId="10401" priority="8020"/>
    <cfRule type="duplicateValues" dxfId="10400" priority="8019"/>
    <cfRule type="duplicateValues" dxfId="10399" priority="8018"/>
    <cfRule type="duplicateValues" dxfId="10398" priority="8017"/>
    <cfRule type="duplicateValues" dxfId="10397" priority="8016"/>
    <cfRule type="duplicateValues" dxfId="10396" priority="8015"/>
    <cfRule type="duplicateValues" dxfId="10395" priority="8014"/>
    <cfRule type="duplicateValues" dxfId="10394" priority="8013"/>
    <cfRule type="duplicateValues" dxfId="10393" priority="8012"/>
    <cfRule type="duplicateValues" dxfId="10392" priority="8011"/>
    <cfRule type="duplicateValues" dxfId="10391" priority="8010"/>
    <cfRule type="duplicateValues" dxfId="10390" priority="8009"/>
    <cfRule type="duplicateValues" dxfId="10389" priority="8008"/>
    <cfRule type="duplicateValues" dxfId="10388" priority="8007"/>
    <cfRule type="duplicateValues" dxfId="10387" priority="8006"/>
    <cfRule type="duplicateValues" dxfId="10386" priority="8005"/>
    <cfRule type="duplicateValues" dxfId="10385" priority="8004"/>
    <cfRule type="duplicateValues" dxfId="10384" priority="8003"/>
    <cfRule type="duplicateValues" dxfId="10383" priority="8002"/>
    <cfRule type="duplicateValues" dxfId="10382" priority="8001"/>
    <cfRule type="duplicateValues" dxfId="10381" priority="8000"/>
    <cfRule type="duplicateValues" dxfId="10380" priority="7999"/>
    <cfRule type="duplicateValues" dxfId="10379" priority="7998"/>
    <cfRule type="duplicateValues" dxfId="10378" priority="7997"/>
    <cfRule type="duplicateValues" dxfId="10377" priority="7996"/>
    <cfRule type="duplicateValues" dxfId="10376" priority="7995"/>
    <cfRule type="duplicateValues" dxfId="10375" priority="7994"/>
    <cfRule type="duplicateValues" dxfId="10374" priority="7993"/>
    <cfRule type="duplicateValues" dxfId="10373" priority="7992"/>
    <cfRule type="duplicateValues" dxfId="10372" priority="7991"/>
    <cfRule type="duplicateValues" dxfId="10371" priority="7990"/>
    <cfRule type="duplicateValues" dxfId="10370" priority="7989"/>
    <cfRule type="duplicateValues" dxfId="10369" priority="7988"/>
    <cfRule type="duplicateValues" dxfId="10368" priority="7987"/>
    <cfRule type="duplicateValues" dxfId="10367" priority="7986"/>
    <cfRule type="duplicateValues" dxfId="10366" priority="7985"/>
    <cfRule type="duplicateValues" dxfId="10365" priority="7984"/>
    <cfRule type="duplicateValues" dxfId="10364" priority="7983"/>
    <cfRule type="duplicateValues" dxfId="10363" priority="7982"/>
    <cfRule type="duplicateValues" dxfId="10362" priority="7981"/>
    <cfRule type="duplicateValues" dxfId="10361" priority="7980"/>
    <cfRule type="duplicateValues" dxfId="10360" priority="7979"/>
    <cfRule type="duplicateValues" dxfId="10359" priority="7978"/>
    <cfRule type="duplicateValues" dxfId="10358" priority="7977"/>
    <cfRule type="duplicateValues" dxfId="10357" priority="7976"/>
    <cfRule type="duplicateValues" dxfId="10356" priority="7975"/>
    <cfRule type="duplicateValues" dxfId="10355" priority="7974"/>
    <cfRule type="duplicateValues" dxfId="10354" priority="7973"/>
    <cfRule type="duplicateValues" dxfId="10353" priority="7972"/>
    <cfRule type="duplicateValues" dxfId="10352" priority="7971"/>
    <cfRule type="duplicateValues" dxfId="10351" priority="7970"/>
    <cfRule type="duplicateValues" dxfId="10350" priority="7969"/>
    <cfRule type="duplicateValues" dxfId="10349" priority="7968"/>
    <cfRule type="duplicateValues" dxfId="10348" priority="7967"/>
    <cfRule type="duplicateValues" dxfId="10347" priority="7966"/>
    <cfRule type="duplicateValues" dxfId="10346" priority="7965"/>
    <cfRule type="duplicateValues" dxfId="10345" priority="7964"/>
    <cfRule type="duplicateValues" dxfId="10344" priority="7963"/>
    <cfRule type="duplicateValues" dxfId="10343" priority="7962"/>
    <cfRule type="duplicateValues" dxfId="10342" priority="7961"/>
    <cfRule type="duplicateValues" dxfId="10341" priority="7960"/>
  </conditionalFormatting>
  <conditionalFormatting sqref="B297">
    <cfRule type="duplicateValues" dxfId="10340" priority="8061"/>
    <cfRule type="duplicateValues" dxfId="10339" priority="8062"/>
    <cfRule type="duplicateValues" dxfId="10338" priority="8063"/>
    <cfRule type="duplicateValues" dxfId="10337" priority="8064"/>
    <cfRule type="duplicateValues" dxfId="10336" priority="8065"/>
    <cfRule type="duplicateValues" dxfId="10335" priority="8066"/>
    <cfRule type="duplicateValues" dxfId="10334" priority="8067"/>
    <cfRule type="duplicateValues" dxfId="10333" priority="8068"/>
    <cfRule type="duplicateValues" dxfId="10332" priority="8069"/>
    <cfRule type="duplicateValues" dxfId="10331" priority="8070"/>
    <cfRule type="duplicateValues" dxfId="10330" priority="8071"/>
    <cfRule type="duplicateValues" dxfId="10329" priority="8072"/>
    <cfRule type="duplicateValues" dxfId="10328" priority="8073"/>
    <cfRule type="duplicateValues" dxfId="10327" priority="8192"/>
    <cfRule type="duplicateValues" dxfId="10326" priority="8074"/>
    <cfRule type="duplicateValues" dxfId="10325" priority="8098"/>
    <cfRule type="duplicateValues" dxfId="10324" priority="8055"/>
    <cfRule type="duplicateValues" dxfId="10323" priority="8075"/>
    <cfRule type="duplicateValues" dxfId="10322" priority="8076"/>
    <cfRule type="duplicateValues" dxfId="10321" priority="8077"/>
    <cfRule type="duplicateValues" dxfId="10320" priority="8078"/>
    <cfRule type="duplicateValues" dxfId="10319" priority="8079"/>
    <cfRule type="duplicateValues" dxfId="10318" priority="8080"/>
    <cfRule type="duplicateValues" dxfId="10317" priority="8081"/>
    <cfRule type="duplicateValues" dxfId="10316" priority="8082"/>
    <cfRule type="duplicateValues" dxfId="10315" priority="8083"/>
    <cfRule type="duplicateValues" dxfId="10314" priority="8084"/>
    <cfRule type="duplicateValues" dxfId="10313" priority="8085"/>
    <cfRule type="duplicateValues" dxfId="10312" priority="8097"/>
    <cfRule type="duplicateValues" dxfId="10311" priority="8056"/>
    <cfRule type="duplicateValues" dxfId="10310" priority="8057"/>
    <cfRule type="duplicateValues" dxfId="10309" priority="8058"/>
    <cfRule type="duplicateValues" dxfId="10308" priority="8059"/>
    <cfRule type="duplicateValues" dxfId="10307" priority="8060"/>
    <cfRule type="duplicateValues" dxfId="10306" priority="8053"/>
    <cfRule type="duplicateValues" dxfId="10305" priority="8054"/>
    <cfRule type="duplicateValues" dxfId="10304" priority="8146"/>
    <cfRule type="duplicateValues" dxfId="10303" priority="8193"/>
    <cfRule type="duplicateValues" dxfId="10302" priority="8086"/>
    <cfRule type="duplicateValues" dxfId="10301" priority="8087"/>
    <cfRule type="duplicateValues" dxfId="10300" priority="8088"/>
    <cfRule type="duplicateValues" dxfId="10299" priority="8089"/>
    <cfRule type="duplicateValues" dxfId="10298" priority="8090"/>
    <cfRule type="duplicateValues" dxfId="10297" priority="8091"/>
    <cfRule type="duplicateValues" dxfId="10296" priority="8092"/>
    <cfRule type="duplicateValues" dxfId="10295" priority="8093"/>
    <cfRule type="duplicateValues" dxfId="10294" priority="8094"/>
    <cfRule type="duplicateValues" dxfId="10293" priority="8095"/>
    <cfRule type="duplicateValues" dxfId="10292" priority="8096"/>
    <cfRule type="duplicateValues" dxfId="10291" priority="8099"/>
    <cfRule type="duplicateValues" dxfId="10290" priority="8100"/>
    <cfRule type="duplicateValues" dxfId="10289" priority="8101"/>
    <cfRule type="duplicateValues" dxfId="10288" priority="8102"/>
    <cfRule type="duplicateValues" dxfId="10287" priority="8103"/>
    <cfRule type="duplicateValues" dxfId="10286" priority="8104"/>
    <cfRule type="duplicateValues" dxfId="10285" priority="8105"/>
    <cfRule type="duplicateValues" dxfId="10284" priority="8106"/>
    <cfRule type="duplicateValues" dxfId="10283" priority="8107"/>
    <cfRule type="duplicateValues" dxfId="10282" priority="8108"/>
    <cfRule type="duplicateValues" dxfId="10281" priority="8109"/>
    <cfRule type="duplicateValues" dxfId="10280" priority="8110"/>
    <cfRule type="duplicateValues" dxfId="10279" priority="8111"/>
    <cfRule type="duplicateValues" dxfId="10278" priority="8112"/>
    <cfRule type="duplicateValues" dxfId="10277" priority="8113"/>
    <cfRule type="duplicateValues" dxfId="10276" priority="8114"/>
    <cfRule type="duplicateValues" dxfId="10275" priority="8115"/>
    <cfRule type="duplicateValues" dxfId="10274" priority="8116"/>
    <cfRule type="duplicateValues" dxfId="10273" priority="8117"/>
    <cfRule type="duplicateValues" dxfId="10272" priority="8118"/>
    <cfRule type="duplicateValues" dxfId="10271" priority="8119"/>
    <cfRule type="duplicateValues" dxfId="10270" priority="8120"/>
    <cfRule type="duplicateValues" dxfId="10269" priority="8121"/>
    <cfRule type="duplicateValues" dxfId="10268" priority="8122"/>
    <cfRule type="duplicateValues" dxfId="10267" priority="8123"/>
    <cfRule type="duplicateValues" dxfId="10266" priority="8124"/>
    <cfRule type="duplicateValues" dxfId="10265" priority="8125"/>
    <cfRule type="duplicateValues" dxfId="10264" priority="8126"/>
    <cfRule type="duplicateValues" dxfId="10263" priority="8127"/>
    <cfRule type="duplicateValues" dxfId="10262" priority="8128"/>
    <cfRule type="duplicateValues" dxfId="10261" priority="8129"/>
    <cfRule type="duplicateValues" dxfId="10260" priority="8130"/>
    <cfRule type="duplicateValues" dxfId="10259" priority="8131"/>
    <cfRule type="duplicateValues" dxfId="10258" priority="8132"/>
    <cfRule type="duplicateValues" dxfId="10257" priority="8133"/>
    <cfRule type="duplicateValues" dxfId="10256" priority="8134"/>
    <cfRule type="duplicateValues" dxfId="10255" priority="8135"/>
    <cfRule type="duplicateValues" dxfId="10254" priority="8136"/>
    <cfRule type="duplicateValues" dxfId="10253" priority="8137"/>
    <cfRule type="duplicateValues" dxfId="10252" priority="8138"/>
    <cfRule type="duplicateValues" dxfId="10251" priority="8139"/>
    <cfRule type="duplicateValues" dxfId="10250" priority="8140"/>
    <cfRule type="duplicateValues" dxfId="10249" priority="8141"/>
    <cfRule type="duplicateValues" dxfId="10248" priority="8142"/>
    <cfRule type="duplicateValues" dxfId="10247" priority="8143"/>
    <cfRule type="duplicateValues" dxfId="10246" priority="8144"/>
    <cfRule type="duplicateValues" dxfId="10245" priority="8145"/>
    <cfRule type="duplicateValues" dxfId="10244" priority="8147"/>
    <cfRule type="duplicateValues" dxfId="10243" priority="8148"/>
    <cfRule type="duplicateValues" dxfId="10242" priority="8149"/>
    <cfRule type="duplicateValues" dxfId="10241" priority="8150"/>
    <cfRule type="duplicateValues" dxfId="10240" priority="8151"/>
    <cfRule type="duplicateValues" dxfId="10239" priority="8152"/>
    <cfRule type="duplicateValues" dxfId="10238" priority="8153"/>
    <cfRule type="duplicateValues" dxfId="10237" priority="8154"/>
    <cfRule type="duplicateValues" dxfId="10236" priority="8155"/>
    <cfRule type="duplicateValues" dxfId="10235" priority="8156"/>
    <cfRule type="duplicateValues" dxfId="10234" priority="8157"/>
    <cfRule type="duplicateValues" dxfId="10233" priority="8158"/>
    <cfRule type="duplicateValues" dxfId="10232" priority="8159"/>
    <cfRule type="duplicateValues" dxfId="10231" priority="8160"/>
    <cfRule type="duplicateValues" dxfId="10230" priority="8161"/>
    <cfRule type="duplicateValues" dxfId="10229" priority="8162"/>
    <cfRule type="duplicateValues" dxfId="10228" priority="8163"/>
    <cfRule type="duplicateValues" dxfId="10227" priority="8164"/>
    <cfRule type="duplicateValues" dxfId="10226" priority="8165"/>
    <cfRule type="duplicateValues" dxfId="10225" priority="8166"/>
    <cfRule type="duplicateValues" dxfId="10224" priority="8167"/>
    <cfRule type="duplicateValues" dxfId="10223" priority="8168"/>
    <cfRule type="duplicateValues" dxfId="10222" priority="8169"/>
    <cfRule type="duplicateValues" dxfId="10221" priority="8170"/>
    <cfRule type="duplicateValues" dxfId="10220" priority="8171"/>
    <cfRule type="duplicateValues" dxfId="10219" priority="8172"/>
    <cfRule type="duplicateValues" dxfId="10218" priority="8173"/>
    <cfRule type="duplicateValues" dxfId="10217" priority="8174"/>
    <cfRule type="duplicateValues" dxfId="10216" priority="8175"/>
    <cfRule type="duplicateValues" dxfId="10215" priority="8176"/>
    <cfRule type="duplicateValues" dxfId="10214" priority="8177"/>
    <cfRule type="duplicateValues" dxfId="10213" priority="8178"/>
    <cfRule type="duplicateValues" dxfId="10212" priority="8179"/>
    <cfRule type="duplicateValues" dxfId="10211" priority="8180"/>
    <cfRule type="duplicateValues" dxfId="10210" priority="8181"/>
    <cfRule type="duplicateValues" dxfId="10209" priority="8182"/>
    <cfRule type="duplicateValues" dxfId="10208" priority="8183"/>
    <cfRule type="duplicateValues" dxfId="10207" priority="8184"/>
    <cfRule type="duplicateValues" dxfId="10206" priority="8185"/>
    <cfRule type="duplicateValues" dxfId="10205" priority="8186"/>
    <cfRule type="duplicateValues" dxfId="10204" priority="8187"/>
    <cfRule type="duplicateValues" dxfId="10203" priority="8188"/>
    <cfRule type="duplicateValues" dxfId="10202" priority="8189"/>
    <cfRule type="duplicateValues" dxfId="10201" priority="8190"/>
    <cfRule type="duplicateValues" dxfId="10200" priority="8191"/>
    <cfRule type="duplicateValues" dxfId="10199" priority="8194"/>
    <cfRule type="duplicateValues" dxfId="10198" priority="8195"/>
    <cfRule type="duplicateValues" dxfId="10197" priority="8196"/>
    <cfRule type="duplicateValues" dxfId="10196" priority="8197"/>
    <cfRule type="duplicateValues" dxfId="10195" priority="8198"/>
    <cfRule type="duplicateValues" dxfId="10194" priority="8199"/>
    <cfRule type="duplicateValues" dxfId="10193" priority="8200"/>
    <cfRule type="duplicateValues" dxfId="10192" priority="8201"/>
    <cfRule type="duplicateValues" dxfId="10191" priority="8202"/>
    <cfRule type="duplicateValues" dxfId="10190" priority="8203"/>
    <cfRule type="duplicateValues" dxfId="10189" priority="8204"/>
    <cfRule type="duplicateValues" dxfId="10188" priority="8205"/>
    <cfRule type="duplicateValues" dxfId="10187" priority="8206"/>
    <cfRule type="duplicateValues" dxfId="10186" priority="8207"/>
    <cfRule type="duplicateValues" dxfId="10185" priority="8208"/>
    <cfRule type="duplicateValues" dxfId="10184" priority="8209"/>
    <cfRule type="duplicateValues" dxfId="10183" priority="8210"/>
    <cfRule type="duplicateValues" dxfId="10182" priority="8211"/>
    <cfRule type="duplicateValues" dxfId="10181" priority="8212"/>
    <cfRule type="duplicateValues" dxfId="10180" priority="8213"/>
    <cfRule type="duplicateValues" dxfId="10179" priority="8214"/>
    <cfRule type="duplicateValues" dxfId="10178" priority="8215"/>
    <cfRule type="duplicateValues" dxfId="10177" priority="8216"/>
    <cfRule type="duplicateValues" dxfId="10176" priority="8217"/>
    <cfRule type="duplicateValues" dxfId="10175" priority="8218"/>
    <cfRule type="duplicateValues" dxfId="10174" priority="8219"/>
    <cfRule type="duplicateValues" dxfId="10173" priority="8220"/>
    <cfRule type="duplicateValues" dxfId="10172" priority="8221"/>
    <cfRule type="duplicateValues" dxfId="10171" priority="8222"/>
    <cfRule type="duplicateValues" dxfId="10170" priority="8223"/>
    <cfRule type="duplicateValues" dxfId="10169" priority="8224"/>
    <cfRule type="duplicateValues" dxfId="10168" priority="8225"/>
    <cfRule type="duplicateValues" dxfId="10167" priority="8226"/>
    <cfRule type="duplicateValues" dxfId="10166" priority="8227"/>
    <cfRule type="duplicateValues" dxfId="10165" priority="8228"/>
    <cfRule type="duplicateValues" dxfId="10164" priority="8229"/>
    <cfRule type="duplicateValues" dxfId="10163" priority="8230"/>
    <cfRule type="duplicateValues" dxfId="10162" priority="8231"/>
    <cfRule type="duplicateValues" dxfId="10161" priority="8232"/>
    <cfRule type="duplicateValues" dxfId="10160" priority="8233"/>
    <cfRule type="duplicateValues" dxfId="10159" priority="8234"/>
    <cfRule type="duplicateValues" dxfId="10158" priority="8235"/>
    <cfRule type="duplicateValues" dxfId="10157" priority="8236"/>
    <cfRule type="duplicateValues" dxfId="10156" priority="8237"/>
    <cfRule type="duplicateValues" dxfId="10155" priority="8238"/>
    <cfRule type="duplicateValues" dxfId="10154" priority="8239"/>
    <cfRule type="duplicateValues" dxfId="10153" priority="8240"/>
  </conditionalFormatting>
  <conditionalFormatting sqref="B298">
    <cfRule type="duplicateValues" dxfId="10152" priority="7379"/>
    <cfRule type="duplicateValues" dxfId="10151" priority="7334"/>
    <cfRule type="duplicateValues" dxfId="10150" priority="7332"/>
    <cfRule type="duplicateValues" dxfId="10149" priority="7331"/>
    <cfRule type="duplicateValues" dxfId="10148" priority="7330"/>
    <cfRule type="duplicateValues" dxfId="10147" priority="7329"/>
    <cfRule type="duplicateValues" dxfId="10146" priority="7328"/>
    <cfRule type="duplicateValues" dxfId="10145" priority="7327"/>
    <cfRule type="duplicateValues" dxfId="10144" priority="7326"/>
    <cfRule type="duplicateValues" dxfId="10143" priority="7325"/>
    <cfRule type="duplicateValues" dxfId="10142" priority="7324"/>
    <cfRule type="duplicateValues" dxfId="10141" priority="7323"/>
    <cfRule type="duplicateValues" dxfId="10140" priority="7322"/>
    <cfRule type="duplicateValues" dxfId="10139" priority="7321"/>
    <cfRule type="duplicateValues" dxfId="10138" priority="7320"/>
    <cfRule type="duplicateValues" dxfId="10137" priority="7319"/>
    <cfRule type="duplicateValues" dxfId="10136" priority="7318"/>
    <cfRule type="duplicateValues" dxfId="10135" priority="7317"/>
    <cfRule type="duplicateValues" dxfId="10134" priority="7316"/>
    <cfRule type="duplicateValues" dxfId="10133" priority="7315"/>
    <cfRule type="duplicateValues" dxfId="10132" priority="7314"/>
    <cfRule type="duplicateValues" dxfId="10131" priority="7313"/>
    <cfRule type="duplicateValues" dxfId="10130" priority="7312"/>
    <cfRule type="duplicateValues" dxfId="10129" priority="7311"/>
    <cfRule type="duplicateValues" dxfId="10128" priority="7310"/>
    <cfRule type="duplicateValues" dxfId="10127" priority="7309"/>
    <cfRule type="duplicateValues" dxfId="10126" priority="7308"/>
    <cfRule type="duplicateValues" dxfId="10125" priority="7307"/>
    <cfRule type="duplicateValues" dxfId="10124" priority="7306"/>
    <cfRule type="duplicateValues" dxfId="10123" priority="7305"/>
    <cfRule type="duplicateValues" dxfId="10122" priority="7304"/>
    <cfRule type="duplicateValues" dxfId="10121" priority="7303"/>
    <cfRule type="duplicateValues" dxfId="10120" priority="7302"/>
    <cfRule type="duplicateValues" dxfId="10119" priority="7301"/>
    <cfRule type="duplicateValues" dxfId="10118" priority="7333"/>
    <cfRule type="duplicateValues" dxfId="10117" priority="7335"/>
    <cfRule type="duplicateValues" dxfId="10116" priority="7336"/>
    <cfRule type="duplicateValues" dxfId="10115" priority="7337"/>
    <cfRule type="duplicateValues" dxfId="10114" priority="7338"/>
    <cfRule type="duplicateValues" dxfId="10113" priority="7339"/>
    <cfRule type="duplicateValues" dxfId="10112" priority="7340"/>
    <cfRule type="duplicateValues" dxfId="10111" priority="7341"/>
    <cfRule type="duplicateValues" dxfId="10110" priority="7342"/>
    <cfRule type="duplicateValues" dxfId="10109" priority="7343"/>
    <cfRule type="duplicateValues" dxfId="10108" priority="7344"/>
    <cfRule type="duplicateValues" dxfId="10107" priority="7345"/>
    <cfRule type="duplicateValues" dxfId="10106" priority="7346"/>
    <cfRule type="duplicateValues" dxfId="10105" priority="7426"/>
    <cfRule type="duplicateValues" dxfId="10104" priority="7347"/>
    <cfRule type="duplicateValues" dxfId="10103" priority="7348"/>
    <cfRule type="duplicateValues" dxfId="10102" priority="7349"/>
    <cfRule type="duplicateValues" dxfId="10101" priority="7350"/>
    <cfRule type="duplicateValues" dxfId="10100" priority="7351"/>
    <cfRule type="duplicateValues" dxfId="10099" priority="7352"/>
    <cfRule type="duplicateValues" dxfId="10098" priority="7353"/>
    <cfRule type="duplicateValues" dxfId="10097" priority="7354"/>
    <cfRule type="duplicateValues" dxfId="10096" priority="7355"/>
    <cfRule type="duplicateValues" dxfId="10095" priority="7356"/>
    <cfRule type="duplicateValues" dxfId="10094" priority="7357"/>
    <cfRule type="duplicateValues" dxfId="10093" priority="7358"/>
    <cfRule type="duplicateValues" dxfId="10092" priority="7359"/>
    <cfRule type="duplicateValues" dxfId="10091" priority="7360"/>
    <cfRule type="duplicateValues" dxfId="10090" priority="7361"/>
    <cfRule type="duplicateValues" dxfId="10089" priority="7362"/>
    <cfRule type="duplicateValues" dxfId="10088" priority="7363"/>
    <cfRule type="duplicateValues" dxfId="10087" priority="7364"/>
    <cfRule type="duplicateValues" dxfId="10086" priority="7365"/>
    <cfRule type="duplicateValues" dxfId="10085" priority="7366"/>
    <cfRule type="duplicateValues" dxfId="10084" priority="7367"/>
    <cfRule type="duplicateValues" dxfId="10083" priority="7368"/>
    <cfRule type="duplicateValues" dxfId="10082" priority="7369"/>
    <cfRule type="duplicateValues" dxfId="10081" priority="7370"/>
    <cfRule type="duplicateValues" dxfId="10080" priority="7371"/>
    <cfRule type="duplicateValues" dxfId="10079" priority="7372"/>
    <cfRule type="duplicateValues" dxfId="10078" priority="7373"/>
    <cfRule type="duplicateValues" dxfId="10077" priority="7374"/>
    <cfRule type="duplicateValues" dxfId="10076" priority="7375"/>
    <cfRule type="duplicateValues" dxfId="10075" priority="7376"/>
    <cfRule type="duplicateValues" dxfId="10074" priority="7377"/>
    <cfRule type="duplicateValues" dxfId="10073" priority="7378"/>
    <cfRule type="duplicateValues" dxfId="10072" priority="7380"/>
    <cfRule type="duplicateValues" dxfId="10071" priority="7382"/>
    <cfRule type="duplicateValues" dxfId="10070" priority="7383"/>
    <cfRule type="duplicateValues" dxfId="10069" priority="7384"/>
    <cfRule type="duplicateValues" dxfId="10068" priority="7385"/>
    <cfRule type="duplicateValues" dxfId="10067" priority="7386"/>
    <cfRule type="duplicateValues" dxfId="10066" priority="7387"/>
    <cfRule type="duplicateValues" dxfId="10065" priority="7388"/>
    <cfRule type="duplicateValues" dxfId="10064" priority="7389"/>
    <cfRule type="duplicateValues" dxfId="10063" priority="7390"/>
    <cfRule type="duplicateValues" dxfId="10062" priority="7391"/>
    <cfRule type="duplicateValues" dxfId="10061" priority="7392"/>
    <cfRule type="duplicateValues" dxfId="10060" priority="7393"/>
    <cfRule type="duplicateValues" dxfId="10059" priority="7394"/>
    <cfRule type="duplicateValues" dxfId="10058" priority="7395"/>
    <cfRule type="duplicateValues" dxfId="10057" priority="7396"/>
    <cfRule type="duplicateValues" dxfId="10056" priority="7397"/>
    <cfRule type="duplicateValues" dxfId="10055" priority="7398"/>
    <cfRule type="duplicateValues" dxfId="10054" priority="7399"/>
    <cfRule type="duplicateValues" dxfId="10053" priority="7400"/>
    <cfRule type="duplicateValues" dxfId="10052" priority="7401"/>
    <cfRule type="duplicateValues" dxfId="10051" priority="7402"/>
    <cfRule type="duplicateValues" dxfId="10050" priority="7403"/>
    <cfRule type="duplicateValues" dxfId="10049" priority="7404"/>
    <cfRule type="duplicateValues" dxfId="10048" priority="7405"/>
    <cfRule type="duplicateValues" dxfId="10047" priority="7406"/>
    <cfRule type="duplicateValues" dxfId="10046" priority="7407"/>
    <cfRule type="duplicateValues" dxfId="10045" priority="7408"/>
    <cfRule type="duplicateValues" dxfId="10044" priority="7409"/>
    <cfRule type="duplicateValues" dxfId="10043" priority="7410"/>
    <cfRule type="duplicateValues" dxfId="10042" priority="7411"/>
    <cfRule type="duplicateValues" dxfId="10041" priority="7412"/>
    <cfRule type="duplicateValues" dxfId="10040" priority="7413"/>
    <cfRule type="duplicateValues" dxfId="10039" priority="7414"/>
    <cfRule type="duplicateValues" dxfId="10038" priority="7415"/>
    <cfRule type="duplicateValues" dxfId="10037" priority="7416"/>
    <cfRule type="duplicateValues" dxfId="10036" priority="7417"/>
    <cfRule type="duplicateValues" dxfId="10035" priority="7418"/>
    <cfRule type="duplicateValues" dxfId="10034" priority="7419"/>
    <cfRule type="duplicateValues" dxfId="10033" priority="7420"/>
    <cfRule type="duplicateValues" dxfId="10032" priority="7421"/>
    <cfRule type="duplicateValues" dxfId="10031" priority="7422"/>
    <cfRule type="duplicateValues" dxfId="10030" priority="7423"/>
    <cfRule type="duplicateValues" dxfId="10029" priority="7424"/>
    <cfRule type="duplicateValues" dxfId="10028" priority="7476"/>
    <cfRule type="duplicateValues" dxfId="10027" priority="7488"/>
    <cfRule type="duplicateValues" dxfId="10026" priority="7487"/>
    <cfRule type="duplicateValues" dxfId="10025" priority="7486"/>
    <cfRule type="duplicateValues" dxfId="10024" priority="7485"/>
    <cfRule type="duplicateValues" dxfId="10023" priority="7484"/>
    <cfRule type="duplicateValues" dxfId="10022" priority="7483"/>
    <cfRule type="duplicateValues" dxfId="10021" priority="7482"/>
    <cfRule type="duplicateValues" dxfId="10020" priority="7481"/>
    <cfRule type="duplicateValues" dxfId="10019" priority="7480"/>
    <cfRule type="duplicateValues" dxfId="10018" priority="7479"/>
    <cfRule type="duplicateValues" dxfId="10017" priority="7478"/>
    <cfRule type="duplicateValues" dxfId="10016" priority="7477"/>
    <cfRule type="duplicateValues" dxfId="10015" priority="7429"/>
    <cfRule type="duplicateValues" dxfId="10014" priority="7427"/>
    <cfRule type="duplicateValues" dxfId="10013" priority="7475"/>
    <cfRule type="duplicateValues" dxfId="10012" priority="7381"/>
    <cfRule type="duplicateValues" dxfId="10011" priority="7474"/>
    <cfRule type="duplicateValues" dxfId="10010" priority="7473"/>
    <cfRule type="duplicateValues" dxfId="10009" priority="7472"/>
    <cfRule type="duplicateValues" dxfId="10008" priority="7471"/>
    <cfRule type="duplicateValues" dxfId="10007" priority="7470"/>
    <cfRule type="duplicateValues" dxfId="10006" priority="7469"/>
    <cfRule type="duplicateValues" dxfId="10005" priority="7468"/>
    <cfRule type="duplicateValues" dxfId="10004" priority="7467"/>
    <cfRule type="duplicateValues" dxfId="10003" priority="7466"/>
    <cfRule type="duplicateValues" dxfId="10002" priority="7465"/>
    <cfRule type="duplicateValues" dxfId="10001" priority="7464"/>
    <cfRule type="duplicateValues" dxfId="10000" priority="7463"/>
    <cfRule type="duplicateValues" dxfId="9999" priority="7462"/>
    <cfRule type="duplicateValues" dxfId="9998" priority="7461"/>
    <cfRule type="duplicateValues" dxfId="9997" priority="7460"/>
    <cfRule type="duplicateValues" dxfId="9996" priority="7425"/>
    <cfRule type="duplicateValues" dxfId="9995" priority="7459"/>
    <cfRule type="duplicateValues" dxfId="9994" priority="7458"/>
    <cfRule type="duplicateValues" dxfId="9993" priority="7457"/>
    <cfRule type="duplicateValues" dxfId="9992" priority="7456"/>
    <cfRule type="duplicateValues" dxfId="9991" priority="7455"/>
    <cfRule type="duplicateValues" dxfId="9990" priority="7454"/>
    <cfRule type="duplicateValues" dxfId="9989" priority="7453"/>
    <cfRule type="duplicateValues" dxfId="9988" priority="7452"/>
    <cfRule type="duplicateValues" dxfId="9987" priority="7451"/>
    <cfRule type="duplicateValues" dxfId="9986" priority="7450"/>
    <cfRule type="duplicateValues" dxfId="9985" priority="7449"/>
    <cfRule type="duplicateValues" dxfId="9984" priority="7448"/>
    <cfRule type="duplicateValues" dxfId="9983" priority="7447"/>
    <cfRule type="duplicateValues" dxfId="9982" priority="7446"/>
    <cfRule type="duplicateValues" dxfId="9981" priority="7445"/>
    <cfRule type="duplicateValues" dxfId="9980" priority="7444"/>
    <cfRule type="duplicateValues" dxfId="9979" priority="7443"/>
    <cfRule type="duplicateValues" dxfId="9978" priority="7442"/>
    <cfRule type="duplicateValues" dxfId="9977" priority="7441"/>
    <cfRule type="duplicateValues" dxfId="9976" priority="7440"/>
    <cfRule type="duplicateValues" dxfId="9975" priority="7439"/>
    <cfRule type="duplicateValues" dxfId="9974" priority="7438"/>
    <cfRule type="duplicateValues" dxfId="9973" priority="7437"/>
    <cfRule type="duplicateValues" dxfId="9972" priority="7436"/>
    <cfRule type="duplicateValues" dxfId="9971" priority="7435"/>
    <cfRule type="duplicateValues" dxfId="9970" priority="7434"/>
    <cfRule type="duplicateValues" dxfId="9969" priority="7433"/>
    <cfRule type="duplicateValues" dxfId="9968" priority="7432"/>
    <cfRule type="duplicateValues" dxfId="9967" priority="7431"/>
    <cfRule type="duplicateValues" dxfId="9966" priority="7430"/>
    <cfRule type="duplicateValues" dxfId="9965" priority="7428"/>
  </conditionalFormatting>
  <conditionalFormatting sqref="B299">
    <cfRule type="duplicateValues" dxfId="9964" priority="7144"/>
    <cfRule type="duplicateValues" dxfId="9963" priority="7239"/>
    <cfRule type="duplicateValues" dxfId="9962" priority="7240"/>
    <cfRule type="duplicateValues" dxfId="9961" priority="7300"/>
    <cfRule type="duplicateValues" dxfId="9960" priority="7299"/>
    <cfRule type="duplicateValues" dxfId="9959" priority="7298"/>
    <cfRule type="duplicateValues" dxfId="9958" priority="7297"/>
    <cfRule type="duplicateValues" dxfId="9957" priority="7296"/>
    <cfRule type="duplicateValues" dxfId="9956" priority="7295"/>
    <cfRule type="duplicateValues" dxfId="9955" priority="7294"/>
    <cfRule type="duplicateValues" dxfId="9954" priority="7293"/>
    <cfRule type="duplicateValues" dxfId="9953" priority="7292"/>
    <cfRule type="duplicateValues" dxfId="9952" priority="7291"/>
    <cfRule type="duplicateValues" dxfId="9951" priority="7290"/>
    <cfRule type="duplicateValues" dxfId="9950" priority="7289"/>
    <cfRule type="duplicateValues" dxfId="9949" priority="7288"/>
    <cfRule type="duplicateValues" dxfId="9948" priority="7287"/>
    <cfRule type="duplicateValues" dxfId="9947" priority="7286"/>
    <cfRule type="duplicateValues" dxfId="9946" priority="7285"/>
    <cfRule type="duplicateValues" dxfId="9945" priority="7284"/>
    <cfRule type="duplicateValues" dxfId="9944" priority="7283"/>
    <cfRule type="duplicateValues" dxfId="9943" priority="7282"/>
    <cfRule type="duplicateValues" dxfId="9942" priority="7281"/>
    <cfRule type="duplicateValues" dxfId="9941" priority="7280"/>
    <cfRule type="duplicateValues" dxfId="9940" priority="7279"/>
    <cfRule type="duplicateValues" dxfId="9939" priority="7278"/>
    <cfRule type="duplicateValues" dxfId="9938" priority="7277"/>
    <cfRule type="duplicateValues" dxfId="9937" priority="7276"/>
    <cfRule type="duplicateValues" dxfId="9936" priority="7275"/>
    <cfRule type="duplicateValues" dxfId="9935" priority="7274"/>
    <cfRule type="duplicateValues" dxfId="9934" priority="7273"/>
    <cfRule type="duplicateValues" dxfId="9933" priority="7272"/>
    <cfRule type="duplicateValues" dxfId="9932" priority="7271"/>
    <cfRule type="duplicateValues" dxfId="9931" priority="7270"/>
    <cfRule type="duplicateValues" dxfId="9930" priority="7269"/>
    <cfRule type="duplicateValues" dxfId="9929" priority="7268"/>
    <cfRule type="duplicateValues" dxfId="9928" priority="7267"/>
    <cfRule type="duplicateValues" dxfId="9927" priority="7266"/>
    <cfRule type="duplicateValues" dxfId="9926" priority="7265"/>
    <cfRule type="duplicateValues" dxfId="9925" priority="7264"/>
    <cfRule type="duplicateValues" dxfId="9924" priority="7263"/>
    <cfRule type="duplicateValues" dxfId="9923" priority="7262"/>
    <cfRule type="duplicateValues" dxfId="9922" priority="7261"/>
    <cfRule type="duplicateValues" dxfId="9921" priority="7260"/>
    <cfRule type="duplicateValues" dxfId="9920" priority="7259"/>
    <cfRule type="duplicateValues" dxfId="9919" priority="7258"/>
    <cfRule type="duplicateValues" dxfId="9918" priority="7257"/>
    <cfRule type="duplicateValues" dxfId="9917" priority="7256"/>
    <cfRule type="duplicateValues" dxfId="9916" priority="7255"/>
    <cfRule type="duplicateValues" dxfId="9915" priority="7254"/>
    <cfRule type="duplicateValues" dxfId="9914" priority="7253"/>
    <cfRule type="duplicateValues" dxfId="9913" priority="7252"/>
    <cfRule type="duplicateValues" dxfId="9912" priority="7251"/>
    <cfRule type="duplicateValues" dxfId="9911" priority="7250"/>
    <cfRule type="duplicateValues" dxfId="9910" priority="7249"/>
    <cfRule type="duplicateValues" dxfId="9909" priority="7248"/>
    <cfRule type="duplicateValues" dxfId="9908" priority="7247"/>
    <cfRule type="duplicateValues" dxfId="9907" priority="7246"/>
    <cfRule type="duplicateValues" dxfId="9906" priority="7245"/>
    <cfRule type="duplicateValues" dxfId="9905" priority="7244"/>
    <cfRule type="duplicateValues" dxfId="9904" priority="7243"/>
    <cfRule type="duplicateValues" dxfId="9903" priority="7242"/>
    <cfRule type="duplicateValues" dxfId="9902" priority="7241"/>
    <cfRule type="duplicateValues" dxfId="9901" priority="7113"/>
    <cfRule type="duplicateValues" dxfId="9900" priority="7114"/>
    <cfRule type="duplicateValues" dxfId="9899" priority="7115"/>
    <cfRule type="duplicateValues" dxfId="9898" priority="7116"/>
    <cfRule type="duplicateValues" dxfId="9897" priority="7117"/>
    <cfRule type="duplicateValues" dxfId="9896" priority="7118"/>
    <cfRule type="duplicateValues" dxfId="9895" priority="7119"/>
    <cfRule type="duplicateValues" dxfId="9894" priority="7120"/>
    <cfRule type="duplicateValues" dxfId="9893" priority="7121"/>
    <cfRule type="duplicateValues" dxfId="9892" priority="7122"/>
    <cfRule type="duplicateValues" dxfId="9891" priority="7123"/>
    <cfRule type="duplicateValues" dxfId="9890" priority="7124"/>
    <cfRule type="duplicateValues" dxfId="9889" priority="7125"/>
    <cfRule type="duplicateValues" dxfId="9888" priority="7126"/>
    <cfRule type="duplicateValues" dxfId="9887" priority="7127"/>
    <cfRule type="duplicateValues" dxfId="9886" priority="7128"/>
    <cfRule type="duplicateValues" dxfId="9885" priority="7129"/>
    <cfRule type="duplicateValues" dxfId="9884" priority="7130"/>
    <cfRule type="duplicateValues" dxfId="9883" priority="7131"/>
    <cfRule type="duplicateValues" dxfId="9882" priority="7132"/>
    <cfRule type="duplicateValues" dxfId="9881" priority="7133"/>
    <cfRule type="duplicateValues" dxfId="9880" priority="7134"/>
    <cfRule type="duplicateValues" dxfId="9879" priority="7135"/>
    <cfRule type="duplicateValues" dxfId="9878" priority="7136"/>
    <cfRule type="duplicateValues" dxfId="9877" priority="7137"/>
    <cfRule type="duplicateValues" dxfId="9876" priority="7138"/>
    <cfRule type="duplicateValues" dxfId="9875" priority="7139"/>
    <cfRule type="duplicateValues" dxfId="9874" priority="7140"/>
    <cfRule type="duplicateValues" dxfId="9873" priority="7141"/>
    <cfRule type="duplicateValues" dxfId="9872" priority="7142"/>
    <cfRule type="duplicateValues" dxfId="9871" priority="7143"/>
    <cfRule type="duplicateValues" dxfId="9870" priority="7237"/>
    <cfRule type="duplicateValues" dxfId="9869" priority="7145"/>
    <cfRule type="duplicateValues" dxfId="9868" priority="7146"/>
    <cfRule type="duplicateValues" dxfId="9867" priority="7147"/>
    <cfRule type="duplicateValues" dxfId="9866" priority="7148"/>
    <cfRule type="duplicateValues" dxfId="9865" priority="7149"/>
    <cfRule type="duplicateValues" dxfId="9864" priority="7150"/>
    <cfRule type="duplicateValues" dxfId="9863" priority="7151"/>
    <cfRule type="duplicateValues" dxfId="9862" priority="7152"/>
    <cfRule type="duplicateValues" dxfId="9861" priority="7153"/>
    <cfRule type="duplicateValues" dxfId="9860" priority="7154"/>
    <cfRule type="duplicateValues" dxfId="9859" priority="7155"/>
    <cfRule type="duplicateValues" dxfId="9858" priority="7156"/>
    <cfRule type="duplicateValues" dxfId="9857" priority="7157"/>
    <cfRule type="duplicateValues" dxfId="9856" priority="7158"/>
    <cfRule type="duplicateValues" dxfId="9855" priority="7159"/>
    <cfRule type="duplicateValues" dxfId="9854" priority="7160"/>
    <cfRule type="duplicateValues" dxfId="9853" priority="7161"/>
    <cfRule type="duplicateValues" dxfId="9852" priority="7162"/>
    <cfRule type="duplicateValues" dxfId="9851" priority="7163"/>
    <cfRule type="duplicateValues" dxfId="9850" priority="7164"/>
    <cfRule type="duplicateValues" dxfId="9849" priority="7165"/>
    <cfRule type="duplicateValues" dxfId="9848" priority="7166"/>
    <cfRule type="duplicateValues" dxfId="9847" priority="7167"/>
    <cfRule type="duplicateValues" dxfId="9846" priority="7168"/>
    <cfRule type="duplicateValues" dxfId="9845" priority="7169"/>
    <cfRule type="duplicateValues" dxfId="9844" priority="7170"/>
    <cfRule type="duplicateValues" dxfId="9843" priority="7171"/>
    <cfRule type="duplicateValues" dxfId="9842" priority="7172"/>
    <cfRule type="duplicateValues" dxfId="9841" priority="7173"/>
    <cfRule type="duplicateValues" dxfId="9840" priority="7174"/>
    <cfRule type="duplicateValues" dxfId="9839" priority="7175"/>
    <cfRule type="duplicateValues" dxfId="9838" priority="7176"/>
    <cfRule type="duplicateValues" dxfId="9837" priority="7177"/>
    <cfRule type="duplicateValues" dxfId="9836" priority="7178"/>
    <cfRule type="duplicateValues" dxfId="9835" priority="7179"/>
    <cfRule type="duplicateValues" dxfId="9834" priority="7180"/>
    <cfRule type="duplicateValues" dxfId="9833" priority="7181"/>
    <cfRule type="duplicateValues" dxfId="9832" priority="7182"/>
    <cfRule type="duplicateValues" dxfId="9831" priority="7183"/>
    <cfRule type="duplicateValues" dxfId="9830" priority="7184"/>
    <cfRule type="duplicateValues" dxfId="9829" priority="7185"/>
    <cfRule type="duplicateValues" dxfId="9828" priority="7186"/>
    <cfRule type="duplicateValues" dxfId="9827" priority="7187"/>
    <cfRule type="duplicateValues" dxfId="9826" priority="7188"/>
    <cfRule type="duplicateValues" dxfId="9825" priority="7189"/>
    <cfRule type="duplicateValues" dxfId="9824" priority="7190"/>
    <cfRule type="duplicateValues" dxfId="9823" priority="7191"/>
    <cfRule type="duplicateValues" dxfId="9822" priority="7192"/>
    <cfRule type="duplicateValues" dxfId="9821" priority="7193"/>
    <cfRule type="duplicateValues" dxfId="9820" priority="7194"/>
    <cfRule type="duplicateValues" dxfId="9819" priority="7195"/>
    <cfRule type="duplicateValues" dxfId="9818" priority="7196"/>
    <cfRule type="duplicateValues" dxfId="9817" priority="7197"/>
    <cfRule type="duplicateValues" dxfId="9816" priority="7198"/>
    <cfRule type="duplicateValues" dxfId="9815" priority="7199"/>
    <cfRule type="duplicateValues" dxfId="9814" priority="7200"/>
    <cfRule type="duplicateValues" dxfId="9813" priority="7201"/>
    <cfRule type="duplicateValues" dxfId="9812" priority="7202"/>
    <cfRule type="duplicateValues" dxfId="9811" priority="7203"/>
    <cfRule type="duplicateValues" dxfId="9810" priority="7204"/>
    <cfRule type="duplicateValues" dxfId="9809" priority="7205"/>
    <cfRule type="duplicateValues" dxfId="9808" priority="7206"/>
    <cfRule type="duplicateValues" dxfId="9807" priority="7207"/>
    <cfRule type="duplicateValues" dxfId="9806" priority="7208"/>
    <cfRule type="duplicateValues" dxfId="9805" priority="7209"/>
    <cfRule type="duplicateValues" dxfId="9804" priority="7210"/>
    <cfRule type="duplicateValues" dxfId="9803" priority="7211"/>
    <cfRule type="duplicateValues" dxfId="9802" priority="7212"/>
    <cfRule type="duplicateValues" dxfId="9801" priority="7213"/>
    <cfRule type="duplicateValues" dxfId="9800" priority="7214"/>
    <cfRule type="duplicateValues" dxfId="9799" priority="7215"/>
    <cfRule type="duplicateValues" dxfId="9798" priority="7216"/>
    <cfRule type="duplicateValues" dxfId="9797" priority="7217"/>
    <cfRule type="duplicateValues" dxfId="9796" priority="7218"/>
    <cfRule type="duplicateValues" dxfId="9795" priority="7219"/>
    <cfRule type="duplicateValues" dxfId="9794" priority="7220"/>
    <cfRule type="duplicateValues" dxfId="9793" priority="7221"/>
    <cfRule type="duplicateValues" dxfId="9792" priority="7222"/>
    <cfRule type="duplicateValues" dxfId="9791" priority="7223"/>
    <cfRule type="duplicateValues" dxfId="9790" priority="7224"/>
    <cfRule type="duplicateValues" dxfId="9789" priority="7225"/>
    <cfRule type="duplicateValues" dxfId="9788" priority="7226"/>
    <cfRule type="duplicateValues" dxfId="9787" priority="7227"/>
    <cfRule type="duplicateValues" dxfId="9786" priority="7228"/>
    <cfRule type="duplicateValues" dxfId="9785" priority="7229"/>
    <cfRule type="duplicateValues" dxfId="9784" priority="7230"/>
    <cfRule type="duplicateValues" dxfId="9783" priority="7231"/>
    <cfRule type="duplicateValues" dxfId="9782" priority="7232"/>
    <cfRule type="duplicateValues" dxfId="9781" priority="7233"/>
    <cfRule type="duplicateValues" dxfId="9780" priority="7234"/>
    <cfRule type="duplicateValues" dxfId="9779" priority="7235"/>
    <cfRule type="duplicateValues" dxfId="9778" priority="7236"/>
    <cfRule type="duplicateValues" dxfId="9777" priority="7238"/>
  </conditionalFormatting>
  <conditionalFormatting sqref="B300:B302">
    <cfRule type="duplicateValues" dxfId="9776" priority="6992"/>
    <cfRule type="duplicateValues" dxfId="9775" priority="6991"/>
    <cfRule type="duplicateValues" dxfId="9774" priority="6990"/>
    <cfRule type="duplicateValues" dxfId="9773" priority="6989"/>
    <cfRule type="duplicateValues" dxfId="9772" priority="6988"/>
    <cfRule type="duplicateValues" dxfId="9771" priority="6987"/>
    <cfRule type="duplicateValues" dxfId="9770" priority="6986"/>
    <cfRule type="duplicateValues" dxfId="9769" priority="6985"/>
    <cfRule type="duplicateValues" dxfId="9768" priority="6984"/>
    <cfRule type="duplicateValues" dxfId="9767" priority="6983"/>
    <cfRule type="duplicateValues" dxfId="9766" priority="6982"/>
    <cfRule type="duplicateValues" dxfId="9765" priority="6981"/>
    <cfRule type="duplicateValues" dxfId="9764" priority="6980"/>
    <cfRule type="duplicateValues" dxfId="9763" priority="6979"/>
    <cfRule type="duplicateValues" dxfId="9762" priority="6978"/>
    <cfRule type="duplicateValues" dxfId="9761" priority="6977"/>
    <cfRule type="duplicateValues" dxfId="9760" priority="6976"/>
    <cfRule type="duplicateValues" dxfId="9759" priority="6975"/>
    <cfRule type="duplicateValues" dxfId="9758" priority="6974"/>
    <cfRule type="duplicateValues" dxfId="9757" priority="6973"/>
    <cfRule type="duplicateValues" dxfId="9756" priority="6972"/>
    <cfRule type="duplicateValues" dxfId="9755" priority="6971"/>
    <cfRule type="duplicateValues" dxfId="9754" priority="6970"/>
    <cfRule type="duplicateValues" dxfId="9753" priority="6969"/>
    <cfRule type="duplicateValues" dxfId="9752" priority="6968"/>
    <cfRule type="duplicateValues" dxfId="9751" priority="6967"/>
    <cfRule type="duplicateValues" dxfId="9750" priority="6966"/>
    <cfRule type="duplicateValues" dxfId="9749" priority="6965"/>
    <cfRule type="duplicateValues" dxfId="9748" priority="6964"/>
    <cfRule type="duplicateValues" dxfId="9747" priority="6963"/>
    <cfRule type="duplicateValues" dxfId="9746" priority="6962"/>
    <cfRule type="duplicateValues" dxfId="9745" priority="6961"/>
    <cfRule type="duplicateValues" dxfId="9744" priority="6960"/>
    <cfRule type="duplicateValues" dxfId="9743" priority="7079"/>
    <cfRule type="duplicateValues" dxfId="9742" priority="7078"/>
    <cfRule type="duplicateValues" dxfId="9741" priority="7077"/>
    <cfRule type="duplicateValues" dxfId="9740" priority="7076"/>
    <cfRule type="duplicateValues" dxfId="9739" priority="7075"/>
    <cfRule type="duplicateValues" dxfId="9738" priority="7074"/>
    <cfRule type="duplicateValues" dxfId="9737" priority="7073"/>
    <cfRule type="duplicateValues" dxfId="9736" priority="7072"/>
    <cfRule type="duplicateValues" dxfId="9735" priority="7071"/>
    <cfRule type="duplicateValues" dxfId="9734" priority="7070"/>
    <cfRule type="duplicateValues" dxfId="9733" priority="7069"/>
    <cfRule type="duplicateValues" dxfId="9732" priority="7068"/>
    <cfRule type="duplicateValues" dxfId="9731" priority="7067"/>
    <cfRule type="duplicateValues" dxfId="9730" priority="7066"/>
    <cfRule type="duplicateValues" dxfId="9729" priority="7065"/>
    <cfRule type="duplicateValues" dxfId="9728" priority="7064"/>
    <cfRule type="duplicateValues" dxfId="9727" priority="7063"/>
    <cfRule type="duplicateValues" dxfId="9726" priority="7062"/>
    <cfRule type="duplicateValues" dxfId="9725" priority="7061"/>
    <cfRule type="duplicateValues" dxfId="9724" priority="7060"/>
    <cfRule type="duplicateValues" dxfId="9723" priority="7059"/>
    <cfRule type="duplicateValues" dxfId="9722" priority="7058"/>
    <cfRule type="duplicateValues" dxfId="9721" priority="7057"/>
    <cfRule type="duplicateValues" dxfId="9720" priority="7056"/>
    <cfRule type="duplicateValues" dxfId="9719" priority="7055"/>
    <cfRule type="duplicateValues" dxfId="9718" priority="7054"/>
    <cfRule type="duplicateValues" dxfId="9717" priority="7053"/>
    <cfRule type="duplicateValues" dxfId="9716" priority="6925"/>
    <cfRule type="duplicateValues" dxfId="9715" priority="6926"/>
    <cfRule type="duplicateValues" dxfId="9714" priority="6927"/>
    <cfRule type="duplicateValues" dxfId="9713" priority="6928"/>
    <cfRule type="duplicateValues" dxfId="9712" priority="6929"/>
    <cfRule type="duplicateValues" dxfId="9711" priority="6930"/>
    <cfRule type="duplicateValues" dxfId="9710" priority="6931"/>
    <cfRule type="duplicateValues" dxfId="9709" priority="6932"/>
    <cfRule type="duplicateValues" dxfId="9708" priority="6933"/>
    <cfRule type="duplicateValues" dxfId="9707" priority="6934"/>
    <cfRule type="duplicateValues" dxfId="9706" priority="6935"/>
    <cfRule type="duplicateValues" dxfId="9705" priority="6936"/>
    <cfRule type="duplicateValues" dxfId="9704" priority="6937"/>
    <cfRule type="duplicateValues" dxfId="9703" priority="6938"/>
    <cfRule type="duplicateValues" dxfId="9702" priority="6939"/>
    <cfRule type="duplicateValues" dxfId="9701" priority="6940"/>
    <cfRule type="duplicateValues" dxfId="9700" priority="6941"/>
    <cfRule type="duplicateValues" dxfId="9699" priority="6942"/>
    <cfRule type="duplicateValues" dxfId="9698" priority="6943"/>
    <cfRule type="duplicateValues" dxfId="9697" priority="6944"/>
    <cfRule type="duplicateValues" dxfId="9696" priority="6945"/>
    <cfRule type="duplicateValues" dxfId="9695" priority="6946"/>
    <cfRule type="duplicateValues" dxfId="9694" priority="6947"/>
    <cfRule type="duplicateValues" dxfId="9693" priority="6948"/>
    <cfRule type="duplicateValues" dxfId="9692" priority="6949"/>
    <cfRule type="duplicateValues" dxfId="9691" priority="6950"/>
    <cfRule type="duplicateValues" dxfId="9690" priority="6951"/>
    <cfRule type="duplicateValues" dxfId="9689" priority="6952"/>
    <cfRule type="duplicateValues" dxfId="9688" priority="6953"/>
    <cfRule type="duplicateValues" dxfId="9687" priority="6954"/>
    <cfRule type="duplicateValues" dxfId="9686" priority="6955"/>
    <cfRule type="duplicateValues" dxfId="9685" priority="6956"/>
    <cfRule type="duplicateValues" dxfId="9684" priority="6957"/>
    <cfRule type="duplicateValues" dxfId="9683" priority="7099"/>
    <cfRule type="duplicateValues" dxfId="9682" priority="6958"/>
    <cfRule type="duplicateValues" dxfId="9681" priority="6959"/>
    <cfRule type="duplicateValues" dxfId="9680" priority="7111"/>
    <cfRule type="duplicateValues" dxfId="9679" priority="7112"/>
    <cfRule type="duplicateValues" dxfId="9678" priority="7110"/>
    <cfRule type="duplicateValues" dxfId="9677" priority="7109"/>
    <cfRule type="duplicateValues" dxfId="9676" priority="7108"/>
    <cfRule type="duplicateValues" dxfId="9675" priority="7107"/>
    <cfRule type="duplicateValues" dxfId="9674" priority="7106"/>
    <cfRule type="duplicateValues" dxfId="9673" priority="7105"/>
    <cfRule type="duplicateValues" dxfId="9672" priority="7104"/>
    <cfRule type="duplicateValues" dxfId="9671" priority="7103"/>
    <cfRule type="duplicateValues" dxfId="9670" priority="7102"/>
    <cfRule type="duplicateValues" dxfId="9669" priority="7101"/>
    <cfRule type="duplicateValues" dxfId="9668" priority="7100"/>
    <cfRule type="duplicateValues" dxfId="9667" priority="7098"/>
    <cfRule type="duplicateValues" dxfId="9666" priority="7097"/>
    <cfRule type="duplicateValues" dxfId="9665" priority="7096"/>
    <cfRule type="duplicateValues" dxfId="9664" priority="7095"/>
    <cfRule type="duplicateValues" dxfId="9663" priority="7094"/>
    <cfRule type="duplicateValues" dxfId="9662" priority="7093"/>
    <cfRule type="duplicateValues" dxfId="9661" priority="7092"/>
    <cfRule type="duplicateValues" dxfId="9660" priority="7091"/>
    <cfRule type="duplicateValues" dxfId="9659" priority="7090"/>
    <cfRule type="duplicateValues" dxfId="9658" priority="7089"/>
    <cfRule type="duplicateValues" dxfId="9657" priority="7088"/>
    <cfRule type="duplicateValues" dxfId="9656" priority="7087"/>
    <cfRule type="duplicateValues" dxfId="9655" priority="7086"/>
    <cfRule type="duplicateValues" dxfId="9654" priority="7085"/>
    <cfRule type="duplicateValues" dxfId="9653" priority="7084"/>
    <cfRule type="duplicateValues" dxfId="9652" priority="7083"/>
    <cfRule type="duplicateValues" dxfId="9651" priority="7082"/>
    <cfRule type="duplicateValues" dxfId="9650" priority="7081"/>
    <cfRule type="duplicateValues" dxfId="9649" priority="7052"/>
    <cfRule type="duplicateValues" dxfId="9648" priority="7051"/>
    <cfRule type="duplicateValues" dxfId="9647" priority="7050"/>
    <cfRule type="duplicateValues" dxfId="9646" priority="7049"/>
    <cfRule type="duplicateValues" dxfId="9645" priority="7048"/>
    <cfRule type="duplicateValues" dxfId="9644" priority="7047"/>
    <cfRule type="duplicateValues" dxfId="9643" priority="7046"/>
    <cfRule type="duplicateValues" dxfId="9642" priority="7045"/>
    <cfRule type="duplicateValues" dxfId="9641" priority="7044"/>
    <cfRule type="duplicateValues" dxfId="9640" priority="7043"/>
    <cfRule type="duplicateValues" dxfId="9639" priority="7042"/>
    <cfRule type="duplicateValues" dxfId="9638" priority="7041"/>
    <cfRule type="duplicateValues" dxfId="9637" priority="7040"/>
    <cfRule type="duplicateValues" dxfId="9636" priority="7039"/>
    <cfRule type="duplicateValues" dxfId="9635" priority="7038"/>
    <cfRule type="duplicateValues" dxfId="9634" priority="7037"/>
    <cfRule type="duplicateValues" dxfId="9633" priority="7036"/>
    <cfRule type="duplicateValues" dxfId="9632" priority="7035"/>
    <cfRule type="duplicateValues" dxfId="9631" priority="7034"/>
    <cfRule type="duplicateValues" dxfId="9630" priority="7033"/>
    <cfRule type="duplicateValues" dxfId="9629" priority="7032"/>
    <cfRule type="duplicateValues" dxfId="9628" priority="7031"/>
    <cfRule type="duplicateValues" dxfId="9627" priority="7030"/>
    <cfRule type="duplicateValues" dxfId="9626" priority="7029"/>
    <cfRule type="duplicateValues" dxfId="9625" priority="7028"/>
    <cfRule type="duplicateValues" dxfId="9624" priority="7027"/>
    <cfRule type="duplicateValues" dxfId="9623" priority="7026"/>
    <cfRule type="duplicateValues" dxfId="9622" priority="7025"/>
    <cfRule type="duplicateValues" dxfId="9621" priority="7024"/>
    <cfRule type="duplicateValues" dxfId="9620" priority="7023"/>
    <cfRule type="duplicateValues" dxfId="9619" priority="7022"/>
    <cfRule type="duplicateValues" dxfId="9618" priority="7021"/>
    <cfRule type="duplicateValues" dxfId="9617" priority="7020"/>
    <cfRule type="duplicateValues" dxfId="9616" priority="7019"/>
    <cfRule type="duplicateValues" dxfId="9615" priority="7018"/>
    <cfRule type="duplicateValues" dxfId="9614" priority="7017"/>
    <cfRule type="duplicateValues" dxfId="9613" priority="7016"/>
    <cfRule type="duplicateValues" dxfId="9612" priority="7015"/>
    <cfRule type="duplicateValues" dxfId="9611" priority="7014"/>
    <cfRule type="duplicateValues" dxfId="9610" priority="7013"/>
    <cfRule type="duplicateValues" dxfId="9609" priority="7012"/>
    <cfRule type="duplicateValues" dxfId="9608" priority="7011"/>
    <cfRule type="duplicateValues" dxfId="9607" priority="7010"/>
    <cfRule type="duplicateValues" dxfId="9606" priority="7009"/>
    <cfRule type="duplicateValues" dxfId="9605" priority="7008"/>
    <cfRule type="duplicateValues" dxfId="9604" priority="7007"/>
    <cfRule type="duplicateValues" dxfId="9603" priority="7006"/>
    <cfRule type="duplicateValues" dxfId="9602" priority="7005"/>
    <cfRule type="duplicateValues" dxfId="9601" priority="7004"/>
    <cfRule type="duplicateValues" dxfId="9600" priority="7003"/>
    <cfRule type="duplicateValues" dxfId="9599" priority="7002"/>
    <cfRule type="duplicateValues" dxfId="9598" priority="7001"/>
    <cfRule type="duplicateValues" dxfId="9597" priority="7000"/>
    <cfRule type="duplicateValues" dxfId="9596" priority="6999"/>
    <cfRule type="duplicateValues" dxfId="9595" priority="6998"/>
    <cfRule type="duplicateValues" dxfId="9594" priority="6997"/>
    <cfRule type="duplicateValues" dxfId="9593" priority="6996"/>
    <cfRule type="duplicateValues" dxfId="9592" priority="6995"/>
    <cfRule type="duplicateValues" dxfId="9591" priority="6994"/>
    <cfRule type="duplicateValues" dxfId="9590" priority="7080"/>
    <cfRule type="duplicateValues" dxfId="9589" priority="6993"/>
  </conditionalFormatting>
  <conditionalFormatting sqref="B303:B307">
    <cfRule type="duplicateValues" dxfId="9588" priority="6708"/>
    <cfRule type="duplicateValues" dxfId="9587" priority="6674"/>
    <cfRule type="duplicateValues" dxfId="9586" priority="6673"/>
    <cfRule type="duplicateValues" dxfId="9585" priority="6672"/>
    <cfRule type="duplicateValues" dxfId="9584" priority="6671"/>
    <cfRule type="duplicateValues" dxfId="9583" priority="6670"/>
    <cfRule type="duplicateValues" dxfId="9582" priority="6669"/>
    <cfRule type="duplicateValues" dxfId="9581" priority="6668"/>
    <cfRule type="duplicateValues" dxfId="9580" priority="6667"/>
    <cfRule type="duplicateValues" dxfId="9579" priority="6666"/>
    <cfRule type="duplicateValues" dxfId="9578" priority="6665"/>
    <cfRule type="duplicateValues" dxfId="9577" priority="6664"/>
    <cfRule type="duplicateValues" dxfId="9576" priority="6663"/>
    <cfRule type="duplicateValues" dxfId="9575" priority="6662"/>
    <cfRule type="duplicateValues" dxfId="9574" priority="6661"/>
    <cfRule type="duplicateValues" dxfId="9573" priority="6660"/>
    <cfRule type="duplicateValues" dxfId="9572" priority="6659"/>
    <cfRule type="duplicateValues" dxfId="9571" priority="6658"/>
    <cfRule type="duplicateValues" dxfId="9570" priority="6657"/>
    <cfRule type="duplicateValues" dxfId="9569" priority="6656"/>
    <cfRule type="duplicateValues" dxfId="9568" priority="6655"/>
    <cfRule type="duplicateValues" dxfId="9567" priority="6654"/>
    <cfRule type="duplicateValues" dxfId="9566" priority="6653"/>
    <cfRule type="duplicateValues" dxfId="9565" priority="6652"/>
    <cfRule type="duplicateValues" dxfId="9564" priority="6651"/>
    <cfRule type="duplicateValues" dxfId="9563" priority="6650"/>
    <cfRule type="duplicateValues" dxfId="9562" priority="6649"/>
    <cfRule type="duplicateValues" dxfId="9561" priority="6648"/>
    <cfRule type="duplicateValues" dxfId="9560" priority="6647"/>
    <cfRule type="duplicateValues" dxfId="9559" priority="6646"/>
    <cfRule type="duplicateValues" dxfId="9558" priority="6645"/>
    <cfRule type="duplicateValues" dxfId="9557" priority="6644"/>
    <cfRule type="duplicateValues" dxfId="9556" priority="6643"/>
    <cfRule type="duplicateValues" dxfId="9555" priority="6642"/>
    <cfRule type="duplicateValues" dxfId="9554" priority="6709"/>
    <cfRule type="duplicateValues" dxfId="9553" priority="6710"/>
    <cfRule type="duplicateValues" dxfId="9552" priority="6711"/>
    <cfRule type="duplicateValues" dxfId="9551" priority="6712"/>
    <cfRule type="duplicateValues" dxfId="9550" priority="6713"/>
    <cfRule type="duplicateValues" dxfId="9549" priority="6714"/>
    <cfRule type="duplicateValues" dxfId="9548" priority="6715"/>
    <cfRule type="duplicateValues" dxfId="9547" priority="6716"/>
    <cfRule type="duplicateValues" dxfId="9546" priority="6717"/>
    <cfRule type="duplicateValues" dxfId="9545" priority="6718"/>
    <cfRule type="duplicateValues" dxfId="9544" priority="6719"/>
    <cfRule type="duplicateValues" dxfId="9543" priority="6720"/>
    <cfRule type="duplicateValues" dxfId="9542" priority="6675"/>
    <cfRule type="duplicateValues" dxfId="9541" priority="6721"/>
    <cfRule type="duplicateValues" dxfId="9540" priority="6723"/>
    <cfRule type="duplicateValues" dxfId="9539" priority="6724"/>
    <cfRule type="duplicateValues" dxfId="9538" priority="6725"/>
    <cfRule type="duplicateValues" dxfId="9537" priority="6726"/>
    <cfRule type="duplicateValues" dxfId="9536" priority="6727"/>
    <cfRule type="duplicateValues" dxfId="9535" priority="6728"/>
    <cfRule type="duplicateValues" dxfId="9534" priority="6729"/>
    <cfRule type="duplicateValues" dxfId="9533" priority="6730"/>
    <cfRule type="duplicateValues" dxfId="9532" priority="6731"/>
    <cfRule type="duplicateValues" dxfId="9531" priority="6732"/>
    <cfRule type="duplicateValues" dxfId="9530" priority="6733"/>
    <cfRule type="duplicateValues" dxfId="9529" priority="6734"/>
    <cfRule type="duplicateValues" dxfId="9528" priority="6735"/>
    <cfRule type="duplicateValues" dxfId="9527" priority="6736"/>
    <cfRule type="duplicateValues" dxfId="9526" priority="6722"/>
    <cfRule type="duplicateValues" dxfId="9525" priority="6676"/>
    <cfRule type="duplicateValues" dxfId="9524" priority="6677"/>
    <cfRule type="duplicateValues" dxfId="9523" priority="6678"/>
    <cfRule type="duplicateValues" dxfId="9522" priority="6679"/>
    <cfRule type="duplicateValues" dxfId="9521" priority="6680"/>
    <cfRule type="duplicateValues" dxfId="9520" priority="6681"/>
    <cfRule type="duplicateValues" dxfId="9519" priority="6682"/>
    <cfRule type="duplicateValues" dxfId="9518" priority="6683"/>
    <cfRule type="duplicateValues" dxfId="9517" priority="6684"/>
    <cfRule type="duplicateValues" dxfId="9516" priority="6685"/>
    <cfRule type="duplicateValues" dxfId="9515" priority="6686"/>
    <cfRule type="duplicateValues" dxfId="9514" priority="6687"/>
    <cfRule type="duplicateValues" dxfId="9513" priority="6688"/>
    <cfRule type="duplicateValues" dxfId="9512" priority="6689"/>
    <cfRule type="duplicateValues" dxfId="9511" priority="6690"/>
    <cfRule type="duplicateValues" dxfId="9510" priority="6691"/>
    <cfRule type="duplicateValues" dxfId="9509" priority="6692"/>
    <cfRule type="duplicateValues" dxfId="9508" priority="6693"/>
    <cfRule type="duplicateValues" dxfId="9507" priority="6694"/>
    <cfRule type="duplicateValues" dxfId="9506" priority="6695"/>
    <cfRule type="duplicateValues" dxfId="9505" priority="6696"/>
    <cfRule type="duplicateValues" dxfId="9504" priority="6697"/>
    <cfRule type="duplicateValues" dxfId="9503" priority="6698"/>
    <cfRule type="duplicateValues" dxfId="9502" priority="6699"/>
    <cfRule type="duplicateValues" dxfId="9501" priority="6700"/>
    <cfRule type="duplicateValues" dxfId="9500" priority="6701"/>
    <cfRule type="duplicateValues" dxfId="9499" priority="6702"/>
    <cfRule type="duplicateValues" dxfId="9498" priority="6703"/>
    <cfRule type="duplicateValues" dxfId="9497" priority="6704"/>
    <cfRule type="duplicateValues" dxfId="9496" priority="6705"/>
    <cfRule type="duplicateValues" dxfId="9495" priority="6706"/>
    <cfRule type="duplicateValues" dxfId="9494" priority="6707"/>
    <cfRule type="duplicateValues" dxfId="9493" priority="6641"/>
    <cfRule type="duplicateValues" dxfId="9492" priority="6640"/>
    <cfRule type="duplicateValues" dxfId="9491" priority="6639"/>
    <cfRule type="duplicateValues" dxfId="9490" priority="6638"/>
    <cfRule type="duplicateValues" dxfId="9489" priority="6637"/>
    <cfRule type="duplicateValues" dxfId="9488" priority="6636"/>
    <cfRule type="duplicateValues" dxfId="9487" priority="6635"/>
    <cfRule type="duplicateValues" dxfId="9486" priority="6634"/>
    <cfRule type="duplicateValues" dxfId="9485" priority="6633"/>
    <cfRule type="duplicateValues" dxfId="9484" priority="6632"/>
    <cfRule type="duplicateValues" dxfId="9483" priority="6631"/>
    <cfRule type="duplicateValues" dxfId="9482" priority="6630"/>
    <cfRule type="duplicateValues" dxfId="9481" priority="6629"/>
    <cfRule type="duplicateValues" dxfId="9480" priority="6628"/>
    <cfRule type="duplicateValues" dxfId="9479" priority="6627"/>
    <cfRule type="duplicateValues" dxfId="9478" priority="6626"/>
    <cfRule type="duplicateValues" dxfId="9477" priority="6625"/>
    <cfRule type="duplicateValues" dxfId="9476" priority="6624"/>
    <cfRule type="duplicateValues" dxfId="9475" priority="6623"/>
    <cfRule type="duplicateValues" dxfId="9474" priority="6622"/>
    <cfRule type="duplicateValues" dxfId="9473" priority="6621"/>
    <cfRule type="duplicateValues" dxfId="9472" priority="6620"/>
    <cfRule type="duplicateValues" dxfId="9471" priority="6619"/>
    <cfRule type="duplicateValues" dxfId="9470" priority="6618"/>
    <cfRule type="duplicateValues" dxfId="9469" priority="6617"/>
    <cfRule type="duplicateValues" dxfId="9468" priority="6616"/>
    <cfRule type="duplicateValues" dxfId="9467" priority="6615"/>
    <cfRule type="duplicateValues" dxfId="9466" priority="6614"/>
    <cfRule type="duplicateValues" dxfId="9465" priority="6613"/>
    <cfRule type="duplicateValues" dxfId="9464" priority="6612"/>
    <cfRule type="duplicateValues" dxfId="9463" priority="6611"/>
    <cfRule type="duplicateValues" dxfId="9462" priority="6610"/>
    <cfRule type="duplicateValues" dxfId="9461" priority="6609"/>
    <cfRule type="duplicateValues" dxfId="9460" priority="6608"/>
    <cfRule type="duplicateValues" dxfId="9459" priority="6607"/>
    <cfRule type="duplicateValues" dxfId="9458" priority="6606"/>
    <cfRule type="duplicateValues" dxfId="9457" priority="6605"/>
    <cfRule type="duplicateValues" dxfId="9456" priority="6604"/>
    <cfRule type="duplicateValues" dxfId="9455" priority="6603"/>
    <cfRule type="duplicateValues" dxfId="9454" priority="6602"/>
    <cfRule type="duplicateValues" dxfId="9453" priority="6601"/>
    <cfRule type="duplicateValues" dxfId="9452" priority="6600"/>
    <cfRule type="duplicateValues" dxfId="9451" priority="6599"/>
    <cfRule type="duplicateValues" dxfId="9450" priority="6598"/>
    <cfRule type="duplicateValues" dxfId="9449" priority="6597"/>
    <cfRule type="duplicateValues" dxfId="9448" priority="6596"/>
    <cfRule type="duplicateValues" dxfId="9447" priority="6595"/>
    <cfRule type="duplicateValues" dxfId="9446" priority="6594"/>
    <cfRule type="duplicateValues" dxfId="9445" priority="6593"/>
    <cfRule type="duplicateValues" dxfId="9444" priority="6592"/>
    <cfRule type="duplicateValues" dxfId="9443" priority="6591"/>
    <cfRule type="duplicateValues" dxfId="9442" priority="6590"/>
    <cfRule type="duplicateValues" dxfId="9441" priority="6589"/>
    <cfRule type="duplicateValues" dxfId="9440" priority="6588"/>
    <cfRule type="duplicateValues" dxfId="9439" priority="6587"/>
    <cfRule type="duplicateValues" dxfId="9438" priority="6586"/>
    <cfRule type="duplicateValues" dxfId="9437" priority="6585"/>
    <cfRule type="duplicateValues" dxfId="9436" priority="6584"/>
    <cfRule type="duplicateValues" dxfId="9435" priority="6583"/>
    <cfRule type="duplicateValues" dxfId="9434" priority="6582"/>
    <cfRule type="duplicateValues" dxfId="9433" priority="6581"/>
    <cfRule type="duplicateValues" dxfId="9432" priority="6580"/>
    <cfRule type="duplicateValues" dxfId="9431" priority="6579"/>
    <cfRule type="duplicateValues" dxfId="9430" priority="6578"/>
    <cfRule type="duplicateValues" dxfId="9429" priority="6577"/>
    <cfRule type="duplicateValues" dxfId="9428" priority="6576"/>
    <cfRule type="duplicateValues" dxfId="9427" priority="6575"/>
    <cfRule type="duplicateValues" dxfId="9426" priority="6574"/>
    <cfRule type="duplicateValues" dxfId="9425" priority="6573"/>
    <cfRule type="duplicateValues" dxfId="9424" priority="6572"/>
    <cfRule type="duplicateValues" dxfId="9423" priority="6571"/>
    <cfRule type="duplicateValues" dxfId="9422" priority="6570"/>
    <cfRule type="duplicateValues" dxfId="9421" priority="6569"/>
    <cfRule type="duplicateValues" dxfId="9420" priority="6568"/>
    <cfRule type="duplicateValues" dxfId="9419" priority="6567"/>
    <cfRule type="duplicateValues" dxfId="9418" priority="6566"/>
    <cfRule type="duplicateValues" dxfId="9417" priority="6565"/>
    <cfRule type="duplicateValues" dxfId="9416" priority="6564"/>
    <cfRule type="duplicateValues" dxfId="9415" priority="6563"/>
    <cfRule type="duplicateValues" dxfId="9414" priority="6562"/>
    <cfRule type="duplicateValues" dxfId="9413" priority="6561"/>
    <cfRule type="duplicateValues" dxfId="9412" priority="6560"/>
    <cfRule type="duplicateValues" dxfId="9411" priority="6559"/>
    <cfRule type="duplicateValues" dxfId="9410" priority="6558"/>
    <cfRule type="duplicateValues" dxfId="9409" priority="6557"/>
    <cfRule type="duplicateValues" dxfId="9408" priority="6556"/>
    <cfRule type="duplicateValues" dxfId="9407" priority="6555"/>
    <cfRule type="duplicateValues" dxfId="9406" priority="6554"/>
    <cfRule type="duplicateValues" dxfId="9405" priority="6553"/>
    <cfRule type="duplicateValues" dxfId="9404" priority="6552"/>
    <cfRule type="duplicateValues" dxfId="9403" priority="6551"/>
    <cfRule type="duplicateValues" dxfId="9402" priority="6550"/>
    <cfRule type="duplicateValues" dxfId="9401" priority="6549"/>
  </conditionalFormatting>
  <conditionalFormatting sqref="B308:B311">
    <cfRule type="duplicateValues" dxfId="9400" priority="6863"/>
    <cfRule type="duplicateValues" dxfId="9399" priority="6865"/>
    <cfRule type="duplicateValues" dxfId="9398" priority="6862"/>
    <cfRule type="duplicateValues" dxfId="9397" priority="6861"/>
    <cfRule type="duplicateValues" dxfId="9396" priority="6860"/>
    <cfRule type="duplicateValues" dxfId="9395" priority="6859"/>
    <cfRule type="duplicateValues" dxfId="9394" priority="6858"/>
    <cfRule type="duplicateValues" dxfId="9393" priority="6857"/>
    <cfRule type="duplicateValues" dxfId="9392" priority="6856"/>
    <cfRule type="duplicateValues" dxfId="9391" priority="6855"/>
    <cfRule type="duplicateValues" dxfId="9390" priority="6854"/>
    <cfRule type="duplicateValues" dxfId="9389" priority="6853"/>
    <cfRule type="duplicateValues" dxfId="9388" priority="6852"/>
    <cfRule type="duplicateValues" dxfId="9387" priority="6851"/>
    <cfRule type="duplicateValues" dxfId="9386" priority="6850"/>
    <cfRule type="duplicateValues" dxfId="9385" priority="6849"/>
    <cfRule type="duplicateValues" dxfId="9384" priority="6848"/>
    <cfRule type="duplicateValues" dxfId="9383" priority="6847"/>
    <cfRule type="duplicateValues" dxfId="9382" priority="6846"/>
    <cfRule type="duplicateValues" dxfId="9381" priority="6845"/>
    <cfRule type="duplicateValues" dxfId="9380" priority="6844"/>
    <cfRule type="duplicateValues" dxfId="9379" priority="6843"/>
    <cfRule type="duplicateValues" dxfId="9378" priority="6842"/>
    <cfRule type="duplicateValues" dxfId="9377" priority="6841"/>
    <cfRule type="duplicateValues" dxfId="9376" priority="6840"/>
    <cfRule type="duplicateValues" dxfId="9375" priority="6839"/>
    <cfRule type="duplicateValues" dxfId="9374" priority="6838"/>
    <cfRule type="duplicateValues" dxfId="9373" priority="6837"/>
    <cfRule type="duplicateValues" dxfId="9372" priority="6836"/>
    <cfRule type="duplicateValues" dxfId="9371" priority="6835"/>
    <cfRule type="duplicateValues" dxfId="9370" priority="6834"/>
    <cfRule type="duplicateValues" dxfId="9369" priority="6833"/>
    <cfRule type="duplicateValues" dxfId="9368" priority="6832"/>
    <cfRule type="duplicateValues" dxfId="9367" priority="6831"/>
    <cfRule type="duplicateValues" dxfId="9366" priority="6830"/>
    <cfRule type="duplicateValues" dxfId="9365" priority="6829"/>
    <cfRule type="duplicateValues" dxfId="9364" priority="6828"/>
    <cfRule type="duplicateValues" dxfId="9363" priority="6827"/>
    <cfRule type="duplicateValues" dxfId="9362" priority="6826"/>
    <cfRule type="duplicateValues" dxfId="9361" priority="6825"/>
    <cfRule type="duplicateValues" dxfId="9360" priority="6824"/>
    <cfRule type="duplicateValues" dxfId="9359" priority="6823"/>
    <cfRule type="duplicateValues" dxfId="9358" priority="6822"/>
    <cfRule type="duplicateValues" dxfId="9357" priority="6821"/>
    <cfRule type="duplicateValues" dxfId="9356" priority="6820"/>
    <cfRule type="duplicateValues" dxfId="9355" priority="6819"/>
    <cfRule type="duplicateValues" dxfId="9354" priority="6818"/>
    <cfRule type="duplicateValues" dxfId="9353" priority="6817"/>
    <cfRule type="duplicateValues" dxfId="9352" priority="6816"/>
    <cfRule type="duplicateValues" dxfId="9351" priority="6815"/>
    <cfRule type="duplicateValues" dxfId="9350" priority="6814"/>
    <cfRule type="duplicateValues" dxfId="9349" priority="6813"/>
    <cfRule type="duplicateValues" dxfId="9348" priority="6812"/>
    <cfRule type="duplicateValues" dxfId="9347" priority="6811"/>
    <cfRule type="duplicateValues" dxfId="9346" priority="6810"/>
    <cfRule type="duplicateValues" dxfId="9345" priority="6809"/>
    <cfRule type="duplicateValues" dxfId="9344" priority="6808"/>
    <cfRule type="duplicateValues" dxfId="9343" priority="6807"/>
    <cfRule type="duplicateValues" dxfId="9342" priority="6806"/>
    <cfRule type="duplicateValues" dxfId="9341" priority="6805"/>
    <cfRule type="duplicateValues" dxfId="9340" priority="6804"/>
    <cfRule type="duplicateValues" dxfId="9339" priority="6803"/>
    <cfRule type="duplicateValues" dxfId="9338" priority="6802"/>
    <cfRule type="duplicateValues" dxfId="9337" priority="6801"/>
    <cfRule type="duplicateValues" dxfId="9336" priority="6800"/>
    <cfRule type="duplicateValues" dxfId="9335" priority="6799"/>
    <cfRule type="duplicateValues" dxfId="9334" priority="6798"/>
    <cfRule type="duplicateValues" dxfId="9333" priority="6797"/>
    <cfRule type="duplicateValues" dxfId="9332" priority="6796"/>
    <cfRule type="duplicateValues" dxfId="9331" priority="6795"/>
    <cfRule type="duplicateValues" dxfId="9330" priority="6794"/>
    <cfRule type="duplicateValues" dxfId="9329" priority="6793"/>
    <cfRule type="duplicateValues" dxfId="9328" priority="6792"/>
    <cfRule type="duplicateValues" dxfId="9327" priority="6791"/>
    <cfRule type="duplicateValues" dxfId="9326" priority="6790"/>
    <cfRule type="duplicateValues" dxfId="9325" priority="6789"/>
    <cfRule type="duplicateValues" dxfId="9324" priority="6788"/>
    <cfRule type="duplicateValues" dxfId="9323" priority="6787"/>
    <cfRule type="duplicateValues" dxfId="9322" priority="6786"/>
    <cfRule type="duplicateValues" dxfId="9321" priority="6785"/>
    <cfRule type="duplicateValues" dxfId="9320" priority="6784"/>
    <cfRule type="duplicateValues" dxfId="9319" priority="6783"/>
    <cfRule type="duplicateValues" dxfId="9318" priority="6782"/>
    <cfRule type="duplicateValues" dxfId="9317" priority="6781"/>
    <cfRule type="duplicateValues" dxfId="9316" priority="6780"/>
    <cfRule type="duplicateValues" dxfId="9315" priority="6779"/>
    <cfRule type="duplicateValues" dxfId="9314" priority="6778"/>
    <cfRule type="duplicateValues" dxfId="9313" priority="6777"/>
    <cfRule type="duplicateValues" dxfId="9312" priority="6776"/>
    <cfRule type="duplicateValues" dxfId="9311" priority="6775"/>
    <cfRule type="duplicateValues" dxfId="9310" priority="6774"/>
    <cfRule type="duplicateValues" dxfId="9309" priority="6773"/>
    <cfRule type="duplicateValues" dxfId="9308" priority="6772"/>
    <cfRule type="duplicateValues" dxfId="9307" priority="6771"/>
    <cfRule type="duplicateValues" dxfId="9306" priority="6770"/>
    <cfRule type="duplicateValues" dxfId="9305" priority="6769"/>
    <cfRule type="duplicateValues" dxfId="9304" priority="6768"/>
    <cfRule type="duplicateValues" dxfId="9303" priority="6767"/>
    <cfRule type="duplicateValues" dxfId="9302" priority="6766"/>
    <cfRule type="duplicateValues" dxfId="9301" priority="6765"/>
    <cfRule type="duplicateValues" dxfId="9300" priority="6764"/>
    <cfRule type="duplicateValues" dxfId="9299" priority="6763"/>
    <cfRule type="duplicateValues" dxfId="9298" priority="6762"/>
    <cfRule type="duplicateValues" dxfId="9297" priority="6761"/>
    <cfRule type="duplicateValues" dxfId="9296" priority="6760"/>
    <cfRule type="duplicateValues" dxfId="9295" priority="6759"/>
    <cfRule type="duplicateValues" dxfId="9294" priority="6758"/>
    <cfRule type="duplicateValues" dxfId="9293" priority="6757"/>
    <cfRule type="duplicateValues" dxfId="9292" priority="6756"/>
    <cfRule type="duplicateValues" dxfId="9291" priority="6755"/>
    <cfRule type="duplicateValues" dxfId="9290" priority="6754"/>
    <cfRule type="duplicateValues" dxfId="9289" priority="6753"/>
    <cfRule type="duplicateValues" dxfId="9288" priority="6752"/>
    <cfRule type="duplicateValues" dxfId="9287" priority="6751"/>
    <cfRule type="duplicateValues" dxfId="9286" priority="6750"/>
    <cfRule type="duplicateValues" dxfId="9285" priority="6749"/>
    <cfRule type="duplicateValues" dxfId="9284" priority="6748"/>
    <cfRule type="duplicateValues" dxfId="9283" priority="6747"/>
    <cfRule type="duplicateValues" dxfId="9282" priority="6746"/>
    <cfRule type="duplicateValues" dxfId="9281" priority="6745"/>
    <cfRule type="duplicateValues" dxfId="9280" priority="6744"/>
    <cfRule type="duplicateValues" dxfId="9279" priority="6743"/>
    <cfRule type="duplicateValues" dxfId="9278" priority="6742"/>
    <cfRule type="duplicateValues" dxfId="9277" priority="6741"/>
    <cfRule type="duplicateValues" dxfId="9276" priority="6740"/>
    <cfRule type="duplicateValues" dxfId="9275" priority="6739"/>
    <cfRule type="duplicateValues" dxfId="9274" priority="6738"/>
    <cfRule type="duplicateValues" dxfId="9273" priority="6737"/>
    <cfRule type="duplicateValues" dxfId="9272" priority="6866"/>
    <cfRule type="duplicateValues" dxfId="9271" priority="6867"/>
    <cfRule type="duplicateValues" dxfId="9270" priority="6868"/>
    <cfRule type="duplicateValues" dxfId="9269" priority="6869"/>
    <cfRule type="duplicateValues" dxfId="9268" priority="6870"/>
    <cfRule type="duplicateValues" dxfId="9267" priority="6871"/>
    <cfRule type="duplicateValues" dxfId="9266" priority="6872"/>
    <cfRule type="duplicateValues" dxfId="9265" priority="6873"/>
    <cfRule type="duplicateValues" dxfId="9264" priority="6874"/>
    <cfRule type="duplicateValues" dxfId="9263" priority="6875"/>
    <cfRule type="duplicateValues" dxfId="9262" priority="6876"/>
    <cfRule type="duplicateValues" dxfId="9261" priority="6864"/>
    <cfRule type="duplicateValues" dxfId="9260" priority="6877"/>
    <cfRule type="duplicateValues" dxfId="9259" priority="6878"/>
    <cfRule type="duplicateValues" dxfId="9258" priority="6879"/>
    <cfRule type="duplicateValues" dxfId="9257" priority="6880"/>
    <cfRule type="duplicateValues" dxfId="9256" priority="6881"/>
    <cfRule type="duplicateValues" dxfId="9255" priority="6882"/>
    <cfRule type="duplicateValues" dxfId="9254" priority="6883"/>
    <cfRule type="duplicateValues" dxfId="9253" priority="6884"/>
    <cfRule type="duplicateValues" dxfId="9252" priority="6885"/>
    <cfRule type="duplicateValues" dxfId="9251" priority="6886"/>
    <cfRule type="duplicateValues" dxfId="9250" priority="6887"/>
    <cfRule type="duplicateValues" dxfId="9249" priority="6888"/>
    <cfRule type="duplicateValues" dxfId="9248" priority="6889"/>
    <cfRule type="duplicateValues" dxfId="9247" priority="6890"/>
    <cfRule type="duplicateValues" dxfId="9246" priority="6891"/>
    <cfRule type="duplicateValues" dxfId="9245" priority="6892"/>
    <cfRule type="duplicateValues" dxfId="9244" priority="6893"/>
    <cfRule type="duplicateValues" dxfId="9243" priority="6894"/>
    <cfRule type="duplicateValues" dxfId="9242" priority="6895"/>
    <cfRule type="duplicateValues" dxfId="9241" priority="6896"/>
    <cfRule type="duplicateValues" dxfId="9240" priority="6897"/>
    <cfRule type="duplicateValues" dxfId="9239" priority="6898"/>
    <cfRule type="duplicateValues" dxfId="9238" priority="6899"/>
    <cfRule type="duplicateValues" dxfId="9237" priority="6900"/>
    <cfRule type="duplicateValues" dxfId="9236" priority="6901"/>
    <cfRule type="duplicateValues" dxfId="9235" priority="6902"/>
    <cfRule type="duplicateValues" dxfId="9234" priority="6903"/>
    <cfRule type="duplicateValues" dxfId="9233" priority="6904"/>
    <cfRule type="duplicateValues" dxfId="9232" priority="6905"/>
    <cfRule type="duplicateValues" dxfId="9231" priority="6906"/>
    <cfRule type="duplicateValues" dxfId="9230" priority="6907"/>
    <cfRule type="duplicateValues" dxfId="9229" priority="6908"/>
    <cfRule type="duplicateValues" dxfId="9228" priority="6909"/>
    <cfRule type="duplicateValues" dxfId="9227" priority="6910"/>
    <cfRule type="duplicateValues" dxfId="9226" priority="6911"/>
    <cfRule type="duplicateValues" dxfId="9225" priority="6912"/>
    <cfRule type="duplicateValues" dxfId="9224" priority="6913"/>
    <cfRule type="duplicateValues" dxfId="9223" priority="6914"/>
    <cfRule type="duplicateValues" dxfId="9222" priority="6915"/>
    <cfRule type="duplicateValues" dxfId="9221" priority="6916"/>
    <cfRule type="duplicateValues" dxfId="9220" priority="6917"/>
    <cfRule type="duplicateValues" dxfId="9219" priority="6918"/>
    <cfRule type="duplicateValues" dxfId="9218" priority="6919"/>
    <cfRule type="duplicateValues" dxfId="9217" priority="6920"/>
    <cfRule type="duplicateValues" dxfId="9216" priority="6921"/>
    <cfRule type="duplicateValues" dxfId="9215" priority="6922"/>
    <cfRule type="duplicateValues" dxfId="9214" priority="6923"/>
    <cfRule type="duplicateValues" dxfId="9213" priority="6924"/>
  </conditionalFormatting>
  <conditionalFormatting sqref="B312">
    <cfRule type="duplicateValues" dxfId="9212" priority="6358"/>
    <cfRule type="duplicateValues" dxfId="9211" priority="6359"/>
    <cfRule type="duplicateValues" dxfId="9210" priority="6360"/>
    <cfRule type="duplicateValues" dxfId="9209" priority="6265"/>
    <cfRule type="duplicateValues" dxfId="9208" priority="6266"/>
    <cfRule type="duplicateValues" dxfId="9207" priority="6267"/>
    <cfRule type="duplicateValues" dxfId="9206" priority="6268"/>
    <cfRule type="duplicateValues" dxfId="9205" priority="6269"/>
    <cfRule type="duplicateValues" dxfId="9204" priority="6270"/>
    <cfRule type="duplicateValues" dxfId="9203" priority="6271"/>
    <cfRule type="duplicateValues" dxfId="9202" priority="6272"/>
    <cfRule type="duplicateValues" dxfId="9201" priority="6273"/>
    <cfRule type="duplicateValues" dxfId="9200" priority="6274"/>
    <cfRule type="duplicateValues" dxfId="9199" priority="6275"/>
    <cfRule type="duplicateValues" dxfId="9198" priority="6276"/>
    <cfRule type="duplicateValues" dxfId="9197" priority="6277"/>
    <cfRule type="duplicateValues" dxfId="9196" priority="6278"/>
    <cfRule type="duplicateValues" dxfId="9195" priority="6279"/>
    <cfRule type="duplicateValues" dxfId="9194" priority="6280"/>
    <cfRule type="duplicateValues" dxfId="9193" priority="6281"/>
    <cfRule type="duplicateValues" dxfId="9192" priority="6282"/>
    <cfRule type="duplicateValues" dxfId="9191" priority="6283"/>
    <cfRule type="duplicateValues" dxfId="9190" priority="6284"/>
    <cfRule type="duplicateValues" dxfId="9189" priority="6285"/>
    <cfRule type="duplicateValues" dxfId="9188" priority="6286"/>
    <cfRule type="duplicateValues" dxfId="9187" priority="6287"/>
    <cfRule type="duplicateValues" dxfId="9186" priority="6288"/>
    <cfRule type="duplicateValues" dxfId="9185" priority="6289"/>
    <cfRule type="duplicateValues" dxfId="9184" priority="6290"/>
    <cfRule type="duplicateValues" dxfId="9183" priority="6291"/>
    <cfRule type="duplicateValues" dxfId="9182" priority="6292"/>
    <cfRule type="duplicateValues" dxfId="9181" priority="6293"/>
    <cfRule type="duplicateValues" dxfId="9180" priority="6294"/>
    <cfRule type="duplicateValues" dxfId="9179" priority="6295"/>
    <cfRule type="duplicateValues" dxfId="9178" priority="6296"/>
    <cfRule type="duplicateValues" dxfId="9177" priority="6297"/>
    <cfRule type="duplicateValues" dxfId="9176" priority="6298"/>
    <cfRule type="duplicateValues" dxfId="9175" priority="6299"/>
    <cfRule type="duplicateValues" dxfId="9174" priority="6300"/>
    <cfRule type="duplicateValues" dxfId="9173" priority="6301"/>
    <cfRule type="duplicateValues" dxfId="9172" priority="6302"/>
    <cfRule type="duplicateValues" dxfId="9171" priority="6303"/>
    <cfRule type="duplicateValues" dxfId="9170" priority="6304"/>
    <cfRule type="duplicateValues" dxfId="9169" priority="6305"/>
    <cfRule type="duplicateValues" dxfId="9168" priority="6306"/>
    <cfRule type="duplicateValues" dxfId="9167" priority="6307"/>
    <cfRule type="duplicateValues" dxfId="9166" priority="6308"/>
    <cfRule type="duplicateValues" dxfId="9165" priority="6309"/>
    <cfRule type="duplicateValues" dxfId="9164" priority="6310"/>
    <cfRule type="duplicateValues" dxfId="9163" priority="6311"/>
    <cfRule type="duplicateValues" dxfId="9162" priority="6312"/>
    <cfRule type="duplicateValues" dxfId="9161" priority="6313"/>
    <cfRule type="duplicateValues" dxfId="9160" priority="6314"/>
    <cfRule type="duplicateValues" dxfId="9159" priority="6315"/>
    <cfRule type="duplicateValues" dxfId="9158" priority="6316"/>
    <cfRule type="duplicateValues" dxfId="9157" priority="6317"/>
    <cfRule type="duplicateValues" dxfId="9156" priority="6318"/>
    <cfRule type="duplicateValues" dxfId="9155" priority="6319"/>
    <cfRule type="duplicateValues" dxfId="9154" priority="6320"/>
    <cfRule type="duplicateValues" dxfId="9153" priority="6321"/>
    <cfRule type="duplicateValues" dxfId="9152" priority="6322"/>
    <cfRule type="duplicateValues" dxfId="9151" priority="6323"/>
    <cfRule type="duplicateValues" dxfId="9150" priority="6324"/>
    <cfRule type="duplicateValues" dxfId="9149" priority="6325"/>
    <cfRule type="duplicateValues" dxfId="9148" priority="6326"/>
    <cfRule type="duplicateValues" dxfId="9147" priority="6327"/>
    <cfRule type="duplicateValues" dxfId="9146" priority="6328"/>
    <cfRule type="duplicateValues" dxfId="9145" priority="6329"/>
    <cfRule type="duplicateValues" dxfId="9144" priority="6330"/>
    <cfRule type="duplicateValues" dxfId="9143" priority="6331"/>
    <cfRule type="duplicateValues" dxfId="9142" priority="6332"/>
    <cfRule type="duplicateValues" dxfId="9141" priority="6333"/>
    <cfRule type="duplicateValues" dxfId="9140" priority="6334"/>
    <cfRule type="duplicateValues" dxfId="9139" priority="6335"/>
    <cfRule type="duplicateValues" dxfId="9138" priority="6336"/>
    <cfRule type="duplicateValues" dxfId="9137" priority="6337"/>
    <cfRule type="duplicateValues" dxfId="9136" priority="6338"/>
    <cfRule type="duplicateValues" dxfId="9135" priority="6339"/>
    <cfRule type="duplicateValues" dxfId="9134" priority="6340"/>
    <cfRule type="duplicateValues" dxfId="9133" priority="6341"/>
    <cfRule type="duplicateValues" dxfId="9132" priority="6342"/>
    <cfRule type="duplicateValues" dxfId="9131" priority="6343"/>
    <cfRule type="duplicateValues" dxfId="9130" priority="6344"/>
    <cfRule type="duplicateValues" dxfId="9129" priority="6345"/>
    <cfRule type="duplicateValues" dxfId="9128" priority="6346"/>
    <cfRule type="duplicateValues" dxfId="9127" priority="6347"/>
    <cfRule type="duplicateValues" dxfId="9126" priority="6348"/>
    <cfRule type="duplicateValues" dxfId="9125" priority="6349"/>
    <cfRule type="duplicateValues" dxfId="9124" priority="6350"/>
    <cfRule type="duplicateValues" dxfId="9123" priority="6351"/>
    <cfRule type="duplicateValues" dxfId="9122" priority="6352"/>
    <cfRule type="duplicateValues" dxfId="9121" priority="6353"/>
    <cfRule type="duplicateValues" dxfId="9120" priority="6354"/>
    <cfRule type="duplicateValues" dxfId="9119" priority="6355"/>
    <cfRule type="duplicateValues" dxfId="9118" priority="6356"/>
    <cfRule type="duplicateValues" dxfId="9117" priority="6357"/>
    <cfRule type="duplicateValues" dxfId="9116" priority="6264"/>
    <cfRule type="duplicateValues" dxfId="9115" priority="6263"/>
    <cfRule type="duplicateValues" dxfId="9114" priority="6262"/>
    <cfRule type="duplicateValues" dxfId="9113" priority="6261"/>
    <cfRule type="duplicateValues" dxfId="9112" priority="6260"/>
    <cfRule type="duplicateValues" dxfId="9111" priority="6259"/>
    <cfRule type="duplicateValues" dxfId="9110" priority="6258"/>
    <cfRule type="duplicateValues" dxfId="9109" priority="6257"/>
    <cfRule type="duplicateValues" dxfId="9108" priority="6256"/>
    <cfRule type="duplicateValues" dxfId="9107" priority="6255"/>
    <cfRule type="duplicateValues" dxfId="9106" priority="6254"/>
    <cfRule type="duplicateValues" dxfId="9105" priority="6253"/>
    <cfRule type="duplicateValues" dxfId="9104" priority="6252"/>
    <cfRule type="duplicateValues" dxfId="9103" priority="6251"/>
    <cfRule type="duplicateValues" dxfId="9102" priority="6250"/>
    <cfRule type="duplicateValues" dxfId="9101" priority="6249"/>
    <cfRule type="duplicateValues" dxfId="9100" priority="6248"/>
    <cfRule type="duplicateValues" dxfId="9099" priority="6247"/>
    <cfRule type="duplicateValues" dxfId="9098" priority="6246"/>
    <cfRule type="duplicateValues" dxfId="9097" priority="6245"/>
    <cfRule type="duplicateValues" dxfId="9096" priority="6244"/>
    <cfRule type="duplicateValues" dxfId="9095" priority="6243"/>
    <cfRule type="duplicateValues" dxfId="9094" priority="6242"/>
    <cfRule type="duplicateValues" dxfId="9093" priority="6241"/>
    <cfRule type="duplicateValues" dxfId="9092" priority="6240"/>
    <cfRule type="duplicateValues" dxfId="9091" priority="6239"/>
    <cfRule type="duplicateValues" dxfId="9090" priority="6238"/>
    <cfRule type="duplicateValues" dxfId="9089" priority="6237"/>
    <cfRule type="duplicateValues" dxfId="9088" priority="6236"/>
    <cfRule type="duplicateValues" dxfId="9087" priority="6235"/>
    <cfRule type="duplicateValues" dxfId="9086" priority="6234"/>
    <cfRule type="duplicateValues" dxfId="9085" priority="6233"/>
    <cfRule type="duplicateValues" dxfId="9084" priority="6232"/>
    <cfRule type="duplicateValues" dxfId="9083" priority="6231"/>
    <cfRule type="duplicateValues" dxfId="9082" priority="6230"/>
    <cfRule type="duplicateValues" dxfId="9081" priority="6229"/>
    <cfRule type="duplicateValues" dxfId="9080" priority="6228"/>
    <cfRule type="duplicateValues" dxfId="9079" priority="6227"/>
    <cfRule type="duplicateValues" dxfId="9078" priority="6226"/>
    <cfRule type="duplicateValues" dxfId="9077" priority="6225"/>
    <cfRule type="duplicateValues" dxfId="9076" priority="6224"/>
    <cfRule type="duplicateValues" dxfId="9075" priority="6223"/>
    <cfRule type="duplicateValues" dxfId="9074" priority="6222"/>
    <cfRule type="duplicateValues" dxfId="9073" priority="6221"/>
    <cfRule type="duplicateValues" dxfId="9072" priority="6220"/>
    <cfRule type="duplicateValues" dxfId="9071" priority="6219"/>
    <cfRule type="duplicateValues" dxfId="9070" priority="6218"/>
    <cfRule type="duplicateValues" dxfId="9069" priority="6217"/>
    <cfRule type="duplicateValues" dxfId="9068" priority="6216"/>
    <cfRule type="duplicateValues" dxfId="9067" priority="6215"/>
    <cfRule type="duplicateValues" dxfId="9066" priority="6214"/>
    <cfRule type="duplicateValues" dxfId="9065" priority="6213"/>
    <cfRule type="duplicateValues" dxfId="9064" priority="6212"/>
    <cfRule type="duplicateValues" dxfId="9063" priority="6211"/>
    <cfRule type="duplicateValues" dxfId="9062" priority="6210"/>
    <cfRule type="duplicateValues" dxfId="9061" priority="6209"/>
    <cfRule type="duplicateValues" dxfId="9060" priority="6208"/>
    <cfRule type="duplicateValues" dxfId="9059" priority="6207"/>
    <cfRule type="duplicateValues" dxfId="9058" priority="6206"/>
    <cfRule type="duplicateValues" dxfId="9057" priority="6205"/>
    <cfRule type="duplicateValues" dxfId="9056" priority="6204"/>
    <cfRule type="duplicateValues" dxfId="9055" priority="6203"/>
    <cfRule type="duplicateValues" dxfId="9054" priority="6202"/>
    <cfRule type="duplicateValues" dxfId="9053" priority="6201"/>
    <cfRule type="duplicateValues" dxfId="9052" priority="6200"/>
    <cfRule type="duplicateValues" dxfId="9051" priority="6199"/>
    <cfRule type="duplicateValues" dxfId="9050" priority="6198"/>
    <cfRule type="duplicateValues" dxfId="9049" priority="6197"/>
    <cfRule type="duplicateValues" dxfId="9048" priority="6196"/>
    <cfRule type="duplicateValues" dxfId="9047" priority="6195"/>
    <cfRule type="duplicateValues" dxfId="9046" priority="6194"/>
    <cfRule type="duplicateValues" dxfId="9045" priority="6193"/>
    <cfRule type="duplicateValues" dxfId="9044" priority="6192"/>
    <cfRule type="duplicateValues" dxfId="9043" priority="6191"/>
    <cfRule type="duplicateValues" dxfId="9042" priority="6190"/>
    <cfRule type="duplicateValues" dxfId="9041" priority="6189"/>
    <cfRule type="duplicateValues" dxfId="9040" priority="6188"/>
    <cfRule type="duplicateValues" dxfId="9039" priority="6187"/>
    <cfRule type="duplicateValues" dxfId="9038" priority="6186"/>
    <cfRule type="duplicateValues" dxfId="9037" priority="6185"/>
    <cfRule type="duplicateValues" dxfId="9036" priority="6184"/>
    <cfRule type="duplicateValues" dxfId="9035" priority="6183"/>
    <cfRule type="duplicateValues" dxfId="9034" priority="6182"/>
    <cfRule type="duplicateValues" dxfId="9033" priority="6181"/>
    <cfRule type="duplicateValues" dxfId="9032" priority="6180"/>
    <cfRule type="duplicateValues" dxfId="9031" priority="6179"/>
    <cfRule type="duplicateValues" dxfId="9030" priority="6178"/>
    <cfRule type="duplicateValues" dxfId="9029" priority="6177"/>
    <cfRule type="duplicateValues" dxfId="9028" priority="6176"/>
    <cfRule type="duplicateValues" dxfId="9027" priority="6175"/>
    <cfRule type="duplicateValues" dxfId="9026" priority="6174"/>
    <cfRule type="duplicateValues" dxfId="9025" priority="6173"/>
  </conditionalFormatting>
  <conditionalFormatting sqref="B313">
    <cfRule type="duplicateValues" dxfId="9024" priority="6361"/>
    <cfRule type="duplicateValues" dxfId="9023" priority="6501"/>
    <cfRule type="duplicateValues" dxfId="9022" priority="6548"/>
    <cfRule type="duplicateValues" dxfId="9021" priority="6547"/>
    <cfRule type="duplicateValues" dxfId="9020" priority="6546"/>
    <cfRule type="duplicateValues" dxfId="9019" priority="6545"/>
    <cfRule type="duplicateValues" dxfId="9018" priority="6544"/>
    <cfRule type="duplicateValues" dxfId="9017" priority="6543"/>
    <cfRule type="duplicateValues" dxfId="9016" priority="6542"/>
    <cfRule type="duplicateValues" dxfId="9015" priority="6541"/>
    <cfRule type="duplicateValues" dxfId="9014" priority="6540"/>
    <cfRule type="duplicateValues" dxfId="9013" priority="6539"/>
    <cfRule type="duplicateValues" dxfId="9012" priority="6538"/>
    <cfRule type="duplicateValues" dxfId="9011" priority="6537"/>
    <cfRule type="duplicateValues" dxfId="9010" priority="6536"/>
    <cfRule type="duplicateValues" dxfId="9009" priority="6535"/>
    <cfRule type="duplicateValues" dxfId="9008" priority="6534"/>
    <cfRule type="duplicateValues" dxfId="9007" priority="6533"/>
    <cfRule type="duplicateValues" dxfId="9006" priority="6532"/>
    <cfRule type="duplicateValues" dxfId="9005" priority="6531"/>
    <cfRule type="duplicateValues" dxfId="9004" priority="6530"/>
    <cfRule type="duplicateValues" dxfId="9003" priority="6529"/>
    <cfRule type="duplicateValues" dxfId="9002" priority="6528"/>
    <cfRule type="duplicateValues" dxfId="9001" priority="6527"/>
    <cfRule type="duplicateValues" dxfId="9000" priority="6526"/>
    <cfRule type="duplicateValues" dxfId="8999" priority="6525"/>
    <cfRule type="duplicateValues" dxfId="8998" priority="6524"/>
    <cfRule type="duplicateValues" dxfId="8997" priority="6523"/>
    <cfRule type="duplicateValues" dxfId="8996" priority="6522"/>
    <cfRule type="duplicateValues" dxfId="8995" priority="6521"/>
    <cfRule type="duplicateValues" dxfId="8994" priority="6520"/>
    <cfRule type="duplicateValues" dxfId="8993" priority="6519"/>
    <cfRule type="duplicateValues" dxfId="8992" priority="6518"/>
    <cfRule type="duplicateValues" dxfId="8991" priority="6517"/>
    <cfRule type="duplicateValues" dxfId="8990" priority="6516"/>
    <cfRule type="duplicateValues" dxfId="8989" priority="6515"/>
    <cfRule type="duplicateValues" dxfId="8988" priority="6514"/>
    <cfRule type="duplicateValues" dxfId="8987" priority="6513"/>
    <cfRule type="duplicateValues" dxfId="8986" priority="6512"/>
    <cfRule type="duplicateValues" dxfId="8985" priority="6511"/>
    <cfRule type="duplicateValues" dxfId="8984" priority="6510"/>
    <cfRule type="duplicateValues" dxfId="8983" priority="6509"/>
    <cfRule type="duplicateValues" dxfId="8982" priority="6508"/>
    <cfRule type="duplicateValues" dxfId="8981" priority="6507"/>
    <cfRule type="duplicateValues" dxfId="8980" priority="6506"/>
    <cfRule type="duplicateValues" dxfId="8979" priority="6505"/>
    <cfRule type="duplicateValues" dxfId="8978" priority="6504"/>
    <cfRule type="duplicateValues" dxfId="8977" priority="6503"/>
    <cfRule type="duplicateValues" dxfId="8976" priority="6502"/>
    <cfRule type="duplicateValues" dxfId="8975" priority="6500"/>
    <cfRule type="duplicateValues" dxfId="8974" priority="6499"/>
    <cfRule type="duplicateValues" dxfId="8973" priority="6498"/>
    <cfRule type="duplicateValues" dxfId="8972" priority="6497"/>
    <cfRule type="duplicateValues" dxfId="8971" priority="6496"/>
    <cfRule type="duplicateValues" dxfId="8970" priority="6495"/>
    <cfRule type="duplicateValues" dxfId="8969" priority="6494"/>
    <cfRule type="duplicateValues" dxfId="8968" priority="6493"/>
    <cfRule type="duplicateValues" dxfId="8967" priority="6492"/>
    <cfRule type="duplicateValues" dxfId="8966" priority="6491"/>
    <cfRule type="duplicateValues" dxfId="8965" priority="6490"/>
    <cfRule type="duplicateValues" dxfId="8964" priority="6489"/>
    <cfRule type="duplicateValues" dxfId="8963" priority="6488"/>
    <cfRule type="duplicateValues" dxfId="8962" priority="6487"/>
    <cfRule type="duplicateValues" dxfId="8961" priority="6486"/>
    <cfRule type="duplicateValues" dxfId="8960" priority="6485"/>
    <cfRule type="duplicateValues" dxfId="8959" priority="6484"/>
    <cfRule type="duplicateValues" dxfId="8958" priority="6483"/>
    <cfRule type="duplicateValues" dxfId="8957" priority="6482"/>
    <cfRule type="duplicateValues" dxfId="8956" priority="6481"/>
    <cfRule type="duplicateValues" dxfId="8955" priority="6480"/>
    <cfRule type="duplicateValues" dxfId="8954" priority="6479"/>
    <cfRule type="duplicateValues" dxfId="8953" priority="6478"/>
    <cfRule type="duplicateValues" dxfId="8952" priority="6477"/>
    <cfRule type="duplicateValues" dxfId="8951" priority="6476"/>
    <cfRule type="duplicateValues" dxfId="8950" priority="6475"/>
    <cfRule type="duplicateValues" dxfId="8949" priority="6474"/>
    <cfRule type="duplicateValues" dxfId="8948" priority="6473"/>
    <cfRule type="duplicateValues" dxfId="8947" priority="6472"/>
    <cfRule type="duplicateValues" dxfId="8946" priority="6471"/>
    <cfRule type="duplicateValues" dxfId="8945" priority="6470"/>
    <cfRule type="duplicateValues" dxfId="8944" priority="6469"/>
    <cfRule type="duplicateValues" dxfId="8943" priority="6468"/>
    <cfRule type="duplicateValues" dxfId="8942" priority="6467"/>
    <cfRule type="duplicateValues" dxfId="8941" priority="6466"/>
    <cfRule type="duplicateValues" dxfId="8940" priority="6465"/>
    <cfRule type="duplicateValues" dxfId="8939" priority="6464"/>
    <cfRule type="duplicateValues" dxfId="8938" priority="6463"/>
    <cfRule type="duplicateValues" dxfId="8937" priority="6462"/>
    <cfRule type="duplicateValues" dxfId="8936" priority="6461"/>
    <cfRule type="duplicateValues" dxfId="8935" priority="6460"/>
    <cfRule type="duplicateValues" dxfId="8934" priority="6459"/>
    <cfRule type="duplicateValues" dxfId="8933" priority="6458"/>
    <cfRule type="duplicateValues" dxfId="8932" priority="6457"/>
    <cfRule type="duplicateValues" dxfId="8931" priority="6456"/>
    <cfRule type="duplicateValues" dxfId="8930" priority="6455"/>
    <cfRule type="duplicateValues" dxfId="8929" priority="6454"/>
    <cfRule type="duplicateValues" dxfId="8928" priority="6453"/>
    <cfRule type="duplicateValues" dxfId="8927" priority="6452"/>
    <cfRule type="duplicateValues" dxfId="8926" priority="6451"/>
    <cfRule type="duplicateValues" dxfId="8925" priority="6450"/>
    <cfRule type="duplicateValues" dxfId="8924" priority="6449"/>
    <cfRule type="duplicateValues" dxfId="8923" priority="6448"/>
    <cfRule type="duplicateValues" dxfId="8922" priority="6447"/>
    <cfRule type="duplicateValues" dxfId="8921" priority="6446"/>
    <cfRule type="duplicateValues" dxfId="8920" priority="6445"/>
    <cfRule type="duplicateValues" dxfId="8919" priority="6444"/>
    <cfRule type="duplicateValues" dxfId="8918" priority="6443"/>
    <cfRule type="duplicateValues" dxfId="8917" priority="6442"/>
    <cfRule type="duplicateValues" dxfId="8916" priority="6441"/>
    <cfRule type="duplicateValues" dxfId="8915" priority="6440"/>
    <cfRule type="duplicateValues" dxfId="8914" priority="6439"/>
    <cfRule type="duplicateValues" dxfId="8913" priority="6438"/>
    <cfRule type="duplicateValues" dxfId="8912" priority="6437"/>
    <cfRule type="duplicateValues" dxfId="8911" priority="6436"/>
    <cfRule type="duplicateValues" dxfId="8910" priority="6435"/>
    <cfRule type="duplicateValues" dxfId="8909" priority="6434"/>
    <cfRule type="duplicateValues" dxfId="8908" priority="6433"/>
    <cfRule type="duplicateValues" dxfId="8907" priority="6432"/>
    <cfRule type="duplicateValues" dxfId="8906" priority="6431"/>
    <cfRule type="duplicateValues" dxfId="8905" priority="6430"/>
    <cfRule type="duplicateValues" dxfId="8904" priority="6429"/>
    <cfRule type="duplicateValues" dxfId="8903" priority="6428"/>
    <cfRule type="duplicateValues" dxfId="8902" priority="6427"/>
    <cfRule type="duplicateValues" dxfId="8901" priority="6426"/>
    <cfRule type="duplicateValues" dxfId="8900" priority="6425"/>
    <cfRule type="duplicateValues" dxfId="8899" priority="6424"/>
    <cfRule type="duplicateValues" dxfId="8898" priority="6423"/>
    <cfRule type="duplicateValues" dxfId="8897" priority="6422"/>
    <cfRule type="duplicateValues" dxfId="8896" priority="6421"/>
    <cfRule type="duplicateValues" dxfId="8895" priority="6420"/>
    <cfRule type="duplicateValues" dxfId="8894" priority="6419"/>
    <cfRule type="duplicateValues" dxfId="8893" priority="6418"/>
    <cfRule type="duplicateValues" dxfId="8892" priority="6417"/>
    <cfRule type="duplicateValues" dxfId="8891" priority="6416"/>
    <cfRule type="duplicateValues" dxfId="8890" priority="6415"/>
    <cfRule type="duplicateValues" dxfId="8889" priority="6414"/>
    <cfRule type="duplicateValues" dxfId="8888" priority="6413"/>
    <cfRule type="duplicateValues" dxfId="8887" priority="6412"/>
    <cfRule type="duplicateValues" dxfId="8886" priority="6411"/>
    <cfRule type="duplicateValues" dxfId="8885" priority="6410"/>
    <cfRule type="duplicateValues" dxfId="8884" priority="6409"/>
    <cfRule type="duplicateValues" dxfId="8883" priority="6408"/>
    <cfRule type="duplicateValues" dxfId="8882" priority="6407"/>
    <cfRule type="duplicateValues" dxfId="8881" priority="6406"/>
    <cfRule type="duplicateValues" dxfId="8880" priority="6405"/>
    <cfRule type="duplicateValues" dxfId="8879" priority="6404"/>
    <cfRule type="duplicateValues" dxfId="8878" priority="6403"/>
    <cfRule type="duplicateValues" dxfId="8877" priority="6402"/>
    <cfRule type="duplicateValues" dxfId="8876" priority="6401"/>
    <cfRule type="duplicateValues" dxfId="8875" priority="6400"/>
    <cfRule type="duplicateValues" dxfId="8874" priority="6399"/>
    <cfRule type="duplicateValues" dxfId="8873" priority="6398"/>
    <cfRule type="duplicateValues" dxfId="8872" priority="6397"/>
    <cfRule type="duplicateValues" dxfId="8871" priority="6396"/>
    <cfRule type="duplicateValues" dxfId="8870" priority="6395"/>
    <cfRule type="duplicateValues" dxfId="8869" priority="6394"/>
    <cfRule type="duplicateValues" dxfId="8868" priority="6393"/>
    <cfRule type="duplicateValues" dxfId="8867" priority="6392"/>
    <cfRule type="duplicateValues" dxfId="8866" priority="6391"/>
    <cfRule type="duplicateValues" dxfId="8865" priority="6390"/>
    <cfRule type="duplicateValues" dxfId="8864" priority="6389"/>
    <cfRule type="duplicateValues" dxfId="8863" priority="6388"/>
    <cfRule type="duplicateValues" dxfId="8862" priority="6387"/>
    <cfRule type="duplicateValues" dxfId="8861" priority="6386"/>
    <cfRule type="duplicateValues" dxfId="8860" priority="6385"/>
    <cfRule type="duplicateValues" dxfId="8859" priority="6384"/>
    <cfRule type="duplicateValues" dxfId="8858" priority="6383"/>
    <cfRule type="duplicateValues" dxfId="8857" priority="6382"/>
    <cfRule type="duplicateValues" dxfId="8856" priority="6381"/>
    <cfRule type="duplicateValues" dxfId="8855" priority="6380"/>
    <cfRule type="duplicateValues" dxfId="8854" priority="6379"/>
    <cfRule type="duplicateValues" dxfId="8853" priority="6378"/>
    <cfRule type="duplicateValues" dxfId="8852" priority="6377"/>
    <cfRule type="duplicateValues" dxfId="8851" priority="6376"/>
    <cfRule type="duplicateValues" dxfId="8850" priority="6375"/>
    <cfRule type="duplicateValues" dxfId="8849" priority="6374"/>
    <cfRule type="duplicateValues" dxfId="8848" priority="6373"/>
    <cfRule type="duplicateValues" dxfId="8847" priority="6372"/>
    <cfRule type="duplicateValues" dxfId="8846" priority="6371"/>
    <cfRule type="duplicateValues" dxfId="8845" priority="6370"/>
    <cfRule type="duplicateValues" dxfId="8844" priority="6369"/>
    <cfRule type="duplicateValues" dxfId="8843" priority="6368"/>
    <cfRule type="duplicateValues" dxfId="8842" priority="6367"/>
    <cfRule type="duplicateValues" dxfId="8841" priority="6366"/>
    <cfRule type="duplicateValues" dxfId="8840" priority="6365"/>
    <cfRule type="duplicateValues" dxfId="8839" priority="6364"/>
    <cfRule type="duplicateValues" dxfId="8838" priority="6363"/>
    <cfRule type="duplicateValues" dxfId="8837" priority="6362"/>
  </conditionalFormatting>
  <conditionalFormatting sqref="B314">
    <cfRule type="duplicateValues" dxfId="8836" priority="6172"/>
    <cfRule type="duplicateValues" dxfId="8835" priority="6171"/>
    <cfRule type="duplicateValues" dxfId="8834" priority="6170"/>
    <cfRule type="duplicateValues" dxfId="8833" priority="6169"/>
    <cfRule type="duplicateValues" dxfId="8832" priority="6168"/>
    <cfRule type="duplicateValues" dxfId="8831" priority="6167"/>
    <cfRule type="duplicateValues" dxfId="8830" priority="6166"/>
    <cfRule type="duplicateValues" dxfId="8829" priority="6165"/>
    <cfRule type="duplicateValues" dxfId="8828" priority="6164"/>
    <cfRule type="duplicateValues" dxfId="8827" priority="6163"/>
    <cfRule type="duplicateValues" dxfId="8826" priority="6162"/>
    <cfRule type="duplicateValues" dxfId="8825" priority="6161"/>
    <cfRule type="duplicateValues" dxfId="8824" priority="6160"/>
    <cfRule type="duplicateValues" dxfId="8823" priority="6159"/>
    <cfRule type="duplicateValues" dxfId="8822" priority="6158"/>
    <cfRule type="duplicateValues" dxfId="8821" priority="6157"/>
    <cfRule type="duplicateValues" dxfId="8820" priority="6156"/>
    <cfRule type="duplicateValues" dxfId="8819" priority="6155"/>
    <cfRule type="duplicateValues" dxfId="8818" priority="6154"/>
    <cfRule type="duplicateValues" dxfId="8817" priority="6153"/>
    <cfRule type="duplicateValues" dxfId="8816" priority="6152"/>
    <cfRule type="duplicateValues" dxfId="8815" priority="6151"/>
    <cfRule type="duplicateValues" dxfId="8814" priority="6150"/>
    <cfRule type="duplicateValues" dxfId="8813" priority="6149"/>
    <cfRule type="duplicateValues" dxfId="8812" priority="6148"/>
    <cfRule type="duplicateValues" dxfId="8811" priority="6147"/>
    <cfRule type="duplicateValues" dxfId="8810" priority="6146"/>
    <cfRule type="duplicateValues" dxfId="8809" priority="6145"/>
    <cfRule type="duplicateValues" dxfId="8808" priority="6144"/>
    <cfRule type="duplicateValues" dxfId="8807" priority="6143"/>
    <cfRule type="duplicateValues" dxfId="8806" priority="6142"/>
    <cfRule type="duplicateValues" dxfId="8805" priority="6141"/>
    <cfRule type="duplicateValues" dxfId="8804" priority="6140"/>
    <cfRule type="duplicateValues" dxfId="8803" priority="6139"/>
    <cfRule type="duplicateValues" dxfId="8802" priority="6138"/>
    <cfRule type="duplicateValues" dxfId="8801" priority="6137"/>
    <cfRule type="duplicateValues" dxfId="8800" priority="6136"/>
    <cfRule type="duplicateValues" dxfId="8799" priority="6135"/>
    <cfRule type="duplicateValues" dxfId="8798" priority="6134"/>
    <cfRule type="duplicateValues" dxfId="8797" priority="6133"/>
    <cfRule type="duplicateValues" dxfId="8796" priority="6132"/>
    <cfRule type="duplicateValues" dxfId="8795" priority="6131"/>
    <cfRule type="duplicateValues" dxfId="8794" priority="6130"/>
    <cfRule type="duplicateValues" dxfId="8793" priority="6129"/>
    <cfRule type="duplicateValues" dxfId="8792" priority="6128"/>
    <cfRule type="duplicateValues" dxfId="8791" priority="6127"/>
    <cfRule type="duplicateValues" dxfId="8790" priority="6126"/>
    <cfRule type="duplicateValues" dxfId="8789" priority="6125"/>
    <cfRule type="duplicateValues" dxfId="8788" priority="6124"/>
    <cfRule type="duplicateValues" dxfId="8787" priority="6123"/>
    <cfRule type="duplicateValues" dxfId="8786" priority="6122"/>
    <cfRule type="duplicateValues" dxfId="8785" priority="6121"/>
    <cfRule type="duplicateValues" dxfId="8784" priority="6120"/>
    <cfRule type="duplicateValues" dxfId="8783" priority="6119"/>
    <cfRule type="duplicateValues" dxfId="8782" priority="6118"/>
    <cfRule type="duplicateValues" dxfId="8781" priority="6117"/>
    <cfRule type="duplicateValues" dxfId="8780" priority="6116"/>
    <cfRule type="duplicateValues" dxfId="8779" priority="6115"/>
    <cfRule type="duplicateValues" dxfId="8778" priority="6114"/>
    <cfRule type="duplicateValues" dxfId="8777" priority="6113"/>
    <cfRule type="duplicateValues" dxfId="8776" priority="6112"/>
    <cfRule type="duplicateValues" dxfId="8775" priority="6111"/>
    <cfRule type="duplicateValues" dxfId="8774" priority="6110"/>
    <cfRule type="duplicateValues" dxfId="8773" priority="6109"/>
    <cfRule type="duplicateValues" dxfId="8772" priority="6108"/>
    <cfRule type="duplicateValues" dxfId="8771" priority="6107"/>
    <cfRule type="duplicateValues" dxfId="8770" priority="6106"/>
    <cfRule type="duplicateValues" dxfId="8769" priority="6105"/>
    <cfRule type="duplicateValues" dxfId="8768" priority="6104"/>
    <cfRule type="duplicateValues" dxfId="8767" priority="6103"/>
    <cfRule type="duplicateValues" dxfId="8766" priority="6102"/>
    <cfRule type="duplicateValues" dxfId="8765" priority="6101"/>
    <cfRule type="duplicateValues" dxfId="8764" priority="6100"/>
    <cfRule type="duplicateValues" dxfId="8763" priority="6099"/>
    <cfRule type="duplicateValues" dxfId="8762" priority="6098"/>
    <cfRule type="duplicateValues" dxfId="8761" priority="6097"/>
    <cfRule type="duplicateValues" dxfId="8760" priority="6096"/>
    <cfRule type="duplicateValues" dxfId="8759" priority="6095"/>
    <cfRule type="duplicateValues" dxfId="8758" priority="6094"/>
    <cfRule type="duplicateValues" dxfId="8757" priority="6093"/>
    <cfRule type="duplicateValues" dxfId="8756" priority="6092"/>
    <cfRule type="duplicateValues" dxfId="8755" priority="6091"/>
    <cfRule type="duplicateValues" dxfId="8754" priority="6090"/>
    <cfRule type="duplicateValues" dxfId="8753" priority="6089"/>
    <cfRule type="duplicateValues" dxfId="8752" priority="6088"/>
    <cfRule type="duplicateValues" dxfId="8751" priority="6087"/>
    <cfRule type="duplicateValues" dxfId="8750" priority="6086"/>
    <cfRule type="duplicateValues" dxfId="8749" priority="6085"/>
    <cfRule type="duplicateValues" dxfId="8748" priority="6084"/>
    <cfRule type="duplicateValues" dxfId="8747" priority="6083"/>
    <cfRule type="duplicateValues" dxfId="8746" priority="6082"/>
    <cfRule type="duplicateValues" dxfId="8745" priority="6081"/>
    <cfRule type="duplicateValues" dxfId="8744" priority="6080"/>
    <cfRule type="duplicateValues" dxfId="8743" priority="6079"/>
    <cfRule type="duplicateValues" dxfId="8742" priority="6078"/>
    <cfRule type="duplicateValues" dxfId="8741" priority="6077"/>
    <cfRule type="duplicateValues" dxfId="8740" priority="6076"/>
    <cfRule type="duplicateValues" dxfId="8739" priority="6075"/>
    <cfRule type="duplicateValues" dxfId="8738" priority="6074"/>
    <cfRule type="duplicateValues" dxfId="8737" priority="6073"/>
    <cfRule type="duplicateValues" dxfId="8736" priority="6072"/>
    <cfRule type="duplicateValues" dxfId="8735" priority="6071"/>
    <cfRule type="duplicateValues" dxfId="8734" priority="6070"/>
    <cfRule type="duplicateValues" dxfId="8733" priority="6069"/>
    <cfRule type="duplicateValues" dxfId="8732" priority="6068"/>
    <cfRule type="duplicateValues" dxfId="8731" priority="6067"/>
    <cfRule type="duplicateValues" dxfId="8730" priority="6066"/>
    <cfRule type="duplicateValues" dxfId="8729" priority="6065"/>
    <cfRule type="duplicateValues" dxfId="8728" priority="6064"/>
    <cfRule type="duplicateValues" dxfId="8727" priority="6063"/>
    <cfRule type="duplicateValues" dxfId="8726" priority="6062"/>
    <cfRule type="duplicateValues" dxfId="8725" priority="6061"/>
    <cfRule type="duplicateValues" dxfId="8724" priority="6060"/>
    <cfRule type="duplicateValues" dxfId="8723" priority="6059"/>
    <cfRule type="duplicateValues" dxfId="8722" priority="6058"/>
    <cfRule type="duplicateValues" dxfId="8721" priority="6057"/>
    <cfRule type="duplicateValues" dxfId="8720" priority="6056"/>
    <cfRule type="duplicateValues" dxfId="8719" priority="6055"/>
    <cfRule type="duplicateValues" dxfId="8718" priority="6054"/>
    <cfRule type="duplicateValues" dxfId="8717" priority="6053"/>
    <cfRule type="duplicateValues" dxfId="8716" priority="6052"/>
    <cfRule type="duplicateValues" dxfId="8715" priority="6051"/>
    <cfRule type="duplicateValues" dxfId="8714" priority="6050"/>
    <cfRule type="duplicateValues" dxfId="8713" priority="6049"/>
    <cfRule type="duplicateValues" dxfId="8712" priority="6048"/>
    <cfRule type="duplicateValues" dxfId="8711" priority="6047"/>
    <cfRule type="duplicateValues" dxfId="8710" priority="6046"/>
    <cfRule type="duplicateValues" dxfId="8709" priority="6045"/>
    <cfRule type="duplicateValues" dxfId="8708" priority="6044"/>
    <cfRule type="duplicateValues" dxfId="8707" priority="6043"/>
    <cfRule type="duplicateValues" dxfId="8706" priority="6042"/>
    <cfRule type="duplicateValues" dxfId="8705" priority="6041"/>
    <cfRule type="duplicateValues" dxfId="8704" priority="6040"/>
    <cfRule type="duplicateValues" dxfId="8703" priority="6039"/>
    <cfRule type="duplicateValues" dxfId="8702" priority="6038"/>
    <cfRule type="duplicateValues" dxfId="8701" priority="6037"/>
    <cfRule type="duplicateValues" dxfId="8700" priority="6036"/>
    <cfRule type="duplicateValues" dxfId="8699" priority="6035"/>
    <cfRule type="duplicateValues" dxfId="8698" priority="6034"/>
    <cfRule type="duplicateValues" dxfId="8697" priority="6033"/>
    <cfRule type="duplicateValues" dxfId="8696" priority="6032"/>
    <cfRule type="duplicateValues" dxfId="8695" priority="6031"/>
    <cfRule type="duplicateValues" dxfId="8694" priority="6030"/>
    <cfRule type="duplicateValues" dxfId="8693" priority="6029"/>
    <cfRule type="duplicateValues" dxfId="8692" priority="6028"/>
    <cfRule type="duplicateValues" dxfId="8691" priority="6027"/>
    <cfRule type="duplicateValues" dxfId="8690" priority="6026"/>
    <cfRule type="duplicateValues" dxfId="8689" priority="6025"/>
    <cfRule type="duplicateValues" dxfId="8688" priority="6024"/>
    <cfRule type="duplicateValues" dxfId="8687" priority="6023"/>
    <cfRule type="duplicateValues" dxfId="8686" priority="6022"/>
    <cfRule type="duplicateValues" dxfId="8685" priority="6021"/>
    <cfRule type="duplicateValues" dxfId="8684" priority="6020"/>
    <cfRule type="duplicateValues" dxfId="8683" priority="6019"/>
    <cfRule type="duplicateValues" dxfId="8682" priority="6018"/>
    <cfRule type="duplicateValues" dxfId="8681" priority="6017"/>
    <cfRule type="duplicateValues" dxfId="8680" priority="6016"/>
    <cfRule type="duplicateValues" dxfId="8679" priority="6015"/>
    <cfRule type="duplicateValues" dxfId="8678" priority="6014"/>
    <cfRule type="duplicateValues" dxfId="8677" priority="6013"/>
    <cfRule type="duplicateValues" dxfId="8676" priority="6012"/>
    <cfRule type="duplicateValues" dxfId="8675" priority="6011"/>
    <cfRule type="duplicateValues" dxfId="8674" priority="6010"/>
    <cfRule type="duplicateValues" dxfId="8673" priority="6009"/>
    <cfRule type="duplicateValues" dxfId="8672" priority="6008"/>
    <cfRule type="duplicateValues" dxfId="8671" priority="6007"/>
    <cfRule type="duplicateValues" dxfId="8670" priority="6006"/>
    <cfRule type="duplicateValues" dxfId="8669" priority="6005"/>
    <cfRule type="duplicateValues" dxfId="8668" priority="6004"/>
    <cfRule type="duplicateValues" dxfId="8667" priority="6003"/>
    <cfRule type="duplicateValues" dxfId="8666" priority="6002"/>
    <cfRule type="duplicateValues" dxfId="8665" priority="6001"/>
    <cfRule type="duplicateValues" dxfId="8664" priority="6000"/>
    <cfRule type="duplicateValues" dxfId="8663" priority="5999"/>
    <cfRule type="duplicateValues" dxfId="8662" priority="5998"/>
    <cfRule type="duplicateValues" dxfId="8661" priority="5997"/>
    <cfRule type="duplicateValues" dxfId="8660" priority="5996"/>
    <cfRule type="duplicateValues" dxfId="8659" priority="5995"/>
    <cfRule type="duplicateValues" dxfId="8658" priority="5994"/>
    <cfRule type="duplicateValues" dxfId="8657" priority="5993"/>
    <cfRule type="duplicateValues" dxfId="8656" priority="5992"/>
    <cfRule type="duplicateValues" dxfId="8655" priority="5991"/>
    <cfRule type="duplicateValues" dxfId="8654" priority="5990"/>
    <cfRule type="duplicateValues" dxfId="8653" priority="5989"/>
    <cfRule type="duplicateValues" dxfId="8652" priority="5988"/>
    <cfRule type="duplicateValues" dxfId="8651" priority="5987"/>
    <cfRule type="duplicateValues" dxfId="8650" priority="5986"/>
    <cfRule type="duplicateValues" dxfId="8649" priority="5985"/>
  </conditionalFormatting>
  <conditionalFormatting sqref="B315">
    <cfRule type="duplicateValues" dxfId="8648" priority="5233"/>
    <cfRule type="duplicateValues" dxfId="8647" priority="5234"/>
    <cfRule type="duplicateValues" dxfId="8646" priority="5235"/>
    <cfRule type="duplicateValues" dxfId="8645" priority="5236"/>
    <cfRule type="duplicateValues" dxfId="8644" priority="5237"/>
    <cfRule type="duplicateValues" dxfId="8643" priority="5238"/>
    <cfRule type="duplicateValues" dxfId="8642" priority="5239"/>
    <cfRule type="duplicateValues" dxfId="8641" priority="5240"/>
    <cfRule type="duplicateValues" dxfId="8640" priority="5241"/>
    <cfRule type="duplicateValues" dxfId="8639" priority="5242"/>
    <cfRule type="duplicateValues" dxfId="8638" priority="5243"/>
    <cfRule type="duplicateValues" dxfId="8637" priority="5244"/>
    <cfRule type="duplicateValues" dxfId="8636" priority="5245"/>
    <cfRule type="duplicateValues" dxfId="8635" priority="5246"/>
    <cfRule type="duplicateValues" dxfId="8634" priority="5247"/>
    <cfRule type="duplicateValues" dxfId="8633" priority="5248"/>
    <cfRule type="duplicateValues" dxfId="8632" priority="5249"/>
    <cfRule type="duplicateValues" dxfId="8631" priority="5250"/>
    <cfRule type="duplicateValues" dxfId="8630" priority="5251"/>
    <cfRule type="duplicateValues" dxfId="8629" priority="5252"/>
    <cfRule type="duplicateValues" dxfId="8628" priority="5253"/>
    <cfRule type="duplicateValues" dxfId="8627" priority="5254"/>
    <cfRule type="duplicateValues" dxfId="8626" priority="5255"/>
    <cfRule type="duplicateValues" dxfId="8625" priority="5256"/>
    <cfRule type="duplicateValues" dxfId="8624" priority="5257"/>
    <cfRule type="duplicateValues" dxfId="8623" priority="5258"/>
    <cfRule type="duplicateValues" dxfId="8622" priority="5259"/>
    <cfRule type="duplicateValues" dxfId="8621" priority="5260"/>
    <cfRule type="duplicateValues" dxfId="8620" priority="5261"/>
    <cfRule type="duplicateValues" dxfId="8619" priority="5262"/>
    <cfRule type="duplicateValues" dxfId="8618" priority="5263"/>
    <cfRule type="duplicateValues" dxfId="8617" priority="5264"/>
    <cfRule type="duplicateValues" dxfId="8616" priority="5265"/>
    <cfRule type="duplicateValues" dxfId="8615" priority="5266"/>
    <cfRule type="duplicateValues" dxfId="8614" priority="5267"/>
    <cfRule type="duplicateValues" dxfId="8613" priority="5268"/>
    <cfRule type="duplicateValues" dxfId="8612" priority="5269"/>
    <cfRule type="duplicateValues" dxfId="8611" priority="5270"/>
    <cfRule type="duplicateValues" dxfId="8610" priority="5271"/>
    <cfRule type="duplicateValues" dxfId="8609" priority="5272"/>
    <cfRule type="duplicateValues" dxfId="8608" priority="5273"/>
    <cfRule type="duplicateValues" dxfId="8607" priority="5274"/>
    <cfRule type="duplicateValues" dxfId="8606" priority="5275"/>
    <cfRule type="duplicateValues" dxfId="8605" priority="5276"/>
    <cfRule type="duplicateValues" dxfId="8604" priority="5277"/>
    <cfRule type="duplicateValues" dxfId="8603" priority="5278"/>
    <cfRule type="duplicateValues" dxfId="8602" priority="5279"/>
    <cfRule type="duplicateValues" dxfId="8601" priority="5280"/>
    <cfRule type="duplicateValues" dxfId="8600" priority="5281"/>
    <cfRule type="duplicateValues" dxfId="8599" priority="5282"/>
    <cfRule type="duplicateValues" dxfId="8598" priority="5283"/>
    <cfRule type="duplicateValues" dxfId="8597" priority="5284"/>
    <cfRule type="duplicateValues" dxfId="8596" priority="5285"/>
    <cfRule type="duplicateValues" dxfId="8595" priority="5286"/>
    <cfRule type="duplicateValues" dxfId="8594" priority="5287"/>
    <cfRule type="duplicateValues" dxfId="8593" priority="5288"/>
    <cfRule type="duplicateValues" dxfId="8592" priority="5289"/>
    <cfRule type="duplicateValues" dxfId="8591" priority="5290"/>
    <cfRule type="duplicateValues" dxfId="8590" priority="5291"/>
    <cfRule type="duplicateValues" dxfId="8589" priority="5292"/>
    <cfRule type="duplicateValues" dxfId="8588" priority="5293"/>
    <cfRule type="duplicateValues" dxfId="8587" priority="5294"/>
    <cfRule type="duplicateValues" dxfId="8586" priority="5295"/>
    <cfRule type="duplicateValues" dxfId="8585" priority="5296"/>
    <cfRule type="duplicateValues" dxfId="8584" priority="5297"/>
    <cfRule type="duplicateValues" dxfId="8583" priority="5298"/>
    <cfRule type="duplicateValues" dxfId="8582" priority="5299"/>
    <cfRule type="duplicateValues" dxfId="8581" priority="5300"/>
    <cfRule type="duplicateValues" dxfId="8580" priority="5301"/>
    <cfRule type="duplicateValues" dxfId="8579" priority="5302"/>
    <cfRule type="duplicateValues" dxfId="8578" priority="5303"/>
    <cfRule type="duplicateValues" dxfId="8577" priority="5304"/>
    <cfRule type="duplicateValues" dxfId="8576" priority="5305"/>
    <cfRule type="duplicateValues" dxfId="8575" priority="5306"/>
    <cfRule type="duplicateValues" dxfId="8574" priority="5307"/>
    <cfRule type="duplicateValues" dxfId="8573" priority="5308"/>
    <cfRule type="duplicateValues" dxfId="8572" priority="5309"/>
    <cfRule type="duplicateValues" dxfId="8571" priority="5310"/>
    <cfRule type="duplicateValues" dxfId="8570" priority="5311"/>
    <cfRule type="duplicateValues" dxfId="8569" priority="5312"/>
    <cfRule type="duplicateValues" dxfId="8568" priority="5313"/>
    <cfRule type="duplicateValues" dxfId="8567" priority="5314"/>
    <cfRule type="duplicateValues" dxfId="8566" priority="5315"/>
    <cfRule type="duplicateValues" dxfId="8565" priority="5316"/>
    <cfRule type="duplicateValues" dxfId="8564" priority="5317"/>
    <cfRule type="duplicateValues" dxfId="8563" priority="5318"/>
    <cfRule type="duplicateValues" dxfId="8562" priority="5319"/>
    <cfRule type="duplicateValues" dxfId="8561" priority="5320"/>
    <cfRule type="duplicateValues" dxfId="8560" priority="5321"/>
    <cfRule type="duplicateValues" dxfId="8559" priority="5322"/>
    <cfRule type="duplicateValues" dxfId="8558" priority="5323"/>
    <cfRule type="duplicateValues" dxfId="8557" priority="5324"/>
    <cfRule type="duplicateValues" dxfId="8556" priority="5325"/>
    <cfRule type="duplicateValues" dxfId="8555" priority="5326"/>
    <cfRule type="duplicateValues" dxfId="8554" priority="5327"/>
    <cfRule type="duplicateValues" dxfId="8553" priority="5328"/>
    <cfRule type="duplicateValues" dxfId="8552" priority="5329"/>
    <cfRule type="duplicateValues" dxfId="8551" priority="5330"/>
    <cfRule type="duplicateValues" dxfId="8550" priority="5331"/>
    <cfRule type="duplicateValues" dxfId="8549" priority="5332"/>
    <cfRule type="duplicateValues" dxfId="8548" priority="5333"/>
    <cfRule type="duplicateValues" dxfId="8547" priority="5334"/>
    <cfRule type="duplicateValues" dxfId="8546" priority="5335"/>
    <cfRule type="duplicateValues" dxfId="8545" priority="5336"/>
    <cfRule type="duplicateValues" dxfId="8544" priority="5337"/>
    <cfRule type="duplicateValues" dxfId="8543" priority="5338"/>
    <cfRule type="duplicateValues" dxfId="8542" priority="5339"/>
    <cfRule type="duplicateValues" dxfId="8541" priority="5340"/>
    <cfRule type="duplicateValues" dxfId="8540" priority="5341"/>
    <cfRule type="duplicateValues" dxfId="8539" priority="5342"/>
    <cfRule type="duplicateValues" dxfId="8538" priority="5343"/>
    <cfRule type="duplicateValues" dxfId="8537" priority="5344"/>
    <cfRule type="duplicateValues" dxfId="8536" priority="5345"/>
    <cfRule type="duplicateValues" dxfId="8535" priority="5346"/>
    <cfRule type="duplicateValues" dxfId="8534" priority="5347"/>
    <cfRule type="duplicateValues" dxfId="8533" priority="5348"/>
    <cfRule type="duplicateValues" dxfId="8532" priority="5349"/>
    <cfRule type="duplicateValues" dxfId="8531" priority="5350"/>
    <cfRule type="duplicateValues" dxfId="8530" priority="5351"/>
    <cfRule type="duplicateValues" dxfId="8529" priority="5352"/>
    <cfRule type="duplicateValues" dxfId="8528" priority="5353"/>
    <cfRule type="duplicateValues" dxfId="8527" priority="5354"/>
    <cfRule type="duplicateValues" dxfId="8526" priority="5355"/>
    <cfRule type="duplicateValues" dxfId="8525" priority="5356"/>
    <cfRule type="duplicateValues" dxfId="8524" priority="5357"/>
    <cfRule type="duplicateValues" dxfId="8523" priority="5358"/>
    <cfRule type="duplicateValues" dxfId="8522" priority="5359"/>
    <cfRule type="duplicateValues" dxfId="8521" priority="5360"/>
    <cfRule type="duplicateValues" dxfId="8520" priority="5361"/>
    <cfRule type="duplicateValues" dxfId="8519" priority="5362"/>
    <cfRule type="duplicateValues" dxfId="8518" priority="5363"/>
    <cfRule type="duplicateValues" dxfId="8517" priority="5364"/>
    <cfRule type="duplicateValues" dxfId="8516" priority="5365"/>
    <cfRule type="duplicateValues" dxfId="8515" priority="5366"/>
    <cfRule type="duplicateValues" dxfId="8514" priority="5367"/>
    <cfRule type="duplicateValues" dxfId="8513" priority="5368"/>
    <cfRule type="duplicateValues" dxfId="8512" priority="5369"/>
    <cfRule type="duplicateValues" dxfId="8511" priority="5370"/>
    <cfRule type="duplicateValues" dxfId="8510" priority="5371"/>
    <cfRule type="duplicateValues" dxfId="8509" priority="5372"/>
    <cfRule type="duplicateValues" dxfId="8508" priority="5373"/>
    <cfRule type="duplicateValues" dxfId="8507" priority="5374"/>
    <cfRule type="duplicateValues" dxfId="8506" priority="5375"/>
    <cfRule type="duplicateValues" dxfId="8505" priority="5376"/>
    <cfRule type="duplicateValues" dxfId="8504" priority="5377"/>
    <cfRule type="duplicateValues" dxfId="8503" priority="5378"/>
    <cfRule type="duplicateValues" dxfId="8502" priority="5379"/>
    <cfRule type="duplicateValues" dxfId="8501" priority="5380"/>
    <cfRule type="duplicateValues" dxfId="8500" priority="5381"/>
    <cfRule type="duplicateValues" dxfId="8499" priority="5382"/>
    <cfRule type="duplicateValues" dxfId="8498" priority="5383"/>
    <cfRule type="duplicateValues" dxfId="8497" priority="5384"/>
    <cfRule type="duplicateValues" dxfId="8496" priority="5385"/>
    <cfRule type="duplicateValues" dxfId="8495" priority="5386"/>
    <cfRule type="duplicateValues" dxfId="8494" priority="5387"/>
    <cfRule type="duplicateValues" dxfId="8493" priority="5388"/>
    <cfRule type="duplicateValues" dxfId="8492" priority="5389"/>
    <cfRule type="duplicateValues" dxfId="8491" priority="5390"/>
    <cfRule type="duplicateValues" dxfId="8490" priority="5391"/>
    <cfRule type="duplicateValues" dxfId="8489" priority="5392"/>
    <cfRule type="duplicateValues" dxfId="8488" priority="5393"/>
    <cfRule type="duplicateValues" dxfId="8487" priority="5394"/>
    <cfRule type="duplicateValues" dxfId="8486" priority="5395"/>
    <cfRule type="duplicateValues" dxfId="8485" priority="5396"/>
    <cfRule type="duplicateValues" dxfId="8484" priority="5397"/>
    <cfRule type="duplicateValues" dxfId="8483" priority="5398"/>
    <cfRule type="duplicateValues" dxfId="8482" priority="5399"/>
    <cfRule type="duplicateValues" dxfId="8481" priority="5400"/>
    <cfRule type="duplicateValues" dxfId="8480" priority="5401"/>
    <cfRule type="duplicateValues" dxfId="8479" priority="5402"/>
    <cfRule type="duplicateValues" dxfId="8478" priority="5403"/>
    <cfRule type="duplicateValues" dxfId="8477" priority="5404"/>
    <cfRule type="duplicateValues" dxfId="8476" priority="5405"/>
    <cfRule type="duplicateValues" dxfId="8475" priority="5406"/>
    <cfRule type="duplicateValues" dxfId="8474" priority="5407"/>
    <cfRule type="duplicateValues" dxfId="8473" priority="5408"/>
    <cfRule type="duplicateValues" dxfId="8472" priority="5409"/>
    <cfRule type="duplicateValues" dxfId="8471" priority="5410"/>
    <cfRule type="duplicateValues" dxfId="8470" priority="5411"/>
    <cfRule type="duplicateValues" dxfId="8469" priority="5412"/>
    <cfRule type="duplicateValues" dxfId="8468" priority="5413"/>
    <cfRule type="duplicateValues" dxfId="8467" priority="5414"/>
    <cfRule type="duplicateValues" dxfId="8466" priority="5415"/>
    <cfRule type="duplicateValues" dxfId="8465" priority="5416"/>
    <cfRule type="duplicateValues" dxfId="8464" priority="5417"/>
    <cfRule type="duplicateValues" dxfId="8463" priority="5418"/>
    <cfRule type="duplicateValues" dxfId="8462" priority="5419"/>
    <cfRule type="duplicateValues" dxfId="8461" priority="5420"/>
  </conditionalFormatting>
  <conditionalFormatting sqref="B316:B322">
    <cfRule type="duplicateValues" dxfId="8460" priority="5796"/>
    <cfRule type="duplicateValues" dxfId="8459" priority="5795"/>
    <cfRule type="duplicateValues" dxfId="8458" priority="5794"/>
    <cfRule type="duplicateValues" dxfId="8457" priority="5793"/>
    <cfRule type="duplicateValues" dxfId="8456" priority="5792"/>
    <cfRule type="duplicateValues" dxfId="8455" priority="5791"/>
    <cfRule type="duplicateValues" dxfId="8454" priority="5790"/>
    <cfRule type="duplicateValues" dxfId="8453" priority="5789"/>
    <cfRule type="duplicateValues" dxfId="8452" priority="5788"/>
    <cfRule type="duplicateValues" dxfId="8451" priority="5787"/>
    <cfRule type="duplicateValues" dxfId="8450" priority="5786"/>
    <cfRule type="duplicateValues" dxfId="8449" priority="5785"/>
    <cfRule type="duplicateValues" dxfId="8448" priority="5784"/>
    <cfRule type="duplicateValues" dxfId="8447" priority="5783"/>
    <cfRule type="duplicateValues" dxfId="8446" priority="5782"/>
    <cfRule type="duplicateValues" dxfId="8445" priority="5781"/>
    <cfRule type="duplicateValues" dxfId="8444" priority="5780"/>
    <cfRule type="duplicateValues" dxfId="8443" priority="5779"/>
    <cfRule type="duplicateValues" dxfId="8442" priority="5778"/>
    <cfRule type="duplicateValues" dxfId="8441" priority="5777"/>
    <cfRule type="duplicateValues" dxfId="8440" priority="5776"/>
    <cfRule type="duplicateValues" dxfId="8439" priority="5775"/>
    <cfRule type="duplicateValues" dxfId="8438" priority="5774"/>
    <cfRule type="duplicateValues" dxfId="8437" priority="5773"/>
    <cfRule type="duplicateValues" dxfId="8436" priority="5772"/>
    <cfRule type="duplicateValues" dxfId="8435" priority="5771"/>
    <cfRule type="duplicateValues" dxfId="8434" priority="5770"/>
    <cfRule type="duplicateValues" dxfId="8433" priority="5769"/>
    <cfRule type="duplicateValues" dxfId="8432" priority="5768"/>
    <cfRule type="duplicateValues" dxfId="8431" priority="5767"/>
    <cfRule type="duplicateValues" dxfId="8430" priority="5766"/>
    <cfRule type="duplicateValues" dxfId="8429" priority="5765"/>
    <cfRule type="duplicateValues" dxfId="8428" priority="5764"/>
    <cfRule type="duplicateValues" dxfId="8427" priority="5763"/>
    <cfRule type="duplicateValues" dxfId="8426" priority="5762"/>
    <cfRule type="duplicateValues" dxfId="8425" priority="5761"/>
    <cfRule type="duplicateValues" dxfId="8424" priority="5760"/>
    <cfRule type="duplicateValues" dxfId="8423" priority="5759"/>
    <cfRule type="duplicateValues" dxfId="8422" priority="5758"/>
    <cfRule type="duplicateValues" dxfId="8421" priority="5757"/>
    <cfRule type="duplicateValues" dxfId="8420" priority="5756"/>
    <cfRule type="duplicateValues" dxfId="8419" priority="5755"/>
    <cfRule type="duplicateValues" dxfId="8418" priority="5754"/>
    <cfRule type="duplicateValues" dxfId="8417" priority="5753"/>
    <cfRule type="duplicateValues" dxfId="8416" priority="5752"/>
    <cfRule type="duplicateValues" dxfId="8415" priority="5751"/>
    <cfRule type="duplicateValues" dxfId="8414" priority="5750"/>
    <cfRule type="duplicateValues" dxfId="8413" priority="5749"/>
    <cfRule type="duplicateValues" dxfId="8412" priority="5748"/>
    <cfRule type="duplicateValues" dxfId="8411" priority="5747"/>
    <cfRule type="duplicateValues" dxfId="8410" priority="5746"/>
    <cfRule type="duplicateValues" dxfId="8409" priority="5745"/>
    <cfRule type="duplicateValues" dxfId="8408" priority="5744"/>
    <cfRule type="duplicateValues" dxfId="8407" priority="5743"/>
    <cfRule type="duplicateValues" dxfId="8406" priority="5742"/>
    <cfRule type="duplicateValues" dxfId="8405" priority="5741"/>
    <cfRule type="duplicateValues" dxfId="8404" priority="5740"/>
    <cfRule type="duplicateValues" dxfId="8403" priority="5739"/>
    <cfRule type="duplicateValues" dxfId="8402" priority="5738"/>
    <cfRule type="duplicateValues" dxfId="8401" priority="5737"/>
    <cfRule type="duplicateValues" dxfId="8400" priority="5736"/>
    <cfRule type="duplicateValues" dxfId="8399" priority="5735"/>
    <cfRule type="duplicateValues" dxfId="8398" priority="5734"/>
    <cfRule type="duplicateValues" dxfId="8397" priority="5733"/>
    <cfRule type="duplicateValues" dxfId="8396" priority="5732"/>
    <cfRule type="duplicateValues" dxfId="8395" priority="5731"/>
    <cfRule type="duplicateValues" dxfId="8394" priority="5730"/>
    <cfRule type="duplicateValues" dxfId="8393" priority="5729"/>
    <cfRule type="duplicateValues" dxfId="8392" priority="5728"/>
    <cfRule type="duplicateValues" dxfId="8391" priority="5727"/>
    <cfRule type="duplicateValues" dxfId="8390" priority="5726"/>
    <cfRule type="duplicateValues" dxfId="8389" priority="5725"/>
    <cfRule type="duplicateValues" dxfId="8388" priority="5724"/>
    <cfRule type="duplicateValues" dxfId="8387" priority="5723"/>
    <cfRule type="duplicateValues" dxfId="8386" priority="5722"/>
    <cfRule type="duplicateValues" dxfId="8385" priority="5721"/>
    <cfRule type="duplicateValues" dxfId="8384" priority="5720"/>
    <cfRule type="duplicateValues" dxfId="8383" priority="5719"/>
    <cfRule type="duplicateValues" dxfId="8382" priority="5718"/>
    <cfRule type="duplicateValues" dxfId="8381" priority="5717"/>
    <cfRule type="duplicateValues" dxfId="8380" priority="5716"/>
    <cfRule type="duplicateValues" dxfId="8379" priority="5715"/>
    <cfRule type="duplicateValues" dxfId="8378" priority="5714"/>
    <cfRule type="duplicateValues" dxfId="8377" priority="5713"/>
    <cfRule type="duplicateValues" dxfId="8376" priority="5712"/>
    <cfRule type="duplicateValues" dxfId="8375" priority="5711"/>
    <cfRule type="duplicateValues" dxfId="8374" priority="5710"/>
    <cfRule type="duplicateValues" dxfId="8373" priority="5709"/>
    <cfRule type="duplicateValues" dxfId="8372" priority="5708"/>
    <cfRule type="duplicateValues" dxfId="8371" priority="5707"/>
    <cfRule type="duplicateValues" dxfId="8370" priority="5706"/>
    <cfRule type="duplicateValues" dxfId="8369" priority="5705"/>
    <cfRule type="duplicateValues" dxfId="8368" priority="5704"/>
    <cfRule type="duplicateValues" dxfId="8367" priority="5703"/>
    <cfRule type="duplicateValues" dxfId="8366" priority="5702"/>
    <cfRule type="duplicateValues" dxfId="8365" priority="5701"/>
    <cfRule type="duplicateValues" dxfId="8364" priority="5700"/>
    <cfRule type="duplicateValues" dxfId="8363" priority="5699"/>
    <cfRule type="duplicateValues" dxfId="8362" priority="5698"/>
    <cfRule type="duplicateValues" dxfId="8361" priority="5697"/>
    <cfRule type="duplicateValues" dxfId="8360" priority="5696"/>
    <cfRule type="duplicateValues" dxfId="8359" priority="5695"/>
    <cfRule type="duplicateValues" dxfId="8358" priority="5694"/>
    <cfRule type="duplicateValues" dxfId="8357" priority="5693"/>
    <cfRule type="duplicateValues" dxfId="8356" priority="5692"/>
    <cfRule type="duplicateValues" dxfId="8355" priority="5691"/>
    <cfRule type="duplicateValues" dxfId="8354" priority="5690"/>
    <cfRule type="duplicateValues" dxfId="8353" priority="5689"/>
    <cfRule type="duplicateValues" dxfId="8352" priority="5688"/>
    <cfRule type="duplicateValues" dxfId="8351" priority="5687"/>
    <cfRule type="duplicateValues" dxfId="8350" priority="5686"/>
    <cfRule type="duplicateValues" dxfId="8349" priority="5685"/>
    <cfRule type="duplicateValues" dxfId="8348" priority="5684"/>
    <cfRule type="duplicateValues" dxfId="8347" priority="5683"/>
    <cfRule type="duplicateValues" dxfId="8346" priority="5682"/>
    <cfRule type="duplicateValues" dxfId="8345" priority="5681"/>
    <cfRule type="duplicateValues" dxfId="8344" priority="5680"/>
    <cfRule type="duplicateValues" dxfId="8343" priority="5679"/>
    <cfRule type="duplicateValues" dxfId="8342" priority="5678"/>
    <cfRule type="duplicateValues" dxfId="8341" priority="5677"/>
    <cfRule type="duplicateValues" dxfId="8340" priority="5676"/>
    <cfRule type="duplicateValues" dxfId="8339" priority="5675"/>
    <cfRule type="duplicateValues" dxfId="8338" priority="5674"/>
    <cfRule type="duplicateValues" dxfId="8337" priority="5673"/>
    <cfRule type="duplicateValues" dxfId="8336" priority="5672"/>
    <cfRule type="duplicateValues" dxfId="8335" priority="5671"/>
    <cfRule type="duplicateValues" dxfId="8334" priority="5670"/>
    <cfRule type="duplicateValues" dxfId="8333" priority="5669"/>
    <cfRule type="duplicateValues" dxfId="8332" priority="5668"/>
    <cfRule type="duplicateValues" dxfId="8331" priority="5667"/>
    <cfRule type="duplicateValues" dxfId="8330" priority="5666"/>
    <cfRule type="duplicateValues" dxfId="8329" priority="5665"/>
    <cfRule type="duplicateValues" dxfId="8328" priority="5664"/>
    <cfRule type="duplicateValues" dxfId="8327" priority="5663"/>
    <cfRule type="duplicateValues" dxfId="8326" priority="5662"/>
    <cfRule type="duplicateValues" dxfId="8325" priority="5661"/>
    <cfRule type="duplicateValues" dxfId="8324" priority="5660"/>
    <cfRule type="duplicateValues" dxfId="8323" priority="5659"/>
    <cfRule type="duplicateValues" dxfId="8322" priority="5658"/>
    <cfRule type="duplicateValues" dxfId="8321" priority="5657"/>
    <cfRule type="duplicateValues" dxfId="8320" priority="5656"/>
    <cfRule type="duplicateValues" dxfId="8319" priority="5655"/>
    <cfRule type="duplicateValues" dxfId="8318" priority="5654"/>
    <cfRule type="duplicateValues" dxfId="8317" priority="5653"/>
    <cfRule type="duplicateValues" dxfId="8316" priority="5652"/>
    <cfRule type="duplicateValues" dxfId="8315" priority="5651"/>
    <cfRule type="duplicateValues" dxfId="8314" priority="5650"/>
    <cfRule type="duplicateValues" dxfId="8313" priority="5649"/>
    <cfRule type="duplicateValues" dxfId="8312" priority="5648"/>
    <cfRule type="duplicateValues" dxfId="8311" priority="5647"/>
    <cfRule type="duplicateValues" dxfId="8310" priority="5646"/>
    <cfRule type="duplicateValues" dxfId="8309" priority="5645"/>
    <cfRule type="duplicateValues" dxfId="8308" priority="5644"/>
    <cfRule type="duplicateValues" dxfId="8307" priority="5643"/>
    <cfRule type="duplicateValues" dxfId="8306" priority="5642"/>
    <cfRule type="duplicateValues" dxfId="8305" priority="5641"/>
    <cfRule type="duplicateValues" dxfId="8304" priority="5640"/>
    <cfRule type="duplicateValues" dxfId="8303" priority="5639"/>
    <cfRule type="duplicateValues" dxfId="8302" priority="5638"/>
    <cfRule type="duplicateValues" dxfId="8301" priority="5637"/>
    <cfRule type="duplicateValues" dxfId="8300" priority="5636"/>
    <cfRule type="duplicateValues" dxfId="8299" priority="5635"/>
    <cfRule type="duplicateValues" dxfId="8298" priority="5634"/>
    <cfRule type="duplicateValues" dxfId="8297" priority="5633"/>
    <cfRule type="duplicateValues" dxfId="8296" priority="5632"/>
    <cfRule type="duplicateValues" dxfId="8295" priority="5631"/>
    <cfRule type="duplicateValues" dxfId="8294" priority="5630"/>
    <cfRule type="duplicateValues" dxfId="8293" priority="5629"/>
    <cfRule type="duplicateValues" dxfId="8292" priority="5628"/>
    <cfRule type="duplicateValues" dxfId="8291" priority="5627"/>
    <cfRule type="duplicateValues" dxfId="8290" priority="5626"/>
    <cfRule type="duplicateValues" dxfId="8289" priority="5625"/>
    <cfRule type="duplicateValues" dxfId="8288" priority="5624"/>
    <cfRule type="duplicateValues" dxfId="8287" priority="5623"/>
    <cfRule type="duplicateValues" dxfId="8286" priority="5622"/>
    <cfRule type="duplicateValues" dxfId="8285" priority="5621"/>
    <cfRule type="duplicateValues" dxfId="8284" priority="5620"/>
    <cfRule type="duplicateValues" dxfId="8283" priority="5619"/>
    <cfRule type="duplicateValues" dxfId="8282" priority="5618"/>
    <cfRule type="duplicateValues" dxfId="8281" priority="5617"/>
    <cfRule type="duplicateValues" dxfId="8280" priority="5616"/>
    <cfRule type="duplicateValues" dxfId="8279" priority="5615"/>
    <cfRule type="duplicateValues" dxfId="8278" priority="5614"/>
    <cfRule type="duplicateValues" dxfId="8277" priority="5613"/>
    <cfRule type="duplicateValues" dxfId="8276" priority="5612"/>
    <cfRule type="duplicateValues" dxfId="8275" priority="5611"/>
    <cfRule type="duplicateValues" dxfId="8274" priority="5610"/>
    <cfRule type="duplicateValues" dxfId="8273" priority="5609"/>
  </conditionalFormatting>
  <conditionalFormatting sqref="B323:B327">
    <cfRule type="duplicateValues" dxfId="8272" priority="5608"/>
    <cfRule type="duplicateValues" dxfId="8271" priority="5607"/>
    <cfRule type="duplicateValues" dxfId="8270" priority="5606"/>
    <cfRule type="duplicateValues" dxfId="8269" priority="5605"/>
    <cfRule type="duplicateValues" dxfId="8268" priority="5604"/>
    <cfRule type="duplicateValues" dxfId="8267" priority="5603"/>
    <cfRule type="duplicateValues" dxfId="8266" priority="5602"/>
    <cfRule type="duplicateValues" dxfId="8265" priority="5601"/>
    <cfRule type="duplicateValues" dxfId="8264" priority="5600"/>
    <cfRule type="duplicateValues" dxfId="8263" priority="5599"/>
    <cfRule type="duplicateValues" dxfId="8262" priority="5598"/>
    <cfRule type="duplicateValues" dxfId="8261" priority="5597"/>
    <cfRule type="duplicateValues" dxfId="8260" priority="5596"/>
    <cfRule type="duplicateValues" dxfId="8259" priority="5595"/>
    <cfRule type="duplicateValues" dxfId="8258" priority="5594"/>
    <cfRule type="duplicateValues" dxfId="8257" priority="5593"/>
    <cfRule type="duplicateValues" dxfId="8256" priority="5592"/>
    <cfRule type="duplicateValues" dxfId="8255" priority="5591"/>
    <cfRule type="duplicateValues" dxfId="8254" priority="5590"/>
    <cfRule type="duplicateValues" dxfId="8253" priority="5589"/>
    <cfRule type="duplicateValues" dxfId="8252" priority="5588"/>
    <cfRule type="duplicateValues" dxfId="8251" priority="5587"/>
    <cfRule type="duplicateValues" dxfId="8250" priority="5586"/>
    <cfRule type="duplicateValues" dxfId="8249" priority="5585"/>
    <cfRule type="duplicateValues" dxfId="8248" priority="5584"/>
    <cfRule type="duplicateValues" dxfId="8247" priority="5583"/>
    <cfRule type="duplicateValues" dxfId="8246" priority="5582"/>
    <cfRule type="duplicateValues" dxfId="8245" priority="5581"/>
    <cfRule type="duplicateValues" dxfId="8244" priority="5580"/>
    <cfRule type="duplicateValues" dxfId="8243" priority="5579"/>
    <cfRule type="duplicateValues" dxfId="8242" priority="5578"/>
    <cfRule type="duplicateValues" dxfId="8241" priority="5577"/>
    <cfRule type="duplicateValues" dxfId="8240" priority="5576"/>
    <cfRule type="duplicateValues" dxfId="8239" priority="5575"/>
    <cfRule type="duplicateValues" dxfId="8238" priority="5574"/>
    <cfRule type="duplicateValues" dxfId="8237" priority="5573"/>
    <cfRule type="duplicateValues" dxfId="8236" priority="5572"/>
    <cfRule type="duplicateValues" dxfId="8235" priority="5571"/>
    <cfRule type="duplicateValues" dxfId="8234" priority="5570"/>
    <cfRule type="duplicateValues" dxfId="8233" priority="5569"/>
    <cfRule type="duplicateValues" dxfId="8232" priority="5568"/>
    <cfRule type="duplicateValues" dxfId="8231" priority="5567"/>
    <cfRule type="duplicateValues" dxfId="8230" priority="5566"/>
    <cfRule type="duplicateValues" dxfId="8229" priority="5565"/>
    <cfRule type="duplicateValues" dxfId="8228" priority="5564"/>
    <cfRule type="duplicateValues" dxfId="8227" priority="5563"/>
    <cfRule type="duplicateValues" dxfId="8226" priority="5562"/>
    <cfRule type="duplicateValues" dxfId="8225" priority="5561"/>
    <cfRule type="duplicateValues" dxfId="8224" priority="5560"/>
    <cfRule type="duplicateValues" dxfId="8223" priority="5559"/>
    <cfRule type="duplicateValues" dxfId="8222" priority="5558"/>
    <cfRule type="duplicateValues" dxfId="8221" priority="5557"/>
    <cfRule type="duplicateValues" dxfId="8220" priority="5556"/>
    <cfRule type="duplicateValues" dxfId="8219" priority="5555"/>
    <cfRule type="duplicateValues" dxfId="8218" priority="5554"/>
    <cfRule type="duplicateValues" dxfId="8217" priority="5553"/>
    <cfRule type="duplicateValues" dxfId="8216" priority="5552"/>
    <cfRule type="duplicateValues" dxfId="8215" priority="5551"/>
    <cfRule type="duplicateValues" dxfId="8214" priority="5550"/>
    <cfRule type="duplicateValues" dxfId="8213" priority="5549"/>
    <cfRule type="duplicateValues" dxfId="8212" priority="5548"/>
    <cfRule type="duplicateValues" dxfId="8211" priority="5547"/>
    <cfRule type="duplicateValues" dxfId="8210" priority="5546"/>
    <cfRule type="duplicateValues" dxfId="8209" priority="5545"/>
    <cfRule type="duplicateValues" dxfId="8208" priority="5544"/>
    <cfRule type="duplicateValues" dxfId="8207" priority="5543"/>
    <cfRule type="duplicateValues" dxfId="8206" priority="5542"/>
    <cfRule type="duplicateValues" dxfId="8205" priority="5541"/>
    <cfRule type="duplicateValues" dxfId="8204" priority="5540"/>
    <cfRule type="duplicateValues" dxfId="8203" priority="5539"/>
    <cfRule type="duplicateValues" dxfId="8202" priority="5538"/>
    <cfRule type="duplicateValues" dxfId="8201" priority="5537"/>
    <cfRule type="duplicateValues" dxfId="8200" priority="5536"/>
    <cfRule type="duplicateValues" dxfId="8199" priority="5535"/>
    <cfRule type="duplicateValues" dxfId="8198" priority="5534"/>
    <cfRule type="duplicateValues" dxfId="8197" priority="5533"/>
    <cfRule type="duplicateValues" dxfId="8196" priority="5532"/>
    <cfRule type="duplicateValues" dxfId="8195" priority="5531"/>
    <cfRule type="duplicateValues" dxfId="8194" priority="5530"/>
    <cfRule type="duplicateValues" dxfId="8193" priority="5529"/>
    <cfRule type="duplicateValues" dxfId="8192" priority="5528"/>
    <cfRule type="duplicateValues" dxfId="8191" priority="5527"/>
    <cfRule type="duplicateValues" dxfId="8190" priority="5526"/>
    <cfRule type="duplicateValues" dxfId="8189" priority="5525"/>
    <cfRule type="duplicateValues" dxfId="8188" priority="5524"/>
    <cfRule type="duplicateValues" dxfId="8187" priority="5523"/>
    <cfRule type="duplicateValues" dxfId="8186" priority="5522"/>
    <cfRule type="duplicateValues" dxfId="8185" priority="5521"/>
    <cfRule type="duplicateValues" dxfId="8184" priority="5520"/>
    <cfRule type="duplicateValues" dxfId="8183" priority="5519"/>
    <cfRule type="duplicateValues" dxfId="8182" priority="5518"/>
    <cfRule type="duplicateValues" dxfId="8181" priority="5517"/>
    <cfRule type="duplicateValues" dxfId="8180" priority="5516"/>
    <cfRule type="duplicateValues" dxfId="8179" priority="5515"/>
    <cfRule type="duplicateValues" dxfId="8178" priority="5514"/>
    <cfRule type="duplicateValues" dxfId="8177" priority="5513"/>
    <cfRule type="duplicateValues" dxfId="8176" priority="5512"/>
    <cfRule type="duplicateValues" dxfId="8175" priority="5511"/>
    <cfRule type="duplicateValues" dxfId="8174" priority="5510"/>
    <cfRule type="duplicateValues" dxfId="8173" priority="5509"/>
    <cfRule type="duplicateValues" dxfId="8172" priority="5508"/>
    <cfRule type="duplicateValues" dxfId="8171" priority="5507"/>
    <cfRule type="duplicateValues" dxfId="8170" priority="5506"/>
    <cfRule type="duplicateValues" dxfId="8169" priority="5505"/>
    <cfRule type="duplicateValues" dxfId="8168" priority="5504"/>
    <cfRule type="duplicateValues" dxfId="8167" priority="5503"/>
    <cfRule type="duplicateValues" dxfId="8166" priority="5502"/>
    <cfRule type="duplicateValues" dxfId="8165" priority="5501"/>
    <cfRule type="duplicateValues" dxfId="8164" priority="5500"/>
    <cfRule type="duplicateValues" dxfId="8163" priority="5499"/>
    <cfRule type="duplicateValues" dxfId="8162" priority="5498"/>
    <cfRule type="duplicateValues" dxfId="8161" priority="5497"/>
    <cfRule type="duplicateValues" dxfId="8160" priority="5496"/>
    <cfRule type="duplicateValues" dxfId="8159" priority="5495"/>
    <cfRule type="duplicateValues" dxfId="8158" priority="5494"/>
    <cfRule type="duplicateValues" dxfId="8157" priority="5493"/>
    <cfRule type="duplicateValues" dxfId="8156" priority="5492"/>
    <cfRule type="duplicateValues" dxfId="8155" priority="5491"/>
    <cfRule type="duplicateValues" dxfId="8154" priority="5490"/>
    <cfRule type="duplicateValues" dxfId="8153" priority="5489"/>
    <cfRule type="duplicateValues" dxfId="8152" priority="5488"/>
    <cfRule type="duplicateValues" dxfId="8151" priority="5487"/>
    <cfRule type="duplicateValues" dxfId="8150" priority="5486"/>
    <cfRule type="duplicateValues" dxfId="8149" priority="5485"/>
    <cfRule type="duplicateValues" dxfId="8148" priority="5484"/>
    <cfRule type="duplicateValues" dxfId="8147" priority="5483"/>
    <cfRule type="duplicateValues" dxfId="8146" priority="5482"/>
    <cfRule type="duplicateValues" dxfId="8145" priority="5481"/>
    <cfRule type="duplicateValues" dxfId="8144" priority="5480"/>
    <cfRule type="duplicateValues" dxfId="8143" priority="5479"/>
    <cfRule type="duplicateValues" dxfId="8142" priority="5478"/>
    <cfRule type="duplicateValues" dxfId="8141" priority="5477"/>
    <cfRule type="duplicateValues" dxfId="8140" priority="5476"/>
    <cfRule type="duplicateValues" dxfId="8139" priority="5475"/>
    <cfRule type="duplicateValues" dxfId="8138" priority="5474"/>
    <cfRule type="duplicateValues" dxfId="8137" priority="5473"/>
    <cfRule type="duplicateValues" dxfId="8136" priority="5472"/>
    <cfRule type="duplicateValues" dxfId="8135" priority="5471"/>
    <cfRule type="duplicateValues" dxfId="8134" priority="5470"/>
    <cfRule type="duplicateValues" dxfId="8133" priority="5469"/>
    <cfRule type="duplicateValues" dxfId="8132" priority="5468"/>
    <cfRule type="duplicateValues" dxfId="8131" priority="5467"/>
    <cfRule type="duplicateValues" dxfId="8130" priority="5466"/>
    <cfRule type="duplicateValues" dxfId="8129" priority="5465"/>
    <cfRule type="duplicateValues" dxfId="8128" priority="5464"/>
    <cfRule type="duplicateValues" dxfId="8127" priority="5463"/>
    <cfRule type="duplicateValues" dxfId="8126" priority="5462"/>
    <cfRule type="duplicateValues" dxfId="8125" priority="5461"/>
    <cfRule type="duplicateValues" dxfId="8124" priority="5460"/>
    <cfRule type="duplicateValues" dxfId="8123" priority="5459"/>
    <cfRule type="duplicateValues" dxfId="8122" priority="5458"/>
    <cfRule type="duplicateValues" dxfId="8121" priority="5457"/>
    <cfRule type="duplicateValues" dxfId="8120" priority="5456"/>
    <cfRule type="duplicateValues" dxfId="8119" priority="5455"/>
    <cfRule type="duplicateValues" dxfId="8118" priority="5454"/>
    <cfRule type="duplicateValues" dxfId="8117" priority="5453"/>
    <cfRule type="duplicateValues" dxfId="8116" priority="5452"/>
    <cfRule type="duplicateValues" dxfId="8115" priority="5451"/>
    <cfRule type="duplicateValues" dxfId="8114" priority="5450"/>
    <cfRule type="duplicateValues" dxfId="8113" priority="5449"/>
    <cfRule type="duplicateValues" dxfId="8112" priority="5448"/>
    <cfRule type="duplicateValues" dxfId="8111" priority="5447"/>
    <cfRule type="duplicateValues" dxfId="8110" priority="5446"/>
    <cfRule type="duplicateValues" dxfId="8109" priority="5445"/>
    <cfRule type="duplicateValues" dxfId="8108" priority="5444"/>
    <cfRule type="duplicateValues" dxfId="8107" priority="5443"/>
    <cfRule type="duplicateValues" dxfId="8106" priority="5442"/>
    <cfRule type="duplicateValues" dxfId="8105" priority="5441"/>
    <cfRule type="duplicateValues" dxfId="8104" priority="5440"/>
    <cfRule type="duplicateValues" dxfId="8103" priority="5439"/>
    <cfRule type="duplicateValues" dxfId="8102" priority="5438"/>
    <cfRule type="duplicateValues" dxfId="8101" priority="5437"/>
    <cfRule type="duplicateValues" dxfId="8100" priority="5436"/>
    <cfRule type="duplicateValues" dxfId="8099" priority="5435"/>
    <cfRule type="duplicateValues" dxfId="8098" priority="5434"/>
    <cfRule type="duplicateValues" dxfId="8097" priority="5433"/>
    <cfRule type="duplicateValues" dxfId="8096" priority="5432"/>
    <cfRule type="duplicateValues" dxfId="8095" priority="5431"/>
    <cfRule type="duplicateValues" dxfId="8094" priority="5430"/>
    <cfRule type="duplicateValues" dxfId="8093" priority="5429"/>
    <cfRule type="duplicateValues" dxfId="8092" priority="5428"/>
    <cfRule type="duplicateValues" dxfId="8091" priority="5427"/>
    <cfRule type="duplicateValues" dxfId="8090" priority="5426"/>
    <cfRule type="duplicateValues" dxfId="8089" priority="5425"/>
    <cfRule type="duplicateValues" dxfId="8088" priority="5424"/>
    <cfRule type="duplicateValues" dxfId="8087" priority="5423"/>
    <cfRule type="duplicateValues" dxfId="8086" priority="5422"/>
    <cfRule type="duplicateValues" dxfId="8085" priority="5421"/>
  </conditionalFormatting>
  <conditionalFormatting sqref="B328:B334">
    <cfRule type="duplicateValues" dxfId="8084" priority="5797"/>
    <cfRule type="duplicateValues" dxfId="8083" priority="5798"/>
    <cfRule type="duplicateValues" dxfId="8082" priority="5799"/>
    <cfRule type="duplicateValues" dxfId="8081" priority="5800"/>
    <cfRule type="duplicateValues" dxfId="8080" priority="5801"/>
    <cfRule type="duplicateValues" dxfId="8079" priority="5802"/>
    <cfRule type="duplicateValues" dxfId="8078" priority="5803"/>
    <cfRule type="duplicateValues" dxfId="8077" priority="5804"/>
    <cfRule type="duplicateValues" dxfId="8076" priority="5805"/>
    <cfRule type="duplicateValues" dxfId="8075" priority="5806"/>
    <cfRule type="duplicateValues" dxfId="8074" priority="5807"/>
    <cfRule type="duplicateValues" dxfId="8073" priority="5808"/>
    <cfRule type="duplicateValues" dxfId="8072" priority="5809"/>
    <cfRule type="duplicateValues" dxfId="8071" priority="5810"/>
    <cfRule type="duplicateValues" dxfId="8070" priority="5811"/>
    <cfRule type="duplicateValues" dxfId="8069" priority="5812"/>
    <cfRule type="duplicateValues" dxfId="8068" priority="5813"/>
    <cfRule type="duplicateValues" dxfId="8067" priority="5814"/>
    <cfRule type="duplicateValues" dxfId="8066" priority="5815"/>
    <cfRule type="duplicateValues" dxfId="8065" priority="5816"/>
    <cfRule type="duplicateValues" dxfId="8064" priority="5817"/>
    <cfRule type="duplicateValues" dxfId="8063" priority="5818"/>
    <cfRule type="duplicateValues" dxfId="8062" priority="5819"/>
    <cfRule type="duplicateValues" dxfId="8061" priority="5820"/>
    <cfRule type="duplicateValues" dxfId="8060" priority="5821"/>
    <cfRule type="duplicateValues" dxfId="8059" priority="5822"/>
    <cfRule type="duplicateValues" dxfId="8058" priority="5823"/>
    <cfRule type="duplicateValues" dxfId="8057" priority="5824"/>
    <cfRule type="duplicateValues" dxfId="8056" priority="5825"/>
    <cfRule type="duplicateValues" dxfId="8055" priority="5826"/>
    <cfRule type="duplicateValues" dxfId="8054" priority="5827"/>
    <cfRule type="duplicateValues" dxfId="8053" priority="5828"/>
    <cfRule type="duplicateValues" dxfId="8052" priority="5829"/>
    <cfRule type="duplicateValues" dxfId="8051" priority="5830"/>
    <cfRule type="duplicateValues" dxfId="8050" priority="5831"/>
    <cfRule type="duplicateValues" dxfId="8049" priority="5832"/>
    <cfRule type="duplicateValues" dxfId="8048" priority="5833"/>
    <cfRule type="duplicateValues" dxfId="8047" priority="5834"/>
    <cfRule type="duplicateValues" dxfId="8046" priority="5835"/>
    <cfRule type="duplicateValues" dxfId="8045" priority="5836"/>
    <cfRule type="duplicateValues" dxfId="8044" priority="5837"/>
    <cfRule type="duplicateValues" dxfId="8043" priority="5838"/>
    <cfRule type="duplicateValues" dxfId="8042" priority="5839"/>
    <cfRule type="duplicateValues" dxfId="8041" priority="5840"/>
    <cfRule type="duplicateValues" dxfId="8040" priority="5841"/>
    <cfRule type="duplicateValues" dxfId="8039" priority="5842"/>
    <cfRule type="duplicateValues" dxfId="8038" priority="5843"/>
    <cfRule type="duplicateValues" dxfId="8037" priority="5844"/>
    <cfRule type="duplicateValues" dxfId="8036" priority="5845"/>
    <cfRule type="duplicateValues" dxfId="8035" priority="5846"/>
    <cfRule type="duplicateValues" dxfId="8034" priority="5847"/>
    <cfRule type="duplicateValues" dxfId="8033" priority="5848"/>
    <cfRule type="duplicateValues" dxfId="8032" priority="5849"/>
    <cfRule type="duplicateValues" dxfId="8031" priority="5850"/>
    <cfRule type="duplicateValues" dxfId="8030" priority="5851"/>
    <cfRule type="duplicateValues" dxfId="8029" priority="5852"/>
    <cfRule type="duplicateValues" dxfId="8028" priority="5853"/>
    <cfRule type="duplicateValues" dxfId="8027" priority="5854"/>
    <cfRule type="duplicateValues" dxfId="8026" priority="5855"/>
    <cfRule type="duplicateValues" dxfId="8025" priority="5856"/>
    <cfRule type="duplicateValues" dxfId="8024" priority="5857"/>
    <cfRule type="duplicateValues" dxfId="8023" priority="5858"/>
    <cfRule type="duplicateValues" dxfId="8022" priority="5859"/>
    <cfRule type="duplicateValues" dxfId="8021" priority="5860"/>
    <cfRule type="duplicateValues" dxfId="8020" priority="5861"/>
    <cfRule type="duplicateValues" dxfId="8019" priority="5862"/>
    <cfRule type="duplicateValues" dxfId="8018" priority="5863"/>
    <cfRule type="duplicateValues" dxfId="8017" priority="5864"/>
    <cfRule type="duplicateValues" dxfId="8016" priority="5865"/>
    <cfRule type="duplicateValues" dxfId="8015" priority="5866"/>
    <cfRule type="duplicateValues" dxfId="8014" priority="5867"/>
    <cfRule type="duplicateValues" dxfId="8013" priority="5868"/>
    <cfRule type="duplicateValues" dxfId="8012" priority="5869"/>
    <cfRule type="duplicateValues" dxfId="8011" priority="5870"/>
    <cfRule type="duplicateValues" dxfId="8010" priority="5871"/>
    <cfRule type="duplicateValues" dxfId="8009" priority="5872"/>
    <cfRule type="duplicateValues" dxfId="8008" priority="5873"/>
    <cfRule type="duplicateValues" dxfId="8007" priority="5874"/>
    <cfRule type="duplicateValues" dxfId="8006" priority="5875"/>
    <cfRule type="duplicateValues" dxfId="8005" priority="5876"/>
    <cfRule type="duplicateValues" dxfId="8004" priority="5877"/>
    <cfRule type="duplicateValues" dxfId="8003" priority="5878"/>
    <cfRule type="duplicateValues" dxfId="8002" priority="5879"/>
    <cfRule type="duplicateValues" dxfId="8001" priority="5880"/>
    <cfRule type="duplicateValues" dxfId="8000" priority="5881"/>
    <cfRule type="duplicateValues" dxfId="7999" priority="5882"/>
    <cfRule type="duplicateValues" dxfId="7998" priority="5883"/>
    <cfRule type="duplicateValues" dxfId="7997" priority="5884"/>
    <cfRule type="duplicateValues" dxfId="7996" priority="5885"/>
    <cfRule type="duplicateValues" dxfId="7995" priority="5886"/>
    <cfRule type="duplicateValues" dxfId="7994" priority="5887"/>
    <cfRule type="duplicateValues" dxfId="7993" priority="5888"/>
    <cfRule type="duplicateValues" dxfId="7992" priority="5889"/>
    <cfRule type="duplicateValues" dxfId="7991" priority="5890"/>
    <cfRule type="duplicateValues" dxfId="7990" priority="5891"/>
    <cfRule type="duplicateValues" dxfId="7989" priority="5892"/>
    <cfRule type="duplicateValues" dxfId="7988" priority="5893"/>
    <cfRule type="duplicateValues" dxfId="7987" priority="5894"/>
    <cfRule type="duplicateValues" dxfId="7986" priority="5895"/>
    <cfRule type="duplicateValues" dxfId="7985" priority="5896"/>
    <cfRule type="duplicateValues" dxfId="7984" priority="5897"/>
    <cfRule type="duplicateValues" dxfId="7983" priority="5898"/>
    <cfRule type="duplicateValues" dxfId="7982" priority="5899"/>
    <cfRule type="duplicateValues" dxfId="7981" priority="5900"/>
    <cfRule type="duplicateValues" dxfId="7980" priority="5901"/>
    <cfRule type="duplicateValues" dxfId="7979" priority="5902"/>
    <cfRule type="duplicateValues" dxfId="7978" priority="5903"/>
    <cfRule type="duplicateValues" dxfId="7977" priority="5904"/>
    <cfRule type="duplicateValues" dxfId="7976" priority="5905"/>
    <cfRule type="duplicateValues" dxfId="7975" priority="5906"/>
    <cfRule type="duplicateValues" dxfId="7974" priority="5907"/>
    <cfRule type="duplicateValues" dxfId="7973" priority="5908"/>
    <cfRule type="duplicateValues" dxfId="7972" priority="5909"/>
    <cfRule type="duplicateValues" dxfId="7971" priority="5910"/>
    <cfRule type="duplicateValues" dxfId="7970" priority="5911"/>
    <cfRule type="duplicateValues" dxfId="7969" priority="5912"/>
    <cfRule type="duplicateValues" dxfId="7968" priority="5913"/>
    <cfRule type="duplicateValues" dxfId="7967" priority="5914"/>
    <cfRule type="duplicateValues" dxfId="7966" priority="5915"/>
    <cfRule type="duplicateValues" dxfId="7965" priority="5916"/>
    <cfRule type="duplicateValues" dxfId="7964" priority="5917"/>
    <cfRule type="duplicateValues" dxfId="7963" priority="5918"/>
    <cfRule type="duplicateValues" dxfId="7962" priority="5919"/>
    <cfRule type="duplicateValues" dxfId="7961" priority="5920"/>
    <cfRule type="duplicateValues" dxfId="7960" priority="5921"/>
    <cfRule type="duplicateValues" dxfId="7959" priority="5922"/>
    <cfRule type="duplicateValues" dxfId="7958" priority="5923"/>
    <cfRule type="duplicateValues" dxfId="7957" priority="5924"/>
    <cfRule type="duplicateValues" dxfId="7956" priority="5925"/>
    <cfRule type="duplicateValues" dxfId="7955" priority="5926"/>
    <cfRule type="duplicateValues" dxfId="7954" priority="5927"/>
    <cfRule type="duplicateValues" dxfId="7953" priority="5928"/>
    <cfRule type="duplicateValues" dxfId="7952" priority="5929"/>
    <cfRule type="duplicateValues" dxfId="7951" priority="5930"/>
    <cfRule type="duplicateValues" dxfId="7950" priority="5931"/>
    <cfRule type="duplicateValues" dxfId="7949" priority="5932"/>
    <cfRule type="duplicateValues" dxfId="7948" priority="5933"/>
    <cfRule type="duplicateValues" dxfId="7947" priority="5934"/>
    <cfRule type="duplicateValues" dxfId="7946" priority="5935"/>
    <cfRule type="duplicateValues" dxfId="7945" priority="5936"/>
    <cfRule type="duplicateValues" dxfId="7944" priority="5937"/>
    <cfRule type="duplicateValues" dxfId="7943" priority="5938"/>
    <cfRule type="duplicateValues" dxfId="7942" priority="5939"/>
    <cfRule type="duplicateValues" dxfId="7941" priority="5940"/>
    <cfRule type="duplicateValues" dxfId="7940" priority="5941"/>
    <cfRule type="duplicateValues" dxfId="7939" priority="5942"/>
    <cfRule type="duplicateValues" dxfId="7938" priority="5943"/>
    <cfRule type="duplicateValues" dxfId="7937" priority="5944"/>
    <cfRule type="duplicateValues" dxfId="7936" priority="5945"/>
    <cfRule type="duplicateValues" dxfId="7935" priority="5946"/>
    <cfRule type="duplicateValues" dxfId="7934" priority="5947"/>
    <cfRule type="duplicateValues" dxfId="7933" priority="5948"/>
    <cfRule type="duplicateValues" dxfId="7932" priority="5949"/>
    <cfRule type="duplicateValues" dxfId="7931" priority="5950"/>
    <cfRule type="duplicateValues" dxfId="7930" priority="5951"/>
    <cfRule type="duplicateValues" dxfId="7929" priority="5952"/>
    <cfRule type="duplicateValues" dxfId="7928" priority="5953"/>
    <cfRule type="duplicateValues" dxfId="7927" priority="5954"/>
    <cfRule type="duplicateValues" dxfId="7926" priority="5955"/>
    <cfRule type="duplicateValues" dxfId="7925" priority="5956"/>
    <cfRule type="duplicateValues" dxfId="7924" priority="5957"/>
    <cfRule type="duplicateValues" dxfId="7923" priority="5958"/>
    <cfRule type="duplicateValues" dxfId="7922" priority="5959"/>
    <cfRule type="duplicateValues" dxfId="7921" priority="5960"/>
    <cfRule type="duplicateValues" dxfId="7920" priority="5961"/>
    <cfRule type="duplicateValues" dxfId="7919" priority="5962"/>
    <cfRule type="duplicateValues" dxfId="7918" priority="5963"/>
    <cfRule type="duplicateValues" dxfId="7917" priority="5964"/>
    <cfRule type="duplicateValues" dxfId="7916" priority="5965"/>
    <cfRule type="duplicateValues" dxfId="7915" priority="5966"/>
    <cfRule type="duplicateValues" dxfId="7914" priority="5967"/>
    <cfRule type="duplicateValues" dxfId="7913" priority="5968"/>
    <cfRule type="duplicateValues" dxfId="7912" priority="5969"/>
    <cfRule type="duplicateValues" dxfId="7911" priority="5970"/>
    <cfRule type="duplicateValues" dxfId="7910" priority="5971"/>
    <cfRule type="duplicateValues" dxfId="7909" priority="5972"/>
    <cfRule type="duplicateValues" dxfId="7908" priority="5973"/>
    <cfRule type="duplicateValues" dxfId="7907" priority="5974"/>
    <cfRule type="duplicateValues" dxfId="7906" priority="5975"/>
    <cfRule type="duplicateValues" dxfId="7905" priority="5976"/>
    <cfRule type="duplicateValues" dxfId="7904" priority="5977"/>
    <cfRule type="duplicateValues" dxfId="7903" priority="5978"/>
    <cfRule type="duplicateValues" dxfId="7902" priority="5979"/>
    <cfRule type="duplicateValues" dxfId="7901" priority="5980"/>
    <cfRule type="duplicateValues" dxfId="7900" priority="5981"/>
    <cfRule type="duplicateValues" dxfId="7899" priority="5982"/>
    <cfRule type="duplicateValues" dxfId="7898" priority="5983"/>
    <cfRule type="duplicateValues" dxfId="7897" priority="5984"/>
  </conditionalFormatting>
  <conditionalFormatting sqref="B335:B337">
    <cfRule type="duplicateValues" dxfId="7896" priority="4668"/>
    <cfRule type="duplicateValues" dxfId="7895" priority="4655"/>
    <cfRule type="duplicateValues" dxfId="7894" priority="4481"/>
    <cfRule type="duplicateValues" dxfId="7893" priority="4482"/>
    <cfRule type="duplicateValues" dxfId="7892" priority="4483"/>
    <cfRule type="duplicateValues" dxfId="7891" priority="4484"/>
    <cfRule type="duplicateValues" dxfId="7890" priority="4485"/>
    <cfRule type="duplicateValues" dxfId="7889" priority="4486"/>
    <cfRule type="duplicateValues" dxfId="7888" priority="4487"/>
    <cfRule type="duplicateValues" dxfId="7887" priority="4488"/>
    <cfRule type="duplicateValues" dxfId="7886" priority="4489"/>
    <cfRule type="duplicateValues" dxfId="7885" priority="4490"/>
    <cfRule type="duplicateValues" dxfId="7884" priority="4491"/>
    <cfRule type="duplicateValues" dxfId="7883" priority="4492"/>
    <cfRule type="duplicateValues" dxfId="7882" priority="4493"/>
    <cfRule type="duplicateValues" dxfId="7881" priority="4494"/>
    <cfRule type="duplicateValues" dxfId="7880" priority="4495"/>
    <cfRule type="duplicateValues" dxfId="7879" priority="4496"/>
    <cfRule type="duplicateValues" dxfId="7878" priority="4497"/>
    <cfRule type="duplicateValues" dxfId="7877" priority="4498"/>
    <cfRule type="duplicateValues" dxfId="7876" priority="4499"/>
    <cfRule type="duplicateValues" dxfId="7875" priority="4500"/>
    <cfRule type="duplicateValues" dxfId="7874" priority="4501"/>
    <cfRule type="duplicateValues" dxfId="7873" priority="4502"/>
    <cfRule type="duplicateValues" dxfId="7872" priority="4503"/>
    <cfRule type="duplicateValues" dxfId="7871" priority="4504"/>
    <cfRule type="duplicateValues" dxfId="7870" priority="4505"/>
    <cfRule type="duplicateValues" dxfId="7869" priority="4506"/>
    <cfRule type="duplicateValues" dxfId="7868" priority="4507"/>
    <cfRule type="duplicateValues" dxfId="7867" priority="4508"/>
    <cfRule type="duplicateValues" dxfId="7866" priority="4509"/>
    <cfRule type="duplicateValues" dxfId="7865" priority="4510"/>
    <cfRule type="duplicateValues" dxfId="7864" priority="4511"/>
    <cfRule type="duplicateValues" dxfId="7863" priority="4512"/>
    <cfRule type="duplicateValues" dxfId="7862" priority="4513"/>
    <cfRule type="duplicateValues" dxfId="7861" priority="4514"/>
    <cfRule type="duplicateValues" dxfId="7860" priority="4515"/>
    <cfRule type="duplicateValues" dxfId="7859" priority="4516"/>
    <cfRule type="duplicateValues" dxfId="7858" priority="4517"/>
    <cfRule type="duplicateValues" dxfId="7857" priority="4518"/>
    <cfRule type="duplicateValues" dxfId="7856" priority="4519"/>
    <cfRule type="duplicateValues" dxfId="7855" priority="4520"/>
    <cfRule type="duplicateValues" dxfId="7854" priority="4521"/>
    <cfRule type="duplicateValues" dxfId="7853" priority="4522"/>
    <cfRule type="duplicateValues" dxfId="7852" priority="4523"/>
    <cfRule type="duplicateValues" dxfId="7851" priority="4524"/>
    <cfRule type="duplicateValues" dxfId="7850" priority="4525"/>
    <cfRule type="duplicateValues" dxfId="7849" priority="4526"/>
    <cfRule type="duplicateValues" dxfId="7848" priority="4527"/>
    <cfRule type="duplicateValues" dxfId="7847" priority="4528"/>
    <cfRule type="duplicateValues" dxfId="7846" priority="4529"/>
    <cfRule type="duplicateValues" dxfId="7845" priority="4530"/>
    <cfRule type="duplicateValues" dxfId="7844" priority="4531"/>
    <cfRule type="duplicateValues" dxfId="7843" priority="4532"/>
    <cfRule type="duplicateValues" dxfId="7842" priority="4533"/>
    <cfRule type="duplicateValues" dxfId="7841" priority="4534"/>
    <cfRule type="duplicateValues" dxfId="7840" priority="4535"/>
    <cfRule type="duplicateValues" dxfId="7839" priority="4536"/>
    <cfRule type="duplicateValues" dxfId="7838" priority="4537"/>
    <cfRule type="duplicateValues" dxfId="7837" priority="4538"/>
    <cfRule type="duplicateValues" dxfId="7836" priority="4539"/>
    <cfRule type="duplicateValues" dxfId="7835" priority="4540"/>
    <cfRule type="duplicateValues" dxfId="7834" priority="4541"/>
    <cfRule type="duplicateValues" dxfId="7833" priority="4542"/>
    <cfRule type="duplicateValues" dxfId="7832" priority="4543"/>
    <cfRule type="duplicateValues" dxfId="7831" priority="4544"/>
    <cfRule type="duplicateValues" dxfId="7830" priority="4545"/>
    <cfRule type="duplicateValues" dxfId="7829" priority="4546"/>
    <cfRule type="duplicateValues" dxfId="7828" priority="4547"/>
    <cfRule type="duplicateValues" dxfId="7827" priority="4548"/>
    <cfRule type="duplicateValues" dxfId="7826" priority="4549"/>
    <cfRule type="duplicateValues" dxfId="7825" priority="4550"/>
    <cfRule type="duplicateValues" dxfId="7824" priority="4551"/>
    <cfRule type="duplicateValues" dxfId="7823" priority="4552"/>
    <cfRule type="duplicateValues" dxfId="7822" priority="4553"/>
    <cfRule type="duplicateValues" dxfId="7821" priority="4554"/>
    <cfRule type="duplicateValues" dxfId="7820" priority="4555"/>
    <cfRule type="duplicateValues" dxfId="7819" priority="4556"/>
    <cfRule type="duplicateValues" dxfId="7818" priority="4557"/>
    <cfRule type="duplicateValues" dxfId="7817" priority="4558"/>
    <cfRule type="duplicateValues" dxfId="7816" priority="4559"/>
    <cfRule type="duplicateValues" dxfId="7815" priority="4560"/>
    <cfRule type="duplicateValues" dxfId="7814" priority="4561"/>
    <cfRule type="duplicateValues" dxfId="7813" priority="4562"/>
    <cfRule type="duplicateValues" dxfId="7812" priority="4563"/>
    <cfRule type="duplicateValues" dxfId="7811" priority="4564"/>
    <cfRule type="duplicateValues" dxfId="7810" priority="4565"/>
    <cfRule type="duplicateValues" dxfId="7809" priority="4566"/>
    <cfRule type="duplicateValues" dxfId="7808" priority="4567"/>
    <cfRule type="duplicateValues" dxfId="7807" priority="4568"/>
    <cfRule type="duplicateValues" dxfId="7806" priority="4569"/>
    <cfRule type="duplicateValues" dxfId="7805" priority="4570"/>
    <cfRule type="duplicateValues" dxfId="7804" priority="4571"/>
    <cfRule type="duplicateValues" dxfId="7803" priority="4572"/>
    <cfRule type="duplicateValues" dxfId="7802" priority="4573"/>
    <cfRule type="duplicateValues" dxfId="7801" priority="4574"/>
    <cfRule type="duplicateValues" dxfId="7800" priority="4575"/>
    <cfRule type="duplicateValues" dxfId="7799" priority="4576"/>
    <cfRule type="duplicateValues" dxfId="7798" priority="4577"/>
    <cfRule type="duplicateValues" dxfId="7797" priority="4578"/>
    <cfRule type="duplicateValues" dxfId="7796" priority="4579"/>
    <cfRule type="duplicateValues" dxfId="7795" priority="4580"/>
    <cfRule type="duplicateValues" dxfId="7794" priority="4581"/>
    <cfRule type="duplicateValues" dxfId="7793" priority="4582"/>
    <cfRule type="duplicateValues" dxfId="7792" priority="4583"/>
    <cfRule type="duplicateValues" dxfId="7791" priority="4584"/>
    <cfRule type="duplicateValues" dxfId="7790" priority="4585"/>
    <cfRule type="duplicateValues" dxfId="7789" priority="4586"/>
    <cfRule type="duplicateValues" dxfId="7788" priority="4587"/>
    <cfRule type="duplicateValues" dxfId="7787" priority="4588"/>
    <cfRule type="duplicateValues" dxfId="7786" priority="4589"/>
    <cfRule type="duplicateValues" dxfId="7785" priority="4590"/>
    <cfRule type="duplicateValues" dxfId="7784" priority="4591"/>
    <cfRule type="duplicateValues" dxfId="7783" priority="4592"/>
    <cfRule type="duplicateValues" dxfId="7782" priority="4593"/>
    <cfRule type="duplicateValues" dxfId="7781" priority="4594"/>
    <cfRule type="duplicateValues" dxfId="7780" priority="4595"/>
    <cfRule type="duplicateValues" dxfId="7779" priority="4596"/>
    <cfRule type="duplicateValues" dxfId="7778" priority="4597"/>
    <cfRule type="duplicateValues" dxfId="7777" priority="4598"/>
    <cfRule type="duplicateValues" dxfId="7776" priority="4599"/>
    <cfRule type="duplicateValues" dxfId="7775" priority="4600"/>
    <cfRule type="duplicateValues" dxfId="7774" priority="4601"/>
    <cfRule type="duplicateValues" dxfId="7773" priority="4602"/>
    <cfRule type="duplicateValues" dxfId="7772" priority="4603"/>
    <cfRule type="duplicateValues" dxfId="7771" priority="4604"/>
    <cfRule type="duplicateValues" dxfId="7770" priority="4605"/>
    <cfRule type="duplicateValues" dxfId="7769" priority="4606"/>
    <cfRule type="duplicateValues" dxfId="7768" priority="4607"/>
    <cfRule type="duplicateValues" dxfId="7767" priority="4608"/>
    <cfRule type="duplicateValues" dxfId="7766" priority="4609"/>
    <cfRule type="duplicateValues" dxfId="7765" priority="4610"/>
    <cfRule type="duplicateValues" dxfId="7764" priority="4611"/>
    <cfRule type="duplicateValues" dxfId="7763" priority="4612"/>
    <cfRule type="duplicateValues" dxfId="7762" priority="4613"/>
    <cfRule type="duplicateValues" dxfId="7761" priority="4614"/>
    <cfRule type="duplicateValues" dxfId="7760" priority="4615"/>
    <cfRule type="duplicateValues" dxfId="7759" priority="4616"/>
    <cfRule type="duplicateValues" dxfId="7758" priority="4617"/>
    <cfRule type="duplicateValues" dxfId="7757" priority="4618"/>
    <cfRule type="duplicateValues" dxfId="7756" priority="4619"/>
    <cfRule type="duplicateValues" dxfId="7755" priority="4620"/>
    <cfRule type="duplicateValues" dxfId="7754" priority="4621"/>
    <cfRule type="duplicateValues" dxfId="7753" priority="4622"/>
    <cfRule type="duplicateValues" dxfId="7752" priority="4623"/>
    <cfRule type="duplicateValues" dxfId="7751" priority="4624"/>
    <cfRule type="duplicateValues" dxfId="7750" priority="4625"/>
    <cfRule type="duplicateValues" dxfId="7749" priority="4626"/>
    <cfRule type="duplicateValues" dxfId="7748" priority="4627"/>
    <cfRule type="duplicateValues" dxfId="7747" priority="4628"/>
    <cfRule type="duplicateValues" dxfId="7746" priority="4629"/>
    <cfRule type="duplicateValues" dxfId="7745" priority="4630"/>
    <cfRule type="duplicateValues" dxfId="7744" priority="4631"/>
    <cfRule type="duplicateValues" dxfId="7743" priority="4632"/>
    <cfRule type="duplicateValues" dxfId="7742" priority="4633"/>
    <cfRule type="duplicateValues" dxfId="7741" priority="4634"/>
    <cfRule type="duplicateValues" dxfId="7740" priority="4635"/>
    <cfRule type="duplicateValues" dxfId="7739" priority="4636"/>
    <cfRule type="duplicateValues" dxfId="7738" priority="4637"/>
    <cfRule type="duplicateValues" dxfId="7737" priority="4638"/>
    <cfRule type="duplicateValues" dxfId="7736" priority="4639"/>
    <cfRule type="duplicateValues" dxfId="7735" priority="4640"/>
    <cfRule type="duplicateValues" dxfId="7734" priority="4641"/>
    <cfRule type="duplicateValues" dxfId="7733" priority="4642"/>
    <cfRule type="duplicateValues" dxfId="7732" priority="4643"/>
    <cfRule type="duplicateValues" dxfId="7731" priority="4644"/>
    <cfRule type="duplicateValues" dxfId="7730" priority="4645"/>
    <cfRule type="duplicateValues" dxfId="7729" priority="4646"/>
    <cfRule type="duplicateValues" dxfId="7728" priority="4647"/>
    <cfRule type="duplicateValues" dxfId="7727" priority="4648"/>
    <cfRule type="duplicateValues" dxfId="7726" priority="4649"/>
    <cfRule type="duplicateValues" dxfId="7725" priority="4650"/>
    <cfRule type="duplicateValues" dxfId="7724" priority="4651"/>
    <cfRule type="duplicateValues" dxfId="7723" priority="4652"/>
    <cfRule type="duplicateValues" dxfId="7722" priority="4653"/>
    <cfRule type="duplicateValues" dxfId="7721" priority="4654"/>
    <cfRule type="duplicateValues" dxfId="7720" priority="4656"/>
    <cfRule type="duplicateValues" dxfId="7719" priority="4657"/>
    <cfRule type="duplicateValues" dxfId="7718" priority="4658"/>
    <cfRule type="duplicateValues" dxfId="7717" priority="4659"/>
    <cfRule type="duplicateValues" dxfId="7716" priority="4660"/>
    <cfRule type="duplicateValues" dxfId="7715" priority="4661"/>
    <cfRule type="duplicateValues" dxfId="7714" priority="4662"/>
    <cfRule type="duplicateValues" dxfId="7713" priority="4663"/>
    <cfRule type="duplicateValues" dxfId="7712" priority="4664"/>
    <cfRule type="duplicateValues" dxfId="7711" priority="4665"/>
    <cfRule type="duplicateValues" dxfId="7710" priority="4666"/>
    <cfRule type="duplicateValues" dxfId="7709" priority="4667"/>
  </conditionalFormatting>
  <conditionalFormatting sqref="B338">
    <cfRule type="duplicateValues" dxfId="7708" priority="4293"/>
    <cfRule type="duplicateValues" dxfId="7707" priority="4480"/>
    <cfRule type="duplicateValues" dxfId="7706" priority="4479"/>
    <cfRule type="duplicateValues" dxfId="7705" priority="4478"/>
    <cfRule type="duplicateValues" dxfId="7704" priority="4477"/>
    <cfRule type="duplicateValues" dxfId="7703" priority="4476"/>
    <cfRule type="duplicateValues" dxfId="7702" priority="4475"/>
    <cfRule type="duplicateValues" dxfId="7701" priority="4474"/>
    <cfRule type="duplicateValues" dxfId="7700" priority="4473"/>
    <cfRule type="duplicateValues" dxfId="7699" priority="4472"/>
    <cfRule type="duplicateValues" dxfId="7698" priority="4471"/>
    <cfRule type="duplicateValues" dxfId="7697" priority="4470"/>
    <cfRule type="duplicateValues" dxfId="7696" priority="4469"/>
    <cfRule type="duplicateValues" dxfId="7695" priority="4468"/>
    <cfRule type="duplicateValues" dxfId="7694" priority="4467"/>
    <cfRule type="duplicateValues" dxfId="7693" priority="4466"/>
    <cfRule type="duplicateValues" dxfId="7692" priority="4465"/>
    <cfRule type="duplicateValues" dxfId="7691" priority="4464"/>
    <cfRule type="duplicateValues" dxfId="7690" priority="4463"/>
    <cfRule type="duplicateValues" dxfId="7689" priority="4462"/>
    <cfRule type="duplicateValues" dxfId="7688" priority="4461"/>
    <cfRule type="duplicateValues" dxfId="7687" priority="4460"/>
    <cfRule type="duplicateValues" dxfId="7686" priority="4459"/>
    <cfRule type="duplicateValues" dxfId="7685" priority="4458"/>
    <cfRule type="duplicateValues" dxfId="7684" priority="4457"/>
    <cfRule type="duplicateValues" dxfId="7683" priority="4456"/>
    <cfRule type="duplicateValues" dxfId="7682" priority="4455"/>
    <cfRule type="duplicateValues" dxfId="7681" priority="4454"/>
    <cfRule type="duplicateValues" dxfId="7680" priority="4453"/>
    <cfRule type="duplicateValues" dxfId="7679" priority="4452"/>
    <cfRule type="duplicateValues" dxfId="7678" priority="4451"/>
    <cfRule type="duplicateValues" dxfId="7677" priority="4450"/>
    <cfRule type="duplicateValues" dxfId="7676" priority="4449"/>
    <cfRule type="duplicateValues" dxfId="7675" priority="4448"/>
    <cfRule type="duplicateValues" dxfId="7674" priority="4447"/>
    <cfRule type="duplicateValues" dxfId="7673" priority="4446"/>
    <cfRule type="duplicateValues" dxfId="7672" priority="4445"/>
    <cfRule type="duplicateValues" dxfId="7671" priority="4444"/>
    <cfRule type="duplicateValues" dxfId="7670" priority="4443"/>
    <cfRule type="duplicateValues" dxfId="7669" priority="4442"/>
    <cfRule type="duplicateValues" dxfId="7668" priority="4441"/>
    <cfRule type="duplicateValues" dxfId="7667" priority="4440"/>
    <cfRule type="duplicateValues" dxfId="7666" priority="4439"/>
    <cfRule type="duplicateValues" dxfId="7665" priority="4438"/>
    <cfRule type="duplicateValues" dxfId="7664" priority="4437"/>
    <cfRule type="duplicateValues" dxfId="7663" priority="4436"/>
    <cfRule type="duplicateValues" dxfId="7662" priority="4435"/>
    <cfRule type="duplicateValues" dxfId="7661" priority="4434"/>
    <cfRule type="duplicateValues" dxfId="7660" priority="4433"/>
    <cfRule type="duplicateValues" dxfId="7659" priority="4432"/>
    <cfRule type="duplicateValues" dxfId="7658" priority="4431"/>
    <cfRule type="duplicateValues" dxfId="7657" priority="4430"/>
    <cfRule type="duplicateValues" dxfId="7656" priority="4429"/>
    <cfRule type="duplicateValues" dxfId="7655" priority="4428"/>
    <cfRule type="duplicateValues" dxfId="7654" priority="4427"/>
    <cfRule type="duplicateValues" dxfId="7653" priority="4426"/>
    <cfRule type="duplicateValues" dxfId="7652" priority="4425"/>
    <cfRule type="duplicateValues" dxfId="7651" priority="4424"/>
    <cfRule type="duplicateValues" dxfId="7650" priority="4423"/>
    <cfRule type="duplicateValues" dxfId="7649" priority="4422"/>
    <cfRule type="duplicateValues" dxfId="7648" priority="4421"/>
    <cfRule type="duplicateValues" dxfId="7647" priority="4420"/>
    <cfRule type="duplicateValues" dxfId="7646" priority="4419"/>
    <cfRule type="duplicateValues" dxfId="7645" priority="4418"/>
    <cfRule type="duplicateValues" dxfId="7644" priority="4417"/>
    <cfRule type="duplicateValues" dxfId="7643" priority="4416"/>
    <cfRule type="duplicateValues" dxfId="7642" priority="4415"/>
    <cfRule type="duplicateValues" dxfId="7641" priority="4414"/>
    <cfRule type="duplicateValues" dxfId="7640" priority="4413"/>
    <cfRule type="duplicateValues" dxfId="7639" priority="4412"/>
    <cfRule type="duplicateValues" dxfId="7638" priority="4411"/>
    <cfRule type="duplicateValues" dxfId="7637" priority="4410"/>
    <cfRule type="duplicateValues" dxfId="7636" priority="4409"/>
    <cfRule type="duplicateValues" dxfId="7635" priority="4408"/>
    <cfRule type="duplicateValues" dxfId="7634" priority="4407"/>
    <cfRule type="duplicateValues" dxfId="7633" priority="4406"/>
    <cfRule type="duplicateValues" dxfId="7632" priority="4405"/>
    <cfRule type="duplicateValues" dxfId="7631" priority="4404"/>
    <cfRule type="duplicateValues" dxfId="7630" priority="4403"/>
    <cfRule type="duplicateValues" dxfId="7629" priority="4402"/>
    <cfRule type="duplicateValues" dxfId="7628" priority="4401"/>
    <cfRule type="duplicateValues" dxfId="7627" priority="4400"/>
    <cfRule type="duplicateValues" dxfId="7626" priority="4399"/>
    <cfRule type="duplicateValues" dxfId="7625" priority="4398"/>
    <cfRule type="duplicateValues" dxfId="7624" priority="4397"/>
    <cfRule type="duplicateValues" dxfId="7623" priority="4396"/>
    <cfRule type="duplicateValues" dxfId="7622" priority="4395"/>
    <cfRule type="duplicateValues" dxfId="7621" priority="4394"/>
    <cfRule type="duplicateValues" dxfId="7620" priority="4393"/>
    <cfRule type="duplicateValues" dxfId="7619" priority="4392"/>
    <cfRule type="duplicateValues" dxfId="7618" priority="4391"/>
    <cfRule type="duplicateValues" dxfId="7617" priority="4390"/>
    <cfRule type="duplicateValues" dxfId="7616" priority="4389"/>
    <cfRule type="duplicateValues" dxfId="7615" priority="4388"/>
    <cfRule type="duplicateValues" dxfId="7614" priority="4387"/>
    <cfRule type="duplicateValues" dxfId="7613" priority="4386"/>
    <cfRule type="duplicateValues" dxfId="7612" priority="4385"/>
    <cfRule type="duplicateValues" dxfId="7611" priority="4384"/>
    <cfRule type="duplicateValues" dxfId="7610" priority="4383"/>
    <cfRule type="duplicateValues" dxfId="7609" priority="4382"/>
    <cfRule type="duplicateValues" dxfId="7608" priority="4381"/>
    <cfRule type="duplicateValues" dxfId="7607" priority="4380"/>
    <cfRule type="duplicateValues" dxfId="7606" priority="4379"/>
    <cfRule type="duplicateValues" dxfId="7605" priority="4378"/>
    <cfRule type="duplicateValues" dxfId="7604" priority="4377"/>
    <cfRule type="duplicateValues" dxfId="7603" priority="4376"/>
    <cfRule type="duplicateValues" dxfId="7602" priority="4375"/>
    <cfRule type="duplicateValues" dxfId="7601" priority="4374"/>
    <cfRule type="duplicateValues" dxfId="7600" priority="4373"/>
    <cfRule type="duplicateValues" dxfId="7599" priority="4372"/>
    <cfRule type="duplicateValues" dxfId="7598" priority="4371"/>
    <cfRule type="duplicateValues" dxfId="7597" priority="4370"/>
    <cfRule type="duplicateValues" dxfId="7596" priority="4369"/>
    <cfRule type="duplicateValues" dxfId="7595" priority="4368"/>
    <cfRule type="duplicateValues" dxfId="7594" priority="4367"/>
    <cfRule type="duplicateValues" dxfId="7593" priority="4366"/>
    <cfRule type="duplicateValues" dxfId="7592" priority="4365"/>
    <cfRule type="duplicateValues" dxfId="7591" priority="4364"/>
    <cfRule type="duplicateValues" dxfId="7590" priority="4363"/>
    <cfRule type="duplicateValues" dxfId="7589" priority="4362"/>
    <cfRule type="duplicateValues" dxfId="7588" priority="4361"/>
    <cfRule type="duplicateValues" dxfId="7587" priority="4360"/>
    <cfRule type="duplicateValues" dxfId="7586" priority="4359"/>
    <cfRule type="duplicateValues" dxfId="7585" priority="4358"/>
    <cfRule type="duplicateValues" dxfId="7584" priority="4357"/>
    <cfRule type="duplicateValues" dxfId="7583" priority="4356"/>
    <cfRule type="duplicateValues" dxfId="7582" priority="4355"/>
    <cfRule type="duplicateValues" dxfId="7581" priority="4354"/>
    <cfRule type="duplicateValues" dxfId="7580" priority="4353"/>
    <cfRule type="duplicateValues" dxfId="7579" priority="4352"/>
    <cfRule type="duplicateValues" dxfId="7578" priority="4351"/>
    <cfRule type="duplicateValues" dxfId="7577" priority="4350"/>
    <cfRule type="duplicateValues" dxfId="7576" priority="4349"/>
    <cfRule type="duplicateValues" dxfId="7575" priority="4348"/>
    <cfRule type="duplicateValues" dxfId="7574" priority="4347"/>
    <cfRule type="duplicateValues" dxfId="7573" priority="4346"/>
    <cfRule type="duplicateValues" dxfId="7572" priority="4345"/>
    <cfRule type="duplicateValues" dxfId="7571" priority="4344"/>
    <cfRule type="duplicateValues" dxfId="7570" priority="4343"/>
    <cfRule type="duplicateValues" dxfId="7569" priority="4342"/>
    <cfRule type="duplicateValues" dxfId="7568" priority="4341"/>
    <cfRule type="duplicateValues" dxfId="7567" priority="4340"/>
    <cfRule type="duplicateValues" dxfId="7566" priority="4339"/>
    <cfRule type="duplicateValues" dxfId="7565" priority="4338"/>
    <cfRule type="duplicateValues" dxfId="7564" priority="4337"/>
    <cfRule type="duplicateValues" dxfId="7563" priority="4336"/>
    <cfRule type="duplicateValues" dxfId="7562" priority="4335"/>
    <cfRule type="duplicateValues" dxfId="7561" priority="4334"/>
    <cfRule type="duplicateValues" dxfId="7560" priority="4333"/>
    <cfRule type="duplicateValues" dxfId="7559" priority="4332"/>
    <cfRule type="duplicateValues" dxfId="7558" priority="4331"/>
    <cfRule type="duplicateValues" dxfId="7557" priority="4330"/>
    <cfRule type="duplicateValues" dxfId="7556" priority="4329"/>
    <cfRule type="duplicateValues" dxfId="7555" priority="4328"/>
    <cfRule type="duplicateValues" dxfId="7554" priority="4327"/>
    <cfRule type="duplicateValues" dxfId="7553" priority="4326"/>
    <cfRule type="duplicateValues" dxfId="7552" priority="4325"/>
    <cfRule type="duplicateValues" dxfId="7551" priority="4324"/>
    <cfRule type="duplicateValues" dxfId="7550" priority="4323"/>
    <cfRule type="duplicateValues" dxfId="7549" priority="4322"/>
    <cfRule type="duplicateValues" dxfId="7548" priority="4321"/>
    <cfRule type="duplicateValues" dxfId="7547" priority="4320"/>
    <cfRule type="duplicateValues" dxfId="7546" priority="4319"/>
    <cfRule type="duplicateValues" dxfId="7545" priority="4318"/>
    <cfRule type="duplicateValues" dxfId="7544" priority="4317"/>
    <cfRule type="duplicateValues" dxfId="7543" priority="4316"/>
    <cfRule type="duplicateValues" dxfId="7542" priority="4315"/>
    <cfRule type="duplicateValues" dxfId="7541" priority="4314"/>
    <cfRule type="duplicateValues" dxfId="7540" priority="4313"/>
    <cfRule type="duplicateValues" dxfId="7539" priority="4312"/>
    <cfRule type="duplicateValues" dxfId="7538" priority="4311"/>
    <cfRule type="duplicateValues" dxfId="7537" priority="4310"/>
    <cfRule type="duplicateValues" dxfId="7536" priority="4309"/>
    <cfRule type="duplicateValues" dxfId="7535" priority="4308"/>
    <cfRule type="duplicateValues" dxfId="7534" priority="4307"/>
    <cfRule type="duplicateValues" dxfId="7533" priority="4306"/>
    <cfRule type="duplicateValues" dxfId="7532" priority="4305"/>
    <cfRule type="duplicateValues" dxfId="7531" priority="4304"/>
    <cfRule type="duplicateValues" dxfId="7530" priority="4303"/>
    <cfRule type="duplicateValues" dxfId="7529" priority="4302"/>
    <cfRule type="duplicateValues" dxfId="7528" priority="4301"/>
    <cfRule type="duplicateValues" dxfId="7527" priority="4300"/>
    <cfRule type="duplicateValues" dxfId="7526" priority="4299"/>
    <cfRule type="duplicateValues" dxfId="7525" priority="4298"/>
    <cfRule type="duplicateValues" dxfId="7524" priority="4297"/>
    <cfRule type="duplicateValues" dxfId="7523" priority="4296"/>
    <cfRule type="duplicateValues" dxfId="7522" priority="4295"/>
    <cfRule type="duplicateValues" dxfId="7521" priority="4294"/>
  </conditionalFormatting>
  <conditionalFormatting sqref="B339:B343">
    <cfRule type="duplicateValues" dxfId="7520" priority="4153"/>
    <cfRule type="duplicateValues" dxfId="7519" priority="4108"/>
    <cfRule type="duplicateValues" dxfId="7518" priority="4109"/>
    <cfRule type="duplicateValues" dxfId="7517" priority="4110"/>
    <cfRule type="duplicateValues" dxfId="7516" priority="4111"/>
    <cfRule type="duplicateValues" dxfId="7515" priority="4112"/>
    <cfRule type="duplicateValues" dxfId="7514" priority="4113"/>
    <cfRule type="duplicateValues" dxfId="7513" priority="4114"/>
    <cfRule type="duplicateValues" dxfId="7512" priority="4115"/>
    <cfRule type="duplicateValues" dxfId="7511" priority="4116"/>
    <cfRule type="duplicateValues" dxfId="7510" priority="4117"/>
    <cfRule type="duplicateValues" dxfId="7509" priority="4118"/>
    <cfRule type="duplicateValues" dxfId="7508" priority="4119"/>
    <cfRule type="duplicateValues" dxfId="7507" priority="4120"/>
    <cfRule type="duplicateValues" dxfId="7506" priority="4121"/>
    <cfRule type="duplicateValues" dxfId="7505" priority="4122"/>
    <cfRule type="duplicateValues" dxfId="7504" priority="4123"/>
    <cfRule type="duplicateValues" dxfId="7503" priority="4124"/>
    <cfRule type="duplicateValues" dxfId="7502" priority="4125"/>
    <cfRule type="duplicateValues" dxfId="7501" priority="4126"/>
    <cfRule type="duplicateValues" dxfId="7500" priority="4127"/>
    <cfRule type="duplicateValues" dxfId="7499" priority="4128"/>
    <cfRule type="duplicateValues" dxfId="7498" priority="4129"/>
    <cfRule type="duplicateValues" dxfId="7497" priority="4292"/>
    <cfRule type="duplicateValues" dxfId="7496" priority="4130"/>
    <cfRule type="duplicateValues" dxfId="7495" priority="4131"/>
    <cfRule type="duplicateValues" dxfId="7494" priority="4132"/>
    <cfRule type="duplicateValues" dxfId="7493" priority="4133"/>
    <cfRule type="duplicateValues" dxfId="7492" priority="4134"/>
    <cfRule type="duplicateValues" dxfId="7491" priority="4135"/>
    <cfRule type="duplicateValues" dxfId="7490" priority="4136"/>
    <cfRule type="duplicateValues" dxfId="7489" priority="4137"/>
    <cfRule type="duplicateValues" dxfId="7488" priority="4138"/>
    <cfRule type="duplicateValues" dxfId="7487" priority="4139"/>
    <cfRule type="duplicateValues" dxfId="7486" priority="4140"/>
    <cfRule type="duplicateValues" dxfId="7485" priority="4141"/>
    <cfRule type="duplicateValues" dxfId="7484" priority="4142"/>
    <cfRule type="duplicateValues" dxfId="7483" priority="4143"/>
    <cfRule type="duplicateValues" dxfId="7482" priority="4144"/>
    <cfRule type="duplicateValues" dxfId="7481" priority="4145"/>
    <cfRule type="duplicateValues" dxfId="7480" priority="4146"/>
    <cfRule type="duplicateValues" dxfId="7479" priority="4147"/>
    <cfRule type="duplicateValues" dxfId="7478" priority="4148"/>
    <cfRule type="duplicateValues" dxfId="7477" priority="4149"/>
    <cfRule type="duplicateValues" dxfId="7476" priority="4150"/>
    <cfRule type="duplicateValues" dxfId="7475" priority="4151"/>
    <cfRule type="duplicateValues" dxfId="7474" priority="4152"/>
    <cfRule type="duplicateValues" dxfId="7473" priority="4105"/>
    <cfRule type="duplicateValues" dxfId="7472" priority="4154"/>
    <cfRule type="duplicateValues" dxfId="7471" priority="4155"/>
    <cfRule type="duplicateValues" dxfId="7470" priority="4156"/>
    <cfRule type="duplicateValues" dxfId="7469" priority="4157"/>
    <cfRule type="duplicateValues" dxfId="7468" priority="4158"/>
    <cfRule type="duplicateValues" dxfId="7467" priority="4159"/>
    <cfRule type="duplicateValues" dxfId="7466" priority="4160"/>
    <cfRule type="duplicateValues" dxfId="7465" priority="4161"/>
    <cfRule type="duplicateValues" dxfId="7464" priority="4162"/>
    <cfRule type="duplicateValues" dxfId="7463" priority="4163"/>
    <cfRule type="duplicateValues" dxfId="7462" priority="4164"/>
    <cfRule type="duplicateValues" dxfId="7461" priority="4165"/>
    <cfRule type="duplicateValues" dxfId="7460" priority="4166"/>
    <cfRule type="duplicateValues" dxfId="7459" priority="4167"/>
    <cfRule type="duplicateValues" dxfId="7458" priority="4168"/>
    <cfRule type="duplicateValues" dxfId="7457" priority="4169"/>
    <cfRule type="duplicateValues" dxfId="7456" priority="4170"/>
    <cfRule type="duplicateValues" dxfId="7455" priority="4171"/>
    <cfRule type="duplicateValues" dxfId="7454" priority="4172"/>
    <cfRule type="duplicateValues" dxfId="7453" priority="4173"/>
    <cfRule type="duplicateValues" dxfId="7452" priority="4174"/>
    <cfRule type="duplicateValues" dxfId="7451" priority="4175"/>
    <cfRule type="duplicateValues" dxfId="7450" priority="4176"/>
    <cfRule type="duplicateValues" dxfId="7449" priority="4177"/>
    <cfRule type="duplicateValues" dxfId="7448" priority="4178"/>
    <cfRule type="duplicateValues" dxfId="7447" priority="4179"/>
    <cfRule type="duplicateValues" dxfId="7446" priority="4180"/>
    <cfRule type="duplicateValues" dxfId="7445" priority="4181"/>
    <cfRule type="duplicateValues" dxfId="7444" priority="4182"/>
    <cfRule type="duplicateValues" dxfId="7443" priority="4183"/>
    <cfRule type="duplicateValues" dxfId="7442" priority="4184"/>
    <cfRule type="duplicateValues" dxfId="7441" priority="4185"/>
    <cfRule type="duplicateValues" dxfId="7440" priority="4186"/>
    <cfRule type="duplicateValues" dxfId="7439" priority="4187"/>
    <cfRule type="duplicateValues" dxfId="7438" priority="4188"/>
    <cfRule type="duplicateValues" dxfId="7437" priority="4189"/>
    <cfRule type="duplicateValues" dxfId="7436" priority="4190"/>
    <cfRule type="duplicateValues" dxfId="7435" priority="4191"/>
    <cfRule type="duplicateValues" dxfId="7434" priority="4192"/>
    <cfRule type="duplicateValues" dxfId="7433" priority="4193"/>
    <cfRule type="duplicateValues" dxfId="7432" priority="4194"/>
    <cfRule type="duplicateValues" dxfId="7431" priority="4195"/>
    <cfRule type="duplicateValues" dxfId="7430" priority="4196"/>
    <cfRule type="duplicateValues" dxfId="7429" priority="4197"/>
    <cfRule type="duplicateValues" dxfId="7428" priority="4198"/>
    <cfRule type="duplicateValues" dxfId="7427" priority="4200"/>
    <cfRule type="duplicateValues" dxfId="7426" priority="4199"/>
    <cfRule type="duplicateValues" dxfId="7425" priority="4201"/>
    <cfRule type="duplicateValues" dxfId="7424" priority="4202"/>
    <cfRule type="duplicateValues" dxfId="7423" priority="4203"/>
    <cfRule type="duplicateValues" dxfId="7422" priority="4204"/>
    <cfRule type="duplicateValues" dxfId="7421" priority="4205"/>
    <cfRule type="duplicateValues" dxfId="7420" priority="4206"/>
    <cfRule type="duplicateValues" dxfId="7419" priority="4207"/>
    <cfRule type="duplicateValues" dxfId="7418" priority="4208"/>
    <cfRule type="duplicateValues" dxfId="7417" priority="4209"/>
    <cfRule type="duplicateValues" dxfId="7416" priority="4210"/>
    <cfRule type="duplicateValues" dxfId="7415" priority="4211"/>
    <cfRule type="duplicateValues" dxfId="7414" priority="4212"/>
    <cfRule type="duplicateValues" dxfId="7413" priority="4213"/>
    <cfRule type="duplicateValues" dxfId="7412" priority="4214"/>
    <cfRule type="duplicateValues" dxfId="7411" priority="4215"/>
    <cfRule type="duplicateValues" dxfId="7410" priority="4216"/>
    <cfRule type="duplicateValues" dxfId="7409" priority="4217"/>
    <cfRule type="duplicateValues" dxfId="7408" priority="4218"/>
    <cfRule type="duplicateValues" dxfId="7407" priority="4219"/>
    <cfRule type="duplicateValues" dxfId="7406" priority="4220"/>
    <cfRule type="duplicateValues" dxfId="7405" priority="4221"/>
    <cfRule type="duplicateValues" dxfId="7404" priority="4222"/>
    <cfRule type="duplicateValues" dxfId="7403" priority="4223"/>
    <cfRule type="duplicateValues" dxfId="7402" priority="4224"/>
    <cfRule type="duplicateValues" dxfId="7401" priority="4225"/>
    <cfRule type="duplicateValues" dxfId="7400" priority="4226"/>
    <cfRule type="duplicateValues" dxfId="7399" priority="4227"/>
    <cfRule type="duplicateValues" dxfId="7398" priority="4228"/>
    <cfRule type="duplicateValues" dxfId="7397" priority="4229"/>
    <cfRule type="duplicateValues" dxfId="7396" priority="4230"/>
    <cfRule type="duplicateValues" dxfId="7395" priority="4231"/>
    <cfRule type="duplicateValues" dxfId="7394" priority="4232"/>
    <cfRule type="duplicateValues" dxfId="7393" priority="4233"/>
    <cfRule type="duplicateValues" dxfId="7392" priority="4234"/>
    <cfRule type="duplicateValues" dxfId="7391" priority="4235"/>
    <cfRule type="duplicateValues" dxfId="7390" priority="4236"/>
    <cfRule type="duplicateValues" dxfId="7389" priority="4237"/>
    <cfRule type="duplicateValues" dxfId="7388" priority="4238"/>
    <cfRule type="duplicateValues" dxfId="7387" priority="4239"/>
    <cfRule type="duplicateValues" dxfId="7386" priority="4240"/>
    <cfRule type="duplicateValues" dxfId="7385" priority="4241"/>
    <cfRule type="duplicateValues" dxfId="7384" priority="4242"/>
    <cfRule type="duplicateValues" dxfId="7383" priority="4243"/>
    <cfRule type="duplicateValues" dxfId="7382" priority="4244"/>
    <cfRule type="duplicateValues" dxfId="7381" priority="4245"/>
    <cfRule type="duplicateValues" dxfId="7380" priority="4246"/>
    <cfRule type="duplicateValues" dxfId="7379" priority="4247"/>
    <cfRule type="duplicateValues" dxfId="7378" priority="4248"/>
    <cfRule type="duplicateValues" dxfId="7377" priority="4249"/>
    <cfRule type="duplicateValues" dxfId="7376" priority="4250"/>
    <cfRule type="duplicateValues" dxfId="7375" priority="4251"/>
    <cfRule type="duplicateValues" dxfId="7374" priority="4252"/>
    <cfRule type="duplicateValues" dxfId="7373" priority="4253"/>
    <cfRule type="duplicateValues" dxfId="7372" priority="4254"/>
    <cfRule type="duplicateValues" dxfId="7371" priority="4255"/>
    <cfRule type="duplicateValues" dxfId="7370" priority="4256"/>
    <cfRule type="duplicateValues" dxfId="7369" priority="4257"/>
    <cfRule type="duplicateValues" dxfId="7368" priority="4258"/>
    <cfRule type="duplicateValues" dxfId="7367" priority="4259"/>
    <cfRule type="duplicateValues" dxfId="7366" priority="4260"/>
    <cfRule type="duplicateValues" dxfId="7365" priority="4261"/>
    <cfRule type="duplicateValues" dxfId="7364" priority="4262"/>
    <cfRule type="duplicateValues" dxfId="7363" priority="4263"/>
    <cfRule type="duplicateValues" dxfId="7362" priority="4264"/>
    <cfRule type="duplicateValues" dxfId="7361" priority="4265"/>
    <cfRule type="duplicateValues" dxfId="7360" priority="4266"/>
    <cfRule type="duplicateValues" dxfId="7359" priority="4267"/>
    <cfRule type="duplicateValues" dxfId="7358" priority="4268"/>
    <cfRule type="duplicateValues" dxfId="7357" priority="4269"/>
    <cfRule type="duplicateValues" dxfId="7356" priority="4270"/>
    <cfRule type="duplicateValues" dxfId="7355" priority="4271"/>
    <cfRule type="duplicateValues" dxfId="7354" priority="4272"/>
    <cfRule type="duplicateValues" dxfId="7353" priority="4273"/>
    <cfRule type="duplicateValues" dxfId="7352" priority="4274"/>
    <cfRule type="duplicateValues" dxfId="7351" priority="4275"/>
    <cfRule type="duplicateValues" dxfId="7350" priority="4276"/>
    <cfRule type="duplicateValues" dxfId="7349" priority="4277"/>
    <cfRule type="duplicateValues" dxfId="7348" priority="4278"/>
    <cfRule type="duplicateValues" dxfId="7347" priority="4279"/>
    <cfRule type="duplicateValues" dxfId="7346" priority="4280"/>
    <cfRule type="duplicateValues" dxfId="7345" priority="4281"/>
    <cfRule type="duplicateValues" dxfId="7344" priority="4282"/>
    <cfRule type="duplicateValues" dxfId="7343" priority="4283"/>
    <cfRule type="duplicateValues" dxfId="7342" priority="4284"/>
    <cfRule type="duplicateValues" dxfId="7341" priority="4285"/>
    <cfRule type="duplicateValues" dxfId="7340" priority="4286"/>
    <cfRule type="duplicateValues" dxfId="7339" priority="4287"/>
    <cfRule type="duplicateValues" dxfId="7338" priority="4288"/>
    <cfRule type="duplicateValues" dxfId="7337" priority="4289"/>
    <cfRule type="duplicateValues" dxfId="7336" priority="4290"/>
    <cfRule type="duplicateValues" dxfId="7335" priority="4291"/>
    <cfRule type="duplicateValues" dxfId="7334" priority="4107"/>
    <cfRule type="duplicateValues" dxfId="7333" priority="4106"/>
  </conditionalFormatting>
  <conditionalFormatting sqref="B344">
    <cfRule type="duplicateValues" dxfId="7332" priority="5043"/>
    <cfRule type="duplicateValues" dxfId="7331" priority="4857"/>
    <cfRule type="duplicateValues" dxfId="7330" priority="4858"/>
    <cfRule type="duplicateValues" dxfId="7329" priority="4859"/>
    <cfRule type="duplicateValues" dxfId="7328" priority="4860"/>
    <cfRule type="duplicateValues" dxfId="7327" priority="4861"/>
    <cfRule type="duplicateValues" dxfId="7326" priority="4862"/>
    <cfRule type="duplicateValues" dxfId="7325" priority="4863"/>
    <cfRule type="duplicateValues" dxfId="7324" priority="4864"/>
    <cfRule type="duplicateValues" dxfId="7323" priority="4865"/>
    <cfRule type="duplicateValues" dxfId="7322" priority="4866"/>
    <cfRule type="duplicateValues" dxfId="7321" priority="4867"/>
    <cfRule type="duplicateValues" dxfId="7320" priority="4868"/>
    <cfRule type="duplicateValues" dxfId="7319" priority="4869"/>
    <cfRule type="duplicateValues" dxfId="7318" priority="4870"/>
    <cfRule type="duplicateValues" dxfId="7317" priority="4871"/>
    <cfRule type="duplicateValues" dxfId="7316" priority="4872"/>
    <cfRule type="duplicateValues" dxfId="7315" priority="4873"/>
    <cfRule type="duplicateValues" dxfId="7314" priority="4874"/>
    <cfRule type="duplicateValues" dxfId="7313" priority="4875"/>
    <cfRule type="duplicateValues" dxfId="7312" priority="4876"/>
    <cfRule type="duplicateValues" dxfId="7311" priority="4877"/>
    <cfRule type="duplicateValues" dxfId="7310" priority="4878"/>
    <cfRule type="duplicateValues" dxfId="7309" priority="4879"/>
    <cfRule type="duplicateValues" dxfId="7308" priority="4880"/>
    <cfRule type="duplicateValues" dxfId="7307" priority="4881"/>
    <cfRule type="duplicateValues" dxfId="7306" priority="4882"/>
    <cfRule type="duplicateValues" dxfId="7305" priority="4883"/>
    <cfRule type="duplicateValues" dxfId="7304" priority="4884"/>
    <cfRule type="duplicateValues" dxfId="7303" priority="4885"/>
    <cfRule type="duplicateValues" dxfId="7302" priority="4886"/>
    <cfRule type="duplicateValues" dxfId="7301" priority="4887"/>
    <cfRule type="duplicateValues" dxfId="7300" priority="4888"/>
    <cfRule type="duplicateValues" dxfId="7299" priority="4889"/>
    <cfRule type="duplicateValues" dxfId="7298" priority="4890"/>
    <cfRule type="duplicateValues" dxfId="7297" priority="4891"/>
    <cfRule type="duplicateValues" dxfId="7296" priority="4892"/>
    <cfRule type="duplicateValues" dxfId="7295" priority="4893"/>
    <cfRule type="duplicateValues" dxfId="7294" priority="4894"/>
    <cfRule type="duplicateValues" dxfId="7293" priority="4895"/>
    <cfRule type="duplicateValues" dxfId="7292" priority="4896"/>
    <cfRule type="duplicateValues" dxfId="7291" priority="4897"/>
    <cfRule type="duplicateValues" dxfId="7290" priority="4898"/>
    <cfRule type="duplicateValues" dxfId="7289" priority="4899"/>
    <cfRule type="duplicateValues" dxfId="7288" priority="4900"/>
    <cfRule type="duplicateValues" dxfId="7287" priority="4901"/>
    <cfRule type="duplicateValues" dxfId="7286" priority="4902"/>
    <cfRule type="duplicateValues" dxfId="7285" priority="4903"/>
    <cfRule type="duplicateValues" dxfId="7284" priority="4904"/>
    <cfRule type="duplicateValues" dxfId="7283" priority="4905"/>
    <cfRule type="duplicateValues" dxfId="7282" priority="4906"/>
    <cfRule type="duplicateValues" dxfId="7281" priority="4907"/>
    <cfRule type="duplicateValues" dxfId="7280" priority="4908"/>
    <cfRule type="duplicateValues" dxfId="7279" priority="4909"/>
    <cfRule type="duplicateValues" dxfId="7278" priority="4910"/>
    <cfRule type="duplicateValues" dxfId="7277" priority="4911"/>
    <cfRule type="duplicateValues" dxfId="7276" priority="4912"/>
    <cfRule type="duplicateValues" dxfId="7275" priority="4913"/>
    <cfRule type="duplicateValues" dxfId="7274" priority="4914"/>
    <cfRule type="duplicateValues" dxfId="7273" priority="4915"/>
    <cfRule type="duplicateValues" dxfId="7272" priority="4916"/>
    <cfRule type="duplicateValues" dxfId="7271" priority="4917"/>
    <cfRule type="duplicateValues" dxfId="7270" priority="4918"/>
    <cfRule type="duplicateValues" dxfId="7269" priority="4919"/>
    <cfRule type="duplicateValues" dxfId="7268" priority="4920"/>
    <cfRule type="duplicateValues" dxfId="7267" priority="4921"/>
    <cfRule type="duplicateValues" dxfId="7266" priority="4922"/>
    <cfRule type="duplicateValues" dxfId="7265" priority="4923"/>
    <cfRule type="duplicateValues" dxfId="7264" priority="4924"/>
    <cfRule type="duplicateValues" dxfId="7263" priority="4925"/>
    <cfRule type="duplicateValues" dxfId="7262" priority="4926"/>
    <cfRule type="duplicateValues" dxfId="7261" priority="4927"/>
    <cfRule type="duplicateValues" dxfId="7260" priority="4928"/>
    <cfRule type="duplicateValues" dxfId="7259" priority="4929"/>
    <cfRule type="duplicateValues" dxfId="7258" priority="4930"/>
    <cfRule type="duplicateValues" dxfId="7257" priority="4931"/>
    <cfRule type="duplicateValues" dxfId="7256" priority="4932"/>
    <cfRule type="duplicateValues" dxfId="7255" priority="4933"/>
    <cfRule type="duplicateValues" dxfId="7254" priority="4934"/>
    <cfRule type="duplicateValues" dxfId="7253" priority="4935"/>
    <cfRule type="duplicateValues" dxfId="7252" priority="4936"/>
    <cfRule type="duplicateValues" dxfId="7251" priority="4937"/>
    <cfRule type="duplicateValues" dxfId="7250" priority="4938"/>
    <cfRule type="duplicateValues" dxfId="7249" priority="4939"/>
    <cfRule type="duplicateValues" dxfId="7248" priority="4940"/>
    <cfRule type="duplicateValues" dxfId="7247" priority="4941"/>
    <cfRule type="duplicateValues" dxfId="7246" priority="4942"/>
    <cfRule type="duplicateValues" dxfId="7245" priority="4943"/>
    <cfRule type="duplicateValues" dxfId="7244" priority="4944"/>
    <cfRule type="duplicateValues" dxfId="7243" priority="4945"/>
    <cfRule type="duplicateValues" dxfId="7242" priority="4946"/>
    <cfRule type="duplicateValues" dxfId="7241" priority="4947"/>
    <cfRule type="duplicateValues" dxfId="7240" priority="4948"/>
    <cfRule type="duplicateValues" dxfId="7239" priority="4949"/>
    <cfRule type="duplicateValues" dxfId="7238" priority="4950"/>
    <cfRule type="duplicateValues" dxfId="7237" priority="4951"/>
    <cfRule type="duplicateValues" dxfId="7236" priority="4952"/>
    <cfRule type="duplicateValues" dxfId="7235" priority="4953"/>
    <cfRule type="duplicateValues" dxfId="7234" priority="4954"/>
    <cfRule type="duplicateValues" dxfId="7233" priority="4955"/>
    <cfRule type="duplicateValues" dxfId="7232" priority="4956"/>
    <cfRule type="duplicateValues" dxfId="7231" priority="4957"/>
    <cfRule type="duplicateValues" dxfId="7230" priority="4958"/>
    <cfRule type="duplicateValues" dxfId="7229" priority="4959"/>
    <cfRule type="duplicateValues" dxfId="7228" priority="4960"/>
    <cfRule type="duplicateValues" dxfId="7227" priority="4961"/>
    <cfRule type="duplicateValues" dxfId="7226" priority="4962"/>
    <cfRule type="duplicateValues" dxfId="7225" priority="4963"/>
    <cfRule type="duplicateValues" dxfId="7224" priority="4964"/>
    <cfRule type="duplicateValues" dxfId="7223" priority="4965"/>
    <cfRule type="duplicateValues" dxfId="7222" priority="4966"/>
    <cfRule type="duplicateValues" dxfId="7221" priority="4967"/>
    <cfRule type="duplicateValues" dxfId="7220" priority="4968"/>
    <cfRule type="duplicateValues" dxfId="7219" priority="4969"/>
    <cfRule type="duplicateValues" dxfId="7218" priority="4970"/>
    <cfRule type="duplicateValues" dxfId="7217" priority="4971"/>
    <cfRule type="duplicateValues" dxfId="7216" priority="4972"/>
    <cfRule type="duplicateValues" dxfId="7215" priority="4973"/>
    <cfRule type="duplicateValues" dxfId="7214" priority="4974"/>
    <cfRule type="duplicateValues" dxfId="7213" priority="4975"/>
    <cfRule type="duplicateValues" dxfId="7212" priority="4976"/>
    <cfRule type="duplicateValues" dxfId="7211" priority="4977"/>
    <cfRule type="duplicateValues" dxfId="7210" priority="4978"/>
    <cfRule type="duplicateValues" dxfId="7209" priority="4979"/>
    <cfRule type="duplicateValues" dxfId="7208" priority="4980"/>
    <cfRule type="duplicateValues" dxfId="7207" priority="4981"/>
    <cfRule type="duplicateValues" dxfId="7206" priority="4982"/>
    <cfRule type="duplicateValues" dxfId="7205" priority="4983"/>
    <cfRule type="duplicateValues" dxfId="7204" priority="4984"/>
    <cfRule type="duplicateValues" dxfId="7203" priority="4985"/>
    <cfRule type="duplicateValues" dxfId="7202" priority="4986"/>
    <cfRule type="duplicateValues" dxfId="7201" priority="4987"/>
    <cfRule type="duplicateValues" dxfId="7200" priority="4988"/>
    <cfRule type="duplicateValues" dxfId="7199" priority="4989"/>
    <cfRule type="duplicateValues" dxfId="7198" priority="4990"/>
    <cfRule type="duplicateValues" dxfId="7197" priority="4991"/>
    <cfRule type="duplicateValues" dxfId="7196" priority="4992"/>
    <cfRule type="duplicateValues" dxfId="7195" priority="4993"/>
    <cfRule type="duplicateValues" dxfId="7194" priority="4994"/>
    <cfRule type="duplicateValues" dxfId="7193" priority="4995"/>
    <cfRule type="duplicateValues" dxfId="7192" priority="4996"/>
    <cfRule type="duplicateValues" dxfId="7191" priority="4997"/>
    <cfRule type="duplicateValues" dxfId="7190" priority="4998"/>
    <cfRule type="duplicateValues" dxfId="7189" priority="4999"/>
    <cfRule type="duplicateValues" dxfId="7188" priority="5000"/>
    <cfRule type="duplicateValues" dxfId="7187" priority="5001"/>
    <cfRule type="duplicateValues" dxfId="7186" priority="5002"/>
    <cfRule type="duplicateValues" dxfId="7185" priority="5003"/>
    <cfRule type="duplicateValues" dxfId="7184" priority="5004"/>
    <cfRule type="duplicateValues" dxfId="7183" priority="5005"/>
    <cfRule type="duplicateValues" dxfId="7182" priority="5006"/>
    <cfRule type="duplicateValues" dxfId="7181" priority="5007"/>
    <cfRule type="duplicateValues" dxfId="7180" priority="5008"/>
    <cfRule type="duplicateValues" dxfId="7179" priority="5009"/>
    <cfRule type="duplicateValues" dxfId="7178" priority="5010"/>
    <cfRule type="duplicateValues" dxfId="7177" priority="5011"/>
    <cfRule type="duplicateValues" dxfId="7176" priority="5012"/>
    <cfRule type="duplicateValues" dxfId="7175" priority="5013"/>
    <cfRule type="duplicateValues" dxfId="7174" priority="5014"/>
    <cfRule type="duplicateValues" dxfId="7173" priority="5015"/>
    <cfRule type="duplicateValues" dxfId="7172" priority="5016"/>
    <cfRule type="duplicateValues" dxfId="7171" priority="5017"/>
    <cfRule type="duplicateValues" dxfId="7170" priority="5018"/>
    <cfRule type="duplicateValues" dxfId="7169" priority="5019"/>
    <cfRule type="duplicateValues" dxfId="7168" priority="5020"/>
    <cfRule type="duplicateValues" dxfId="7167" priority="5021"/>
    <cfRule type="duplicateValues" dxfId="7166" priority="5022"/>
    <cfRule type="duplicateValues" dxfId="7165" priority="5023"/>
    <cfRule type="duplicateValues" dxfId="7164" priority="5024"/>
    <cfRule type="duplicateValues" dxfId="7163" priority="5025"/>
    <cfRule type="duplicateValues" dxfId="7162" priority="5026"/>
    <cfRule type="duplicateValues" dxfId="7161" priority="5027"/>
    <cfRule type="duplicateValues" dxfId="7160" priority="5028"/>
    <cfRule type="duplicateValues" dxfId="7159" priority="5029"/>
    <cfRule type="duplicateValues" dxfId="7158" priority="5030"/>
    <cfRule type="duplicateValues" dxfId="7157" priority="5031"/>
    <cfRule type="duplicateValues" dxfId="7156" priority="5032"/>
    <cfRule type="duplicateValues" dxfId="7155" priority="5033"/>
    <cfRule type="duplicateValues" dxfId="7154" priority="5034"/>
    <cfRule type="duplicateValues" dxfId="7153" priority="5035"/>
    <cfRule type="duplicateValues" dxfId="7152" priority="5036"/>
    <cfRule type="duplicateValues" dxfId="7151" priority="5037"/>
    <cfRule type="duplicateValues" dxfId="7150" priority="5038"/>
    <cfRule type="duplicateValues" dxfId="7149" priority="5039"/>
    <cfRule type="duplicateValues" dxfId="7148" priority="5040"/>
    <cfRule type="duplicateValues" dxfId="7147" priority="5042"/>
    <cfRule type="duplicateValues" dxfId="7146" priority="5041"/>
    <cfRule type="duplicateValues" dxfId="7145" priority="5044"/>
  </conditionalFormatting>
  <conditionalFormatting sqref="B345">
    <cfRule type="duplicateValues" dxfId="7144" priority="4854"/>
    <cfRule type="duplicateValues" dxfId="7143" priority="4853"/>
    <cfRule type="duplicateValues" dxfId="7142" priority="4852"/>
    <cfRule type="duplicateValues" dxfId="7141" priority="4851"/>
    <cfRule type="duplicateValues" dxfId="7140" priority="4850"/>
    <cfRule type="duplicateValues" dxfId="7139" priority="4849"/>
    <cfRule type="duplicateValues" dxfId="7138" priority="4848"/>
    <cfRule type="duplicateValues" dxfId="7137" priority="4847"/>
    <cfRule type="duplicateValues" dxfId="7136" priority="4846"/>
    <cfRule type="duplicateValues" dxfId="7135" priority="4845"/>
    <cfRule type="duplicateValues" dxfId="7134" priority="4844"/>
    <cfRule type="duplicateValues" dxfId="7133" priority="4843"/>
    <cfRule type="duplicateValues" dxfId="7132" priority="4842"/>
    <cfRule type="duplicateValues" dxfId="7131" priority="4841"/>
    <cfRule type="duplicateValues" dxfId="7130" priority="4840"/>
    <cfRule type="duplicateValues" dxfId="7129" priority="4839"/>
    <cfRule type="duplicateValues" dxfId="7128" priority="4838"/>
    <cfRule type="duplicateValues" dxfId="7127" priority="4837"/>
    <cfRule type="duplicateValues" dxfId="7126" priority="4836"/>
    <cfRule type="duplicateValues" dxfId="7125" priority="4835"/>
    <cfRule type="duplicateValues" dxfId="7124" priority="4834"/>
    <cfRule type="duplicateValues" dxfId="7123" priority="4833"/>
    <cfRule type="duplicateValues" dxfId="7122" priority="4832"/>
    <cfRule type="duplicateValues" dxfId="7121" priority="4831"/>
    <cfRule type="duplicateValues" dxfId="7120" priority="4830"/>
    <cfRule type="duplicateValues" dxfId="7119" priority="4829"/>
    <cfRule type="duplicateValues" dxfId="7118" priority="4828"/>
    <cfRule type="duplicateValues" dxfId="7117" priority="4827"/>
    <cfRule type="duplicateValues" dxfId="7116" priority="4826"/>
    <cfRule type="duplicateValues" dxfId="7115" priority="4825"/>
    <cfRule type="duplicateValues" dxfId="7114" priority="4824"/>
    <cfRule type="duplicateValues" dxfId="7113" priority="4823"/>
    <cfRule type="duplicateValues" dxfId="7112" priority="4822"/>
    <cfRule type="duplicateValues" dxfId="7111" priority="4821"/>
    <cfRule type="duplicateValues" dxfId="7110" priority="4820"/>
    <cfRule type="duplicateValues" dxfId="7109" priority="4819"/>
    <cfRule type="duplicateValues" dxfId="7108" priority="4818"/>
    <cfRule type="duplicateValues" dxfId="7107" priority="4817"/>
    <cfRule type="duplicateValues" dxfId="7106" priority="4816"/>
    <cfRule type="duplicateValues" dxfId="7105" priority="4815"/>
    <cfRule type="duplicateValues" dxfId="7104" priority="4814"/>
    <cfRule type="duplicateValues" dxfId="7103" priority="4813"/>
    <cfRule type="duplicateValues" dxfId="7102" priority="4812"/>
    <cfRule type="duplicateValues" dxfId="7101" priority="4811"/>
    <cfRule type="duplicateValues" dxfId="7100" priority="4809"/>
    <cfRule type="duplicateValues" dxfId="7099" priority="4808"/>
    <cfRule type="duplicateValues" dxfId="7098" priority="4807"/>
    <cfRule type="duplicateValues" dxfId="7097" priority="4806"/>
    <cfRule type="duplicateValues" dxfId="7096" priority="4805"/>
    <cfRule type="duplicateValues" dxfId="7095" priority="4804"/>
    <cfRule type="duplicateValues" dxfId="7094" priority="4803"/>
    <cfRule type="duplicateValues" dxfId="7093" priority="4802"/>
    <cfRule type="duplicateValues" dxfId="7092" priority="4801"/>
    <cfRule type="duplicateValues" dxfId="7091" priority="4800"/>
    <cfRule type="duplicateValues" dxfId="7090" priority="4799"/>
    <cfRule type="duplicateValues" dxfId="7089" priority="4798"/>
    <cfRule type="duplicateValues" dxfId="7088" priority="4797"/>
    <cfRule type="duplicateValues" dxfId="7087" priority="4796"/>
    <cfRule type="duplicateValues" dxfId="7086" priority="4795"/>
    <cfRule type="duplicateValues" dxfId="7085" priority="4794"/>
    <cfRule type="duplicateValues" dxfId="7084" priority="4793"/>
    <cfRule type="duplicateValues" dxfId="7083" priority="4792"/>
    <cfRule type="duplicateValues" dxfId="7082" priority="4791"/>
    <cfRule type="duplicateValues" dxfId="7081" priority="4790"/>
    <cfRule type="duplicateValues" dxfId="7080" priority="4789"/>
    <cfRule type="duplicateValues" dxfId="7079" priority="4788"/>
    <cfRule type="duplicateValues" dxfId="7078" priority="4787"/>
    <cfRule type="duplicateValues" dxfId="7077" priority="4786"/>
    <cfRule type="duplicateValues" dxfId="7076" priority="4785"/>
    <cfRule type="duplicateValues" dxfId="7075" priority="4784"/>
    <cfRule type="duplicateValues" dxfId="7074" priority="4783"/>
    <cfRule type="duplicateValues" dxfId="7073" priority="4782"/>
    <cfRule type="duplicateValues" dxfId="7072" priority="4781"/>
    <cfRule type="duplicateValues" dxfId="7071" priority="4780"/>
    <cfRule type="duplicateValues" dxfId="7070" priority="4779"/>
    <cfRule type="duplicateValues" dxfId="7069" priority="4778"/>
    <cfRule type="duplicateValues" dxfId="7068" priority="4777"/>
    <cfRule type="duplicateValues" dxfId="7067" priority="4776"/>
    <cfRule type="duplicateValues" dxfId="7066" priority="4775"/>
    <cfRule type="duplicateValues" dxfId="7065" priority="4774"/>
    <cfRule type="duplicateValues" dxfId="7064" priority="4773"/>
    <cfRule type="duplicateValues" dxfId="7063" priority="4772"/>
    <cfRule type="duplicateValues" dxfId="7062" priority="4771"/>
    <cfRule type="duplicateValues" dxfId="7061" priority="4770"/>
    <cfRule type="duplicateValues" dxfId="7060" priority="4769"/>
    <cfRule type="duplicateValues" dxfId="7059" priority="4768"/>
    <cfRule type="duplicateValues" dxfId="7058" priority="4767"/>
    <cfRule type="duplicateValues" dxfId="7057" priority="4766"/>
    <cfRule type="duplicateValues" dxfId="7056" priority="4765"/>
    <cfRule type="duplicateValues" dxfId="7055" priority="4764"/>
    <cfRule type="duplicateValues" dxfId="7054" priority="4763"/>
    <cfRule type="duplicateValues" dxfId="7053" priority="4762"/>
    <cfRule type="duplicateValues" dxfId="7052" priority="4761"/>
    <cfRule type="duplicateValues" dxfId="7051" priority="4760"/>
    <cfRule type="duplicateValues" dxfId="7050" priority="4759"/>
    <cfRule type="duplicateValues" dxfId="7049" priority="4758"/>
    <cfRule type="duplicateValues" dxfId="7048" priority="4757"/>
    <cfRule type="duplicateValues" dxfId="7047" priority="4756"/>
    <cfRule type="duplicateValues" dxfId="7046" priority="4755"/>
    <cfRule type="duplicateValues" dxfId="7045" priority="4754"/>
    <cfRule type="duplicateValues" dxfId="7044" priority="4753"/>
    <cfRule type="duplicateValues" dxfId="7043" priority="4752"/>
    <cfRule type="duplicateValues" dxfId="7042" priority="4751"/>
    <cfRule type="duplicateValues" dxfId="7041" priority="4750"/>
    <cfRule type="duplicateValues" dxfId="7040" priority="4749"/>
    <cfRule type="duplicateValues" dxfId="7039" priority="4748"/>
    <cfRule type="duplicateValues" dxfId="7038" priority="4747"/>
    <cfRule type="duplicateValues" dxfId="7037" priority="4746"/>
    <cfRule type="duplicateValues" dxfId="7036" priority="4745"/>
    <cfRule type="duplicateValues" dxfId="7035" priority="4744"/>
    <cfRule type="duplicateValues" dxfId="7034" priority="4743"/>
    <cfRule type="duplicateValues" dxfId="7033" priority="4742"/>
    <cfRule type="duplicateValues" dxfId="7032" priority="4741"/>
    <cfRule type="duplicateValues" dxfId="7031" priority="4740"/>
    <cfRule type="duplicateValues" dxfId="7030" priority="4739"/>
    <cfRule type="duplicateValues" dxfId="7029" priority="4738"/>
    <cfRule type="duplicateValues" dxfId="7028" priority="4737"/>
    <cfRule type="duplicateValues" dxfId="7027" priority="4736"/>
    <cfRule type="duplicateValues" dxfId="7026" priority="4735"/>
    <cfRule type="duplicateValues" dxfId="7025" priority="4734"/>
    <cfRule type="duplicateValues" dxfId="7024" priority="4733"/>
    <cfRule type="duplicateValues" dxfId="7023" priority="4732"/>
    <cfRule type="duplicateValues" dxfId="7022" priority="4731"/>
    <cfRule type="duplicateValues" dxfId="7021" priority="4730"/>
    <cfRule type="duplicateValues" dxfId="7020" priority="4729"/>
    <cfRule type="duplicateValues" dxfId="7019" priority="4728"/>
    <cfRule type="duplicateValues" dxfId="7018" priority="4727"/>
    <cfRule type="duplicateValues" dxfId="7017" priority="4726"/>
    <cfRule type="duplicateValues" dxfId="7016" priority="4725"/>
    <cfRule type="duplicateValues" dxfId="7015" priority="4724"/>
    <cfRule type="duplicateValues" dxfId="7014" priority="4723"/>
    <cfRule type="duplicateValues" dxfId="7013" priority="4722"/>
    <cfRule type="duplicateValues" dxfId="7012" priority="4721"/>
    <cfRule type="duplicateValues" dxfId="7011" priority="4720"/>
    <cfRule type="duplicateValues" dxfId="7010" priority="4719"/>
    <cfRule type="duplicateValues" dxfId="7009" priority="4718"/>
    <cfRule type="duplicateValues" dxfId="7008" priority="4717"/>
    <cfRule type="duplicateValues" dxfId="7007" priority="4716"/>
    <cfRule type="duplicateValues" dxfId="7006" priority="4715"/>
    <cfRule type="duplicateValues" dxfId="7005" priority="4714"/>
    <cfRule type="duplicateValues" dxfId="7004" priority="4713"/>
    <cfRule type="duplicateValues" dxfId="7003" priority="4712"/>
    <cfRule type="duplicateValues" dxfId="7002" priority="4711"/>
    <cfRule type="duplicateValues" dxfId="7001" priority="4710"/>
    <cfRule type="duplicateValues" dxfId="7000" priority="4709"/>
    <cfRule type="duplicateValues" dxfId="6999" priority="4708"/>
    <cfRule type="duplicateValues" dxfId="6998" priority="4707"/>
    <cfRule type="duplicateValues" dxfId="6997" priority="4706"/>
    <cfRule type="duplicateValues" dxfId="6996" priority="4705"/>
    <cfRule type="duplicateValues" dxfId="6995" priority="4704"/>
    <cfRule type="duplicateValues" dxfId="6994" priority="4703"/>
    <cfRule type="duplicateValues" dxfId="6993" priority="4702"/>
    <cfRule type="duplicateValues" dxfId="6992" priority="4701"/>
    <cfRule type="duplicateValues" dxfId="6991" priority="4700"/>
    <cfRule type="duplicateValues" dxfId="6990" priority="4699"/>
    <cfRule type="duplicateValues" dxfId="6989" priority="4698"/>
    <cfRule type="duplicateValues" dxfId="6988" priority="4697"/>
    <cfRule type="duplicateValues" dxfId="6987" priority="4696"/>
    <cfRule type="duplicateValues" dxfId="6986" priority="4695"/>
    <cfRule type="duplicateValues" dxfId="6985" priority="4694"/>
    <cfRule type="duplicateValues" dxfId="6984" priority="4693"/>
    <cfRule type="duplicateValues" dxfId="6983" priority="4692"/>
    <cfRule type="duplicateValues" dxfId="6982" priority="4691"/>
    <cfRule type="duplicateValues" dxfId="6981" priority="4690"/>
    <cfRule type="duplicateValues" dxfId="6980" priority="4689"/>
    <cfRule type="duplicateValues" dxfId="6979" priority="4688"/>
    <cfRule type="duplicateValues" dxfId="6978" priority="4687"/>
    <cfRule type="duplicateValues" dxfId="6977" priority="4686"/>
    <cfRule type="duplicateValues" dxfId="6976" priority="4685"/>
    <cfRule type="duplicateValues" dxfId="6975" priority="4684"/>
    <cfRule type="duplicateValues" dxfId="6974" priority="4683"/>
    <cfRule type="duplicateValues" dxfId="6973" priority="4682"/>
    <cfRule type="duplicateValues" dxfId="6972" priority="4681"/>
    <cfRule type="duplicateValues" dxfId="6971" priority="4680"/>
    <cfRule type="duplicateValues" dxfId="6970" priority="4679"/>
    <cfRule type="duplicateValues" dxfId="6969" priority="4678"/>
    <cfRule type="duplicateValues" dxfId="6968" priority="4677"/>
    <cfRule type="duplicateValues" dxfId="6967" priority="4676"/>
    <cfRule type="duplicateValues" dxfId="6966" priority="4675"/>
    <cfRule type="duplicateValues" dxfId="6965" priority="4674"/>
    <cfRule type="duplicateValues" dxfId="6964" priority="4673"/>
    <cfRule type="duplicateValues" dxfId="6963" priority="4672"/>
    <cfRule type="duplicateValues" dxfId="6962" priority="4671"/>
    <cfRule type="duplicateValues" dxfId="6961" priority="4670"/>
    <cfRule type="duplicateValues" dxfId="6960" priority="4669"/>
    <cfRule type="duplicateValues" dxfId="6959" priority="4856"/>
    <cfRule type="duplicateValues" dxfId="6958" priority="4810"/>
    <cfRule type="duplicateValues" dxfId="6957" priority="4855"/>
  </conditionalFormatting>
  <conditionalFormatting sqref="B346:B347">
    <cfRule type="duplicateValues" dxfId="6956" priority="5046"/>
    <cfRule type="duplicateValues" dxfId="6955" priority="5047"/>
    <cfRule type="duplicateValues" dxfId="6954" priority="5048"/>
    <cfRule type="duplicateValues" dxfId="6953" priority="5049"/>
    <cfRule type="duplicateValues" dxfId="6952" priority="5050"/>
    <cfRule type="duplicateValues" dxfId="6951" priority="5051"/>
    <cfRule type="duplicateValues" dxfId="6950" priority="5052"/>
    <cfRule type="duplicateValues" dxfId="6949" priority="5053"/>
    <cfRule type="duplicateValues" dxfId="6948" priority="5054"/>
    <cfRule type="duplicateValues" dxfId="6947" priority="5055"/>
    <cfRule type="duplicateValues" dxfId="6946" priority="5056"/>
    <cfRule type="duplicateValues" dxfId="6945" priority="5057"/>
    <cfRule type="duplicateValues" dxfId="6944" priority="5058"/>
    <cfRule type="duplicateValues" dxfId="6943" priority="5059"/>
    <cfRule type="duplicateValues" dxfId="6942" priority="5060"/>
    <cfRule type="duplicateValues" dxfId="6941" priority="5061"/>
    <cfRule type="duplicateValues" dxfId="6940" priority="5062"/>
    <cfRule type="duplicateValues" dxfId="6939" priority="5063"/>
    <cfRule type="duplicateValues" dxfId="6938" priority="5064"/>
    <cfRule type="duplicateValues" dxfId="6937" priority="5065"/>
    <cfRule type="duplicateValues" dxfId="6936" priority="5066"/>
    <cfRule type="duplicateValues" dxfId="6935" priority="5067"/>
    <cfRule type="duplicateValues" dxfId="6934" priority="5068"/>
    <cfRule type="duplicateValues" dxfId="6933" priority="5069"/>
    <cfRule type="duplicateValues" dxfId="6932" priority="5070"/>
    <cfRule type="duplicateValues" dxfId="6931" priority="5071"/>
    <cfRule type="duplicateValues" dxfId="6930" priority="5072"/>
    <cfRule type="duplicateValues" dxfId="6929" priority="5073"/>
    <cfRule type="duplicateValues" dxfId="6928" priority="5074"/>
    <cfRule type="duplicateValues" dxfId="6927" priority="5075"/>
    <cfRule type="duplicateValues" dxfId="6926" priority="5076"/>
    <cfRule type="duplicateValues" dxfId="6925" priority="5077"/>
    <cfRule type="duplicateValues" dxfId="6924" priority="5078"/>
    <cfRule type="duplicateValues" dxfId="6923" priority="5079"/>
    <cfRule type="duplicateValues" dxfId="6922" priority="5080"/>
    <cfRule type="duplicateValues" dxfId="6921" priority="5081"/>
    <cfRule type="duplicateValues" dxfId="6920" priority="5082"/>
    <cfRule type="duplicateValues" dxfId="6919" priority="5083"/>
    <cfRule type="duplicateValues" dxfId="6918" priority="5084"/>
    <cfRule type="duplicateValues" dxfId="6917" priority="5085"/>
    <cfRule type="duplicateValues" dxfId="6916" priority="5086"/>
    <cfRule type="duplicateValues" dxfId="6915" priority="5087"/>
    <cfRule type="duplicateValues" dxfId="6914" priority="5088"/>
    <cfRule type="duplicateValues" dxfId="6913" priority="5089"/>
    <cfRule type="duplicateValues" dxfId="6912" priority="5090"/>
    <cfRule type="duplicateValues" dxfId="6911" priority="5091"/>
    <cfRule type="duplicateValues" dxfId="6910" priority="5092"/>
    <cfRule type="duplicateValues" dxfId="6909" priority="5093"/>
    <cfRule type="duplicateValues" dxfId="6908" priority="5094"/>
    <cfRule type="duplicateValues" dxfId="6907" priority="5095"/>
    <cfRule type="duplicateValues" dxfId="6906" priority="5096"/>
    <cfRule type="duplicateValues" dxfId="6905" priority="5097"/>
    <cfRule type="duplicateValues" dxfId="6904" priority="5098"/>
    <cfRule type="duplicateValues" dxfId="6903" priority="5099"/>
    <cfRule type="duplicateValues" dxfId="6902" priority="5100"/>
    <cfRule type="duplicateValues" dxfId="6901" priority="5101"/>
    <cfRule type="duplicateValues" dxfId="6900" priority="5102"/>
    <cfRule type="duplicateValues" dxfId="6899" priority="5103"/>
    <cfRule type="duplicateValues" dxfId="6898" priority="5104"/>
    <cfRule type="duplicateValues" dxfId="6897" priority="5105"/>
    <cfRule type="duplicateValues" dxfId="6896" priority="5106"/>
    <cfRule type="duplicateValues" dxfId="6895" priority="5107"/>
    <cfRule type="duplicateValues" dxfId="6894" priority="5108"/>
    <cfRule type="duplicateValues" dxfId="6893" priority="5109"/>
    <cfRule type="duplicateValues" dxfId="6892" priority="5110"/>
    <cfRule type="duplicateValues" dxfId="6891" priority="5111"/>
    <cfRule type="duplicateValues" dxfId="6890" priority="5112"/>
    <cfRule type="duplicateValues" dxfId="6889" priority="5113"/>
    <cfRule type="duplicateValues" dxfId="6888" priority="5114"/>
    <cfRule type="duplicateValues" dxfId="6887" priority="5115"/>
    <cfRule type="duplicateValues" dxfId="6886" priority="5116"/>
    <cfRule type="duplicateValues" dxfId="6885" priority="5117"/>
    <cfRule type="duplicateValues" dxfId="6884" priority="5118"/>
    <cfRule type="duplicateValues" dxfId="6883" priority="5119"/>
    <cfRule type="duplicateValues" dxfId="6882" priority="5120"/>
    <cfRule type="duplicateValues" dxfId="6881" priority="5121"/>
    <cfRule type="duplicateValues" dxfId="6880" priority="5122"/>
    <cfRule type="duplicateValues" dxfId="6879" priority="5123"/>
    <cfRule type="duplicateValues" dxfId="6878" priority="5124"/>
    <cfRule type="duplicateValues" dxfId="6877" priority="5125"/>
    <cfRule type="duplicateValues" dxfId="6876" priority="5126"/>
    <cfRule type="duplicateValues" dxfId="6875" priority="5127"/>
    <cfRule type="duplicateValues" dxfId="6874" priority="5128"/>
    <cfRule type="duplicateValues" dxfId="6873" priority="5129"/>
    <cfRule type="duplicateValues" dxfId="6872" priority="5130"/>
    <cfRule type="duplicateValues" dxfId="6871" priority="5131"/>
    <cfRule type="duplicateValues" dxfId="6870" priority="5132"/>
    <cfRule type="duplicateValues" dxfId="6869" priority="5133"/>
    <cfRule type="duplicateValues" dxfId="6868" priority="5134"/>
    <cfRule type="duplicateValues" dxfId="6867" priority="5135"/>
    <cfRule type="duplicateValues" dxfId="6866" priority="5136"/>
    <cfRule type="duplicateValues" dxfId="6865" priority="5137"/>
    <cfRule type="duplicateValues" dxfId="6864" priority="5139"/>
    <cfRule type="duplicateValues" dxfId="6863" priority="5232"/>
    <cfRule type="duplicateValues" dxfId="6862" priority="5140"/>
    <cfRule type="duplicateValues" dxfId="6861" priority="5141"/>
    <cfRule type="duplicateValues" dxfId="6860" priority="5142"/>
    <cfRule type="duplicateValues" dxfId="6859" priority="5143"/>
    <cfRule type="duplicateValues" dxfId="6858" priority="5144"/>
    <cfRule type="duplicateValues" dxfId="6857" priority="5145"/>
    <cfRule type="duplicateValues" dxfId="6856" priority="5146"/>
    <cfRule type="duplicateValues" dxfId="6855" priority="5147"/>
    <cfRule type="duplicateValues" dxfId="6854" priority="5148"/>
    <cfRule type="duplicateValues" dxfId="6853" priority="5149"/>
    <cfRule type="duplicateValues" dxfId="6852" priority="5150"/>
    <cfRule type="duplicateValues" dxfId="6851" priority="5151"/>
    <cfRule type="duplicateValues" dxfId="6850" priority="5152"/>
    <cfRule type="duplicateValues" dxfId="6849" priority="5153"/>
    <cfRule type="duplicateValues" dxfId="6848" priority="5154"/>
    <cfRule type="duplicateValues" dxfId="6847" priority="5155"/>
    <cfRule type="duplicateValues" dxfId="6846" priority="5156"/>
    <cfRule type="duplicateValues" dxfId="6845" priority="5157"/>
    <cfRule type="duplicateValues" dxfId="6844" priority="5158"/>
    <cfRule type="duplicateValues" dxfId="6843" priority="5159"/>
    <cfRule type="duplicateValues" dxfId="6842" priority="5160"/>
    <cfRule type="duplicateValues" dxfId="6841" priority="5161"/>
    <cfRule type="duplicateValues" dxfId="6840" priority="5162"/>
    <cfRule type="duplicateValues" dxfId="6839" priority="5163"/>
    <cfRule type="duplicateValues" dxfId="6838" priority="5164"/>
    <cfRule type="duplicateValues" dxfId="6837" priority="5165"/>
    <cfRule type="duplicateValues" dxfId="6836" priority="5166"/>
    <cfRule type="duplicateValues" dxfId="6835" priority="5167"/>
    <cfRule type="duplicateValues" dxfId="6834" priority="5168"/>
    <cfRule type="duplicateValues" dxfId="6833" priority="5169"/>
    <cfRule type="duplicateValues" dxfId="6832" priority="5170"/>
    <cfRule type="duplicateValues" dxfId="6831" priority="5171"/>
    <cfRule type="duplicateValues" dxfId="6830" priority="5172"/>
    <cfRule type="duplicateValues" dxfId="6829" priority="5173"/>
    <cfRule type="duplicateValues" dxfId="6828" priority="5174"/>
    <cfRule type="duplicateValues" dxfId="6827" priority="5175"/>
    <cfRule type="duplicateValues" dxfId="6826" priority="5176"/>
    <cfRule type="duplicateValues" dxfId="6825" priority="5177"/>
    <cfRule type="duplicateValues" dxfId="6824" priority="5178"/>
    <cfRule type="duplicateValues" dxfId="6823" priority="5179"/>
    <cfRule type="duplicateValues" dxfId="6822" priority="5180"/>
    <cfRule type="duplicateValues" dxfId="6821" priority="5181"/>
    <cfRule type="duplicateValues" dxfId="6820" priority="5182"/>
    <cfRule type="duplicateValues" dxfId="6819" priority="5183"/>
    <cfRule type="duplicateValues" dxfId="6818" priority="5184"/>
    <cfRule type="duplicateValues" dxfId="6817" priority="5185"/>
    <cfRule type="duplicateValues" dxfId="6816" priority="5186"/>
    <cfRule type="duplicateValues" dxfId="6815" priority="5187"/>
    <cfRule type="duplicateValues" dxfId="6814" priority="5188"/>
    <cfRule type="duplicateValues" dxfId="6813" priority="5189"/>
    <cfRule type="duplicateValues" dxfId="6812" priority="5190"/>
    <cfRule type="duplicateValues" dxfId="6811" priority="5191"/>
    <cfRule type="duplicateValues" dxfId="6810" priority="5192"/>
    <cfRule type="duplicateValues" dxfId="6809" priority="5193"/>
    <cfRule type="duplicateValues" dxfId="6808" priority="5194"/>
    <cfRule type="duplicateValues" dxfId="6807" priority="5195"/>
    <cfRule type="duplicateValues" dxfId="6806" priority="5196"/>
    <cfRule type="duplicateValues" dxfId="6805" priority="5197"/>
    <cfRule type="duplicateValues" dxfId="6804" priority="5198"/>
    <cfRule type="duplicateValues" dxfId="6803" priority="5199"/>
    <cfRule type="duplicateValues" dxfId="6802" priority="5200"/>
    <cfRule type="duplicateValues" dxfId="6801" priority="5201"/>
    <cfRule type="duplicateValues" dxfId="6800" priority="5202"/>
    <cfRule type="duplicateValues" dxfId="6799" priority="5203"/>
    <cfRule type="duplicateValues" dxfId="6798" priority="5204"/>
    <cfRule type="duplicateValues" dxfId="6797" priority="5205"/>
    <cfRule type="duplicateValues" dxfId="6796" priority="5206"/>
    <cfRule type="duplicateValues" dxfId="6795" priority="5207"/>
    <cfRule type="duplicateValues" dxfId="6794" priority="5208"/>
    <cfRule type="duplicateValues" dxfId="6793" priority="5210"/>
    <cfRule type="duplicateValues" dxfId="6792" priority="5211"/>
    <cfRule type="duplicateValues" dxfId="6791" priority="5212"/>
    <cfRule type="duplicateValues" dxfId="6790" priority="5213"/>
    <cfRule type="duplicateValues" dxfId="6789" priority="5214"/>
    <cfRule type="duplicateValues" dxfId="6788" priority="5215"/>
    <cfRule type="duplicateValues" dxfId="6787" priority="5216"/>
    <cfRule type="duplicateValues" dxfId="6786" priority="5217"/>
    <cfRule type="duplicateValues" dxfId="6785" priority="5218"/>
    <cfRule type="duplicateValues" dxfId="6784" priority="5219"/>
    <cfRule type="duplicateValues" dxfId="6783" priority="5220"/>
    <cfRule type="duplicateValues" dxfId="6782" priority="5221"/>
    <cfRule type="duplicateValues" dxfId="6781" priority="5222"/>
    <cfRule type="duplicateValues" dxfId="6780" priority="5223"/>
    <cfRule type="duplicateValues" dxfId="6779" priority="5224"/>
    <cfRule type="duplicateValues" dxfId="6778" priority="5225"/>
    <cfRule type="duplicateValues" dxfId="6777" priority="5226"/>
    <cfRule type="duplicateValues" dxfId="6776" priority="5227"/>
    <cfRule type="duplicateValues" dxfId="6775" priority="5228"/>
    <cfRule type="duplicateValues" dxfId="6774" priority="5229"/>
    <cfRule type="duplicateValues" dxfId="6773" priority="5230"/>
    <cfRule type="duplicateValues" dxfId="6772" priority="5231"/>
    <cfRule type="duplicateValues" dxfId="6771" priority="5209"/>
    <cfRule type="duplicateValues" dxfId="6770" priority="5138"/>
    <cfRule type="duplicateValues" dxfId="6769" priority="5045"/>
  </conditionalFormatting>
  <conditionalFormatting sqref="B348:B352">
    <cfRule type="duplicateValues" dxfId="6768" priority="4104"/>
    <cfRule type="duplicateValues" dxfId="6767" priority="4103"/>
    <cfRule type="duplicateValues" dxfId="6766" priority="4102"/>
    <cfRule type="duplicateValues" dxfId="6765" priority="4101"/>
    <cfRule type="duplicateValues" dxfId="6764" priority="4100"/>
    <cfRule type="duplicateValues" dxfId="6763" priority="4099"/>
    <cfRule type="duplicateValues" dxfId="6762" priority="4098"/>
    <cfRule type="duplicateValues" dxfId="6761" priority="4097"/>
    <cfRule type="duplicateValues" dxfId="6760" priority="4096"/>
    <cfRule type="duplicateValues" dxfId="6759" priority="4095"/>
    <cfRule type="duplicateValues" dxfId="6758" priority="4094"/>
    <cfRule type="duplicateValues" dxfId="6757" priority="4093"/>
    <cfRule type="duplicateValues" dxfId="6756" priority="4092"/>
    <cfRule type="duplicateValues" dxfId="6755" priority="4091"/>
    <cfRule type="duplicateValues" dxfId="6754" priority="4090"/>
    <cfRule type="duplicateValues" dxfId="6753" priority="4089"/>
    <cfRule type="duplicateValues" dxfId="6752" priority="4088"/>
    <cfRule type="duplicateValues" dxfId="6751" priority="4087"/>
    <cfRule type="duplicateValues" dxfId="6750" priority="4086"/>
    <cfRule type="duplicateValues" dxfId="6749" priority="4085"/>
    <cfRule type="duplicateValues" dxfId="6748" priority="4084"/>
    <cfRule type="duplicateValues" dxfId="6747" priority="4083"/>
    <cfRule type="duplicateValues" dxfId="6746" priority="4082"/>
    <cfRule type="duplicateValues" dxfId="6745" priority="4081"/>
    <cfRule type="duplicateValues" dxfId="6744" priority="4080"/>
    <cfRule type="duplicateValues" dxfId="6743" priority="4079"/>
    <cfRule type="duplicateValues" dxfId="6742" priority="4078"/>
    <cfRule type="duplicateValues" dxfId="6741" priority="4077"/>
    <cfRule type="duplicateValues" dxfId="6740" priority="4076"/>
    <cfRule type="duplicateValues" dxfId="6739" priority="4075"/>
    <cfRule type="duplicateValues" dxfId="6738" priority="4074"/>
    <cfRule type="duplicateValues" dxfId="6737" priority="4073"/>
    <cfRule type="duplicateValues" dxfId="6736" priority="4072"/>
    <cfRule type="duplicateValues" dxfId="6735" priority="4071"/>
    <cfRule type="duplicateValues" dxfId="6734" priority="4070"/>
    <cfRule type="duplicateValues" dxfId="6733" priority="4069"/>
    <cfRule type="duplicateValues" dxfId="6732" priority="4068"/>
    <cfRule type="duplicateValues" dxfId="6731" priority="4067"/>
    <cfRule type="duplicateValues" dxfId="6730" priority="4066"/>
    <cfRule type="duplicateValues" dxfId="6729" priority="4065"/>
    <cfRule type="duplicateValues" dxfId="6728" priority="4064"/>
    <cfRule type="duplicateValues" dxfId="6727" priority="4063"/>
    <cfRule type="duplicateValues" dxfId="6726" priority="4062"/>
    <cfRule type="duplicateValues" dxfId="6725" priority="4061"/>
    <cfRule type="duplicateValues" dxfId="6724" priority="4060"/>
    <cfRule type="duplicateValues" dxfId="6723" priority="4059"/>
    <cfRule type="duplicateValues" dxfId="6722" priority="4058"/>
    <cfRule type="duplicateValues" dxfId="6721" priority="4057"/>
    <cfRule type="duplicateValues" dxfId="6720" priority="4056"/>
    <cfRule type="duplicateValues" dxfId="6719" priority="4055"/>
    <cfRule type="duplicateValues" dxfId="6718" priority="4054"/>
    <cfRule type="duplicateValues" dxfId="6717" priority="4053"/>
    <cfRule type="duplicateValues" dxfId="6716" priority="4052"/>
    <cfRule type="duplicateValues" dxfId="6715" priority="4051"/>
    <cfRule type="duplicateValues" dxfId="6714" priority="4050"/>
    <cfRule type="duplicateValues" dxfId="6713" priority="4049"/>
    <cfRule type="duplicateValues" dxfId="6712" priority="4048"/>
    <cfRule type="duplicateValues" dxfId="6711" priority="4047"/>
    <cfRule type="duplicateValues" dxfId="6710" priority="4046"/>
    <cfRule type="duplicateValues" dxfId="6709" priority="4045"/>
    <cfRule type="duplicateValues" dxfId="6708" priority="4044"/>
    <cfRule type="duplicateValues" dxfId="6707" priority="4043"/>
    <cfRule type="duplicateValues" dxfId="6706" priority="4042"/>
    <cfRule type="duplicateValues" dxfId="6705" priority="4041"/>
    <cfRule type="duplicateValues" dxfId="6704" priority="4040"/>
    <cfRule type="duplicateValues" dxfId="6703" priority="4039"/>
    <cfRule type="duplicateValues" dxfId="6702" priority="4038"/>
    <cfRule type="duplicateValues" dxfId="6701" priority="4037"/>
    <cfRule type="duplicateValues" dxfId="6700" priority="4036"/>
    <cfRule type="duplicateValues" dxfId="6699" priority="4035"/>
    <cfRule type="duplicateValues" dxfId="6698" priority="4034"/>
    <cfRule type="duplicateValues" dxfId="6697" priority="4033"/>
    <cfRule type="duplicateValues" dxfId="6696" priority="4032"/>
    <cfRule type="duplicateValues" dxfId="6695" priority="4031"/>
    <cfRule type="duplicateValues" dxfId="6694" priority="4030"/>
    <cfRule type="duplicateValues" dxfId="6693" priority="4029"/>
    <cfRule type="duplicateValues" dxfId="6692" priority="4028"/>
    <cfRule type="duplicateValues" dxfId="6691" priority="4027"/>
    <cfRule type="duplicateValues" dxfId="6690" priority="4026"/>
    <cfRule type="duplicateValues" dxfId="6689" priority="4025"/>
    <cfRule type="duplicateValues" dxfId="6688" priority="4024"/>
    <cfRule type="duplicateValues" dxfId="6687" priority="4023"/>
    <cfRule type="duplicateValues" dxfId="6686" priority="4022"/>
    <cfRule type="duplicateValues" dxfId="6685" priority="4021"/>
    <cfRule type="duplicateValues" dxfId="6684" priority="4020"/>
    <cfRule type="duplicateValues" dxfId="6683" priority="4019"/>
    <cfRule type="duplicateValues" dxfId="6682" priority="4018"/>
    <cfRule type="duplicateValues" dxfId="6681" priority="4017"/>
    <cfRule type="duplicateValues" dxfId="6680" priority="4016"/>
    <cfRule type="duplicateValues" dxfId="6679" priority="4015"/>
    <cfRule type="duplicateValues" dxfId="6678" priority="4014"/>
    <cfRule type="duplicateValues" dxfId="6677" priority="4013"/>
    <cfRule type="duplicateValues" dxfId="6676" priority="4012"/>
    <cfRule type="duplicateValues" dxfId="6675" priority="4011"/>
    <cfRule type="duplicateValues" dxfId="6674" priority="4010"/>
    <cfRule type="duplicateValues" dxfId="6673" priority="4009"/>
    <cfRule type="duplicateValues" dxfId="6672" priority="4008"/>
    <cfRule type="duplicateValues" dxfId="6671" priority="4007"/>
    <cfRule type="duplicateValues" dxfId="6670" priority="4006"/>
    <cfRule type="duplicateValues" dxfId="6669" priority="4005"/>
    <cfRule type="duplicateValues" dxfId="6668" priority="4004"/>
    <cfRule type="duplicateValues" dxfId="6667" priority="4003"/>
    <cfRule type="duplicateValues" dxfId="6666" priority="4002"/>
    <cfRule type="duplicateValues" dxfId="6665" priority="4001"/>
    <cfRule type="duplicateValues" dxfId="6664" priority="4000"/>
    <cfRule type="duplicateValues" dxfId="6663" priority="3999"/>
    <cfRule type="duplicateValues" dxfId="6662" priority="3998"/>
    <cfRule type="duplicateValues" dxfId="6661" priority="3997"/>
    <cfRule type="duplicateValues" dxfId="6660" priority="3996"/>
    <cfRule type="duplicateValues" dxfId="6659" priority="3995"/>
    <cfRule type="duplicateValues" dxfId="6658" priority="3994"/>
    <cfRule type="duplicateValues" dxfId="6657" priority="3993"/>
    <cfRule type="duplicateValues" dxfId="6656" priority="3992"/>
    <cfRule type="duplicateValues" dxfId="6655" priority="3991"/>
    <cfRule type="duplicateValues" dxfId="6654" priority="3990"/>
    <cfRule type="duplicateValues" dxfId="6653" priority="3989"/>
    <cfRule type="duplicateValues" dxfId="6652" priority="3988"/>
    <cfRule type="duplicateValues" dxfId="6651" priority="3987"/>
    <cfRule type="duplicateValues" dxfId="6650" priority="3986"/>
    <cfRule type="duplicateValues" dxfId="6649" priority="3985"/>
    <cfRule type="duplicateValues" dxfId="6648" priority="3984"/>
    <cfRule type="duplicateValues" dxfId="6647" priority="3983"/>
    <cfRule type="duplicateValues" dxfId="6646" priority="3982"/>
    <cfRule type="duplicateValues" dxfId="6645" priority="3981"/>
    <cfRule type="duplicateValues" dxfId="6644" priority="3980"/>
    <cfRule type="duplicateValues" dxfId="6643" priority="3979"/>
    <cfRule type="duplicateValues" dxfId="6642" priority="3978"/>
    <cfRule type="duplicateValues" dxfId="6641" priority="3977"/>
    <cfRule type="duplicateValues" dxfId="6640" priority="3976"/>
    <cfRule type="duplicateValues" dxfId="6639" priority="3975"/>
    <cfRule type="duplicateValues" dxfId="6638" priority="3974"/>
    <cfRule type="duplicateValues" dxfId="6637" priority="3973"/>
    <cfRule type="duplicateValues" dxfId="6636" priority="3972"/>
    <cfRule type="duplicateValues" dxfId="6635" priority="3971"/>
    <cfRule type="duplicateValues" dxfId="6634" priority="3970"/>
    <cfRule type="duplicateValues" dxfId="6633" priority="3969"/>
    <cfRule type="duplicateValues" dxfId="6632" priority="3968"/>
    <cfRule type="duplicateValues" dxfId="6631" priority="3967"/>
    <cfRule type="duplicateValues" dxfId="6630" priority="3966"/>
    <cfRule type="duplicateValues" dxfId="6629" priority="3965"/>
    <cfRule type="duplicateValues" dxfId="6628" priority="3964"/>
    <cfRule type="duplicateValues" dxfId="6627" priority="3963"/>
    <cfRule type="duplicateValues" dxfId="6626" priority="3962"/>
    <cfRule type="duplicateValues" dxfId="6625" priority="3961"/>
    <cfRule type="duplicateValues" dxfId="6624" priority="3960"/>
    <cfRule type="duplicateValues" dxfId="6623" priority="3959"/>
    <cfRule type="duplicateValues" dxfId="6622" priority="3958"/>
    <cfRule type="duplicateValues" dxfId="6621" priority="3957"/>
    <cfRule type="duplicateValues" dxfId="6620" priority="3956"/>
    <cfRule type="duplicateValues" dxfId="6619" priority="3955"/>
    <cfRule type="duplicateValues" dxfId="6618" priority="3954"/>
    <cfRule type="duplicateValues" dxfId="6617" priority="3953"/>
    <cfRule type="duplicateValues" dxfId="6616" priority="3952"/>
    <cfRule type="duplicateValues" dxfId="6615" priority="3951"/>
    <cfRule type="duplicateValues" dxfId="6614" priority="3950"/>
    <cfRule type="duplicateValues" dxfId="6613" priority="3949"/>
    <cfRule type="duplicateValues" dxfId="6612" priority="3948"/>
    <cfRule type="duplicateValues" dxfId="6611" priority="3947"/>
    <cfRule type="duplicateValues" dxfId="6610" priority="3946"/>
    <cfRule type="duplicateValues" dxfId="6609" priority="3945"/>
    <cfRule type="duplicateValues" dxfId="6608" priority="3944"/>
    <cfRule type="duplicateValues" dxfId="6607" priority="3943"/>
    <cfRule type="duplicateValues" dxfId="6606" priority="3942"/>
    <cfRule type="duplicateValues" dxfId="6605" priority="3941"/>
    <cfRule type="duplicateValues" dxfId="6604" priority="3940"/>
    <cfRule type="duplicateValues" dxfId="6603" priority="3939"/>
    <cfRule type="duplicateValues" dxfId="6602" priority="3938"/>
    <cfRule type="duplicateValues" dxfId="6601" priority="3937"/>
    <cfRule type="duplicateValues" dxfId="6600" priority="3936"/>
    <cfRule type="duplicateValues" dxfId="6599" priority="3935"/>
    <cfRule type="duplicateValues" dxfId="6598" priority="3934"/>
    <cfRule type="duplicateValues" dxfId="6597" priority="3933"/>
    <cfRule type="duplicateValues" dxfId="6596" priority="3932"/>
    <cfRule type="duplicateValues" dxfId="6595" priority="3931"/>
    <cfRule type="duplicateValues" dxfId="6594" priority="3930"/>
    <cfRule type="duplicateValues" dxfId="6593" priority="3929"/>
    <cfRule type="duplicateValues" dxfId="6592" priority="3928"/>
    <cfRule type="duplicateValues" dxfId="6591" priority="3927"/>
    <cfRule type="duplicateValues" dxfId="6590" priority="3926"/>
    <cfRule type="duplicateValues" dxfId="6589" priority="3925"/>
    <cfRule type="duplicateValues" dxfId="6588" priority="3924"/>
    <cfRule type="duplicateValues" dxfId="6587" priority="3923"/>
    <cfRule type="duplicateValues" dxfId="6586" priority="3922"/>
    <cfRule type="duplicateValues" dxfId="6585" priority="3921"/>
    <cfRule type="duplicateValues" dxfId="6584" priority="3920"/>
    <cfRule type="duplicateValues" dxfId="6583" priority="3919"/>
    <cfRule type="duplicateValues" dxfId="6582" priority="3918"/>
    <cfRule type="duplicateValues" dxfId="6581" priority="3917"/>
  </conditionalFormatting>
  <conditionalFormatting sqref="B353:B356">
    <cfRule type="duplicateValues" dxfId="6580" priority="3916"/>
    <cfRule type="duplicateValues" dxfId="6579" priority="3915"/>
    <cfRule type="duplicateValues" dxfId="6578" priority="3914"/>
    <cfRule type="duplicateValues" dxfId="6577" priority="3913"/>
    <cfRule type="duplicateValues" dxfId="6576" priority="3912"/>
    <cfRule type="duplicateValues" dxfId="6575" priority="3911"/>
    <cfRule type="duplicateValues" dxfId="6574" priority="3910"/>
    <cfRule type="duplicateValues" dxfId="6573" priority="3909"/>
    <cfRule type="duplicateValues" dxfId="6572" priority="3908"/>
    <cfRule type="duplicateValues" dxfId="6571" priority="3907"/>
    <cfRule type="duplicateValues" dxfId="6570" priority="3906"/>
    <cfRule type="duplicateValues" dxfId="6569" priority="3905"/>
    <cfRule type="duplicateValues" dxfId="6568" priority="3904"/>
    <cfRule type="duplicateValues" dxfId="6567" priority="3903"/>
    <cfRule type="duplicateValues" dxfId="6566" priority="3902"/>
    <cfRule type="duplicateValues" dxfId="6565" priority="3901"/>
    <cfRule type="duplicateValues" dxfId="6564" priority="3900"/>
    <cfRule type="duplicateValues" dxfId="6563" priority="3899"/>
    <cfRule type="duplicateValues" dxfId="6562" priority="3898"/>
    <cfRule type="duplicateValues" dxfId="6561" priority="3897"/>
    <cfRule type="duplicateValues" dxfId="6560" priority="3896"/>
    <cfRule type="duplicateValues" dxfId="6559" priority="3895"/>
    <cfRule type="duplicateValues" dxfId="6558" priority="3894"/>
    <cfRule type="duplicateValues" dxfId="6557" priority="3893"/>
    <cfRule type="duplicateValues" dxfId="6556" priority="3892"/>
    <cfRule type="duplicateValues" dxfId="6555" priority="3891"/>
    <cfRule type="duplicateValues" dxfId="6554" priority="3890"/>
    <cfRule type="duplicateValues" dxfId="6553" priority="3889"/>
    <cfRule type="duplicateValues" dxfId="6552" priority="3888"/>
    <cfRule type="duplicateValues" dxfId="6551" priority="3887"/>
    <cfRule type="duplicateValues" dxfId="6550" priority="3886"/>
    <cfRule type="duplicateValues" dxfId="6549" priority="3885"/>
    <cfRule type="duplicateValues" dxfId="6548" priority="3884"/>
    <cfRule type="duplicateValues" dxfId="6547" priority="3883"/>
    <cfRule type="duplicateValues" dxfId="6546" priority="3882"/>
    <cfRule type="duplicateValues" dxfId="6545" priority="3881"/>
    <cfRule type="duplicateValues" dxfId="6544" priority="3880"/>
    <cfRule type="duplicateValues" dxfId="6543" priority="3879"/>
    <cfRule type="duplicateValues" dxfId="6542" priority="3878"/>
    <cfRule type="duplicateValues" dxfId="6541" priority="3877"/>
    <cfRule type="duplicateValues" dxfId="6540" priority="3876"/>
    <cfRule type="duplicateValues" dxfId="6539" priority="3875"/>
    <cfRule type="duplicateValues" dxfId="6538" priority="3874"/>
    <cfRule type="duplicateValues" dxfId="6537" priority="3873"/>
    <cfRule type="duplicateValues" dxfId="6536" priority="3872"/>
    <cfRule type="duplicateValues" dxfId="6535" priority="3871"/>
    <cfRule type="duplicateValues" dxfId="6534" priority="3870"/>
    <cfRule type="duplicateValues" dxfId="6533" priority="3869"/>
    <cfRule type="duplicateValues" dxfId="6532" priority="3868"/>
    <cfRule type="duplicateValues" dxfId="6531" priority="3867"/>
    <cfRule type="duplicateValues" dxfId="6530" priority="3866"/>
    <cfRule type="duplicateValues" dxfId="6529" priority="3865"/>
    <cfRule type="duplicateValues" dxfId="6528" priority="3864"/>
    <cfRule type="duplicateValues" dxfId="6527" priority="3863"/>
    <cfRule type="duplicateValues" dxfId="6526" priority="3862"/>
    <cfRule type="duplicateValues" dxfId="6525" priority="3861"/>
    <cfRule type="duplicateValues" dxfId="6524" priority="3860"/>
    <cfRule type="duplicateValues" dxfId="6523" priority="3859"/>
    <cfRule type="duplicateValues" dxfId="6522" priority="3858"/>
    <cfRule type="duplicateValues" dxfId="6521" priority="3857"/>
    <cfRule type="duplicateValues" dxfId="6520" priority="3856"/>
    <cfRule type="duplicateValues" dxfId="6519" priority="3855"/>
    <cfRule type="duplicateValues" dxfId="6518" priority="3854"/>
    <cfRule type="duplicateValues" dxfId="6517" priority="3853"/>
    <cfRule type="duplicateValues" dxfId="6516" priority="3852"/>
    <cfRule type="duplicateValues" dxfId="6515" priority="3851"/>
    <cfRule type="duplicateValues" dxfId="6514" priority="3850"/>
    <cfRule type="duplicateValues" dxfId="6513" priority="3849"/>
    <cfRule type="duplicateValues" dxfId="6512" priority="3848"/>
    <cfRule type="duplicateValues" dxfId="6511" priority="3847"/>
    <cfRule type="duplicateValues" dxfId="6510" priority="3846"/>
    <cfRule type="duplicateValues" dxfId="6509" priority="3845"/>
    <cfRule type="duplicateValues" dxfId="6508" priority="3844"/>
    <cfRule type="duplicateValues" dxfId="6507" priority="3843"/>
    <cfRule type="duplicateValues" dxfId="6506" priority="3842"/>
    <cfRule type="duplicateValues" dxfId="6505" priority="3841"/>
    <cfRule type="duplicateValues" dxfId="6504" priority="3840"/>
    <cfRule type="duplicateValues" dxfId="6503" priority="3839"/>
    <cfRule type="duplicateValues" dxfId="6502" priority="3838"/>
    <cfRule type="duplicateValues" dxfId="6501" priority="3837"/>
    <cfRule type="duplicateValues" dxfId="6500" priority="3836"/>
    <cfRule type="duplicateValues" dxfId="6499" priority="3835"/>
    <cfRule type="duplicateValues" dxfId="6498" priority="3834"/>
    <cfRule type="duplicateValues" dxfId="6497" priority="3833"/>
    <cfRule type="duplicateValues" dxfId="6496" priority="3832"/>
    <cfRule type="duplicateValues" dxfId="6495" priority="3831"/>
    <cfRule type="duplicateValues" dxfId="6494" priority="3830"/>
    <cfRule type="duplicateValues" dxfId="6493" priority="3829"/>
    <cfRule type="duplicateValues" dxfId="6492" priority="3828"/>
    <cfRule type="duplicateValues" dxfId="6491" priority="3827"/>
    <cfRule type="duplicateValues" dxfId="6490" priority="3826"/>
    <cfRule type="duplicateValues" dxfId="6489" priority="3825"/>
    <cfRule type="duplicateValues" dxfId="6488" priority="3824"/>
    <cfRule type="duplicateValues" dxfId="6487" priority="3823"/>
    <cfRule type="duplicateValues" dxfId="6486" priority="3822"/>
    <cfRule type="duplicateValues" dxfId="6485" priority="3821"/>
    <cfRule type="duplicateValues" dxfId="6484" priority="3820"/>
    <cfRule type="duplicateValues" dxfId="6483" priority="3819"/>
    <cfRule type="duplicateValues" dxfId="6482" priority="3818"/>
    <cfRule type="duplicateValues" dxfId="6481" priority="3817"/>
    <cfRule type="duplicateValues" dxfId="6480" priority="3816"/>
    <cfRule type="duplicateValues" dxfId="6479" priority="3815"/>
    <cfRule type="duplicateValues" dxfId="6478" priority="3814"/>
    <cfRule type="duplicateValues" dxfId="6477" priority="3813"/>
    <cfRule type="duplicateValues" dxfId="6476" priority="3812"/>
    <cfRule type="duplicateValues" dxfId="6475" priority="3811"/>
    <cfRule type="duplicateValues" dxfId="6474" priority="3810"/>
    <cfRule type="duplicateValues" dxfId="6473" priority="3809"/>
    <cfRule type="duplicateValues" dxfId="6472" priority="3808"/>
    <cfRule type="duplicateValues" dxfId="6471" priority="3807"/>
    <cfRule type="duplicateValues" dxfId="6470" priority="3806"/>
    <cfRule type="duplicateValues" dxfId="6469" priority="3805"/>
    <cfRule type="duplicateValues" dxfId="6468" priority="3804"/>
    <cfRule type="duplicateValues" dxfId="6467" priority="3803"/>
    <cfRule type="duplicateValues" dxfId="6466" priority="3802"/>
    <cfRule type="duplicateValues" dxfId="6465" priority="3801"/>
    <cfRule type="duplicateValues" dxfId="6464" priority="3800"/>
    <cfRule type="duplicateValues" dxfId="6463" priority="3799"/>
    <cfRule type="duplicateValues" dxfId="6462" priority="3798"/>
    <cfRule type="duplicateValues" dxfId="6461" priority="3797"/>
    <cfRule type="duplicateValues" dxfId="6460" priority="3796"/>
    <cfRule type="duplicateValues" dxfId="6459" priority="3795"/>
    <cfRule type="duplicateValues" dxfId="6458" priority="3794"/>
    <cfRule type="duplicateValues" dxfId="6457" priority="3793"/>
    <cfRule type="duplicateValues" dxfId="6456" priority="3792"/>
    <cfRule type="duplicateValues" dxfId="6455" priority="3791"/>
    <cfRule type="duplicateValues" dxfId="6454" priority="3790"/>
    <cfRule type="duplicateValues" dxfId="6453" priority="3789"/>
    <cfRule type="duplicateValues" dxfId="6452" priority="3788"/>
    <cfRule type="duplicateValues" dxfId="6451" priority="3787"/>
    <cfRule type="duplicateValues" dxfId="6450" priority="3786"/>
    <cfRule type="duplicateValues" dxfId="6449" priority="3785"/>
    <cfRule type="duplicateValues" dxfId="6448" priority="3784"/>
    <cfRule type="duplicateValues" dxfId="6447" priority="3783"/>
    <cfRule type="duplicateValues" dxfId="6446" priority="3782"/>
    <cfRule type="duplicateValues" dxfId="6445" priority="3781"/>
    <cfRule type="duplicateValues" dxfId="6444" priority="3780"/>
    <cfRule type="duplicateValues" dxfId="6443" priority="3779"/>
    <cfRule type="duplicateValues" dxfId="6442" priority="3778"/>
    <cfRule type="duplicateValues" dxfId="6441" priority="3777"/>
    <cfRule type="duplicateValues" dxfId="6440" priority="3776"/>
    <cfRule type="duplicateValues" dxfId="6439" priority="3775"/>
    <cfRule type="duplicateValues" dxfId="6438" priority="3774"/>
    <cfRule type="duplicateValues" dxfId="6437" priority="3773"/>
    <cfRule type="duplicateValues" dxfId="6436" priority="3772"/>
    <cfRule type="duplicateValues" dxfId="6435" priority="3771"/>
    <cfRule type="duplicateValues" dxfId="6434" priority="3770"/>
    <cfRule type="duplicateValues" dxfId="6433" priority="3769"/>
    <cfRule type="duplicateValues" dxfId="6432" priority="3768"/>
    <cfRule type="duplicateValues" dxfId="6431" priority="3767"/>
    <cfRule type="duplicateValues" dxfId="6430" priority="3766"/>
    <cfRule type="duplicateValues" dxfId="6429" priority="3765"/>
    <cfRule type="duplicateValues" dxfId="6428" priority="3764"/>
    <cfRule type="duplicateValues" dxfId="6427" priority="3763"/>
    <cfRule type="duplicateValues" dxfId="6426" priority="3762"/>
    <cfRule type="duplicateValues" dxfId="6425" priority="3761"/>
    <cfRule type="duplicateValues" dxfId="6424" priority="3760"/>
    <cfRule type="duplicateValues" dxfId="6423" priority="3759"/>
    <cfRule type="duplicateValues" dxfId="6422" priority="3758"/>
    <cfRule type="duplicateValues" dxfId="6421" priority="3757"/>
    <cfRule type="duplicateValues" dxfId="6420" priority="3756"/>
    <cfRule type="duplicateValues" dxfId="6419" priority="3755"/>
    <cfRule type="duplicateValues" dxfId="6418" priority="3754"/>
    <cfRule type="duplicateValues" dxfId="6417" priority="3753"/>
    <cfRule type="duplicateValues" dxfId="6416" priority="3752"/>
    <cfRule type="duplicateValues" dxfId="6415" priority="3751"/>
    <cfRule type="duplicateValues" dxfId="6414" priority="3750"/>
    <cfRule type="duplicateValues" dxfId="6413" priority="3749"/>
    <cfRule type="duplicateValues" dxfId="6412" priority="3748"/>
    <cfRule type="duplicateValues" dxfId="6411" priority="3747"/>
    <cfRule type="duplicateValues" dxfId="6410" priority="3746"/>
    <cfRule type="duplicateValues" dxfId="6409" priority="3745"/>
    <cfRule type="duplicateValues" dxfId="6408" priority="3744"/>
    <cfRule type="duplicateValues" dxfId="6407" priority="3743"/>
    <cfRule type="duplicateValues" dxfId="6406" priority="3742"/>
    <cfRule type="duplicateValues" dxfId="6405" priority="3741"/>
    <cfRule type="duplicateValues" dxfId="6404" priority="3740"/>
    <cfRule type="duplicateValues" dxfId="6403" priority="3739"/>
    <cfRule type="duplicateValues" dxfId="6402" priority="3738"/>
    <cfRule type="duplicateValues" dxfId="6401" priority="3737"/>
    <cfRule type="duplicateValues" dxfId="6400" priority="3736"/>
    <cfRule type="duplicateValues" dxfId="6399" priority="3735"/>
    <cfRule type="duplicateValues" dxfId="6398" priority="3734"/>
    <cfRule type="duplicateValues" dxfId="6397" priority="3733"/>
    <cfRule type="duplicateValues" dxfId="6396" priority="3732"/>
    <cfRule type="duplicateValues" dxfId="6395" priority="3731"/>
    <cfRule type="duplicateValues" dxfId="6394" priority="3730"/>
    <cfRule type="duplicateValues" dxfId="6393" priority="3729"/>
  </conditionalFormatting>
  <conditionalFormatting sqref="B357:B364">
    <cfRule type="duplicateValues" dxfId="6392" priority="3728"/>
    <cfRule type="duplicateValues" dxfId="6391" priority="3727"/>
    <cfRule type="duplicateValues" dxfId="6390" priority="3726"/>
    <cfRule type="duplicateValues" dxfId="6389" priority="3725"/>
    <cfRule type="duplicateValues" dxfId="6388" priority="3724"/>
    <cfRule type="duplicateValues" dxfId="6387" priority="3723"/>
    <cfRule type="duplicateValues" dxfId="6386" priority="3722"/>
    <cfRule type="duplicateValues" dxfId="6385" priority="3721"/>
    <cfRule type="duplicateValues" dxfId="6384" priority="3720"/>
    <cfRule type="duplicateValues" dxfId="6383" priority="3719"/>
    <cfRule type="duplicateValues" dxfId="6382" priority="3718"/>
    <cfRule type="duplicateValues" dxfId="6381" priority="3717"/>
    <cfRule type="duplicateValues" dxfId="6380" priority="3716"/>
    <cfRule type="duplicateValues" dxfId="6379" priority="3715"/>
    <cfRule type="duplicateValues" dxfId="6378" priority="3714"/>
    <cfRule type="duplicateValues" dxfId="6377" priority="3713"/>
    <cfRule type="duplicateValues" dxfId="6376" priority="3712"/>
    <cfRule type="duplicateValues" dxfId="6375" priority="3711"/>
    <cfRule type="duplicateValues" dxfId="6374" priority="3710"/>
    <cfRule type="duplicateValues" dxfId="6373" priority="3709"/>
    <cfRule type="duplicateValues" dxfId="6372" priority="3708"/>
    <cfRule type="duplicateValues" dxfId="6371" priority="3707"/>
    <cfRule type="duplicateValues" dxfId="6370" priority="3706"/>
    <cfRule type="duplicateValues" dxfId="6369" priority="3705"/>
    <cfRule type="duplicateValues" dxfId="6368" priority="3704"/>
    <cfRule type="duplicateValues" dxfId="6367" priority="3703"/>
    <cfRule type="duplicateValues" dxfId="6366" priority="3702"/>
    <cfRule type="duplicateValues" dxfId="6365" priority="3701"/>
    <cfRule type="duplicateValues" dxfId="6364" priority="3700"/>
    <cfRule type="duplicateValues" dxfId="6363" priority="3699"/>
    <cfRule type="duplicateValues" dxfId="6362" priority="3698"/>
    <cfRule type="duplicateValues" dxfId="6361" priority="3697"/>
    <cfRule type="duplicateValues" dxfId="6360" priority="3696"/>
    <cfRule type="duplicateValues" dxfId="6359" priority="3695"/>
    <cfRule type="duplicateValues" dxfId="6358" priority="3694"/>
    <cfRule type="duplicateValues" dxfId="6357" priority="3693"/>
    <cfRule type="duplicateValues" dxfId="6356" priority="3692"/>
    <cfRule type="duplicateValues" dxfId="6355" priority="3691"/>
    <cfRule type="duplicateValues" dxfId="6354" priority="3690"/>
    <cfRule type="duplicateValues" dxfId="6353" priority="3689"/>
    <cfRule type="duplicateValues" dxfId="6352" priority="3688"/>
    <cfRule type="duplicateValues" dxfId="6351" priority="3687"/>
    <cfRule type="duplicateValues" dxfId="6350" priority="3686"/>
    <cfRule type="duplicateValues" dxfId="6349" priority="3685"/>
    <cfRule type="duplicateValues" dxfId="6348" priority="3684"/>
    <cfRule type="duplicateValues" dxfId="6347" priority="3683"/>
    <cfRule type="duplicateValues" dxfId="6346" priority="3682"/>
    <cfRule type="duplicateValues" dxfId="6345" priority="3681"/>
    <cfRule type="duplicateValues" dxfId="6344" priority="3680"/>
    <cfRule type="duplicateValues" dxfId="6343" priority="3679"/>
    <cfRule type="duplicateValues" dxfId="6342" priority="3678"/>
    <cfRule type="duplicateValues" dxfId="6341" priority="3677"/>
    <cfRule type="duplicateValues" dxfId="6340" priority="3676"/>
    <cfRule type="duplicateValues" dxfId="6339" priority="3675"/>
    <cfRule type="duplicateValues" dxfId="6338" priority="3674"/>
    <cfRule type="duplicateValues" dxfId="6337" priority="3673"/>
    <cfRule type="duplicateValues" dxfId="6336" priority="3672"/>
    <cfRule type="duplicateValues" dxfId="6335" priority="3671"/>
    <cfRule type="duplicateValues" dxfId="6334" priority="3670"/>
    <cfRule type="duplicateValues" dxfId="6333" priority="3669"/>
    <cfRule type="duplicateValues" dxfId="6332" priority="3668"/>
    <cfRule type="duplicateValues" dxfId="6331" priority="3667"/>
    <cfRule type="duplicateValues" dxfId="6330" priority="3666"/>
    <cfRule type="duplicateValues" dxfId="6329" priority="3665"/>
    <cfRule type="duplicateValues" dxfId="6328" priority="3664"/>
    <cfRule type="duplicateValues" dxfId="6327" priority="3663"/>
    <cfRule type="duplicateValues" dxfId="6326" priority="3662"/>
    <cfRule type="duplicateValues" dxfId="6325" priority="3661"/>
    <cfRule type="duplicateValues" dxfId="6324" priority="3660"/>
    <cfRule type="duplicateValues" dxfId="6323" priority="3659"/>
    <cfRule type="duplicateValues" dxfId="6322" priority="3658"/>
    <cfRule type="duplicateValues" dxfId="6321" priority="3657"/>
    <cfRule type="duplicateValues" dxfId="6320" priority="3656"/>
    <cfRule type="duplicateValues" dxfId="6319" priority="3655"/>
    <cfRule type="duplicateValues" dxfId="6318" priority="3654"/>
    <cfRule type="duplicateValues" dxfId="6317" priority="3653"/>
    <cfRule type="duplicateValues" dxfId="6316" priority="3652"/>
    <cfRule type="duplicateValues" dxfId="6315" priority="3651"/>
    <cfRule type="duplicateValues" dxfId="6314" priority="3650"/>
    <cfRule type="duplicateValues" dxfId="6313" priority="3649"/>
    <cfRule type="duplicateValues" dxfId="6312" priority="3648"/>
    <cfRule type="duplicateValues" dxfId="6311" priority="3647"/>
    <cfRule type="duplicateValues" dxfId="6310" priority="3646"/>
    <cfRule type="duplicateValues" dxfId="6309" priority="3645"/>
    <cfRule type="duplicateValues" dxfId="6308" priority="3644"/>
    <cfRule type="duplicateValues" dxfId="6307" priority="3643"/>
    <cfRule type="duplicateValues" dxfId="6306" priority="3642"/>
    <cfRule type="duplicateValues" dxfId="6305" priority="3641"/>
    <cfRule type="duplicateValues" dxfId="6304" priority="3640"/>
    <cfRule type="duplicateValues" dxfId="6303" priority="3639"/>
    <cfRule type="duplicateValues" dxfId="6302" priority="3638"/>
    <cfRule type="duplicateValues" dxfId="6301" priority="3637"/>
    <cfRule type="duplicateValues" dxfId="6300" priority="3636"/>
    <cfRule type="duplicateValues" dxfId="6299" priority="3635"/>
    <cfRule type="duplicateValues" dxfId="6298" priority="3634"/>
    <cfRule type="duplicateValues" dxfId="6297" priority="3633"/>
    <cfRule type="duplicateValues" dxfId="6296" priority="3632"/>
    <cfRule type="duplicateValues" dxfId="6295" priority="3631"/>
    <cfRule type="duplicateValues" dxfId="6294" priority="3630"/>
    <cfRule type="duplicateValues" dxfId="6293" priority="3629"/>
    <cfRule type="duplicateValues" dxfId="6292" priority="3628"/>
    <cfRule type="duplicateValues" dxfId="6291" priority="3627"/>
    <cfRule type="duplicateValues" dxfId="6290" priority="3626"/>
    <cfRule type="duplicateValues" dxfId="6289" priority="3625"/>
    <cfRule type="duplicateValues" dxfId="6288" priority="3624"/>
    <cfRule type="duplicateValues" dxfId="6287" priority="3623"/>
    <cfRule type="duplicateValues" dxfId="6286" priority="3622"/>
    <cfRule type="duplicateValues" dxfId="6285" priority="3621"/>
    <cfRule type="duplicateValues" dxfId="6284" priority="3620"/>
    <cfRule type="duplicateValues" dxfId="6283" priority="3619"/>
    <cfRule type="duplicateValues" dxfId="6282" priority="3618"/>
    <cfRule type="duplicateValues" dxfId="6281" priority="3617"/>
    <cfRule type="duplicateValues" dxfId="6280" priority="3616"/>
    <cfRule type="duplicateValues" dxfId="6279" priority="3615"/>
    <cfRule type="duplicateValues" dxfId="6278" priority="3614"/>
    <cfRule type="duplicateValues" dxfId="6277" priority="3613"/>
    <cfRule type="duplicateValues" dxfId="6276" priority="3612"/>
    <cfRule type="duplicateValues" dxfId="6275" priority="3611"/>
    <cfRule type="duplicateValues" dxfId="6274" priority="3610"/>
    <cfRule type="duplicateValues" dxfId="6273" priority="3609"/>
    <cfRule type="duplicateValues" dxfId="6272" priority="3608"/>
    <cfRule type="duplicateValues" dxfId="6271" priority="3607"/>
    <cfRule type="duplicateValues" dxfId="6270" priority="3606"/>
    <cfRule type="duplicateValues" dxfId="6269" priority="3605"/>
    <cfRule type="duplicateValues" dxfId="6268" priority="3604"/>
    <cfRule type="duplicateValues" dxfId="6267" priority="3603"/>
    <cfRule type="duplicateValues" dxfId="6266" priority="3602"/>
    <cfRule type="duplicateValues" dxfId="6265" priority="3601"/>
    <cfRule type="duplicateValues" dxfId="6264" priority="3600"/>
    <cfRule type="duplicateValues" dxfId="6263" priority="3599"/>
    <cfRule type="duplicateValues" dxfId="6262" priority="3598"/>
    <cfRule type="duplicateValues" dxfId="6261" priority="3597"/>
    <cfRule type="duplicateValues" dxfId="6260" priority="3596"/>
    <cfRule type="duplicateValues" dxfId="6259" priority="3595"/>
    <cfRule type="duplicateValues" dxfId="6258" priority="3594"/>
    <cfRule type="duplicateValues" dxfId="6257" priority="3593"/>
    <cfRule type="duplicateValues" dxfId="6256" priority="3592"/>
    <cfRule type="duplicateValues" dxfId="6255" priority="3591"/>
    <cfRule type="duplicateValues" dxfId="6254" priority="3590"/>
    <cfRule type="duplicateValues" dxfId="6253" priority="3589"/>
    <cfRule type="duplicateValues" dxfId="6252" priority="3588"/>
    <cfRule type="duplicateValues" dxfId="6251" priority="3587"/>
    <cfRule type="duplicateValues" dxfId="6250" priority="3586"/>
    <cfRule type="duplicateValues" dxfId="6249" priority="3585"/>
    <cfRule type="duplicateValues" dxfId="6248" priority="3584"/>
    <cfRule type="duplicateValues" dxfId="6247" priority="3583"/>
    <cfRule type="duplicateValues" dxfId="6246" priority="3582"/>
    <cfRule type="duplicateValues" dxfId="6245" priority="3581"/>
    <cfRule type="duplicateValues" dxfId="6244" priority="3580"/>
    <cfRule type="duplicateValues" dxfId="6243" priority="3579"/>
    <cfRule type="duplicateValues" dxfId="6242" priority="3578"/>
    <cfRule type="duplicateValues" dxfId="6241" priority="3577"/>
    <cfRule type="duplicateValues" dxfId="6240" priority="3576"/>
    <cfRule type="duplicateValues" dxfId="6239" priority="3575"/>
    <cfRule type="duplicateValues" dxfId="6238" priority="3574"/>
    <cfRule type="duplicateValues" dxfId="6237" priority="3573"/>
    <cfRule type="duplicateValues" dxfId="6236" priority="3572"/>
    <cfRule type="duplicateValues" dxfId="6235" priority="3571"/>
    <cfRule type="duplicateValues" dxfId="6234" priority="3570"/>
    <cfRule type="duplicateValues" dxfId="6233" priority="3569"/>
    <cfRule type="duplicateValues" dxfId="6232" priority="3568"/>
    <cfRule type="duplicateValues" dxfId="6231" priority="3567"/>
    <cfRule type="duplicateValues" dxfId="6230" priority="3566"/>
    <cfRule type="duplicateValues" dxfId="6229" priority="3565"/>
    <cfRule type="duplicateValues" dxfId="6228" priority="3564"/>
    <cfRule type="duplicateValues" dxfId="6227" priority="3563"/>
    <cfRule type="duplicateValues" dxfId="6226" priority="3562"/>
    <cfRule type="duplicateValues" dxfId="6225" priority="3561"/>
    <cfRule type="duplicateValues" dxfId="6224" priority="3560"/>
    <cfRule type="duplicateValues" dxfId="6223" priority="3559"/>
    <cfRule type="duplicateValues" dxfId="6222" priority="3558"/>
    <cfRule type="duplicateValues" dxfId="6221" priority="3557"/>
    <cfRule type="duplicateValues" dxfId="6220" priority="3556"/>
    <cfRule type="duplicateValues" dxfId="6219" priority="3555"/>
    <cfRule type="duplicateValues" dxfId="6218" priority="3554"/>
    <cfRule type="duplicateValues" dxfId="6217" priority="3553"/>
    <cfRule type="duplicateValues" dxfId="6216" priority="3552"/>
    <cfRule type="duplicateValues" dxfId="6215" priority="3551"/>
    <cfRule type="duplicateValues" dxfId="6214" priority="3550"/>
    <cfRule type="duplicateValues" dxfId="6213" priority="3549"/>
    <cfRule type="duplicateValues" dxfId="6212" priority="3548"/>
    <cfRule type="duplicateValues" dxfId="6211" priority="3547"/>
    <cfRule type="duplicateValues" dxfId="6210" priority="3546"/>
    <cfRule type="duplicateValues" dxfId="6209" priority="3545"/>
    <cfRule type="duplicateValues" dxfId="6208" priority="3544"/>
    <cfRule type="duplicateValues" dxfId="6207" priority="3543"/>
    <cfRule type="duplicateValues" dxfId="6206" priority="3542"/>
    <cfRule type="duplicateValues" dxfId="6205" priority="3541"/>
  </conditionalFormatting>
  <conditionalFormatting sqref="B365:B366">
    <cfRule type="duplicateValues" dxfId="6204" priority="3540"/>
    <cfRule type="duplicateValues" dxfId="6203" priority="3539"/>
    <cfRule type="duplicateValues" dxfId="6202" priority="3538"/>
    <cfRule type="duplicateValues" dxfId="6201" priority="3537"/>
    <cfRule type="duplicateValues" dxfId="6200" priority="3536"/>
    <cfRule type="duplicateValues" dxfId="6199" priority="3535"/>
    <cfRule type="duplicateValues" dxfId="6198" priority="3534"/>
    <cfRule type="duplicateValues" dxfId="6197" priority="3533"/>
    <cfRule type="duplicateValues" dxfId="6196" priority="3532"/>
    <cfRule type="duplicateValues" dxfId="6195" priority="3531"/>
    <cfRule type="duplicateValues" dxfId="6194" priority="3530"/>
    <cfRule type="duplicateValues" dxfId="6193" priority="3529"/>
    <cfRule type="duplicateValues" dxfId="6192" priority="3528"/>
    <cfRule type="duplicateValues" dxfId="6191" priority="3527"/>
    <cfRule type="duplicateValues" dxfId="6190" priority="3526"/>
    <cfRule type="duplicateValues" dxfId="6189" priority="3525"/>
    <cfRule type="duplicateValues" dxfId="6188" priority="3524"/>
    <cfRule type="duplicateValues" dxfId="6187" priority="3523"/>
    <cfRule type="duplicateValues" dxfId="6186" priority="3522"/>
    <cfRule type="duplicateValues" dxfId="6185" priority="3521"/>
    <cfRule type="duplicateValues" dxfId="6184" priority="3520"/>
    <cfRule type="duplicateValues" dxfId="6183" priority="3519"/>
    <cfRule type="duplicateValues" dxfId="6182" priority="3518"/>
    <cfRule type="duplicateValues" dxfId="6181" priority="3517"/>
    <cfRule type="duplicateValues" dxfId="6180" priority="3516"/>
    <cfRule type="duplicateValues" dxfId="6179" priority="3515"/>
    <cfRule type="duplicateValues" dxfId="6178" priority="3514"/>
    <cfRule type="duplicateValues" dxfId="6177" priority="3513"/>
    <cfRule type="duplicateValues" dxfId="6176" priority="3512"/>
    <cfRule type="duplicateValues" dxfId="6175" priority="3511"/>
    <cfRule type="duplicateValues" dxfId="6174" priority="3510"/>
    <cfRule type="duplicateValues" dxfId="6173" priority="3509"/>
    <cfRule type="duplicateValues" dxfId="6172" priority="3508"/>
    <cfRule type="duplicateValues" dxfId="6171" priority="3507"/>
    <cfRule type="duplicateValues" dxfId="6170" priority="3506"/>
    <cfRule type="duplicateValues" dxfId="6169" priority="3505"/>
    <cfRule type="duplicateValues" dxfId="6168" priority="3504"/>
    <cfRule type="duplicateValues" dxfId="6167" priority="3503"/>
    <cfRule type="duplicateValues" dxfId="6166" priority="3502"/>
    <cfRule type="duplicateValues" dxfId="6165" priority="3501"/>
    <cfRule type="duplicateValues" dxfId="6164" priority="3500"/>
    <cfRule type="duplicateValues" dxfId="6163" priority="3499"/>
    <cfRule type="duplicateValues" dxfId="6162" priority="3498"/>
    <cfRule type="duplicateValues" dxfId="6161" priority="3497"/>
    <cfRule type="duplicateValues" dxfId="6160" priority="3496"/>
    <cfRule type="duplicateValues" dxfId="6159" priority="3495"/>
    <cfRule type="duplicateValues" dxfId="6158" priority="3494"/>
    <cfRule type="duplicateValues" dxfId="6157" priority="3493"/>
    <cfRule type="duplicateValues" dxfId="6156" priority="3492"/>
    <cfRule type="duplicateValues" dxfId="6155" priority="3491"/>
    <cfRule type="duplicateValues" dxfId="6154" priority="3490"/>
    <cfRule type="duplicateValues" dxfId="6153" priority="3489"/>
    <cfRule type="duplicateValues" dxfId="6152" priority="3488"/>
    <cfRule type="duplicateValues" dxfId="6151" priority="3487"/>
    <cfRule type="duplicateValues" dxfId="6150" priority="3486"/>
    <cfRule type="duplicateValues" dxfId="6149" priority="3485"/>
    <cfRule type="duplicateValues" dxfId="6148" priority="3484"/>
    <cfRule type="duplicateValues" dxfId="6147" priority="3483"/>
    <cfRule type="duplicateValues" dxfId="6146" priority="3482"/>
    <cfRule type="duplicateValues" dxfId="6145" priority="3481"/>
    <cfRule type="duplicateValues" dxfId="6144" priority="3480"/>
    <cfRule type="duplicateValues" dxfId="6143" priority="3479"/>
    <cfRule type="duplicateValues" dxfId="6142" priority="3478"/>
    <cfRule type="duplicateValues" dxfId="6141" priority="3477"/>
    <cfRule type="duplicateValues" dxfId="6140" priority="3476"/>
    <cfRule type="duplicateValues" dxfId="6139" priority="3475"/>
    <cfRule type="duplicateValues" dxfId="6138" priority="3474"/>
    <cfRule type="duplicateValues" dxfId="6137" priority="3473"/>
    <cfRule type="duplicateValues" dxfId="6136" priority="3472"/>
    <cfRule type="duplicateValues" dxfId="6135" priority="3471"/>
    <cfRule type="duplicateValues" dxfId="6134" priority="3470"/>
    <cfRule type="duplicateValues" dxfId="6133" priority="3469"/>
    <cfRule type="duplicateValues" dxfId="6132" priority="3468"/>
    <cfRule type="duplicateValues" dxfId="6131" priority="3467"/>
    <cfRule type="duplicateValues" dxfId="6130" priority="3466"/>
    <cfRule type="duplicateValues" dxfId="6129" priority="3465"/>
    <cfRule type="duplicateValues" dxfId="6128" priority="3464"/>
    <cfRule type="duplicateValues" dxfId="6127" priority="3463"/>
    <cfRule type="duplicateValues" dxfId="6126" priority="3462"/>
    <cfRule type="duplicateValues" dxfId="6125" priority="3461"/>
    <cfRule type="duplicateValues" dxfId="6124" priority="3460"/>
    <cfRule type="duplicateValues" dxfId="6123" priority="3459"/>
    <cfRule type="duplicateValues" dxfId="6122" priority="3458"/>
    <cfRule type="duplicateValues" dxfId="6121" priority="3457"/>
    <cfRule type="duplicateValues" dxfId="6120" priority="3456"/>
    <cfRule type="duplicateValues" dxfId="6119" priority="3455"/>
    <cfRule type="duplicateValues" dxfId="6118" priority="3454"/>
    <cfRule type="duplicateValues" dxfId="6117" priority="3453"/>
    <cfRule type="duplicateValues" dxfId="6116" priority="3452"/>
    <cfRule type="duplicateValues" dxfId="6115" priority="3451"/>
    <cfRule type="duplicateValues" dxfId="6114" priority="3450"/>
    <cfRule type="duplicateValues" dxfId="6113" priority="3449"/>
    <cfRule type="duplicateValues" dxfId="6112" priority="3448"/>
    <cfRule type="duplicateValues" dxfId="6111" priority="3447"/>
    <cfRule type="duplicateValues" dxfId="6110" priority="3446"/>
    <cfRule type="duplicateValues" dxfId="6109" priority="3445"/>
    <cfRule type="duplicateValues" dxfId="6108" priority="3444"/>
    <cfRule type="duplicateValues" dxfId="6107" priority="3443"/>
    <cfRule type="duplicateValues" dxfId="6106" priority="3442"/>
    <cfRule type="duplicateValues" dxfId="6105" priority="3441"/>
    <cfRule type="duplicateValues" dxfId="6104" priority="3440"/>
    <cfRule type="duplicateValues" dxfId="6103" priority="3439"/>
    <cfRule type="duplicateValues" dxfId="6102" priority="3438"/>
    <cfRule type="duplicateValues" dxfId="6101" priority="3437"/>
    <cfRule type="duplicateValues" dxfId="6100" priority="3436"/>
    <cfRule type="duplicateValues" dxfId="6099" priority="3435"/>
    <cfRule type="duplicateValues" dxfId="6098" priority="3434"/>
    <cfRule type="duplicateValues" dxfId="6097" priority="3433"/>
    <cfRule type="duplicateValues" dxfId="6096" priority="3432"/>
    <cfRule type="duplicateValues" dxfId="6095" priority="3431"/>
    <cfRule type="duplicateValues" dxfId="6094" priority="3430"/>
    <cfRule type="duplicateValues" dxfId="6093" priority="3429"/>
    <cfRule type="duplicateValues" dxfId="6092" priority="3428"/>
    <cfRule type="duplicateValues" dxfId="6091" priority="3427"/>
    <cfRule type="duplicateValues" dxfId="6090" priority="3426"/>
    <cfRule type="duplicateValues" dxfId="6089" priority="3425"/>
    <cfRule type="duplicateValues" dxfId="6088" priority="3424"/>
    <cfRule type="duplicateValues" dxfId="6087" priority="3423"/>
    <cfRule type="duplicateValues" dxfId="6086" priority="3422"/>
    <cfRule type="duplicateValues" dxfId="6085" priority="3421"/>
    <cfRule type="duplicateValues" dxfId="6084" priority="3420"/>
    <cfRule type="duplicateValues" dxfId="6083" priority="3419"/>
    <cfRule type="duplicateValues" dxfId="6082" priority="3418"/>
    <cfRule type="duplicateValues" dxfId="6081" priority="3417"/>
    <cfRule type="duplicateValues" dxfId="6080" priority="3416"/>
    <cfRule type="duplicateValues" dxfId="6079" priority="3415"/>
    <cfRule type="duplicateValues" dxfId="6078" priority="3414"/>
    <cfRule type="duplicateValues" dxfId="6077" priority="3413"/>
    <cfRule type="duplicateValues" dxfId="6076" priority="3412"/>
    <cfRule type="duplicateValues" dxfId="6075" priority="3411"/>
    <cfRule type="duplicateValues" dxfId="6074" priority="3410"/>
    <cfRule type="duplicateValues" dxfId="6073" priority="3409"/>
    <cfRule type="duplicateValues" dxfId="6072" priority="3408"/>
    <cfRule type="duplicateValues" dxfId="6071" priority="3407"/>
    <cfRule type="duplicateValues" dxfId="6070" priority="3406"/>
    <cfRule type="duplicateValues" dxfId="6069" priority="3405"/>
    <cfRule type="duplicateValues" dxfId="6068" priority="3404"/>
    <cfRule type="duplicateValues" dxfId="6067" priority="3403"/>
    <cfRule type="duplicateValues" dxfId="6066" priority="3402"/>
    <cfRule type="duplicateValues" dxfId="6065" priority="3401"/>
    <cfRule type="duplicateValues" dxfId="6064" priority="3400"/>
    <cfRule type="duplicateValues" dxfId="6063" priority="3399"/>
    <cfRule type="duplicateValues" dxfId="6062" priority="3398"/>
    <cfRule type="duplicateValues" dxfId="6061" priority="3397"/>
    <cfRule type="duplicateValues" dxfId="6060" priority="3396"/>
    <cfRule type="duplicateValues" dxfId="6059" priority="3395"/>
    <cfRule type="duplicateValues" dxfId="6058" priority="3394"/>
    <cfRule type="duplicateValues" dxfId="6057" priority="3393"/>
    <cfRule type="duplicateValues" dxfId="6056" priority="3392"/>
    <cfRule type="duplicateValues" dxfId="6055" priority="3391"/>
    <cfRule type="duplicateValues" dxfId="6054" priority="3390"/>
    <cfRule type="duplicateValues" dxfId="6053" priority="3389"/>
    <cfRule type="duplicateValues" dxfId="6052" priority="3388"/>
    <cfRule type="duplicateValues" dxfId="6051" priority="3387"/>
    <cfRule type="duplicateValues" dxfId="6050" priority="3386"/>
    <cfRule type="duplicateValues" dxfId="6049" priority="3385"/>
    <cfRule type="duplicateValues" dxfId="6048" priority="3384"/>
    <cfRule type="duplicateValues" dxfId="6047" priority="3383"/>
    <cfRule type="duplicateValues" dxfId="6046" priority="3382"/>
    <cfRule type="duplicateValues" dxfId="6045" priority="3381"/>
    <cfRule type="duplicateValues" dxfId="6044" priority="3380"/>
    <cfRule type="duplicateValues" dxfId="6043" priority="3379"/>
    <cfRule type="duplicateValues" dxfId="6042" priority="3378"/>
    <cfRule type="duplicateValues" dxfId="6041" priority="3377"/>
    <cfRule type="duplicateValues" dxfId="6040" priority="3376"/>
    <cfRule type="duplicateValues" dxfId="6039" priority="3375"/>
    <cfRule type="duplicateValues" dxfId="6038" priority="3374"/>
    <cfRule type="duplicateValues" dxfId="6037" priority="3373"/>
    <cfRule type="duplicateValues" dxfId="6036" priority="3372"/>
    <cfRule type="duplicateValues" dxfId="6035" priority="3371"/>
    <cfRule type="duplicateValues" dxfId="6034" priority="3370"/>
    <cfRule type="duplicateValues" dxfId="6033" priority="3369"/>
    <cfRule type="duplicateValues" dxfId="6032" priority="3368"/>
    <cfRule type="duplicateValues" dxfId="6031" priority="3367"/>
    <cfRule type="duplicateValues" dxfId="6030" priority="3366"/>
    <cfRule type="duplicateValues" dxfId="6029" priority="3365"/>
    <cfRule type="duplicateValues" dxfId="6028" priority="3364"/>
    <cfRule type="duplicateValues" dxfId="6027" priority="3363"/>
    <cfRule type="duplicateValues" dxfId="6026" priority="3362"/>
    <cfRule type="duplicateValues" dxfId="6025" priority="3361"/>
    <cfRule type="duplicateValues" dxfId="6024" priority="3360"/>
    <cfRule type="duplicateValues" dxfId="6023" priority="3359"/>
    <cfRule type="duplicateValues" dxfId="6022" priority="3358"/>
    <cfRule type="duplicateValues" dxfId="6021" priority="3357"/>
    <cfRule type="duplicateValues" dxfId="6020" priority="3356"/>
    <cfRule type="duplicateValues" dxfId="6019" priority="3355"/>
    <cfRule type="duplicateValues" dxfId="6018" priority="3354"/>
    <cfRule type="duplicateValues" dxfId="6017" priority="3353"/>
  </conditionalFormatting>
  <conditionalFormatting sqref="B367:B369">
    <cfRule type="duplicateValues" dxfId="6016" priority="3164"/>
    <cfRule type="duplicateValues" dxfId="6015" priority="3163"/>
    <cfRule type="duplicateValues" dxfId="6014" priority="3162"/>
    <cfRule type="duplicateValues" dxfId="6013" priority="3161"/>
    <cfRule type="duplicateValues" dxfId="6012" priority="3160"/>
    <cfRule type="duplicateValues" dxfId="6011" priority="3159"/>
    <cfRule type="duplicateValues" dxfId="6010" priority="3158"/>
    <cfRule type="duplicateValues" dxfId="6009" priority="3157"/>
    <cfRule type="duplicateValues" dxfId="6008" priority="3156"/>
    <cfRule type="duplicateValues" dxfId="6007" priority="3155"/>
    <cfRule type="duplicateValues" dxfId="6006" priority="3154"/>
    <cfRule type="duplicateValues" dxfId="6005" priority="3153"/>
    <cfRule type="duplicateValues" dxfId="6004" priority="3152"/>
    <cfRule type="duplicateValues" dxfId="6003" priority="3151"/>
    <cfRule type="duplicateValues" dxfId="6002" priority="3150"/>
    <cfRule type="duplicateValues" dxfId="6001" priority="3149"/>
    <cfRule type="duplicateValues" dxfId="6000" priority="3148"/>
    <cfRule type="duplicateValues" dxfId="5999" priority="3147"/>
    <cfRule type="duplicateValues" dxfId="5998" priority="3146"/>
    <cfRule type="duplicateValues" dxfId="5997" priority="3145"/>
    <cfRule type="duplicateValues" dxfId="5996" priority="3144"/>
    <cfRule type="duplicateValues" dxfId="5995" priority="3143"/>
    <cfRule type="duplicateValues" dxfId="5994" priority="3142"/>
    <cfRule type="duplicateValues" dxfId="5993" priority="3141"/>
    <cfRule type="duplicateValues" dxfId="5992" priority="3140"/>
    <cfRule type="duplicateValues" dxfId="5991" priority="3139"/>
    <cfRule type="duplicateValues" dxfId="5990" priority="3138"/>
    <cfRule type="duplicateValues" dxfId="5989" priority="3137"/>
    <cfRule type="duplicateValues" dxfId="5988" priority="3136"/>
    <cfRule type="duplicateValues" dxfId="5987" priority="3135"/>
    <cfRule type="duplicateValues" dxfId="5986" priority="3134"/>
    <cfRule type="duplicateValues" dxfId="5985" priority="3133"/>
    <cfRule type="duplicateValues" dxfId="5984" priority="3132"/>
    <cfRule type="duplicateValues" dxfId="5983" priority="3131"/>
    <cfRule type="duplicateValues" dxfId="5982" priority="3130"/>
    <cfRule type="duplicateValues" dxfId="5981" priority="3129"/>
    <cfRule type="duplicateValues" dxfId="5980" priority="3128"/>
    <cfRule type="duplicateValues" dxfId="5979" priority="3127"/>
    <cfRule type="duplicateValues" dxfId="5978" priority="3126"/>
    <cfRule type="duplicateValues" dxfId="5977" priority="3125"/>
    <cfRule type="duplicateValues" dxfId="5976" priority="3124"/>
    <cfRule type="duplicateValues" dxfId="5975" priority="3123"/>
    <cfRule type="duplicateValues" dxfId="5974" priority="3122"/>
    <cfRule type="duplicateValues" dxfId="5973" priority="3121"/>
    <cfRule type="duplicateValues" dxfId="5972" priority="3120"/>
    <cfRule type="duplicateValues" dxfId="5971" priority="3119"/>
    <cfRule type="duplicateValues" dxfId="5970" priority="3118"/>
    <cfRule type="duplicateValues" dxfId="5969" priority="3117"/>
    <cfRule type="duplicateValues" dxfId="5968" priority="3116"/>
    <cfRule type="duplicateValues" dxfId="5967" priority="3115"/>
    <cfRule type="duplicateValues" dxfId="5966" priority="3114"/>
    <cfRule type="duplicateValues" dxfId="5965" priority="3113"/>
    <cfRule type="duplicateValues" dxfId="5964" priority="3112"/>
    <cfRule type="duplicateValues" dxfId="5963" priority="3111"/>
    <cfRule type="duplicateValues" dxfId="5962" priority="3110"/>
    <cfRule type="duplicateValues" dxfId="5961" priority="3109"/>
    <cfRule type="duplicateValues" dxfId="5960" priority="3108"/>
    <cfRule type="duplicateValues" dxfId="5959" priority="3107"/>
    <cfRule type="duplicateValues" dxfId="5958" priority="3106"/>
    <cfRule type="duplicateValues" dxfId="5957" priority="3105"/>
    <cfRule type="duplicateValues" dxfId="5956" priority="3104"/>
    <cfRule type="duplicateValues" dxfId="5955" priority="3103"/>
    <cfRule type="duplicateValues" dxfId="5954" priority="3102"/>
    <cfRule type="duplicateValues" dxfId="5953" priority="3101"/>
    <cfRule type="duplicateValues" dxfId="5952" priority="3100"/>
    <cfRule type="duplicateValues" dxfId="5951" priority="3099"/>
    <cfRule type="duplicateValues" dxfId="5950" priority="3098"/>
    <cfRule type="duplicateValues" dxfId="5949" priority="3097"/>
    <cfRule type="duplicateValues" dxfId="5948" priority="3096"/>
    <cfRule type="duplicateValues" dxfId="5947" priority="3095"/>
    <cfRule type="duplicateValues" dxfId="5946" priority="3094"/>
    <cfRule type="duplicateValues" dxfId="5945" priority="3093"/>
    <cfRule type="duplicateValues" dxfId="5944" priority="3092"/>
    <cfRule type="duplicateValues" dxfId="5943" priority="3091"/>
    <cfRule type="duplicateValues" dxfId="5942" priority="3090"/>
    <cfRule type="duplicateValues" dxfId="5941" priority="3089"/>
    <cfRule type="duplicateValues" dxfId="5940" priority="3088"/>
    <cfRule type="duplicateValues" dxfId="5939" priority="3087"/>
    <cfRule type="duplicateValues" dxfId="5938" priority="3086"/>
    <cfRule type="duplicateValues" dxfId="5937" priority="3085"/>
    <cfRule type="duplicateValues" dxfId="5936" priority="3084"/>
    <cfRule type="duplicateValues" dxfId="5935" priority="3083"/>
    <cfRule type="duplicateValues" dxfId="5934" priority="3082"/>
    <cfRule type="duplicateValues" dxfId="5933" priority="3081"/>
    <cfRule type="duplicateValues" dxfId="5932" priority="3080"/>
    <cfRule type="duplicateValues" dxfId="5931" priority="3079"/>
    <cfRule type="duplicateValues" dxfId="5930" priority="3078"/>
    <cfRule type="duplicateValues" dxfId="5929" priority="3077"/>
    <cfRule type="duplicateValues" dxfId="5928" priority="3076"/>
    <cfRule type="duplicateValues" dxfId="5927" priority="3075"/>
    <cfRule type="duplicateValues" dxfId="5926" priority="3074"/>
    <cfRule type="duplicateValues" dxfId="5925" priority="3073"/>
    <cfRule type="duplicateValues" dxfId="5924" priority="3072"/>
    <cfRule type="duplicateValues" dxfId="5923" priority="3071"/>
    <cfRule type="duplicateValues" dxfId="5922" priority="3070"/>
    <cfRule type="duplicateValues" dxfId="5921" priority="3069"/>
    <cfRule type="duplicateValues" dxfId="5920" priority="3068"/>
    <cfRule type="duplicateValues" dxfId="5919" priority="3067"/>
    <cfRule type="duplicateValues" dxfId="5918" priority="3066"/>
    <cfRule type="duplicateValues" dxfId="5917" priority="3065"/>
    <cfRule type="duplicateValues" dxfId="5916" priority="3064"/>
    <cfRule type="duplicateValues" dxfId="5915" priority="3063"/>
    <cfRule type="duplicateValues" dxfId="5914" priority="3062"/>
    <cfRule type="duplicateValues" dxfId="5913" priority="3061"/>
    <cfRule type="duplicateValues" dxfId="5912" priority="3060"/>
    <cfRule type="duplicateValues" dxfId="5911" priority="3059"/>
    <cfRule type="duplicateValues" dxfId="5910" priority="3058"/>
    <cfRule type="duplicateValues" dxfId="5909" priority="3057"/>
    <cfRule type="duplicateValues" dxfId="5908" priority="3056"/>
    <cfRule type="duplicateValues" dxfId="5907" priority="3055"/>
    <cfRule type="duplicateValues" dxfId="5906" priority="3054"/>
    <cfRule type="duplicateValues" dxfId="5905" priority="3053"/>
    <cfRule type="duplicateValues" dxfId="5904" priority="3052"/>
    <cfRule type="duplicateValues" dxfId="5903" priority="3051"/>
    <cfRule type="duplicateValues" dxfId="5902" priority="3050"/>
    <cfRule type="duplicateValues" dxfId="5901" priority="3049"/>
    <cfRule type="duplicateValues" dxfId="5900" priority="3048"/>
    <cfRule type="duplicateValues" dxfId="5899" priority="3047"/>
    <cfRule type="duplicateValues" dxfId="5898" priority="3046"/>
    <cfRule type="duplicateValues" dxfId="5897" priority="3045"/>
    <cfRule type="duplicateValues" dxfId="5896" priority="3044"/>
    <cfRule type="duplicateValues" dxfId="5895" priority="3043"/>
    <cfRule type="duplicateValues" dxfId="5894" priority="3042"/>
    <cfRule type="duplicateValues" dxfId="5893" priority="3041"/>
    <cfRule type="duplicateValues" dxfId="5892" priority="3040"/>
    <cfRule type="duplicateValues" dxfId="5891" priority="3039"/>
    <cfRule type="duplicateValues" dxfId="5890" priority="3038"/>
    <cfRule type="duplicateValues" dxfId="5889" priority="3037"/>
    <cfRule type="duplicateValues" dxfId="5888" priority="3036"/>
    <cfRule type="duplicateValues" dxfId="5887" priority="3035"/>
    <cfRule type="duplicateValues" dxfId="5886" priority="3034"/>
    <cfRule type="duplicateValues" dxfId="5885" priority="3033"/>
    <cfRule type="duplicateValues" dxfId="5884" priority="3032"/>
    <cfRule type="duplicateValues" dxfId="5883" priority="3031"/>
    <cfRule type="duplicateValues" dxfId="5882" priority="3030"/>
    <cfRule type="duplicateValues" dxfId="5881" priority="3029"/>
    <cfRule type="duplicateValues" dxfId="5880" priority="3028"/>
    <cfRule type="duplicateValues" dxfId="5879" priority="3027"/>
    <cfRule type="duplicateValues" dxfId="5878" priority="3026"/>
    <cfRule type="duplicateValues" dxfId="5877" priority="3025"/>
    <cfRule type="duplicateValues" dxfId="5876" priority="3024"/>
    <cfRule type="duplicateValues" dxfId="5875" priority="3023"/>
    <cfRule type="duplicateValues" dxfId="5874" priority="3022"/>
    <cfRule type="duplicateValues" dxfId="5873" priority="3021"/>
    <cfRule type="duplicateValues" dxfId="5872" priority="3020"/>
    <cfRule type="duplicateValues" dxfId="5871" priority="3019"/>
    <cfRule type="duplicateValues" dxfId="5870" priority="3018"/>
    <cfRule type="duplicateValues" dxfId="5869" priority="3017"/>
    <cfRule type="duplicateValues" dxfId="5868" priority="3016"/>
    <cfRule type="duplicateValues" dxfId="5867" priority="3015"/>
    <cfRule type="duplicateValues" dxfId="5866" priority="3014"/>
    <cfRule type="duplicateValues" dxfId="5865" priority="3013"/>
    <cfRule type="duplicateValues" dxfId="5864" priority="3012"/>
    <cfRule type="duplicateValues" dxfId="5863" priority="3011"/>
    <cfRule type="duplicateValues" dxfId="5862" priority="3010"/>
    <cfRule type="duplicateValues" dxfId="5861" priority="3009"/>
    <cfRule type="duplicateValues" dxfId="5860" priority="3008"/>
    <cfRule type="duplicateValues" dxfId="5859" priority="3007"/>
    <cfRule type="duplicateValues" dxfId="5858" priority="3006"/>
    <cfRule type="duplicateValues" dxfId="5857" priority="3005"/>
    <cfRule type="duplicateValues" dxfId="5856" priority="3004"/>
    <cfRule type="duplicateValues" dxfId="5855" priority="3003"/>
    <cfRule type="duplicateValues" dxfId="5854" priority="3002"/>
    <cfRule type="duplicateValues" dxfId="5853" priority="3001"/>
    <cfRule type="duplicateValues" dxfId="5852" priority="3000"/>
    <cfRule type="duplicateValues" dxfId="5851" priority="2999"/>
    <cfRule type="duplicateValues" dxfId="5850" priority="2998"/>
    <cfRule type="duplicateValues" dxfId="5849" priority="2997"/>
    <cfRule type="duplicateValues" dxfId="5848" priority="2996"/>
    <cfRule type="duplicateValues" dxfId="5847" priority="2995"/>
    <cfRule type="duplicateValues" dxfId="5846" priority="2994"/>
    <cfRule type="duplicateValues" dxfId="5845" priority="2993"/>
    <cfRule type="duplicateValues" dxfId="5844" priority="2992"/>
    <cfRule type="duplicateValues" dxfId="5843" priority="2991"/>
    <cfRule type="duplicateValues" dxfId="5842" priority="2990"/>
    <cfRule type="duplicateValues" dxfId="5841" priority="2989"/>
    <cfRule type="duplicateValues" dxfId="5840" priority="2988"/>
    <cfRule type="duplicateValues" dxfId="5839" priority="2987"/>
    <cfRule type="duplicateValues" dxfId="5838" priority="2986"/>
    <cfRule type="duplicateValues" dxfId="5837" priority="2985"/>
    <cfRule type="duplicateValues" dxfId="5836" priority="2984"/>
    <cfRule type="duplicateValues" dxfId="5835" priority="2983"/>
    <cfRule type="duplicateValues" dxfId="5834" priority="2982"/>
    <cfRule type="duplicateValues" dxfId="5833" priority="2981"/>
    <cfRule type="duplicateValues" dxfId="5832" priority="2980"/>
    <cfRule type="duplicateValues" dxfId="5831" priority="2979"/>
    <cfRule type="duplicateValues" dxfId="5830" priority="2978"/>
    <cfRule type="duplicateValues" dxfId="5829" priority="2977"/>
  </conditionalFormatting>
  <conditionalFormatting sqref="B370">
    <cfRule type="duplicateValues" dxfId="5828" priority="3352"/>
    <cfRule type="duplicateValues" dxfId="5827" priority="3351"/>
    <cfRule type="duplicateValues" dxfId="5826" priority="3350"/>
    <cfRule type="duplicateValues" dxfId="5825" priority="3349"/>
    <cfRule type="duplicateValues" dxfId="5824" priority="3348"/>
    <cfRule type="duplicateValues" dxfId="5823" priority="3347"/>
    <cfRule type="duplicateValues" dxfId="5822" priority="3346"/>
    <cfRule type="duplicateValues" dxfId="5821" priority="3345"/>
    <cfRule type="duplicateValues" dxfId="5820" priority="3344"/>
    <cfRule type="duplicateValues" dxfId="5819" priority="3343"/>
    <cfRule type="duplicateValues" dxfId="5818" priority="3342"/>
    <cfRule type="duplicateValues" dxfId="5817" priority="3341"/>
    <cfRule type="duplicateValues" dxfId="5816" priority="3340"/>
    <cfRule type="duplicateValues" dxfId="5815" priority="3339"/>
    <cfRule type="duplicateValues" dxfId="5814" priority="3338"/>
    <cfRule type="duplicateValues" dxfId="5813" priority="3337"/>
    <cfRule type="duplicateValues" dxfId="5812" priority="3336"/>
    <cfRule type="duplicateValues" dxfId="5811" priority="3335"/>
    <cfRule type="duplicateValues" dxfId="5810" priority="3334"/>
    <cfRule type="duplicateValues" dxfId="5809" priority="3333"/>
    <cfRule type="duplicateValues" dxfId="5808" priority="3332"/>
    <cfRule type="duplicateValues" dxfId="5807" priority="3331"/>
    <cfRule type="duplicateValues" dxfId="5806" priority="3330"/>
    <cfRule type="duplicateValues" dxfId="5805" priority="3329"/>
    <cfRule type="duplicateValues" dxfId="5804" priority="3328"/>
    <cfRule type="duplicateValues" dxfId="5803" priority="3327"/>
    <cfRule type="duplicateValues" dxfId="5802" priority="3326"/>
    <cfRule type="duplicateValues" dxfId="5801" priority="3325"/>
    <cfRule type="duplicateValues" dxfId="5800" priority="3324"/>
    <cfRule type="duplicateValues" dxfId="5799" priority="3323"/>
    <cfRule type="duplicateValues" dxfId="5798" priority="3322"/>
    <cfRule type="duplicateValues" dxfId="5797" priority="3321"/>
    <cfRule type="duplicateValues" dxfId="5796" priority="3320"/>
    <cfRule type="duplicateValues" dxfId="5795" priority="3319"/>
    <cfRule type="duplicateValues" dxfId="5794" priority="3318"/>
    <cfRule type="duplicateValues" dxfId="5793" priority="3317"/>
    <cfRule type="duplicateValues" dxfId="5792" priority="3316"/>
    <cfRule type="duplicateValues" dxfId="5791" priority="3315"/>
    <cfRule type="duplicateValues" dxfId="5790" priority="3314"/>
    <cfRule type="duplicateValues" dxfId="5789" priority="3313"/>
    <cfRule type="duplicateValues" dxfId="5788" priority="3312"/>
    <cfRule type="duplicateValues" dxfId="5787" priority="3311"/>
    <cfRule type="duplicateValues" dxfId="5786" priority="3310"/>
    <cfRule type="duplicateValues" dxfId="5785" priority="3309"/>
    <cfRule type="duplicateValues" dxfId="5784" priority="3308"/>
    <cfRule type="duplicateValues" dxfId="5783" priority="3307"/>
    <cfRule type="duplicateValues" dxfId="5782" priority="3306"/>
    <cfRule type="duplicateValues" dxfId="5781" priority="3305"/>
    <cfRule type="duplicateValues" dxfId="5780" priority="3304"/>
    <cfRule type="duplicateValues" dxfId="5779" priority="3303"/>
    <cfRule type="duplicateValues" dxfId="5778" priority="3302"/>
    <cfRule type="duplicateValues" dxfId="5777" priority="3301"/>
    <cfRule type="duplicateValues" dxfId="5776" priority="3300"/>
    <cfRule type="duplicateValues" dxfId="5775" priority="3299"/>
    <cfRule type="duplicateValues" dxfId="5774" priority="3298"/>
    <cfRule type="duplicateValues" dxfId="5773" priority="3297"/>
    <cfRule type="duplicateValues" dxfId="5772" priority="3296"/>
    <cfRule type="duplicateValues" dxfId="5771" priority="3295"/>
    <cfRule type="duplicateValues" dxfId="5770" priority="3294"/>
    <cfRule type="duplicateValues" dxfId="5769" priority="3293"/>
    <cfRule type="duplicateValues" dxfId="5768" priority="3292"/>
    <cfRule type="duplicateValues" dxfId="5767" priority="3291"/>
    <cfRule type="duplicateValues" dxfId="5766" priority="3290"/>
    <cfRule type="duplicateValues" dxfId="5765" priority="3289"/>
    <cfRule type="duplicateValues" dxfId="5764" priority="3288"/>
    <cfRule type="duplicateValues" dxfId="5763" priority="3287"/>
    <cfRule type="duplicateValues" dxfId="5762" priority="3286"/>
    <cfRule type="duplicateValues" dxfId="5761" priority="3285"/>
    <cfRule type="duplicateValues" dxfId="5760" priority="3284"/>
    <cfRule type="duplicateValues" dxfId="5759" priority="3283"/>
    <cfRule type="duplicateValues" dxfId="5758" priority="3282"/>
    <cfRule type="duplicateValues" dxfId="5757" priority="3281"/>
    <cfRule type="duplicateValues" dxfId="5756" priority="3280"/>
    <cfRule type="duplicateValues" dxfId="5755" priority="3279"/>
    <cfRule type="duplicateValues" dxfId="5754" priority="3278"/>
    <cfRule type="duplicateValues" dxfId="5753" priority="3277"/>
    <cfRule type="duplicateValues" dxfId="5752" priority="3276"/>
    <cfRule type="duplicateValues" dxfId="5751" priority="3275"/>
    <cfRule type="duplicateValues" dxfId="5750" priority="3274"/>
    <cfRule type="duplicateValues" dxfId="5749" priority="3273"/>
    <cfRule type="duplicateValues" dxfId="5748" priority="3272"/>
    <cfRule type="duplicateValues" dxfId="5747" priority="3271"/>
    <cfRule type="duplicateValues" dxfId="5746" priority="3270"/>
    <cfRule type="duplicateValues" dxfId="5745" priority="3269"/>
    <cfRule type="duplicateValues" dxfId="5744" priority="3268"/>
    <cfRule type="duplicateValues" dxfId="5743" priority="3267"/>
    <cfRule type="duplicateValues" dxfId="5742" priority="3266"/>
    <cfRule type="duplicateValues" dxfId="5741" priority="3265"/>
    <cfRule type="duplicateValues" dxfId="5740" priority="3264"/>
    <cfRule type="duplicateValues" dxfId="5739" priority="3263"/>
    <cfRule type="duplicateValues" dxfId="5738" priority="3262"/>
    <cfRule type="duplicateValues" dxfId="5737" priority="3261"/>
    <cfRule type="duplicateValues" dxfId="5736" priority="3260"/>
    <cfRule type="duplicateValues" dxfId="5735" priority="3259"/>
    <cfRule type="duplicateValues" dxfId="5734" priority="3258"/>
    <cfRule type="duplicateValues" dxfId="5733" priority="3257"/>
    <cfRule type="duplicateValues" dxfId="5732" priority="3256"/>
    <cfRule type="duplicateValues" dxfId="5731" priority="3255"/>
    <cfRule type="duplicateValues" dxfId="5730" priority="3254"/>
    <cfRule type="duplicateValues" dxfId="5729" priority="3253"/>
    <cfRule type="duplicateValues" dxfId="5728" priority="3252"/>
    <cfRule type="duplicateValues" dxfId="5727" priority="3251"/>
    <cfRule type="duplicateValues" dxfId="5726" priority="3250"/>
    <cfRule type="duplicateValues" dxfId="5725" priority="3249"/>
    <cfRule type="duplicateValues" dxfId="5724" priority="3248"/>
    <cfRule type="duplicateValues" dxfId="5723" priority="3247"/>
    <cfRule type="duplicateValues" dxfId="5722" priority="3246"/>
    <cfRule type="duplicateValues" dxfId="5721" priority="3245"/>
    <cfRule type="duplicateValues" dxfId="5720" priority="3244"/>
    <cfRule type="duplicateValues" dxfId="5719" priority="3243"/>
    <cfRule type="duplicateValues" dxfId="5718" priority="3242"/>
    <cfRule type="duplicateValues" dxfId="5717" priority="3241"/>
    <cfRule type="duplicateValues" dxfId="5716" priority="3240"/>
    <cfRule type="duplicateValues" dxfId="5715" priority="3239"/>
    <cfRule type="duplicateValues" dxfId="5714" priority="3238"/>
    <cfRule type="duplicateValues" dxfId="5713" priority="3237"/>
    <cfRule type="duplicateValues" dxfId="5712" priority="3236"/>
    <cfRule type="duplicateValues" dxfId="5711" priority="3235"/>
    <cfRule type="duplicateValues" dxfId="5710" priority="3234"/>
    <cfRule type="duplicateValues" dxfId="5709" priority="3233"/>
    <cfRule type="duplicateValues" dxfId="5708" priority="3232"/>
    <cfRule type="duplicateValues" dxfId="5707" priority="3231"/>
    <cfRule type="duplicateValues" dxfId="5706" priority="3230"/>
    <cfRule type="duplicateValues" dxfId="5705" priority="3229"/>
    <cfRule type="duplicateValues" dxfId="5704" priority="3228"/>
    <cfRule type="duplicateValues" dxfId="5703" priority="3227"/>
    <cfRule type="duplicateValues" dxfId="5702" priority="3226"/>
    <cfRule type="duplicateValues" dxfId="5701" priority="3225"/>
    <cfRule type="duplicateValues" dxfId="5700" priority="3224"/>
    <cfRule type="duplicateValues" dxfId="5699" priority="3223"/>
    <cfRule type="duplicateValues" dxfId="5698" priority="3222"/>
    <cfRule type="duplicateValues" dxfId="5697" priority="3221"/>
    <cfRule type="duplicateValues" dxfId="5696" priority="3220"/>
    <cfRule type="duplicateValues" dxfId="5695" priority="3219"/>
    <cfRule type="duplicateValues" dxfId="5694" priority="3218"/>
    <cfRule type="duplicateValues" dxfId="5693" priority="3217"/>
    <cfRule type="duplicateValues" dxfId="5692" priority="3216"/>
    <cfRule type="duplicateValues" dxfId="5691" priority="3215"/>
    <cfRule type="duplicateValues" dxfId="5690" priority="3214"/>
    <cfRule type="duplicateValues" dxfId="5689" priority="3213"/>
    <cfRule type="duplicateValues" dxfId="5688" priority="3212"/>
    <cfRule type="duplicateValues" dxfId="5687" priority="3211"/>
    <cfRule type="duplicateValues" dxfId="5686" priority="3210"/>
    <cfRule type="duplicateValues" dxfId="5685" priority="3209"/>
    <cfRule type="duplicateValues" dxfId="5684" priority="3208"/>
    <cfRule type="duplicateValues" dxfId="5683" priority="3207"/>
    <cfRule type="duplicateValues" dxfId="5682" priority="3206"/>
    <cfRule type="duplicateValues" dxfId="5681" priority="3205"/>
    <cfRule type="duplicateValues" dxfId="5680" priority="3204"/>
    <cfRule type="duplicateValues" dxfId="5679" priority="3203"/>
    <cfRule type="duplicateValues" dxfId="5678" priority="3202"/>
    <cfRule type="duplicateValues" dxfId="5677" priority="3201"/>
    <cfRule type="duplicateValues" dxfId="5676" priority="3200"/>
    <cfRule type="duplicateValues" dxfId="5675" priority="3199"/>
    <cfRule type="duplicateValues" dxfId="5674" priority="3198"/>
    <cfRule type="duplicateValues" dxfId="5673" priority="3197"/>
    <cfRule type="duplicateValues" dxfId="5672" priority="3196"/>
    <cfRule type="duplicateValues" dxfId="5671" priority="3195"/>
    <cfRule type="duplicateValues" dxfId="5670" priority="3194"/>
    <cfRule type="duplicateValues" dxfId="5669" priority="3193"/>
    <cfRule type="duplicateValues" dxfId="5668" priority="3192"/>
    <cfRule type="duplicateValues" dxfId="5667" priority="3191"/>
    <cfRule type="duplicateValues" dxfId="5666" priority="3190"/>
    <cfRule type="duplicateValues" dxfId="5665" priority="3189"/>
    <cfRule type="duplicateValues" dxfId="5664" priority="3188"/>
    <cfRule type="duplicateValues" dxfId="5663" priority="3187"/>
    <cfRule type="duplicateValues" dxfId="5662" priority="3186"/>
    <cfRule type="duplicateValues" dxfId="5661" priority="3185"/>
    <cfRule type="duplicateValues" dxfId="5660" priority="3184"/>
    <cfRule type="duplicateValues" dxfId="5659" priority="3183"/>
    <cfRule type="duplicateValues" dxfId="5658" priority="3182"/>
    <cfRule type="duplicateValues" dxfId="5657" priority="3181"/>
    <cfRule type="duplicateValues" dxfId="5656" priority="3180"/>
    <cfRule type="duplicateValues" dxfId="5655" priority="3179"/>
    <cfRule type="duplicateValues" dxfId="5654" priority="3178"/>
    <cfRule type="duplicateValues" dxfId="5653" priority="3177"/>
    <cfRule type="duplicateValues" dxfId="5652" priority="3176"/>
    <cfRule type="duplicateValues" dxfId="5651" priority="3175"/>
    <cfRule type="duplicateValues" dxfId="5650" priority="3174"/>
    <cfRule type="duplicateValues" dxfId="5649" priority="3173"/>
    <cfRule type="duplicateValues" dxfId="5648" priority="3172"/>
    <cfRule type="duplicateValues" dxfId="5647" priority="3171"/>
    <cfRule type="duplicateValues" dxfId="5646" priority="3170"/>
    <cfRule type="duplicateValues" dxfId="5645" priority="3169"/>
    <cfRule type="duplicateValues" dxfId="5644" priority="3168"/>
    <cfRule type="duplicateValues" dxfId="5643" priority="3167"/>
    <cfRule type="duplicateValues" dxfId="5642" priority="3166"/>
    <cfRule type="duplicateValues" dxfId="5641" priority="3165"/>
  </conditionalFormatting>
  <conditionalFormatting sqref="B371">
    <cfRule type="duplicateValues" dxfId="5640" priority="2976"/>
    <cfRule type="duplicateValues" dxfId="5639" priority="2975"/>
    <cfRule type="duplicateValues" dxfId="5638" priority="2974"/>
    <cfRule type="duplicateValues" dxfId="5637" priority="2973"/>
    <cfRule type="duplicateValues" dxfId="5636" priority="2972"/>
    <cfRule type="duplicateValues" dxfId="5635" priority="2971"/>
    <cfRule type="duplicateValues" dxfId="5634" priority="2970"/>
    <cfRule type="duplicateValues" dxfId="5633" priority="2969"/>
    <cfRule type="duplicateValues" dxfId="5632" priority="2968"/>
    <cfRule type="duplicateValues" dxfId="5631" priority="2967"/>
    <cfRule type="duplicateValues" dxfId="5630" priority="2966"/>
    <cfRule type="duplicateValues" dxfId="5629" priority="2965"/>
    <cfRule type="duplicateValues" dxfId="5628" priority="2964"/>
    <cfRule type="duplicateValues" dxfId="5627" priority="2963"/>
    <cfRule type="duplicateValues" dxfId="5626" priority="2962"/>
    <cfRule type="duplicateValues" dxfId="5625" priority="2961"/>
    <cfRule type="duplicateValues" dxfId="5624" priority="2960"/>
    <cfRule type="duplicateValues" dxfId="5623" priority="2959"/>
    <cfRule type="duplicateValues" dxfId="5622" priority="2958"/>
    <cfRule type="duplicateValues" dxfId="5621" priority="2957"/>
    <cfRule type="duplicateValues" dxfId="5620" priority="2956"/>
    <cfRule type="duplicateValues" dxfId="5619" priority="2955"/>
    <cfRule type="duplicateValues" dxfId="5618" priority="2954"/>
    <cfRule type="duplicateValues" dxfId="5617" priority="2953"/>
    <cfRule type="duplicateValues" dxfId="5616" priority="2952"/>
    <cfRule type="duplicateValues" dxfId="5615" priority="2951"/>
    <cfRule type="duplicateValues" dxfId="5614" priority="2950"/>
    <cfRule type="duplicateValues" dxfId="5613" priority="2949"/>
    <cfRule type="duplicateValues" dxfId="5612" priority="2948"/>
    <cfRule type="duplicateValues" dxfId="5611" priority="2947"/>
    <cfRule type="duplicateValues" dxfId="5610" priority="2946"/>
    <cfRule type="duplicateValues" dxfId="5609" priority="2945"/>
    <cfRule type="duplicateValues" dxfId="5608" priority="2944"/>
    <cfRule type="duplicateValues" dxfId="5607" priority="2943"/>
    <cfRule type="duplicateValues" dxfId="5606" priority="2942"/>
    <cfRule type="duplicateValues" dxfId="5605" priority="2941"/>
    <cfRule type="duplicateValues" dxfId="5604" priority="2940"/>
    <cfRule type="duplicateValues" dxfId="5603" priority="2939"/>
    <cfRule type="duplicateValues" dxfId="5602" priority="2938"/>
    <cfRule type="duplicateValues" dxfId="5601" priority="2937"/>
    <cfRule type="duplicateValues" dxfId="5600" priority="2936"/>
    <cfRule type="duplicateValues" dxfId="5599" priority="2935"/>
    <cfRule type="duplicateValues" dxfId="5598" priority="2934"/>
    <cfRule type="duplicateValues" dxfId="5597" priority="2933"/>
    <cfRule type="duplicateValues" dxfId="5596" priority="2932"/>
    <cfRule type="duplicateValues" dxfId="5595" priority="2931"/>
    <cfRule type="duplicateValues" dxfId="5594" priority="2930"/>
    <cfRule type="duplicateValues" dxfId="5593" priority="2929"/>
    <cfRule type="duplicateValues" dxfId="5592" priority="2928"/>
    <cfRule type="duplicateValues" dxfId="5591" priority="2927"/>
    <cfRule type="duplicateValues" dxfId="5590" priority="2926"/>
    <cfRule type="duplicateValues" dxfId="5589" priority="2925"/>
    <cfRule type="duplicateValues" dxfId="5588" priority="2924"/>
    <cfRule type="duplicateValues" dxfId="5587" priority="2923"/>
    <cfRule type="duplicateValues" dxfId="5586" priority="2922"/>
    <cfRule type="duplicateValues" dxfId="5585" priority="2921"/>
    <cfRule type="duplicateValues" dxfId="5584" priority="2920"/>
    <cfRule type="duplicateValues" dxfId="5583" priority="2919"/>
    <cfRule type="duplicateValues" dxfId="5582" priority="2918"/>
    <cfRule type="duplicateValues" dxfId="5581" priority="2917"/>
    <cfRule type="duplicateValues" dxfId="5580" priority="2916"/>
    <cfRule type="duplicateValues" dxfId="5579" priority="2915"/>
    <cfRule type="duplicateValues" dxfId="5578" priority="2914"/>
    <cfRule type="duplicateValues" dxfId="5577" priority="2913"/>
    <cfRule type="duplicateValues" dxfId="5576" priority="2912"/>
    <cfRule type="duplicateValues" dxfId="5575" priority="2911"/>
    <cfRule type="duplicateValues" dxfId="5574" priority="2910"/>
    <cfRule type="duplicateValues" dxfId="5573" priority="2909"/>
    <cfRule type="duplicateValues" dxfId="5572" priority="2908"/>
    <cfRule type="duplicateValues" dxfId="5571" priority="2907"/>
    <cfRule type="duplicateValues" dxfId="5570" priority="2906"/>
    <cfRule type="duplicateValues" dxfId="5569" priority="2905"/>
    <cfRule type="duplicateValues" dxfId="5568" priority="2904"/>
    <cfRule type="duplicateValues" dxfId="5567" priority="2903"/>
    <cfRule type="duplicateValues" dxfId="5566" priority="2902"/>
    <cfRule type="duplicateValues" dxfId="5565" priority="2901"/>
    <cfRule type="duplicateValues" dxfId="5564" priority="2900"/>
    <cfRule type="duplicateValues" dxfId="5563" priority="2899"/>
    <cfRule type="duplicateValues" dxfId="5562" priority="2898"/>
    <cfRule type="duplicateValues" dxfId="5561" priority="2897"/>
    <cfRule type="duplicateValues" dxfId="5560" priority="2896"/>
    <cfRule type="duplicateValues" dxfId="5559" priority="2895"/>
    <cfRule type="duplicateValues" dxfId="5558" priority="2894"/>
    <cfRule type="duplicateValues" dxfId="5557" priority="2893"/>
    <cfRule type="duplicateValues" dxfId="5556" priority="2892"/>
    <cfRule type="duplicateValues" dxfId="5555" priority="2891"/>
    <cfRule type="duplicateValues" dxfId="5554" priority="2890"/>
    <cfRule type="duplicateValues" dxfId="5553" priority="2889"/>
    <cfRule type="duplicateValues" dxfId="5552" priority="2888"/>
    <cfRule type="duplicateValues" dxfId="5551" priority="2887"/>
    <cfRule type="duplicateValues" dxfId="5550" priority="2886"/>
    <cfRule type="duplicateValues" dxfId="5549" priority="2885"/>
    <cfRule type="duplicateValues" dxfId="5548" priority="2884"/>
    <cfRule type="duplicateValues" dxfId="5547" priority="2883"/>
    <cfRule type="duplicateValues" dxfId="5546" priority="2882"/>
    <cfRule type="duplicateValues" dxfId="5545" priority="2881"/>
    <cfRule type="duplicateValues" dxfId="5544" priority="2880"/>
    <cfRule type="duplicateValues" dxfId="5543" priority="2879"/>
    <cfRule type="duplicateValues" dxfId="5542" priority="2878"/>
    <cfRule type="duplicateValues" dxfId="5541" priority="2877"/>
    <cfRule type="duplicateValues" dxfId="5540" priority="2876"/>
    <cfRule type="duplicateValues" dxfId="5539" priority="2875"/>
    <cfRule type="duplicateValues" dxfId="5538" priority="2874"/>
    <cfRule type="duplicateValues" dxfId="5537" priority="2873"/>
    <cfRule type="duplicateValues" dxfId="5536" priority="2872"/>
    <cfRule type="duplicateValues" dxfId="5535" priority="2871"/>
    <cfRule type="duplicateValues" dxfId="5534" priority="2870"/>
    <cfRule type="duplicateValues" dxfId="5533" priority="2869"/>
    <cfRule type="duplicateValues" dxfId="5532" priority="2868"/>
    <cfRule type="duplicateValues" dxfId="5531" priority="2867"/>
    <cfRule type="duplicateValues" dxfId="5530" priority="2866"/>
    <cfRule type="duplicateValues" dxfId="5529" priority="2865"/>
    <cfRule type="duplicateValues" dxfId="5528" priority="2864"/>
    <cfRule type="duplicateValues" dxfId="5527" priority="2863"/>
    <cfRule type="duplicateValues" dxfId="5526" priority="2862"/>
    <cfRule type="duplicateValues" dxfId="5525" priority="2861"/>
    <cfRule type="duplicateValues" dxfId="5524" priority="2860"/>
    <cfRule type="duplicateValues" dxfId="5523" priority="2859"/>
    <cfRule type="duplicateValues" dxfId="5522" priority="2858"/>
    <cfRule type="duplicateValues" dxfId="5521" priority="2857"/>
    <cfRule type="duplicateValues" dxfId="5520" priority="2856"/>
    <cfRule type="duplicateValues" dxfId="5519" priority="2855"/>
    <cfRule type="duplicateValues" dxfId="5518" priority="2854"/>
    <cfRule type="duplicateValues" dxfId="5517" priority="2853"/>
    <cfRule type="duplicateValues" dxfId="5516" priority="2852"/>
    <cfRule type="duplicateValues" dxfId="5515" priority="2851"/>
    <cfRule type="duplicateValues" dxfId="5514" priority="2850"/>
    <cfRule type="duplicateValues" dxfId="5513" priority="2849"/>
    <cfRule type="duplicateValues" dxfId="5512" priority="2848"/>
    <cfRule type="duplicateValues" dxfId="5511" priority="2847"/>
    <cfRule type="duplicateValues" dxfId="5510" priority="2846"/>
    <cfRule type="duplicateValues" dxfId="5509" priority="2845"/>
    <cfRule type="duplicateValues" dxfId="5508" priority="2844"/>
    <cfRule type="duplicateValues" dxfId="5507" priority="2843"/>
    <cfRule type="duplicateValues" dxfId="5506" priority="2842"/>
    <cfRule type="duplicateValues" dxfId="5505" priority="2841"/>
    <cfRule type="duplicateValues" dxfId="5504" priority="2840"/>
    <cfRule type="duplicateValues" dxfId="5503" priority="2839"/>
    <cfRule type="duplicateValues" dxfId="5502" priority="2838"/>
    <cfRule type="duplicateValues" dxfId="5501" priority="2837"/>
    <cfRule type="duplicateValues" dxfId="5500" priority="2836"/>
    <cfRule type="duplicateValues" dxfId="5499" priority="2835"/>
    <cfRule type="duplicateValues" dxfId="5498" priority="2834"/>
    <cfRule type="duplicateValues" dxfId="5497" priority="2833"/>
    <cfRule type="duplicateValues" dxfId="5496" priority="2832"/>
    <cfRule type="duplicateValues" dxfId="5495" priority="2831"/>
    <cfRule type="duplicateValues" dxfId="5494" priority="2830"/>
    <cfRule type="duplicateValues" dxfId="5493" priority="2829"/>
    <cfRule type="duplicateValues" dxfId="5492" priority="2828"/>
    <cfRule type="duplicateValues" dxfId="5491" priority="2827"/>
    <cfRule type="duplicateValues" dxfId="5490" priority="2826"/>
    <cfRule type="duplicateValues" dxfId="5489" priority="2825"/>
    <cfRule type="duplicateValues" dxfId="5488" priority="2824"/>
    <cfRule type="duplicateValues" dxfId="5487" priority="2823"/>
    <cfRule type="duplicateValues" dxfId="5486" priority="2822"/>
    <cfRule type="duplicateValues" dxfId="5485" priority="2821"/>
    <cfRule type="duplicateValues" dxfId="5484" priority="2820"/>
    <cfRule type="duplicateValues" dxfId="5483" priority="2819"/>
    <cfRule type="duplicateValues" dxfId="5482" priority="2818"/>
    <cfRule type="duplicateValues" dxfId="5481" priority="2817"/>
    <cfRule type="duplicateValues" dxfId="5480" priority="2816"/>
    <cfRule type="duplicateValues" dxfId="5479" priority="2815"/>
    <cfRule type="duplicateValues" dxfId="5478" priority="2814"/>
    <cfRule type="duplicateValues" dxfId="5477" priority="2813"/>
    <cfRule type="duplicateValues" dxfId="5476" priority="2812"/>
    <cfRule type="duplicateValues" dxfId="5475" priority="2811"/>
    <cfRule type="duplicateValues" dxfId="5474" priority="2810"/>
    <cfRule type="duplicateValues" dxfId="5473" priority="2809"/>
    <cfRule type="duplicateValues" dxfId="5472" priority="2808"/>
    <cfRule type="duplicateValues" dxfId="5471" priority="2807"/>
    <cfRule type="duplicateValues" dxfId="5470" priority="2806"/>
    <cfRule type="duplicateValues" dxfId="5469" priority="2805"/>
    <cfRule type="duplicateValues" dxfId="5468" priority="2804"/>
    <cfRule type="duplicateValues" dxfId="5467" priority="2803"/>
    <cfRule type="duplicateValues" dxfId="5466" priority="2802"/>
    <cfRule type="duplicateValues" dxfId="5465" priority="2801"/>
    <cfRule type="duplicateValues" dxfId="5464" priority="2800"/>
    <cfRule type="duplicateValues" dxfId="5463" priority="2799"/>
    <cfRule type="duplicateValues" dxfId="5462" priority="2798"/>
    <cfRule type="duplicateValues" dxfId="5461" priority="2797"/>
    <cfRule type="duplicateValues" dxfId="5460" priority="2796"/>
    <cfRule type="duplicateValues" dxfId="5459" priority="2795"/>
    <cfRule type="duplicateValues" dxfId="5458" priority="2794"/>
    <cfRule type="duplicateValues" dxfId="5457" priority="2793"/>
    <cfRule type="duplicateValues" dxfId="5456" priority="2792"/>
    <cfRule type="duplicateValues" dxfId="5455" priority="2791"/>
    <cfRule type="duplicateValues" dxfId="5454" priority="2790"/>
    <cfRule type="duplicateValues" dxfId="5453" priority="2789"/>
  </conditionalFormatting>
  <conditionalFormatting sqref="B372:B375">
    <cfRule type="duplicateValues" dxfId="5452" priority="2788"/>
    <cfRule type="duplicateValues" dxfId="5451" priority="2787"/>
    <cfRule type="duplicateValues" dxfId="5450" priority="2786"/>
    <cfRule type="duplicateValues" dxfId="5449" priority="2785"/>
    <cfRule type="duplicateValues" dxfId="5448" priority="2784"/>
    <cfRule type="duplicateValues" dxfId="5447" priority="2783"/>
    <cfRule type="duplicateValues" dxfId="5446" priority="2782"/>
    <cfRule type="duplicateValues" dxfId="5445" priority="2781"/>
    <cfRule type="duplicateValues" dxfId="5444" priority="2780"/>
    <cfRule type="duplicateValues" dxfId="5443" priority="2779"/>
    <cfRule type="duplicateValues" dxfId="5442" priority="2778"/>
    <cfRule type="duplicateValues" dxfId="5441" priority="2777"/>
    <cfRule type="duplicateValues" dxfId="5440" priority="2776"/>
    <cfRule type="duplicateValues" dxfId="5439" priority="2775"/>
    <cfRule type="duplicateValues" dxfId="5438" priority="2774"/>
    <cfRule type="duplicateValues" dxfId="5437" priority="2773"/>
    <cfRule type="duplicateValues" dxfId="5436" priority="2772"/>
    <cfRule type="duplicateValues" dxfId="5435" priority="2771"/>
    <cfRule type="duplicateValues" dxfId="5434" priority="2770"/>
    <cfRule type="duplicateValues" dxfId="5433" priority="2769"/>
    <cfRule type="duplicateValues" dxfId="5432" priority="2768"/>
    <cfRule type="duplicateValues" dxfId="5431" priority="2767"/>
    <cfRule type="duplicateValues" dxfId="5430" priority="2766"/>
    <cfRule type="duplicateValues" dxfId="5429" priority="2765"/>
    <cfRule type="duplicateValues" dxfId="5428" priority="2764"/>
    <cfRule type="duplicateValues" dxfId="5427" priority="2763"/>
    <cfRule type="duplicateValues" dxfId="5426" priority="2762"/>
    <cfRule type="duplicateValues" dxfId="5425" priority="2761"/>
    <cfRule type="duplicateValues" dxfId="5424" priority="2760"/>
    <cfRule type="duplicateValues" dxfId="5423" priority="2759"/>
    <cfRule type="duplicateValues" dxfId="5422" priority="2758"/>
    <cfRule type="duplicateValues" dxfId="5421" priority="2757"/>
    <cfRule type="duplicateValues" dxfId="5420" priority="2756"/>
    <cfRule type="duplicateValues" dxfId="5419" priority="2755"/>
    <cfRule type="duplicateValues" dxfId="5418" priority="2754"/>
    <cfRule type="duplicateValues" dxfId="5417" priority="2753"/>
    <cfRule type="duplicateValues" dxfId="5416" priority="2752"/>
    <cfRule type="duplicateValues" dxfId="5415" priority="2751"/>
    <cfRule type="duplicateValues" dxfId="5414" priority="2750"/>
    <cfRule type="duplicateValues" dxfId="5413" priority="2749"/>
    <cfRule type="duplicateValues" dxfId="5412" priority="2748"/>
    <cfRule type="duplicateValues" dxfId="5411" priority="2747"/>
    <cfRule type="duplicateValues" dxfId="5410" priority="2746"/>
    <cfRule type="duplicateValues" dxfId="5409" priority="2745"/>
    <cfRule type="duplicateValues" dxfId="5408" priority="2744"/>
    <cfRule type="duplicateValues" dxfId="5407" priority="2743"/>
    <cfRule type="duplicateValues" dxfId="5406" priority="2742"/>
    <cfRule type="duplicateValues" dxfId="5405" priority="2741"/>
    <cfRule type="duplicateValues" dxfId="5404" priority="2740"/>
    <cfRule type="duplicateValues" dxfId="5403" priority="2739"/>
    <cfRule type="duplicateValues" dxfId="5402" priority="2738"/>
    <cfRule type="duplicateValues" dxfId="5401" priority="2737"/>
    <cfRule type="duplicateValues" dxfId="5400" priority="2736"/>
    <cfRule type="duplicateValues" dxfId="5399" priority="2735"/>
    <cfRule type="duplicateValues" dxfId="5398" priority="2734"/>
    <cfRule type="duplicateValues" dxfId="5397" priority="2733"/>
    <cfRule type="duplicateValues" dxfId="5396" priority="2732"/>
    <cfRule type="duplicateValues" dxfId="5395" priority="2731"/>
    <cfRule type="duplicateValues" dxfId="5394" priority="2730"/>
    <cfRule type="duplicateValues" dxfId="5393" priority="2729"/>
    <cfRule type="duplicateValues" dxfId="5392" priority="2728"/>
    <cfRule type="duplicateValues" dxfId="5391" priority="2727"/>
    <cfRule type="duplicateValues" dxfId="5390" priority="2726"/>
    <cfRule type="duplicateValues" dxfId="5389" priority="2725"/>
    <cfRule type="duplicateValues" dxfId="5388" priority="2724"/>
    <cfRule type="duplicateValues" dxfId="5387" priority="2723"/>
    <cfRule type="duplicateValues" dxfId="5386" priority="2722"/>
    <cfRule type="duplicateValues" dxfId="5385" priority="2721"/>
    <cfRule type="duplicateValues" dxfId="5384" priority="2720"/>
    <cfRule type="duplicateValues" dxfId="5383" priority="2719"/>
    <cfRule type="duplicateValues" dxfId="5382" priority="2718"/>
    <cfRule type="duplicateValues" dxfId="5381" priority="2717"/>
    <cfRule type="duplicateValues" dxfId="5380" priority="2716"/>
    <cfRule type="duplicateValues" dxfId="5379" priority="2715"/>
    <cfRule type="duplicateValues" dxfId="5378" priority="2714"/>
    <cfRule type="duplicateValues" dxfId="5377" priority="2713"/>
    <cfRule type="duplicateValues" dxfId="5376" priority="2712"/>
    <cfRule type="duplicateValues" dxfId="5375" priority="2711"/>
    <cfRule type="duplicateValues" dxfId="5374" priority="2710"/>
    <cfRule type="duplicateValues" dxfId="5373" priority="2709"/>
    <cfRule type="duplicateValues" dxfId="5372" priority="2708"/>
    <cfRule type="duplicateValues" dxfId="5371" priority="2707"/>
    <cfRule type="duplicateValues" dxfId="5370" priority="2706"/>
    <cfRule type="duplicateValues" dxfId="5369" priority="2705"/>
    <cfRule type="duplicateValues" dxfId="5368" priority="2704"/>
    <cfRule type="duplicateValues" dxfId="5367" priority="2703"/>
    <cfRule type="duplicateValues" dxfId="5366" priority="2702"/>
    <cfRule type="duplicateValues" dxfId="5365" priority="2701"/>
    <cfRule type="duplicateValues" dxfId="5364" priority="2700"/>
    <cfRule type="duplicateValues" dxfId="5363" priority="2699"/>
    <cfRule type="duplicateValues" dxfId="5362" priority="2698"/>
    <cfRule type="duplicateValues" dxfId="5361" priority="2697"/>
    <cfRule type="duplicateValues" dxfId="5360" priority="2696"/>
    <cfRule type="duplicateValues" dxfId="5359" priority="2695"/>
    <cfRule type="duplicateValues" dxfId="5358" priority="2694"/>
    <cfRule type="duplicateValues" dxfId="5357" priority="2693"/>
    <cfRule type="duplicateValues" dxfId="5356" priority="2692"/>
    <cfRule type="duplicateValues" dxfId="5355" priority="2691"/>
    <cfRule type="duplicateValues" dxfId="5354" priority="2690"/>
    <cfRule type="duplicateValues" dxfId="5353" priority="2689"/>
    <cfRule type="duplicateValues" dxfId="5352" priority="2688"/>
    <cfRule type="duplicateValues" dxfId="5351" priority="2687"/>
    <cfRule type="duplicateValues" dxfId="5350" priority="2686"/>
    <cfRule type="duplicateValues" dxfId="5349" priority="2685"/>
    <cfRule type="duplicateValues" dxfId="5348" priority="2684"/>
    <cfRule type="duplicateValues" dxfId="5347" priority="2683"/>
    <cfRule type="duplicateValues" dxfId="5346" priority="2682"/>
    <cfRule type="duplicateValues" dxfId="5345" priority="2681"/>
    <cfRule type="duplicateValues" dxfId="5344" priority="2680"/>
    <cfRule type="duplicateValues" dxfId="5343" priority="2679"/>
    <cfRule type="duplicateValues" dxfId="5342" priority="2678"/>
    <cfRule type="duplicateValues" dxfId="5341" priority="2677"/>
    <cfRule type="duplicateValues" dxfId="5340" priority="2676"/>
    <cfRule type="duplicateValues" dxfId="5339" priority="2675"/>
    <cfRule type="duplicateValues" dxfId="5338" priority="2674"/>
    <cfRule type="duplicateValues" dxfId="5337" priority="2673"/>
    <cfRule type="duplicateValues" dxfId="5336" priority="2672"/>
    <cfRule type="duplicateValues" dxfId="5335" priority="2671"/>
    <cfRule type="duplicateValues" dxfId="5334" priority="2670"/>
    <cfRule type="duplicateValues" dxfId="5333" priority="2669"/>
    <cfRule type="duplicateValues" dxfId="5332" priority="2668"/>
    <cfRule type="duplicateValues" dxfId="5331" priority="2667"/>
    <cfRule type="duplicateValues" dxfId="5330" priority="2666"/>
    <cfRule type="duplicateValues" dxfId="5329" priority="2665"/>
    <cfRule type="duplicateValues" dxfId="5328" priority="2664"/>
    <cfRule type="duplicateValues" dxfId="5327" priority="2663"/>
    <cfRule type="duplicateValues" dxfId="5326" priority="2662"/>
    <cfRule type="duplicateValues" dxfId="5325" priority="2661"/>
    <cfRule type="duplicateValues" dxfId="5324" priority="2660"/>
    <cfRule type="duplicateValues" dxfId="5323" priority="2659"/>
    <cfRule type="duplicateValues" dxfId="5322" priority="2658"/>
    <cfRule type="duplicateValues" dxfId="5321" priority="2657"/>
    <cfRule type="duplicateValues" dxfId="5320" priority="2656"/>
    <cfRule type="duplicateValues" dxfId="5319" priority="2655"/>
    <cfRule type="duplicateValues" dxfId="5318" priority="2654"/>
    <cfRule type="duplicateValues" dxfId="5317" priority="2653"/>
    <cfRule type="duplicateValues" dxfId="5316" priority="2652"/>
    <cfRule type="duplicateValues" dxfId="5315" priority="2651"/>
    <cfRule type="duplicateValues" dxfId="5314" priority="2650"/>
    <cfRule type="duplicateValues" dxfId="5313" priority="2649"/>
    <cfRule type="duplicateValues" dxfId="5312" priority="2648"/>
    <cfRule type="duplicateValues" dxfId="5311" priority="2647"/>
    <cfRule type="duplicateValues" dxfId="5310" priority="2646"/>
    <cfRule type="duplicateValues" dxfId="5309" priority="2645"/>
    <cfRule type="duplicateValues" dxfId="5308" priority="2644"/>
    <cfRule type="duplicateValues" dxfId="5307" priority="2643"/>
    <cfRule type="duplicateValues" dxfId="5306" priority="2642"/>
    <cfRule type="duplicateValues" dxfId="5305" priority="2641"/>
    <cfRule type="duplicateValues" dxfId="5304" priority="2640"/>
    <cfRule type="duplicateValues" dxfId="5303" priority="2639"/>
    <cfRule type="duplicateValues" dxfId="5302" priority="2638"/>
    <cfRule type="duplicateValues" dxfId="5301" priority="2637"/>
    <cfRule type="duplicateValues" dxfId="5300" priority="2636"/>
    <cfRule type="duplicateValues" dxfId="5299" priority="2635"/>
    <cfRule type="duplicateValues" dxfId="5298" priority="2634"/>
    <cfRule type="duplicateValues" dxfId="5297" priority="2633"/>
    <cfRule type="duplicateValues" dxfId="5296" priority="2632"/>
    <cfRule type="duplicateValues" dxfId="5295" priority="2631"/>
    <cfRule type="duplicateValues" dxfId="5294" priority="2630"/>
    <cfRule type="duplicateValues" dxfId="5293" priority="2629"/>
    <cfRule type="duplicateValues" dxfId="5292" priority="2628"/>
    <cfRule type="duplicateValues" dxfId="5291" priority="2627"/>
    <cfRule type="duplicateValues" dxfId="5290" priority="2626"/>
    <cfRule type="duplicateValues" dxfId="5289" priority="2625"/>
    <cfRule type="duplicateValues" dxfId="5288" priority="2624"/>
    <cfRule type="duplicateValues" dxfId="5287" priority="2623"/>
    <cfRule type="duplicateValues" dxfId="5286" priority="2622"/>
    <cfRule type="duplicateValues" dxfId="5285" priority="2621"/>
    <cfRule type="duplicateValues" dxfId="5284" priority="2620"/>
    <cfRule type="duplicateValues" dxfId="5283" priority="2619"/>
    <cfRule type="duplicateValues" dxfId="5282" priority="2618"/>
    <cfRule type="duplicateValues" dxfId="5281" priority="2617"/>
    <cfRule type="duplicateValues" dxfId="5280" priority="2616"/>
    <cfRule type="duplicateValues" dxfId="5279" priority="2615"/>
    <cfRule type="duplicateValues" dxfId="5278" priority="2614"/>
    <cfRule type="duplicateValues" dxfId="5277" priority="2613"/>
    <cfRule type="duplicateValues" dxfId="5276" priority="2612"/>
    <cfRule type="duplicateValues" dxfId="5275" priority="2611"/>
    <cfRule type="duplicateValues" dxfId="5274" priority="2610"/>
    <cfRule type="duplicateValues" dxfId="5273" priority="2609"/>
    <cfRule type="duplicateValues" dxfId="5272" priority="2608"/>
    <cfRule type="duplicateValues" dxfId="5271" priority="2607"/>
    <cfRule type="duplicateValues" dxfId="5270" priority="2606"/>
    <cfRule type="duplicateValues" dxfId="5269" priority="2605"/>
    <cfRule type="duplicateValues" dxfId="5268" priority="2604"/>
    <cfRule type="duplicateValues" dxfId="5267" priority="2603"/>
    <cfRule type="duplicateValues" dxfId="5266" priority="2602"/>
    <cfRule type="duplicateValues" dxfId="5265" priority="2601"/>
  </conditionalFormatting>
  <conditionalFormatting sqref="B376">
    <cfRule type="duplicateValues" dxfId="5264" priority="2224"/>
    <cfRule type="duplicateValues" dxfId="5263" priority="2223"/>
    <cfRule type="duplicateValues" dxfId="5262" priority="2222"/>
    <cfRule type="duplicateValues" dxfId="5261" priority="2221"/>
    <cfRule type="duplicateValues" dxfId="5260" priority="2220"/>
    <cfRule type="duplicateValues" dxfId="5259" priority="2219"/>
    <cfRule type="duplicateValues" dxfId="5258" priority="2218"/>
    <cfRule type="duplicateValues" dxfId="5257" priority="2217"/>
    <cfRule type="duplicateValues" dxfId="5256" priority="2216"/>
    <cfRule type="duplicateValues" dxfId="5255" priority="2215"/>
    <cfRule type="duplicateValues" dxfId="5254" priority="2214"/>
    <cfRule type="duplicateValues" dxfId="5253" priority="2213"/>
    <cfRule type="duplicateValues" dxfId="5252" priority="2212"/>
    <cfRule type="duplicateValues" dxfId="5251" priority="2211"/>
    <cfRule type="duplicateValues" dxfId="5250" priority="2210"/>
    <cfRule type="duplicateValues" dxfId="5249" priority="2209"/>
    <cfRule type="duplicateValues" dxfId="5248" priority="2208"/>
    <cfRule type="duplicateValues" dxfId="5247" priority="2207"/>
    <cfRule type="duplicateValues" dxfId="5246" priority="2206"/>
    <cfRule type="duplicateValues" dxfId="5245" priority="2205"/>
    <cfRule type="duplicateValues" dxfId="5244" priority="2204"/>
    <cfRule type="duplicateValues" dxfId="5243" priority="2203"/>
    <cfRule type="duplicateValues" dxfId="5242" priority="2202"/>
    <cfRule type="duplicateValues" dxfId="5241" priority="2201"/>
    <cfRule type="duplicateValues" dxfId="5240" priority="2200"/>
    <cfRule type="duplicateValues" dxfId="5239" priority="2199"/>
    <cfRule type="duplicateValues" dxfId="5238" priority="2198"/>
    <cfRule type="duplicateValues" dxfId="5237" priority="2197"/>
    <cfRule type="duplicateValues" dxfId="5236" priority="2196"/>
    <cfRule type="duplicateValues" dxfId="5235" priority="2195"/>
    <cfRule type="duplicateValues" dxfId="5234" priority="2194"/>
    <cfRule type="duplicateValues" dxfId="5233" priority="2193"/>
    <cfRule type="duplicateValues" dxfId="5232" priority="2192"/>
    <cfRule type="duplicateValues" dxfId="5231" priority="2191"/>
    <cfRule type="duplicateValues" dxfId="5230" priority="2190"/>
    <cfRule type="duplicateValues" dxfId="5229" priority="2189"/>
    <cfRule type="duplicateValues" dxfId="5228" priority="2188"/>
    <cfRule type="duplicateValues" dxfId="5227" priority="2187"/>
    <cfRule type="duplicateValues" dxfId="5226" priority="2186"/>
    <cfRule type="duplicateValues" dxfId="5225" priority="2185"/>
    <cfRule type="duplicateValues" dxfId="5224" priority="2184"/>
    <cfRule type="duplicateValues" dxfId="5223" priority="2183"/>
    <cfRule type="duplicateValues" dxfId="5222" priority="2182"/>
    <cfRule type="duplicateValues" dxfId="5221" priority="2181"/>
    <cfRule type="duplicateValues" dxfId="5220" priority="2180"/>
    <cfRule type="duplicateValues" dxfId="5219" priority="2179"/>
    <cfRule type="duplicateValues" dxfId="5218" priority="2178"/>
    <cfRule type="duplicateValues" dxfId="5217" priority="2177"/>
    <cfRule type="duplicateValues" dxfId="5216" priority="2176"/>
    <cfRule type="duplicateValues" dxfId="5215" priority="2175"/>
    <cfRule type="duplicateValues" dxfId="5214" priority="2174"/>
    <cfRule type="duplicateValues" dxfId="5213" priority="2173"/>
    <cfRule type="duplicateValues" dxfId="5212" priority="2172"/>
    <cfRule type="duplicateValues" dxfId="5211" priority="2171"/>
    <cfRule type="duplicateValues" dxfId="5210" priority="2170"/>
    <cfRule type="duplicateValues" dxfId="5209" priority="2169"/>
    <cfRule type="duplicateValues" dxfId="5208" priority="2168"/>
    <cfRule type="duplicateValues" dxfId="5207" priority="2167"/>
    <cfRule type="duplicateValues" dxfId="5206" priority="2166"/>
    <cfRule type="duplicateValues" dxfId="5205" priority="2165"/>
    <cfRule type="duplicateValues" dxfId="5204" priority="2164"/>
    <cfRule type="duplicateValues" dxfId="5203" priority="2163"/>
    <cfRule type="duplicateValues" dxfId="5202" priority="2162"/>
    <cfRule type="duplicateValues" dxfId="5201" priority="2161"/>
    <cfRule type="duplicateValues" dxfId="5200" priority="2160"/>
    <cfRule type="duplicateValues" dxfId="5199" priority="2159"/>
    <cfRule type="duplicateValues" dxfId="5198" priority="2158"/>
    <cfRule type="duplicateValues" dxfId="5197" priority="2157"/>
    <cfRule type="duplicateValues" dxfId="5196" priority="2156"/>
    <cfRule type="duplicateValues" dxfId="5195" priority="2155"/>
    <cfRule type="duplicateValues" dxfId="5194" priority="2154"/>
    <cfRule type="duplicateValues" dxfId="5193" priority="2153"/>
    <cfRule type="duplicateValues" dxfId="5192" priority="2152"/>
    <cfRule type="duplicateValues" dxfId="5191" priority="2151"/>
    <cfRule type="duplicateValues" dxfId="5190" priority="2150"/>
    <cfRule type="duplicateValues" dxfId="5189" priority="2149"/>
    <cfRule type="duplicateValues" dxfId="5188" priority="2148"/>
    <cfRule type="duplicateValues" dxfId="5187" priority="2147"/>
    <cfRule type="duplicateValues" dxfId="5186" priority="2146"/>
    <cfRule type="duplicateValues" dxfId="5185" priority="2145"/>
    <cfRule type="duplicateValues" dxfId="5184" priority="2144"/>
    <cfRule type="duplicateValues" dxfId="5183" priority="2143"/>
    <cfRule type="duplicateValues" dxfId="5182" priority="2142"/>
    <cfRule type="duplicateValues" dxfId="5181" priority="2141"/>
    <cfRule type="duplicateValues" dxfId="5180" priority="2140"/>
    <cfRule type="duplicateValues" dxfId="5179" priority="2139"/>
    <cfRule type="duplicateValues" dxfId="5178" priority="2138"/>
    <cfRule type="duplicateValues" dxfId="5177" priority="2137"/>
    <cfRule type="duplicateValues" dxfId="5176" priority="2136"/>
    <cfRule type="duplicateValues" dxfId="5175" priority="2135"/>
    <cfRule type="duplicateValues" dxfId="5174" priority="2134"/>
    <cfRule type="duplicateValues" dxfId="5173" priority="2133"/>
    <cfRule type="duplicateValues" dxfId="5172" priority="2132"/>
    <cfRule type="duplicateValues" dxfId="5171" priority="2131"/>
    <cfRule type="duplicateValues" dxfId="5170" priority="2130"/>
    <cfRule type="duplicateValues" dxfId="5169" priority="2129"/>
    <cfRule type="duplicateValues" dxfId="5168" priority="2128"/>
    <cfRule type="duplicateValues" dxfId="5167" priority="2127"/>
    <cfRule type="duplicateValues" dxfId="5166" priority="2126"/>
    <cfRule type="duplicateValues" dxfId="5165" priority="2125"/>
    <cfRule type="duplicateValues" dxfId="5164" priority="2124"/>
    <cfRule type="duplicateValues" dxfId="5163" priority="2123"/>
    <cfRule type="duplicateValues" dxfId="5162" priority="2122"/>
    <cfRule type="duplicateValues" dxfId="5161" priority="2121"/>
    <cfRule type="duplicateValues" dxfId="5160" priority="2120"/>
    <cfRule type="duplicateValues" dxfId="5159" priority="2119"/>
    <cfRule type="duplicateValues" dxfId="5158" priority="2118"/>
    <cfRule type="duplicateValues" dxfId="5157" priority="2117"/>
    <cfRule type="duplicateValues" dxfId="5156" priority="2116"/>
    <cfRule type="duplicateValues" dxfId="5155" priority="2115"/>
    <cfRule type="duplicateValues" dxfId="5154" priority="2114"/>
    <cfRule type="duplicateValues" dxfId="5153" priority="2113"/>
    <cfRule type="duplicateValues" dxfId="5152" priority="2112"/>
    <cfRule type="duplicateValues" dxfId="5151" priority="2111"/>
    <cfRule type="duplicateValues" dxfId="5150" priority="2110"/>
    <cfRule type="duplicateValues" dxfId="5149" priority="2109"/>
    <cfRule type="duplicateValues" dxfId="5148" priority="2108"/>
    <cfRule type="duplicateValues" dxfId="5147" priority="2107"/>
    <cfRule type="duplicateValues" dxfId="5146" priority="2106"/>
    <cfRule type="duplicateValues" dxfId="5145" priority="2105"/>
    <cfRule type="duplicateValues" dxfId="5144" priority="2104"/>
    <cfRule type="duplicateValues" dxfId="5143" priority="2103"/>
    <cfRule type="duplicateValues" dxfId="5142" priority="2102"/>
    <cfRule type="duplicateValues" dxfId="5141" priority="2101"/>
    <cfRule type="duplicateValues" dxfId="5140" priority="2100"/>
    <cfRule type="duplicateValues" dxfId="5139" priority="2099"/>
    <cfRule type="duplicateValues" dxfId="5138" priority="2098"/>
    <cfRule type="duplicateValues" dxfId="5137" priority="2097"/>
    <cfRule type="duplicateValues" dxfId="5136" priority="2096"/>
    <cfRule type="duplicateValues" dxfId="5135" priority="2095"/>
    <cfRule type="duplicateValues" dxfId="5134" priority="2094"/>
    <cfRule type="duplicateValues" dxfId="5133" priority="2093"/>
    <cfRule type="duplicateValues" dxfId="5132" priority="2092"/>
    <cfRule type="duplicateValues" dxfId="5131" priority="2091"/>
    <cfRule type="duplicateValues" dxfId="5130" priority="2090"/>
    <cfRule type="duplicateValues" dxfId="5129" priority="2089"/>
    <cfRule type="duplicateValues" dxfId="5128" priority="2088"/>
    <cfRule type="duplicateValues" dxfId="5127" priority="2087"/>
    <cfRule type="duplicateValues" dxfId="5126" priority="2086"/>
    <cfRule type="duplicateValues" dxfId="5125" priority="2085"/>
    <cfRule type="duplicateValues" dxfId="5124" priority="2084"/>
    <cfRule type="duplicateValues" dxfId="5123" priority="2083"/>
    <cfRule type="duplicateValues" dxfId="5122" priority="2082"/>
    <cfRule type="duplicateValues" dxfId="5121" priority="2081"/>
    <cfRule type="duplicateValues" dxfId="5120" priority="2080"/>
    <cfRule type="duplicateValues" dxfId="5119" priority="2079"/>
    <cfRule type="duplicateValues" dxfId="5118" priority="2078"/>
    <cfRule type="duplicateValues" dxfId="5117" priority="2077"/>
    <cfRule type="duplicateValues" dxfId="5116" priority="2076"/>
    <cfRule type="duplicateValues" dxfId="5115" priority="2075"/>
    <cfRule type="duplicateValues" dxfId="5114" priority="2074"/>
    <cfRule type="duplicateValues" dxfId="5113" priority="2073"/>
    <cfRule type="duplicateValues" dxfId="5112" priority="2072"/>
    <cfRule type="duplicateValues" dxfId="5111" priority="2071"/>
    <cfRule type="duplicateValues" dxfId="5110" priority="2070"/>
    <cfRule type="duplicateValues" dxfId="5109" priority="2069"/>
    <cfRule type="duplicateValues" dxfId="5108" priority="2068"/>
    <cfRule type="duplicateValues" dxfId="5107" priority="2067"/>
    <cfRule type="duplicateValues" dxfId="5106" priority="2066"/>
    <cfRule type="duplicateValues" dxfId="5105" priority="2065"/>
    <cfRule type="duplicateValues" dxfId="5104" priority="2064"/>
    <cfRule type="duplicateValues" dxfId="5103" priority="2063"/>
    <cfRule type="duplicateValues" dxfId="5102" priority="2062"/>
    <cfRule type="duplicateValues" dxfId="5101" priority="2061"/>
    <cfRule type="duplicateValues" dxfId="5100" priority="2060"/>
    <cfRule type="duplicateValues" dxfId="5099" priority="2059"/>
    <cfRule type="duplicateValues" dxfId="5098" priority="2058"/>
    <cfRule type="duplicateValues" dxfId="5097" priority="2057"/>
    <cfRule type="duplicateValues" dxfId="5096" priority="2056"/>
    <cfRule type="duplicateValues" dxfId="5095" priority="2055"/>
    <cfRule type="duplicateValues" dxfId="5094" priority="2054"/>
    <cfRule type="duplicateValues" dxfId="5093" priority="2053"/>
    <cfRule type="duplicateValues" dxfId="5092" priority="2052"/>
    <cfRule type="duplicateValues" dxfId="5091" priority="2051"/>
    <cfRule type="duplicateValues" dxfId="5090" priority="2050"/>
    <cfRule type="duplicateValues" dxfId="5089" priority="2049"/>
    <cfRule type="duplicateValues" dxfId="5088" priority="2048"/>
    <cfRule type="duplicateValues" dxfId="5087" priority="2047"/>
    <cfRule type="duplicateValues" dxfId="5086" priority="2046"/>
    <cfRule type="duplicateValues" dxfId="5085" priority="2045"/>
    <cfRule type="duplicateValues" dxfId="5084" priority="2044"/>
    <cfRule type="duplicateValues" dxfId="5083" priority="2043"/>
    <cfRule type="duplicateValues" dxfId="5082" priority="2042"/>
    <cfRule type="duplicateValues" dxfId="5081" priority="2041"/>
    <cfRule type="duplicateValues" dxfId="5080" priority="2040"/>
    <cfRule type="duplicateValues" dxfId="5079" priority="2039"/>
    <cfRule type="duplicateValues" dxfId="5078" priority="2038"/>
    <cfRule type="duplicateValues" dxfId="5077" priority="2037"/>
  </conditionalFormatting>
  <conditionalFormatting sqref="B377:B387">
    <cfRule type="duplicateValues" dxfId="5076" priority="2240"/>
    <cfRule type="duplicateValues" dxfId="5075" priority="2412"/>
    <cfRule type="duplicateValues" dxfId="5074" priority="2411"/>
    <cfRule type="duplicateValues" dxfId="5073" priority="2410"/>
    <cfRule type="duplicateValues" dxfId="5072" priority="2409"/>
    <cfRule type="duplicateValues" dxfId="5071" priority="2408"/>
    <cfRule type="duplicateValues" dxfId="5070" priority="2407"/>
    <cfRule type="duplicateValues" dxfId="5069" priority="2406"/>
    <cfRule type="duplicateValues" dxfId="5068" priority="2405"/>
    <cfRule type="duplicateValues" dxfId="5067" priority="2404"/>
    <cfRule type="duplicateValues" dxfId="5066" priority="2403"/>
    <cfRule type="duplicateValues" dxfId="5065" priority="2402"/>
    <cfRule type="duplicateValues" dxfId="5064" priority="2401"/>
    <cfRule type="duplicateValues" dxfId="5063" priority="2400"/>
    <cfRule type="duplicateValues" dxfId="5062" priority="2399"/>
    <cfRule type="duplicateValues" dxfId="5061" priority="2398"/>
    <cfRule type="duplicateValues" dxfId="5060" priority="2397"/>
    <cfRule type="duplicateValues" dxfId="5059" priority="2396"/>
    <cfRule type="duplicateValues" dxfId="5058" priority="2395"/>
    <cfRule type="duplicateValues" dxfId="5057" priority="2394"/>
    <cfRule type="duplicateValues" dxfId="5056" priority="2393"/>
    <cfRule type="duplicateValues" dxfId="5055" priority="2392"/>
    <cfRule type="duplicateValues" dxfId="5054" priority="2391"/>
    <cfRule type="duplicateValues" dxfId="5053" priority="2390"/>
    <cfRule type="duplicateValues" dxfId="5052" priority="2389"/>
    <cfRule type="duplicateValues" dxfId="5051" priority="2388"/>
    <cfRule type="duplicateValues" dxfId="5050" priority="2387"/>
    <cfRule type="duplicateValues" dxfId="5049" priority="2386"/>
    <cfRule type="duplicateValues" dxfId="5048" priority="2385"/>
    <cfRule type="duplicateValues" dxfId="5047" priority="2384"/>
    <cfRule type="duplicateValues" dxfId="5046" priority="2383"/>
    <cfRule type="duplicateValues" dxfId="5045" priority="2382"/>
    <cfRule type="duplicateValues" dxfId="5044" priority="2381"/>
    <cfRule type="duplicateValues" dxfId="5043" priority="2380"/>
    <cfRule type="duplicateValues" dxfId="5042" priority="2379"/>
    <cfRule type="duplicateValues" dxfId="5041" priority="2378"/>
    <cfRule type="duplicateValues" dxfId="5040" priority="2377"/>
    <cfRule type="duplicateValues" dxfId="5039" priority="2376"/>
    <cfRule type="duplicateValues" dxfId="5038" priority="2375"/>
    <cfRule type="duplicateValues" dxfId="5037" priority="2374"/>
    <cfRule type="duplicateValues" dxfId="5036" priority="2373"/>
    <cfRule type="duplicateValues" dxfId="5035" priority="2372"/>
    <cfRule type="duplicateValues" dxfId="5034" priority="2371"/>
    <cfRule type="duplicateValues" dxfId="5033" priority="2370"/>
    <cfRule type="duplicateValues" dxfId="5032" priority="2369"/>
    <cfRule type="duplicateValues" dxfId="5031" priority="2368"/>
    <cfRule type="duplicateValues" dxfId="5030" priority="2367"/>
    <cfRule type="duplicateValues" dxfId="5029" priority="2366"/>
    <cfRule type="duplicateValues" dxfId="5028" priority="2365"/>
    <cfRule type="duplicateValues" dxfId="5027" priority="2364"/>
    <cfRule type="duplicateValues" dxfId="5026" priority="2363"/>
    <cfRule type="duplicateValues" dxfId="5025" priority="2362"/>
    <cfRule type="duplicateValues" dxfId="5024" priority="2361"/>
    <cfRule type="duplicateValues" dxfId="5023" priority="2360"/>
    <cfRule type="duplicateValues" dxfId="5022" priority="2359"/>
    <cfRule type="duplicateValues" dxfId="5021" priority="2358"/>
    <cfRule type="duplicateValues" dxfId="5020" priority="2357"/>
    <cfRule type="duplicateValues" dxfId="5019" priority="2356"/>
    <cfRule type="duplicateValues" dxfId="5018" priority="2355"/>
    <cfRule type="duplicateValues" dxfId="5017" priority="2354"/>
    <cfRule type="duplicateValues" dxfId="5016" priority="2353"/>
    <cfRule type="duplicateValues" dxfId="5015" priority="2352"/>
    <cfRule type="duplicateValues" dxfId="5014" priority="2351"/>
    <cfRule type="duplicateValues" dxfId="5013" priority="2350"/>
    <cfRule type="duplicateValues" dxfId="5012" priority="2349"/>
    <cfRule type="duplicateValues" dxfId="5011" priority="2348"/>
    <cfRule type="duplicateValues" dxfId="5010" priority="2347"/>
    <cfRule type="duplicateValues" dxfId="5009" priority="2346"/>
    <cfRule type="duplicateValues" dxfId="5008" priority="2345"/>
    <cfRule type="duplicateValues" dxfId="5007" priority="2344"/>
    <cfRule type="duplicateValues" dxfId="5006" priority="2343"/>
    <cfRule type="duplicateValues" dxfId="5005" priority="2342"/>
    <cfRule type="duplicateValues" dxfId="5004" priority="2341"/>
    <cfRule type="duplicateValues" dxfId="5003" priority="2340"/>
    <cfRule type="duplicateValues" dxfId="5002" priority="2339"/>
    <cfRule type="duplicateValues" dxfId="5001" priority="2338"/>
    <cfRule type="duplicateValues" dxfId="5000" priority="2337"/>
    <cfRule type="duplicateValues" dxfId="4999" priority="2336"/>
    <cfRule type="duplicateValues" dxfId="4998" priority="2335"/>
    <cfRule type="duplicateValues" dxfId="4997" priority="2334"/>
    <cfRule type="duplicateValues" dxfId="4996" priority="2333"/>
    <cfRule type="duplicateValues" dxfId="4995" priority="2332"/>
    <cfRule type="duplicateValues" dxfId="4994" priority="2331"/>
    <cfRule type="duplicateValues" dxfId="4993" priority="2330"/>
    <cfRule type="duplicateValues" dxfId="4992" priority="2329"/>
    <cfRule type="duplicateValues" dxfId="4991" priority="2328"/>
    <cfRule type="duplicateValues" dxfId="4990" priority="2327"/>
    <cfRule type="duplicateValues" dxfId="4989" priority="2326"/>
    <cfRule type="duplicateValues" dxfId="4988" priority="2325"/>
    <cfRule type="duplicateValues" dxfId="4987" priority="2324"/>
    <cfRule type="duplicateValues" dxfId="4986" priority="2323"/>
    <cfRule type="duplicateValues" dxfId="4985" priority="2322"/>
    <cfRule type="duplicateValues" dxfId="4984" priority="2321"/>
    <cfRule type="duplicateValues" dxfId="4983" priority="2320"/>
    <cfRule type="duplicateValues" dxfId="4982" priority="2319"/>
    <cfRule type="duplicateValues" dxfId="4981" priority="2318"/>
    <cfRule type="duplicateValues" dxfId="4980" priority="2317"/>
    <cfRule type="duplicateValues" dxfId="4979" priority="2316"/>
    <cfRule type="duplicateValues" dxfId="4978" priority="2315"/>
    <cfRule type="duplicateValues" dxfId="4977" priority="2314"/>
    <cfRule type="duplicateValues" dxfId="4976" priority="2313"/>
    <cfRule type="duplicateValues" dxfId="4975" priority="2312"/>
    <cfRule type="duplicateValues" dxfId="4974" priority="2311"/>
    <cfRule type="duplicateValues" dxfId="4973" priority="2310"/>
    <cfRule type="duplicateValues" dxfId="4972" priority="2309"/>
    <cfRule type="duplicateValues" dxfId="4971" priority="2308"/>
    <cfRule type="duplicateValues" dxfId="4970" priority="2307"/>
    <cfRule type="duplicateValues" dxfId="4969" priority="2306"/>
    <cfRule type="duplicateValues" dxfId="4968" priority="2305"/>
    <cfRule type="duplicateValues" dxfId="4967" priority="2304"/>
    <cfRule type="duplicateValues" dxfId="4966" priority="2303"/>
    <cfRule type="duplicateValues" dxfId="4965" priority="2302"/>
    <cfRule type="duplicateValues" dxfId="4964" priority="2301"/>
    <cfRule type="duplicateValues" dxfId="4963" priority="2300"/>
    <cfRule type="duplicateValues" dxfId="4962" priority="2299"/>
    <cfRule type="duplicateValues" dxfId="4961" priority="2298"/>
    <cfRule type="duplicateValues" dxfId="4960" priority="2297"/>
    <cfRule type="duplicateValues" dxfId="4959" priority="2296"/>
    <cfRule type="duplicateValues" dxfId="4958" priority="2295"/>
    <cfRule type="duplicateValues" dxfId="4957" priority="2294"/>
    <cfRule type="duplicateValues" dxfId="4956" priority="2293"/>
    <cfRule type="duplicateValues" dxfId="4955" priority="2292"/>
    <cfRule type="duplicateValues" dxfId="4954" priority="2291"/>
    <cfRule type="duplicateValues" dxfId="4953" priority="2290"/>
    <cfRule type="duplicateValues" dxfId="4952" priority="2289"/>
    <cfRule type="duplicateValues" dxfId="4951" priority="2288"/>
    <cfRule type="duplicateValues" dxfId="4950" priority="2287"/>
    <cfRule type="duplicateValues" dxfId="4949" priority="2286"/>
    <cfRule type="duplicateValues" dxfId="4948" priority="2285"/>
    <cfRule type="duplicateValues" dxfId="4947" priority="2284"/>
    <cfRule type="duplicateValues" dxfId="4946" priority="2283"/>
    <cfRule type="duplicateValues" dxfId="4945" priority="2282"/>
    <cfRule type="duplicateValues" dxfId="4944" priority="2281"/>
    <cfRule type="duplicateValues" dxfId="4943" priority="2280"/>
    <cfRule type="duplicateValues" dxfId="4942" priority="2279"/>
    <cfRule type="duplicateValues" dxfId="4941" priority="2278"/>
    <cfRule type="duplicateValues" dxfId="4940" priority="2277"/>
    <cfRule type="duplicateValues" dxfId="4939" priority="2276"/>
    <cfRule type="duplicateValues" dxfId="4938" priority="2275"/>
    <cfRule type="duplicateValues" dxfId="4937" priority="2274"/>
    <cfRule type="duplicateValues" dxfId="4936" priority="2273"/>
    <cfRule type="duplicateValues" dxfId="4935" priority="2272"/>
    <cfRule type="duplicateValues" dxfId="4934" priority="2271"/>
    <cfRule type="duplicateValues" dxfId="4933" priority="2270"/>
    <cfRule type="duplicateValues" dxfId="4932" priority="2269"/>
    <cfRule type="duplicateValues" dxfId="4931" priority="2268"/>
    <cfRule type="duplicateValues" dxfId="4930" priority="2267"/>
    <cfRule type="duplicateValues" dxfId="4929" priority="2266"/>
    <cfRule type="duplicateValues" dxfId="4928" priority="2265"/>
    <cfRule type="duplicateValues" dxfId="4927" priority="2264"/>
    <cfRule type="duplicateValues" dxfId="4926" priority="2263"/>
    <cfRule type="duplicateValues" dxfId="4925" priority="2262"/>
    <cfRule type="duplicateValues" dxfId="4924" priority="2261"/>
    <cfRule type="duplicateValues" dxfId="4923" priority="2260"/>
    <cfRule type="duplicateValues" dxfId="4922" priority="2259"/>
    <cfRule type="duplicateValues" dxfId="4921" priority="2258"/>
    <cfRule type="duplicateValues" dxfId="4920" priority="2257"/>
    <cfRule type="duplicateValues" dxfId="4919" priority="2256"/>
    <cfRule type="duplicateValues" dxfId="4918" priority="2255"/>
    <cfRule type="duplicateValues" dxfId="4917" priority="2254"/>
    <cfRule type="duplicateValues" dxfId="4916" priority="2253"/>
    <cfRule type="duplicateValues" dxfId="4915" priority="2252"/>
    <cfRule type="duplicateValues" dxfId="4914" priority="2251"/>
    <cfRule type="duplicateValues" dxfId="4913" priority="2250"/>
    <cfRule type="duplicateValues" dxfId="4912" priority="2249"/>
    <cfRule type="duplicateValues" dxfId="4911" priority="2248"/>
    <cfRule type="duplicateValues" dxfId="4910" priority="2247"/>
    <cfRule type="duplicateValues" dxfId="4909" priority="2246"/>
    <cfRule type="duplicateValues" dxfId="4908" priority="2245"/>
    <cfRule type="duplicateValues" dxfId="4907" priority="2244"/>
    <cfRule type="duplicateValues" dxfId="4906" priority="2243"/>
    <cfRule type="duplicateValues" dxfId="4905" priority="2242"/>
    <cfRule type="duplicateValues" dxfId="4904" priority="2241"/>
    <cfRule type="duplicateValues" dxfId="4903" priority="2239"/>
    <cfRule type="duplicateValues" dxfId="4902" priority="2238"/>
    <cfRule type="duplicateValues" dxfId="4901" priority="2237"/>
    <cfRule type="duplicateValues" dxfId="4900" priority="2236"/>
    <cfRule type="duplicateValues" dxfId="4899" priority="2235"/>
    <cfRule type="duplicateValues" dxfId="4898" priority="2234"/>
    <cfRule type="duplicateValues" dxfId="4897" priority="2233"/>
    <cfRule type="duplicateValues" dxfId="4896" priority="2232"/>
    <cfRule type="duplicateValues" dxfId="4895" priority="2231"/>
    <cfRule type="duplicateValues" dxfId="4894" priority="2230"/>
    <cfRule type="duplicateValues" dxfId="4893" priority="2229"/>
    <cfRule type="duplicateValues" dxfId="4892" priority="2228"/>
    <cfRule type="duplicateValues" dxfId="4891" priority="2227"/>
    <cfRule type="duplicateValues" dxfId="4890" priority="2226"/>
    <cfRule type="duplicateValues" dxfId="4889" priority="2225"/>
  </conditionalFormatting>
  <conditionalFormatting sqref="B388:B393">
    <cfRule type="duplicateValues" dxfId="4888" priority="2520"/>
    <cfRule type="duplicateValues" dxfId="4887" priority="2414"/>
    <cfRule type="duplicateValues" dxfId="4886" priority="2452"/>
    <cfRule type="duplicateValues" dxfId="4885" priority="2453"/>
    <cfRule type="duplicateValues" dxfId="4884" priority="2454"/>
    <cfRule type="duplicateValues" dxfId="4883" priority="2455"/>
    <cfRule type="duplicateValues" dxfId="4882" priority="2456"/>
    <cfRule type="duplicateValues" dxfId="4881" priority="2457"/>
    <cfRule type="duplicateValues" dxfId="4880" priority="2458"/>
    <cfRule type="duplicateValues" dxfId="4879" priority="2459"/>
    <cfRule type="duplicateValues" dxfId="4878" priority="2460"/>
    <cfRule type="duplicateValues" dxfId="4877" priority="2461"/>
    <cfRule type="duplicateValues" dxfId="4876" priority="2462"/>
    <cfRule type="duplicateValues" dxfId="4875" priority="2463"/>
    <cfRule type="duplicateValues" dxfId="4874" priority="2464"/>
    <cfRule type="duplicateValues" dxfId="4873" priority="2465"/>
    <cfRule type="duplicateValues" dxfId="4872" priority="2466"/>
    <cfRule type="duplicateValues" dxfId="4871" priority="2467"/>
    <cfRule type="duplicateValues" dxfId="4870" priority="2468"/>
    <cfRule type="duplicateValues" dxfId="4869" priority="2469"/>
    <cfRule type="duplicateValues" dxfId="4868" priority="2470"/>
    <cfRule type="duplicateValues" dxfId="4867" priority="2471"/>
    <cfRule type="duplicateValues" dxfId="4866" priority="2472"/>
    <cfRule type="duplicateValues" dxfId="4865" priority="2473"/>
    <cfRule type="duplicateValues" dxfId="4864" priority="2474"/>
    <cfRule type="duplicateValues" dxfId="4863" priority="2475"/>
    <cfRule type="duplicateValues" dxfId="4862" priority="2476"/>
    <cfRule type="duplicateValues" dxfId="4861" priority="2477"/>
    <cfRule type="duplicateValues" dxfId="4860" priority="2478"/>
    <cfRule type="duplicateValues" dxfId="4859" priority="2479"/>
    <cfRule type="duplicateValues" dxfId="4858" priority="2480"/>
    <cfRule type="duplicateValues" dxfId="4857" priority="2481"/>
    <cfRule type="duplicateValues" dxfId="4856" priority="2482"/>
    <cfRule type="duplicateValues" dxfId="4855" priority="2483"/>
    <cfRule type="duplicateValues" dxfId="4854" priority="2484"/>
    <cfRule type="duplicateValues" dxfId="4853" priority="2485"/>
    <cfRule type="duplicateValues" dxfId="4852" priority="2486"/>
    <cfRule type="duplicateValues" dxfId="4851" priority="2487"/>
    <cfRule type="duplicateValues" dxfId="4850" priority="2488"/>
    <cfRule type="duplicateValues" dxfId="4849" priority="2489"/>
    <cfRule type="duplicateValues" dxfId="4848" priority="2490"/>
    <cfRule type="duplicateValues" dxfId="4847" priority="2491"/>
    <cfRule type="duplicateValues" dxfId="4846" priority="2492"/>
    <cfRule type="duplicateValues" dxfId="4845" priority="2493"/>
    <cfRule type="duplicateValues" dxfId="4844" priority="2494"/>
    <cfRule type="duplicateValues" dxfId="4843" priority="2495"/>
    <cfRule type="duplicateValues" dxfId="4842" priority="2496"/>
    <cfRule type="duplicateValues" dxfId="4841" priority="2497"/>
    <cfRule type="duplicateValues" dxfId="4840" priority="2498"/>
    <cfRule type="duplicateValues" dxfId="4839" priority="2499"/>
    <cfRule type="duplicateValues" dxfId="4838" priority="2500"/>
    <cfRule type="duplicateValues" dxfId="4837" priority="2501"/>
    <cfRule type="duplicateValues" dxfId="4836" priority="2502"/>
    <cfRule type="duplicateValues" dxfId="4835" priority="2503"/>
    <cfRule type="duplicateValues" dxfId="4834" priority="2504"/>
    <cfRule type="duplicateValues" dxfId="4833" priority="2505"/>
    <cfRule type="duplicateValues" dxfId="4832" priority="2506"/>
    <cfRule type="duplicateValues" dxfId="4831" priority="2507"/>
    <cfRule type="duplicateValues" dxfId="4830" priority="2508"/>
    <cfRule type="duplicateValues" dxfId="4829" priority="2509"/>
    <cfRule type="duplicateValues" dxfId="4828" priority="2510"/>
    <cfRule type="duplicateValues" dxfId="4827" priority="2511"/>
    <cfRule type="duplicateValues" dxfId="4826" priority="2512"/>
    <cfRule type="duplicateValues" dxfId="4825" priority="2513"/>
    <cfRule type="duplicateValues" dxfId="4824" priority="2514"/>
    <cfRule type="duplicateValues" dxfId="4823" priority="2515"/>
    <cfRule type="duplicateValues" dxfId="4822" priority="2516"/>
    <cfRule type="duplicateValues" dxfId="4821" priority="2517"/>
    <cfRule type="duplicateValues" dxfId="4820" priority="2518"/>
    <cfRule type="duplicateValues" dxfId="4819" priority="2519"/>
    <cfRule type="duplicateValues" dxfId="4818" priority="2590"/>
    <cfRule type="duplicateValues" dxfId="4817" priority="2521"/>
    <cfRule type="duplicateValues" dxfId="4816" priority="2522"/>
    <cfRule type="duplicateValues" dxfId="4815" priority="2523"/>
    <cfRule type="duplicateValues" dxfId="4814" priority="2524"/>
    <cfRule type="duplicateValues" dxfId="4813" priority="2525"/>
    <cfRule type="duplicateValues" dxfId="4812" priority="2526"/>
    <cfRule type="duplicateValues" dxfId="4811" priority="2527"/>
    <cfRule type="duplicateValues" dxfId="4810" priority="2528"/>
    <cfRule type="duplicateValues" dxfId="4809" priority="2529"/>
    <cfRule type="duplicateValues" dxfId="4808" priority="2530"/>
    <cfRule type="duplicateValues" dxfId="4807" priority="2531"/>
    <cfRule type="duplicateValues" dxfId="4806" priority="2532"/>
    <cfRule type="duplicateValues" dxfId="4805" priority="2533"/>
    <cfRule type="duplicateValues" dxfId="4804" priority="2534"/>
    <cfRule type="duplicateValues" dxfId="4803" priority="2535"/>
    <cfRule type="duplicateValues" dxfId="4802" priority="2536"/>
    <cfRule type="duplicateValues" dxfId="4801" priority="2537"/>
    <cfRule type="duplicateValues" dxfId="4800" priority="2538"/>
    <cfRule type="duplicateValues" dxfId="4799" priority="2539"/>
    <cfRule type="duplicateValues" dxfId="4798" priority="2540"/>
    <cfRule type="duplicateValues" dxfId="4797" priority="2541"/>
    <cfRule type="duplicateValues" dxfId="4796" priority="2542"/>
    <cfRule type="duplicateValues" dxfId="4795" priority="2543"/>
    <cfRule type="duplicateValues" dxfId="4794" priority="2544"/>
    <cfRule type="duplicateValues" dxfId="4793" priority="2545"/>
    <cfRule type="duplicateValues" dxfId="4792" priority="2546"/>
    <cfRule type="duplicateValues" dxfId="4791" priority="2547"/>
    <cfRule type="duplicateValues" dxfId="4790" priority="2548"/>
    <cfRule type="duplicateValues" dxfId="4789" priority="2549"/>
    <cfRule type="duplicateValues" dxfId="4788" priority="2550"/>
    <cfRule type="duplicateValues" dxfId="4787" priority="2551"/>
    <cfRule type="duplicateValues" dxfId="4786" priority="2552"/>
    <cfRule type="duplicateValues" dxfId="4785" priority="2553"/>
    <cfRule type="duplicateValues" dxfId="4784" priority="2554"/>
    <cfRule type="duplicateValues" dxfId="4783" priority="2555"/>
    <cfRule type="duplicateValues" dxfId="4782" priority="2556"/>
    <cfRule type="duplicateValues" dxfId="4781" priority="2557"/>
    <cfRule type="duplicateValues" dxfId="4780" priority="2558"/>
    <cfRule type="duplicateValues" dxfId="4779" priority="2559"/>
    <cfRule type="duplicateValues" dxfId="4778" priority="2560"/>
    <cfRule type="duplicateValues" dxfId="4777" priority="2561"/>
    <cfRule type="duplicateValues" dxfId="4776" priority="2562"/>
    <cfRule type="duplicateValues" dxfId="4775" priority="2563"/>
    <cfRule type="duplicateValues" dxfId="4774" priority="2564"/>
    <cfRule type="duplicateValues" dxfId="4773" priority="2565"/>
    <cfRule type="duplicateValues" dxfId="4772" priority="2566"/>
    <cfRule type="duplicateValues" dxfId="4771" priority="2567"/>
    <cfRule type="duplicateValues" dxfId="4770" priority="2568"/>
    <cfRule type="duplicateValues" dxfId="4769" priority="2569"/>
    <cfRule type="duplicateValues" dxfId="4768" priority="2570"/>
    <cfRule type="duplicateValues" dxfId="4767" priority="2571"/>
    <cfRule type="duplicateValues" dxfId="4766" priority="2572"/>
    <cfRule type="duplicateValues" dxfId="4765" priority="2573"/>
    <cfRule type="duplicateValues" dxfId="4764" priority="2574"/>
    <cfRule type="duplicateValues" dxfId="4763" priority="2575"/>
    <cfRule type="duplicateValues" dxfId="4762" priority="2576"/>
    <cfRule type="duplicateValues" dxfId="4761" priority="2577"/>
    <cfRule type="duplicateValues" dxfId="4760" priority="2578"/>
    <cfRule type="duplicateValues" dxfId="4759" priority="2579"/>
    <cfRule type="duplicateValues" dxfId="4758" priority="2580"/>
    <cfRule type="duplicateValues" dxfId="4757" priority="2581"/>
    <cfRule type="duplicateValues" dxfId="4756" priority="2582"/>
    <cfRule type="duplicateValues" dxfId="4755" priority="2583"/>
    <cfRule type="duplicateValues" dxfId="4754" priority="2584"/>
    <cfRule type="duplicateValues" dxfId="4753" priority="2585"/>
    <cfRule type="duplicateValues" dxfId="4752" priority="2586"/>
    <cfRule type="duplicateValues" dxfId="4751" priority="2587"/>
    <cfRule type="duplicateValues" dxfId="4750" priority="2588"/>
    <cfRule type="duplicateValues" dxfId="4749" priority="2589"/>
    <cfRule type="duplicateValues" dxfId="4748" priority="2451"/>
    <cfRule type="duplicateValues" dxfId="4747" priority="2591"/>
    <cfRule type="duplicateValues" dxfId="4746" priority="2592"/>
    <cfRule type="duplicateValues" dxfId="4745" priority="2593"/>
    <cfRule type="duplicateValues" dxfId="4744" priority="2594"/>
    <cfRule type="duplicateValues" dxfId="4743" priority="2595"/>
    <cfRule type="duplicateValues" dxfId="4742" priority="2596"/>
    <cfRule type="duplicateValues" dxfId="4741" priority="2597"/>
    <cfRule type="duplicateValues" dxfId="4740" priority="2598"/>
    <cfRule type="duplicateValues" dxfId="4739" priority="2599"/>
    <cfRule type="duplicateValues" dxfId="4738" priority="2600"/>
    <cfRule type="duplicateValues" dxfId="4737" priority="2450"/>
    <cfRule type="duplicateValues" dxfId="4736" priority="2449"/>
    <cfRule type="duplicateValues" dxfId="4735" priority="2448"/>
    <cfRule type="duplicateValues" dxfId="4734" priority="2447"/>
    <cfRule type="duplicateValues" dxfId="4733" priority="2446"/>
    <cfRule type="duplicateValues" dxfId="4732" priority="2445"/>
    <cfRule type="duplicateValues" dxfId="4731" priority="2444"/>
    <cfRule type="duplicateValues" dxfId="4730" priority="2443"/>
    <cfRule type="duplicateValues" dxfId="4729" priority="2442"/>
    <cfRule type="duplicateValues" dxfId="4728" priority="2441"/>
    <cfRule type="duplicateValues" dxfId="4727" priority="2440"/>
    <cfRule type="duplicateValues" dxfId="4726" priority="2439"/>
    <cfRule type="duplicateValues" dxfId="4725" priority="2438"/>
    <cfRule type="duplicateValues" dxfId="4724" priority="2437"/>
    <cfRule type="duplicateValues" dxfId="4723" priority="2436"/>
    <cfRule type="duplicateValues" dxfId="4722" priority="2435"/>
    <cfRule type="duplicateValues" dxfId="4721" priority="2434"/>
    <cfRule type="duplicateValues" dxfId="4720" priority="2433"/>
    <cfRule type="duplicateValues" dxfId="4719" priority="2432"/>
    <cfRule type="duplicateValues" dxfId="4718" priority="2431"/>
    <cfRule type="duplicateValues" dxfId="4717" priority="2430"/>
    <cfRule type="duplicateValues" dxfId="4716" priority="2429"/>
    <cfRule type="duplicateValues" dxfId="4715" priority="2428"/>
    <cfRule type="duplicateValues" dxfId="4714" priority="2427"/>
    <cfRule type="duplicateValues" dxfId="4713" priority="2426"/>
    <cfRule type="duplicateValues" dxfId="4712" priority="2425"/>
    <cfRule type="duplicateValues" dxfId="4711" priority="2424"/>
    <cfRule type="duplicateValues" dxfId="4710" priority="2423"/>
    <cfRule type="duplicateValues" dxfId="4709" priority="2422"/>
    <cfRule type="duplicateValues" dxfId="4708" priority="2421"/>
    <cfRule type="duplicateValues" dxfId="4707" priority="2420"/>
    <cfRule type="duplicateValues" dxfId="4706" priority="2419"/>
    <cfRule type="duplicateValues" dxfId="4705" priority="2418"/>
    <cfRule type="duplicateValues" dxfId="4704" priority="2417"/>
    <cfRule type="duplicateValues" dxfId="4703" priority="2416"/>
    <cfRule type="duplicateValues" dxfId="4702" priority="2415"/>
    <cfRule type="duplicateValues" dxfId="4701" priority="2413"/>
  </conditionalFormatting>
  <conditionalFormatting sqref="B394:B401">
    <cfRule type="duplicateValues" dxfId="4700" priority="1845"/>
    <cfRule type="duplicateValues" dxfId="4699" priority="2032"/>
    <cfRule type="duplicateValues" dxfId="4698" priority="1847"/>
    <cfRule type="duplicateValues" dxfId="4697" priority="1848"/>
    <cfRule type="duplicateValues" dxfId="4696" priority="1849"/>
    <cfRule type="duplicateValues" dxfId="4695" priority="1850"/>
    <cfRule type="duplicateValues" dxfId="4694" priority="1851"/>
    <cfRule type="duplicateValues" dxfId="4693" priority="1852"/>
    <cfRule type="duplicateValues" dxfId="4692" priority="1853"/>
    <cfRule type="duplicateValues" dxfId="4691" priority="1854"/>
    <cfRule type="duplicateValues" dxfId="4690" priority="1855"/>
    <cfRule type="duplicateValues" dxfId="4689" priority="1856"/>
    <cfRule type="duplicateValues" dxfId="4688" priority="1857"/>
    <cfRule type="duplicateValues" dxfId="4687" priority="1858"/>
    <cfRule type="duplicateValues" dxfId="4686" priority="1859"/>
    <cfRule type="duplicateValues" dxfId="4685" priority="1860"/>
    <cfRule type="duplicateValues" dxfId="4684" priority="1861"/>
    <cfRule type="duplicateValues" dxfId="4683" priority="1862"/>
    <cfRule type="duplicateValues" dxfId="4682" priority="1863"/>
    <cfRule type="duplicateValues" dxfId="4681" priority="1864"/>
    <cfRule type="duplicateValues" dxfId="4680" priority="1865"/>
    <cfRule type="duplicateValues" dxfId="4679" priority="1866"/>
    <cfRule type="duplicateValues" dxfId="4678" priority="1867"/>
    <cfRule type="duplicateValues" dxfId="4677" priority="1868"/>
    <cfRule type="duplicateValues" dxfId="4676" priority="1869"/>
    <cfRule type="duplicateValues" dxfId="4675" priority="1870"/>
    <cfRule type="duplicateValues" dxfId="4674" priority="1871"/>
    <cfRule type="duplicateValues" dxfId="4673" priority="1872"/>
    <cfRule type="duplicateValues" dxfId="4672" priority="1873"/>
    <cfRule type="duplicateValues" dxfId="4671" priority="1874"/>
    <cfRule type="duplicateValues" dxfId="4670" priority="1875"/>
    <cfRule type="duplicateValues" dxfId="4669" priority="1876"/>
    <cfRule type="duplicateValues" dxfId="4668" priority="1877"/>
    <cfRule type="duplicateValues" dxfId="4667" priority="1878"/>
    <cfRule type="duplicateValues" dxfId="4666" priority="1879"/>
    <cfRule type="duplicateValues" dxfId="4665" priority="1880"/>
    <cfRule type="duplicateValues" dxfId="4664" priority="1881"/>
    <cfRule type="duplicateValues" dxfId="4663" priority="1882"/>
    <cfRule type="duplicateValues" dxfId="4662" priority="1883"/>
    <cfRule type="duplicateValues" dxfId="4661" priority="1884"/>
    <cfRule type="duplicateValues" dxfId="4660" priority="1885"/>
    <cfRule type="duplicateValues" dxfId="4659" priority="1886"/>
    <cfRule type="duplicateValues" dxfId="4658" priority="1887"/>
    <cfRule type="duplicateValues" dxfId="4657" priority="1888"/>
    <cfRule type="duplicateValues" dxfId="4656" priority="1889"/>
    <cfRule type="duplicateValues" dxfId="4655" priority="1890"/>
    <cfRule type="duplicateValues" dxfId="4654" priority="1891"/>
    <cfRule type="duplicateValues" dxfId="4653" priority="1892"/>
    <cfRule type="duplicateValues" dxfId="4652" priority="1893"/>
    <cfRule type="duplicateValues" dxfId="4651" priority="1894"/>
    <cfRule type="duplicateValues" dxfId="4650" priority="1895"/>
    <cfRule type="duplicateValues" dxfId="4649" priority="1896"/>
    <cfRule type="duplicateValues" dxfId="4648" priority="1897"/>
    <cfRule type="duplicateValues" dxfId="4647" priority="1898"/>
    <cfRule type="duplicateValues" dxfId="4646" priority="1899"/>
    <cfRule type="duplicateValues" dxfId="4645" priority="1900"/>
    <cfRule type="duplicateValues" dxfId="4644" priority="1901"/>
    <cfRule type="duplicateValues" dxfId="4643" priority="1902"/>
    <cfRule type="duplicateValues" dxfId="4642" priority="1903"/>
    <cfRule type="duplicateValues" dxfId="4641" priority="1904"/>
    <cfRule type="duplicateValues" dxfId="4640" priority="1905"/>
    <cfRule type="duplicateValues" dxfId="4639" priority="1906"/>
    <cfRule type="duplicateValues" dxfId="4638" priority="1907"/>
    <cfRule type="duplicateValues" dxfId="4637" priority="1908"/>
    <cfRule type="duplicateValues" dxfId="4636" priority="1909"/>
    <cfRule type="duplicateValues" dxfId="4635" priority="1910"/>
    <cfRule type="duplicateValues" dxfId="4634" priority="1911"/>
    <cfRule type="duplicateValues" dxfId="4633" priority="1912"/>
    <cfRule type="duplicateValues" dxfId="4632" priority="1913"/>
    <cfRule type="duplicateValues" dxfId="4631" priority="1914"/>
    <cfRule type="duplicateValues" dxfId="4630" priority="1915"/>
    <cfRule type="duplicateValues" dxfId="4629" priority="1916"/>
    <cfRule type="duplicateValues" dxfId="4628" priority="1917"/>
    <cfRule type="duplicateValues" dxfId="4627" priority="1918"/>
    <cfRule type="duplicateValues" dxfId="4626" priority="1919"/>
    <cfRule type="duplicateValues" dxfId="4625" priority="1920"/>
    <cfRule type="duplicateValues" dxfId="4624" priority="1921"/>
    <cfRule type="duplicateValues" dxfId="4623" priority="1922"/>
    <cfRule type="duplicateValues" dxfId="4622" priority="1923"/>
    <cfRule type="duplicateValues" dxfId="4621" priority="1924"/>
    <cfRule type="duplicateValues" dxfId="4620" priority="1925"/>
    <cfRule type="duplicateValues" dxfId="4619" priority="1926"/>
    <cfRule type="duplicateValues" dxfId="4618" priority="1927"/>
    <cfRule type="duplicateValues" dxfId="4617" priority="1928"/>
    <cfRule type="duplicateValues" dxfId="4616" priority="1929"/>
    <cfRule type="duplicateValues" dxfId="4615" priority="1930"/>
    <cfRule type="duplicateValues" dxfId="4614" priority="1931"/>
    <cfRule type="duplicateValues" dxfId="4613" priority="1932"/>
    <cfRule type="duplicateValues" dxfId="4612" priority="1933"/>
    <cfRule type="duplicateValues" dxfId="4611" priority="1934"/>
    <cfRule type="duplicateValues" dxfId="4610" priority="1935"/>
    <cfRule type="duplicateValues" dxfId="4609" priority="1936"/>
    <cfRule type="duplicateValues" dxfId="4608" priority="1937"/>
    <cfRule type="duplicateValues" dxfId="4607" priority="1938"/>
    <cfRule type="duplicateValues" dxfId="4606" priority="1939"/>
    <cfRule type="duplicateValues" dxfId="4605" priority="1940"/>
    <cfRule type="duplicateValues" dxfId="4604" priority="1941"/>
    <cfRule type="duplicateValues" dxfId="4603" priority="1942"/>
    <cfRule type="duplicateValues" dxfId="4602" priority="1943"/>
    <cfRule type="duplicateValues" dxfId="4601" priority="1944"/>
    <cfRule type="duplicateValues" dxfId="4600" priority="1945"/>
    <cfRule type="duplicateValues" dxfId="4599" priority="1946"/>
    <cfRule type="duplicateValues" dxfId="4598" priority="1947"/>
    <cfRule type="duplicateValues" dxfId="4597" priority="1948"/>
    <cfRule type="duplicateValues" dxfId="4596" priority="1949"/>
    <cfRule type="duplicateValues" dxfId="4595" priority="1950"/>
    <cfRule type="duplicateValues" dxfId="4594" priority="1951"/>
    <cfRule type="duplicateValues" dxfId="4593" priority="1952"/>
    <cfRule type="duplicateValues" dxfId="4592" priority="1953"/>
    <cfRule type="duplicateValues" dxfId="4591" priority="1954"/>
    <cfRule type="duplicateValues" dxfId="4590" priority="1955"/>
    <cfRule type="duplicateValues" dxfId="4589" priority="1956"/>
    <cfRule type="duplicateValues" dxfId="4588" priority="1957"/>
    <cfRule type="duplicateValues" dxfId="4587" priority="1958"/>
    <cfRule type="duplicateValues" dxfId="4586" priority="1959"/>
    <cfRule type="duplicateValues" dxfId="4585" priority="1960"/>
    <cfRule type="duplicateValues" dxfId="4584" priority="1961"/>
    <cfRule type="duplicateValues" dxfId="4583" priority="1962"/>
    <cfRule type="duplicateValues" dxfId="4582" priority="1963"/>
    <cfRule type="duplicateValues" dxfId="4581" priority="1964"/>
    <cfRule type="duplicateValues" dxfId="4580" priority="1965"/>
    <cfRule type="duplicateValues" dxfId="4579" priority="1966"/>
    <cfRule type="duplicateValues" dxfId="4578" priority="1967"/>
    <cfRule type="duplicateValues" dxfId="4577" priority="1968"/>
    <cfRule type="duplicateValues" dxfId="4576" priority="1969"/>
    <cfRule type="duplicateValues" dxfId="4575" priority="1970"/>
    <cfRule type="duplicateValues" dxfId="4574" priority="1971"/>
    <cfRule type="duplicateValues" dxfId="4573" priority="1972"/>
    <cfRule type="duplicateValues" dxfId="4572" priority="1973"/>
    <cfRule type="duplicateValues" dxfId="4571" priority="1974"/>
    <cfRule type="duplicateValues" dxfId="4570" priority="1975"/>
    <cfRule type="duplicateValues" dxfId="4569" priority="1976"/>
    <cfRule type="duplicateValues" dxfId="4568" priority="1977"/>
    <cfRule type="duplicateValues" dxfId="4567" priority="1978"/>
    <cfRule type="duplicateValues" dxfId="4566" priority="1979"/>
    <cfRule type="duplicateValues" dxfId="4565" priority="1980"/>
    <cfRule type="duplicateValues" dxfId="4564" priority="1981"/>
    <cfRule type="duplicateValues" dxfId="4563" priority="1982"/>
    <cfRule type="duplicateValues" dxfId="4562" priority="1983"/>
    <cfRule type="duplicateValues" dxfId="4561" priority="1984"/>
    <cfRule type="duplicateValues" dxfId="4560" priority="1985"/>
    <cfRule type="duplicateValues" dxfId="4559" priority="1986"/>
    <cfRule type="duplicateValues" dxfId="4558" priority="1987"/>
    <cfRule type="duplicateValues" dxfId="4557" priority="1988"/>
    <cfRule type="duplicateValues" dxfId="4556" priority="1989"/>
    <cfRule type="duplicateValues" dxfId="4555" priority="1990"/>
    <cfRule type="duplicateValues" dxfId="4554" priority="1991"/>
    <cfRule type="duplicateValues" dxfId="4553" priority="1992"/>
    <cfRule type="duplicateValues" dxfId="4552" priority="1993"/>
    <cfRule type="duplicateValues" dxfId="4551" priority="1994"/>
    <cfRule type="duplicateValues" dxfId="4550" priority="1995"/>
    <cfRule type="duplicateValues" dxfId="4549" priority="1996"/>
    <cfRule type="duplicateValues" dxfId="4548" priority="1997"/>
    <cfRule type="duplicateValues" dxfId="4547" priority="1998"/>
    <cfRule type="duplicateValues" dxfId="4546" priority="1999"/>
    <cfRule type="duplicateValues" dxfId="4545" priority="2000"/>
    <cfRule type="duplicateValues" dxfId="4544" priority="2001"/>
    <cfRule type="duplicateValues" dxfId="4543" priority="2002"/>
    <cfRule type="duplicateValues" dxfId="4542" priority="2003"/>
    <cfRule type="duplicateValues" dxfId="4541" priority="2004"/>
    <cfRule type="duplicateValues" dxfId="4540" priority="2005"/>
    <cfRule type="duplicateValues" dxfId="4539" priority="2006"/>
    <cfRule type="duplicateValues" dxfId="4538" priority="2007"/>
    <cfRule type="duplicateValues" dxfId="4537" priority="2008"/>
    <cfRule type="duplicateValues" dxfId="4536" priority="2009"/>
    <cfRule type="duplicateValues" dxfId="4535" priority="2010"/>
    <cfRule type="duplicateValues" dxfId="4534" priority="2011"/>
    <cfRule type="duplicateValues" dxfId="4533" priority="2012"/>
    <cfRule type="duplicateValues" dxfId="4532" priority="2013"/>
    <cfRule type="duplicateValues" dxfId="4531" priority="2014"/>
    <cfRule type="duplicateValues" dxfId="4530" priority="2015"/>
    <cfRule type="duplicateValues" dxfId="4529" priority="2016"/>
    <cfRule type="duplicateValues" dxfId="4528" priority="2017"/>
    <cfRule type="duplicateValues" dxfId="4527" priority="2018"/>
    <cfRule type="duplicateValues" dxfId="4526" priority="2019"/>
    <cfRule type="duplicateValues" dxfId="4525" priority="2020"/>
    <cfRule type="duplicateValues" dxfId="4524" priority="2021"/>
    <cfRule type="duplicateValues" dxfId="4523" priority="2022"/>
    <cfRule type="duplicateValues" dxfId="4522" priority="2023"/>
    <cfRule type="duplicateValues" dxfId="4521" priority="2024"/>
    <cfRule type="duplicateValues" dxfId="4520" priority="2025"/>
    <cfRule type="duplicateValues" dxfId="4519" priority="2026"/>
    <cfRule type="duplicateValues" dxfId="4518" priority="2027"/>
    <cfRule type="duplicateValues" dxfId="4517" priority="2028"/>
    <cfRule type="duplicateValues" dxfId="4516" priority="2029"/>
    <cfRule type="duplicateValues" dxfId="4515" priority="2030"/>
    <cfRule type="duplicateValues" dxfId="4514" priority="2031"/>
    <cfRule type="duplicateValues" dxfId="4513" priority="1846"/>
  </conditionalFormatting>
  <conditionalFormatting sqref="B402:B404">
    <cfRule type="duplicateValues" dxfId="4512" priority="1840"/>
    <cfRule type="duplicateValues" dxfId="4511" priority="1657"/>
    <cfRule type="duplicateValues" dxfId="4510" priority="1658"/>
    <cfRule type="duplicateValues" dxfId="4509" priority="1659"/>
    <cfRule type="duplicateValues" dxfId="4508" priority="1660"/>
    <cfRule type="duplicateValues" dxfId="4507" priority="1661"/>
    <cfRule type="duplicateValues" dxfId="4506" priority="1662"/>
    <cfRule type="duplicateValues" dxfId="4505" priority="1663"/>
    <cfRule type="duplicateValues" dxfId="4504" priority="1664"/>
    <cfRule type="duplicateValues" dxfId="4503" priority="1665"/>
    <cfRule type="duplicateValues" dxfId="4502" priority="1666"/>
    <cfRule type="duplicateValues" dxfId="4501" priority="1667"/>
    <cfRule type="duplicateValues" dxfId="4500" priority="1668"/>
    <cfRule type="duplicateValues" dxfId="4499" priority="1669"/>
    <cfRule type="duplicateValues" dxfId="4498" priority="1670"/>
    <cfRule type="duplicateValues" dxfId="4497" priority="1671"/>
    <cfRule type="duplicateValues" dxfId="4496" priority="1672"/>
    <cfRule type="duplicateValues" dxfId="4495" priority="1673"/>
    <cfRule type="duplicateValues" dxfId="4494" priority="1674"/>
    <cfRule type="duplicateValues" dxfId="4493" priority="1675"/>
    <cfRule type="duplicateValues" dxfId="4492" priority="1676"/>
    <cfRule type="duplicateValues" dxfId="4491" priority="1677"/>
    <cfRule type="duplicateValues" dxfId="4490" priority="1678"/>
    <cfRule type="duplicateValues" dxfId="4489" priority="1679"/>
    <cfRule type="duplicateValues" dxfId="4488" priority="1680"/>
    <cfRule type="duplicateValues" dxfId="4487" priority="1681"/>
    <cfRule type="duplicateValues" dxfId="4486" priority="1682"/>
    <cfRule type="duplicateValues" dxfId="4485" priority="1683"/>
    <cfRule type="duplicateValues" dxfId="4484" priority="1684"/>
    <cfRule type="duplicateValues" dxfId="4483" priority="1685"/>
    <cfRule type="duplicateValues" dxfId="4482" priority="1686"/>
    <cfRule type="duplicateValues" dxfId="4481" priority="1687"/>
    <cfRule type="duplicateValues" dxfId="4480" priority="1688"/>
    <cfRule type="duplicateValues" dxfId="4479" priority="1689"/>
    <cfRule type="duplicateValues" dxfId="4478" priority="1690"/>
    <cfRule type="duplicateValues" dxfId="4477" priority="1691"/>
    <cfRule type="duplicateValues" dxfId="4476" priority="1692"/>
    <cfRule type="duplicateValues" dxfId="4475" priority="1693"/>
    <cfRule type="duplicateValues" dxfId="4474" priority="1694"/>
    <cfRule type="duplicateValues" dxfId="4473" priority="1695"/>
    <cfRule type="duplicateValues" dxfId="4472" priority="1696"/>
    <cfRule type="duplicateValues" dxfId="4471" priority="1697"/>
    <cfRule type="duplicateValues" dxfId="4470" priority="1698"/>
    <cfRule type="duplicateValues" dxfId="4469" priority="1699"/>
    <cfRule type="duplicateValues" dxfId="4468" priority="1700"/>
    <cfRule type="duplicateValues" dxfId="4467" priority="1701"/>
    <cfRule type="duplicateValues" dxfId="4466" priority="1702"/>
    <cfRule type="duplicateValues" dxfId="4465" priority="1703"/>
    <cfRule type="duplicateValues" dxfId="4464" priority="1704"/>
    <cfRule type="duplicateValues" dxfId="4463" priority="1705"/>
    <cfRule type="duplicateValues" dxfId="4462" priority="1706"/>
    <cfRule type="duplicateValues" dxfId="4461" priority="1707"/>
    <cfRule type="duplicateValues" dxfId="4460" priority="1708"/>
    <cfRule type="duplicateValues" dxfId="4459" priority="1709"/>
    <cfRule type="duplicateValues" dxfId="4458" priority="1710"/>
    <cfRule type="duplicateValues" dxfId="4457" priority="1711"/>
    <cfRule type="duplicateValues" dxfId="4456" priority="1712"/>
    <cfRule type="duplicateValues" dxfId="4455" priority="1713"/>
    <cfRule type="duplicateValues" dxfId="4454" priority="1714"/>
    <cfRule type="duplicateValues" dxfId="4453" priority="1715"/>
    <cfRule type="duplicateValues" dxfId="4452" priority="1716"/>
    <cfRule type="duplicateValues" dxfId="4451" priority="1717"/>
    <cfRule type="duplicateValues" dxfId="4450" priority="1718"/>
    <cfRule type="duplicateValues" dxfId="4449" priority="1719"/>
    <cfRule type="duplicateValues" dxfId="4448" priority="1720"/>
    <cfRule type="duplicateValues" dxfId="4447" priority="1721"/>
    <cfRule type="duplicateValues" dxfId="4446" priority="1722"/>
    <cfRule type="duplicateValues" dxfId="4445" priority="1723"/>
    <cfRule type="duplicateValues" dxfId="4444" priority="1724"/>
    <cfRule type="duplicateValues" dxfId="4443" priority="1725"/>
    <cfRule type="duplicateValues" dxfId="4442" priority="1726"/>
    <cfRule type="duplicateValues" dxfId="4441" priority="1727"/>
    <cfRule type="duplicateValues" dxfId="4440" priority="1728"/>
    <cfRule type="duplicateValues" dxfId="4439" priority="1729"/>
    <cfRule type="duplicateValues" dxfId="4438" priority="1730"/>
    <cfRule type="duplicateValues" dxfId="4437" priority="1731"/>
    <cfRule type="duplicateValues" dxfId="4436" priority="1732"/>
    <cfRule type="duplicateValues" dxfId="4435" priority="1733"/>
    <cfRule type="duplicateValues" dxfId="4434" priority="1734"/>
    <cfRule type="duplicateValues" dxfId="4433" priority="1735"/>
    <cfRule type="duplicateValues" dxfId="4432" priority="1736"/>
    <cfRule type="duplicateValues" dxfId="4431" priority="1737"/>
    <cfRule type="duplicateValues" dxfId="4430" priority="1738"/>
    <cfRule type="duplicateValues" dxfId="4429" priority="1739"/>
    <cfRule type="duplicateValues" dxfId="4428" priority="1740"/>
    <cfRule type="duplicateValues" dxfId="4427" priority="1741"/>
    <cfRule type="duplicateValues" dxfId="4426" priority="1742"/>
    <cfRule type="duplicateValues" dxfId="4425" priority="1743"/>
    <cfRule type="duplicateValues" dxfId="4424" priority="1744"/>
    <cfRule type="duplicateValues" dxfId="4423" priority="1745"/>
    <cfRule type="duplicateValues" dxfId="4422" priority="1746"/>
    <cfRule type="duplicateValues" dxfId="4421" priority="1747"/>
    <cfRule type="duplicateValues" dxfId="4420" priority="1748"/>
    <cfRule type="duplicateValues" dxfId="4419" priority="1749"/>
    <cfRule type="duplicateValues" dxfId="4418" priority="1750"/>
    <cfRule type="duplicateValues" dxfId="4417" priority="1751"/>
    <cfRule type="duplicateValues" dxfId="4416" priority="1752"/>
    <cfRule type="duplicateValues" dxfId="4415" priority="1753"/>
    <cfRule type="duplicateValues" dxfId="4414" priority="1754"/>
    <cfRule type="duplicateValues" dxfId="4413" priority="1755"/>
    <cfRule type="duplicateValues" dxfId="4412" priority="1756"/>
    <cfRule type="duplicateValues" dxfId="4411" priority="1757"/>
    <cfRule type="duplicateValues" dxfId="4410" priority="1758"/>
    <cfRule type="duplicateValues" dxfId="4409" priority="1759"/>
    <cfRule type="duplicateValues" dxfId="4408" priority="1760"/>
    <cfRule type="duplicateValues" dxfId="4407" priority="1761"/>
    <cfRule type="duplicateValues" dxfId="4406" priority="1762"/>
    <cfRule type="duplicateValues" dxfId="4405" priority="1763"/>
    <cfRule type="duplicateValues" dxfId="4404" priority="1764"/>
    <cfRule type="duplicateValues" dxfId="4403" priority="1765"/>
    <cfRule type="duplicateValues" dxfId="4402" priority="1766"/>
    <cfRule type="duplicateValues" dxfId="4401" priority="1767"/>
    <cfRule type="duplicateValues" dxfId="4400" priority="1768"/>
    <cfRule type="duplicateValues" dxfId="4399" priority="1769"/>
    <cfRule type="duplicateValues" dxfId="4398" priority="1770"/>
    <cfRule type="duplicateValues" dxfId="4397" priority="1771"/>
    <cfRule type="duplicateValues" dxfId="4396" priority="1772"/>
    <cfRule type="duplicateValues" dxfId="4395" priority="1773"/>
    <cfRule type="duplicateValues" dxfId="4394" priority="1774"/>
    <cfRule type="duplicateValues" dxfId="4393" priority="1775"/>
    <cfRule type="duplicateValues" dxfId="4392" priority="1776"/>
    <cfRule type="duplicateValues" dxfId="4391" priority="1777"/>
    <cfRule type="duplicateValues" dxfId="4390" priority="1778"/>
    <cfRule type="duplicateValues" dxfId="4389" priority="1779"/>
    <cfRule type="duplicateValues" dxfId="4388" priority="1780"/>
    <cfRule type="duplicateValues" dxfId="4387" priority="1781"/>
    <cfRule type="duplicateValues" dxfId="4386" priority="1782"/>
    <cfRule type="duplicateValues" dxfId="4385" priority="1783"/>
    <cfRule type="duplicateValues" dxfId="4384" priority="1784"/>
    <cfRule type="duplicateValues" dxfId="4383" priority="1785"/>
    <cfRule type="duplicateValues" dxfId="4382" priority="1786"/>
    <cfRule type="duplicateValues" dxfId="4381" priority="1787"/>
    <cfRule type="duplicateValues" dxfId="4380" priority="1788"/>
    <cfRule type="duplicateValues" dxfId="4379" priority="1789"/>
    <cfRule type="duplicateValues" dxfId="4378" priority="1790"/>
    <cfRule type="duplicateValues" dxfId="4377" priority="1791"/>
    <cfRule type="duplicateValues" dxfId="4376" priority="1792"/>
    <cfRule type="duplicateValues" dxfId="4375" priority="1793"/>
    <cfRule type="duplicateValues" dxfId="4374" priority="1794"/>
    <cfRule type="duplicateValues" dxfId="4373" priority="1795"/>
    <cfRule type="duplicateValues" dxfId="4372" priority="1796"/>
    <cfRule type="duplicateValues" dxfId="4371" priority="1797"/>
    <cfRule type="duplicateValues" dxfId="4370" priority="1798"/>
    <cfRule type="duplicateValues" dxfId="4369" priority="1799"/>
    <cfRule type="duplicateValues" dxfId="4368" priority="1800"/>
    <cfRule type="duplicateValues" dxfId="4367" priority="1801"/>
    <cfRule type="duplicateValues" dxfId="4366" priority="1802"/>
    <cfRule type="duplicateValues" dxfId="4365" priority="1803"/>
    <cfRule type="duplicateValues" dxfId="4364" priority="1804"/>
    <cfRule type="duplicateValues" dxfId="4363" priority="1805"/>
    <cfRule type="duplicateValues" dxfId="4362" priority="1806"/>
    <cfRule type="duplicateValues" dxfId="4361" priority="1807"/>
    <cfRule type="duplicateValues" dxfId="4360" priority="1808"/>
    <cfRule type="duplicateValues" dxfId="4359" priority="1809"/>
    <cfRule type="duplicateValues" dxfId="4358" priority="1810"/>
    <cfRule type="duplicateValues" dxfId="4357" priority="1811"/>
    <cfRule type="duplicateValues" dxfId="4356" priority="1812"/>
    <cfRule type="duplicateValues" dxfId="4355" priority="1813"/>
    <cfRule type="duplicateValues" dxfId="4354" priority="1814"/>
    <cfRule type="duplicateValues" dxfId="4353" priority="1815"/>
    <cfRule type="duplicateValues" dxfId="4352" priority="1816"/>
    <cfRule type="duplicateValues" dxfId="4351" priority="1817"/>
    <cfRule type="duplicateValues" dxfId="4350" priority="1818"/>
    <cfRule type="duplicateValues" dxfId="4349" priority="1819"/>
    <cfRule type="duplicateValues" dxfId="4348" priority="1820"/>
    <cfRule type="duplicateValues" dxfId="4347" priority="1821"/>
    <cfRule type="duplicateValues" dxfId="4346" priority="1822"/>
    <cfRule type="duplicateValues" dxfId="4345" priority="1823"/>
    <cfRule type="duplicateValues" dxfId="4344" priority="1824"/>
    <cfRule type="duplicateValues" dxfId="4343" priority="1825"/>
    <cfRule type="duplicateValues" dxfId="4342" priority="1826"/>
    <cfRule type="duplicateValues" dxfId="4341" priority="1827"/>
    <cfRule type="duplicateValues" dxfId="4340" priority="1828"/>
    <cfRule type="duplicateValues" dxfId="4339" priority="1829"/>
    <cfRule type="duplicateValues" dxfId="4338" priority="1830"/>
    <cfRule type="duplicateValues" dxfId="4337" priority="1831"/>
    <cfRule type="duplicateValues" dxfId="4336" priority="1832"/>
    <cfRule type="duplicateValues" dxfId="4335" priority="1833"/>
    <cfRule type="duplicateValues" dxfId="4334" priority="1834"/>
    <cfRule type="duplicateValues" dxfId="4333" priority="1835"/>
    <cfRule type="duplicateValues" dxfId="4332" priority="1836"/>
    <cfRule type="duplicateValues" dxfId="4331" priority="1837"/>
    <cfRule type="duplicateValues" dxfId="4330" priority="1838"/>
    <cfRule type="duplicateValues" dxfId="4329" priority="1839"/>
    <cfRule type="duplicateValues" dxfId="4328" priority="1841"/>
    <cfRule type="duplicateValues" dxfId="4327" priority="1842"/>
    <cfRule type="duplicateValues" dxfId="4326" priority="1843"/>
    <cfRule type="duplicateValues" dxfId="4325" priority="1844"/>
  </conditionalFormatting>
  <conditionalFormatting sqref="B405">
    <cfRule type="duplicateValues" dxfId="4324" priority="1469"/>
    <cfRule type="duplicateValues" dxfId="4323" priority="1656"/>
    <cfRule type="duplicateValues" dxfId="4322" priority="1470"/>
    <cfRule type="duplicateValues" dxfId="4321" priority="1471"/>
    <cfRule type="duplicateValues" dxfId="4320" priority="1472"/>
    <cfRule type="duplicateValues" dxfId="4319" priority="1473"/>
    <cfRule type="duplicateValues" dxfId="4318" priority="1474"/>
    <cfRule type="duplicateValues" dxfId="4317" priority="1475"/>
    <cfRule type="duplicateValues" dxfId="4316" priority="1476"/>
    <cfRule type="duplicateValues" dxfId="4315" priority="1477"/>
    <cfRule type="duplicateValues" dxfId="4314" priority="1478"/>
    <cfRule type="duplicateValues" dxfId="4313" priority="1479"/>
    <cfRule type="duplicateValues" dxfId="4312" priority="1480"/>
    <cfRule type="duplicateValues" dxfId="4311" priority="1481"/>
    <cfRule type="duplicateValues" dxfId="4310" priority="1482"/>
    <cfRule type="duplicateValues" dxfId="4309" priority="1483"/>
    <cfRule type="duplicateValues" dxfId="4308" priority="1484"/>
    <cfRule type="duplicateValues" dxfId="4307" priority="1485"/>
    <cfRule type="duplicateValues" dxfId="4306" priority="1486"/>
    <cfRule type="duplicateValues" dxfId="4305" priority="1487"/>
    <cfRule type="duplicateValues" dxfId="4304" priority="1488"/>
    <cfRule type="duplicateValues" dxfId="4303" priority="1489"/>
    <cfRule type="duplicateValues" dxfId="4302" priority="1490"/>
    <cfRule type="duplicateValues" dxfId="4301" priority="1491"/>
    <cfRule type="duplicateValues" dxfId="4300" priority="1492"/>
    <cfRule type="duplicateValues" dxfId="4299" priority="1493"/>
    <cfRule type="duplicateValues" dxfId="4298" priority="1494"/>
    <cfRule type="duplicateValues" dxfId="4297" priority="1495"/>
    <cfRule type="duplicateValues" dxfId="4296" priority="1496"/>
    <cfRule type="duplicateValues" dxfId="4295" priority="1497"/>
    <cfRule type="duplicateValues" dxfId="4294" priority="1498"/>
    <cfRule type="duplicateValues" dxfId="4293" priority="1499"/>
    <cfRule type="duplicateValues" dxfId="4292" priority="1500"/>
    <cfRule type="duplicateValues" dxfId="4291" priority="1501"/>
    <cfRule type="duplicateValues" dxfId="4290" priority="1502"/>
    <cfRule type="duplicateValues" dxfId="4289" priority="1503"/>
    <cfRule type="duplicateValues" dxfId="4288" priority="1504"/>
    <cfRule type="duplicateValues" dxfId="4287" priority="1505"/>
    <cfRule type="duplicateValues" dxfId="4286" priority="1506"/>
    <cfRule type="duplicateValues" dxfId="4285" priority="1507"/>
    <cfRule type="duplicateValues" dxfId="4284" priority="1508"/>
    <cfRule type="duplicateValues" dxfId="4283" priority="1509"/>
    <cfRule type="duplicateValues" dxfId="4282" priority="1510"/>
    <cfRule type="duplicateValues" dxfId="4281" priority="1511"/>
    <cfRule type="duplicateValues" dxfId="4280" priority="1512"/>
    <cfRule type="duplicateValues" dxfId="4279" priority="1513"/>
    <cfRule type="duplicateValues" dxfId="4278" priority="1514"/>
    <cfRule type="duplicateValues" dxfId="4277" priority="1515"/>
    <cfRule type="duplicateValues" dxfId="4276" priority="1516"/>
    <cfRule type="duplicateValues" dxfId="4275" priority="1517"/>
    <cfRule type="duplicateValues" dxfId="4274" priority="1518"/>
    <cfRule type="duplicateValues" dxfId="4273" priority="1519"/>
    <cfRule type="duplicateValues" dxfId="4272" priority="1520"/>
    <cfRule type="duplicateValues" dxfId="4271" priority="1521"/>
    <cfRule type="duplicateValues" dxfId="4270" priority="1522"/>
    <cfRule type="duplicateValues" dxfId="4269" priority="1523"/>
    <cfRule type="duplicateValues" dxfId="4268" priority="1524"/>
    <cfRule type="duplicateValues" dxfId="4267" priority="1525"/>
    <cfRule type="duplicateValues" dxfId="4266" priority="1526"/>
    <cfRule type="duplicateValues" dxfId="4265" priority="1527"/>
    <cfRule type="duplicateValues" dxfId="4264" priority="1528"/>
    <cfRule type="duplicateValues" dxfId="4263" priority="1529"/>
    <cfRule type="duplicateValues" dxfId="4262" priority="1530"/>
    <cfRule type="duplicateValues" dxfId="4261" priority="1531"/>
    <cfRule type="duplicateValues" dxfId="4260" priority="1532"/>
    <cfRule type="duplicateValues" dxfId="4259" priority="1533"/>
    <cfRule type="duplicateValues" dxfId="4258" priority="1534"/>
    <cfRule type="duplicateValues" dxfId="4257" priority="1535"/>
    <cfRule type="duplicateValues" dxfId="4256" priority="1536"/>
    <cfRule type="duplicateValues" dxfId="4255" priority="1537"/>
    <cfRule type="duplicateValues" dxfId="4254" priority="1538"/>
    <cfRule type="duplicateValues" dxfId="4253" priority="1539"/>
    <cfRule type="duplicateValues" dxfId="4252" priority="1540"/>
    <cfRule type="duplicateValues" dxfId="4251" priority="1541"/>
    <cfRule type="duplicateValues" dxfId="4250" priority="1542"/>
    <cfRule type="duplicateValues" dxfId="4249" priority="1543"/>
    <cfRule type="duplicateValues" dxfId="4248" priority="1544"/>
    <cfRule type="duplicateValues" dxfId="4247" priority="1545"/>
    <cfRule type="duplicateValues" dxfId="4246" priority="1546"/>
    <cfRule type="duplicateValues" dxfId="4245" priority="1547"/>
    <cfRule type="duplicateValues" dxfId="4244" priority="1548"/>
    <cfRule type="duplicateValues" dxfId="4243" priority="1549"/>
    <cfRule type="duplicateValues" dxfId="4242" priority="1550"/>
    <cfRule type="duplicateValues" dxfId="4241" priority="1551"/>
    <cfRule type="duplicateValues" dxfId="4240" priority="1552"/>
    <cfRule type="duplicateValues" dxfId="4239" priority="1553"/>
    <cfRule type="duplicateValues" dxfId="4238" priority="1554"/>
    <cfRule type="duplicateValues" dxfId="4237" priority="1555"/>
    <cfRule type="duplicateValues" dxfId="4236" priority="1556"/>
    <cfRule type="duplicateValues" dxfId="4235" priority="1557"/>
    <cfRule type="duplicateValues" dxfId="4234" priority="1558"/>
    <cfRule type="duplicateValues" dxfId="4233" priority="1559"/>
    <cfRule type="duplicateValues" dxfId="4232" priority="1560"/>
    <cfRule type="duplicateValues" dxfId="4231" priority="1561"/>
    <cfRule type="duplicateValues" dxfId="4230" priority="1562"/>
    <cfRule type="duplicateValues" dxfId="4229" priority="1563"/>
    <cfRule type="duplicateValues" dxfId="4228" priority="1564"/>
    <cfRule type="duplicateValues" dxfId="4227" priority="1565"/>
    <cfRule type="duplicateValues" dxfId="4226" priority="1566"/>
    <cfRule type="duplicateValues" dxfId="4225" priority="1567"/>
    <cfRule type="duplicateValues" dxfId="4224" priority="1568"/>
    <cfRule type="duplicateValues" dxfId="4223" priority="1569"/>
    <cfRule type="duplicateValues" dxfId="4222" priority="1570"/>
    <cfRule type="duplicateValues" dxfId="4221" priority="1571"/>
    <cfRule type="duplicateValues" dxfId="4220" priority="1572"/>
    <cfRule type="duplicateValues" dxfId="4219" priority="1573"/>
    <cfRule type="duplicateValues" dxfId="4218" priority="1574"/>
    <cfRule type="duplicateValues" dxfId="4217" priority="1575"/>
    <cfRule type="duplicateValues" dxfId="4216" priority="1576"/>
    <cfRule type="duplicateValues" dxfId="4215" priority="1577"/>
    <cfRule type="duplicateValues" dxfId="4214" priority="1578"/>
    <cfRule type="duplicateValues" dxfId="4213" priority="1579"/>
    <cfRule type="duplicateValues" dxfId="4212" priority="1580"/>
    <cfRule type="duplicateValues" dxfId="4211" priority="1581"/>
    <cfRule type="duplicateValues" dxfId="4210" priority="1582"/>
    <cfRule type="duplicateValues" dxfId="4209" priority="1583"/>
    <cfRule type="duplicateValues" dxfId="4208" priority="1584"/>
    <cfRule type="duplicateValues" dxfId="4207" priority="1585"/>
    <cfRule type="duplicateValues" dxfId="4206" priority="1586"/>
    <cfRule type="duplicateValues" dxfId="4205" priority="1587"/>
    <cfRule type="duplicateValues" dxfId="4204" priority="1588"/>
    <cfRule type="duplicateValues" dxfId="4203" priority="1589"/>
    <cfRule type="duplicateValues" dxfId="4202" priority="1590"/>
    <cfRule type="duplicateValues" dxfId="4201" priority="1591"/>
    <cfRule type="duplicateValues" dxfId="4200" priority="1592"/>
    <cfRule type="duplicateValues" dxfId="4199" priority="1593"/>
    <cfRule type="duplicateValues" dxfId="4198" priority="1594"/>
    <cfRule type="duplicateValues" dxfId="4197" priority="1595"/>
    <cfRule type="duplicateValues" dxfId="4196" priority="1596"/>
    <cfRule type="duplicateValues" dxfId="4195" priority="1597"/>
    <cfRule type="duplicateValues" dxfId="4194" priority="1598"/>
    <cfRule type="duplicateValues" dxfId="4193" priority="1599"/>
    <cfRule type="duplicateValues" dxfId="4192" priority="1600"/>
    <cfRule type="duplicateValues" dxfId="4191" priority="1601"/>
    <cfRule type="duplicateValues" dxfId="4190" priority="1602"/>
    <cfRule type="duplicateValues" dxfId="4189" priority="1603"/>
    <cfRule type="duplicateValues" dxfId="4188" priority="1604"/>
    <cfRule type="duplicateValues" dxfId="4187" priority="1605"/>
    <cfRule type="duplicateValues" dxfId="4186" priority="1606"/>
    <cfRule type="duplicateValues" dxfId="4185" priority="1607"/>
    <cfRule type="duplicateValues" dxfId="4184" priority="1608"/>
    <cfRule type="duplicateValues" dxfId="4183" priority="1609"/>
    <cfRule type="duplicateValues" dxfId="4182" priority="1610"/>
    <cfRule type="duplicateValues" dxfId="4181" priority="1611"/>
    <cfRule type="duplicateValues" dxfId="4180" priority="1612"/>
    <cfRule type="duplicateValues" dxfId="4179" priority="1613"/>
    <cfRule type="duplicateValues" dxfId="4178" priority="1614"/>
    <cfRule type="duplicateValues" dxfId="4177" priority="1615"/>
    <cfRule type="duplicateValues" dxfId="4176" priority="1616"/>
    <cfRule type="duplicateValues" dxfId="4175" priority="1617"/>
    <cfRule type="duplicateValues" dxfId="4174" priority="1618"/>
    <cfRule type="duplicateValues" dxfId="4173" priority="1619"/>
    <cfRule type="duplicateValues" dxfId="4172" priority="1620"/>
    <cfRule type="duplicateValues" dxfId="4171" priority="1621"/>
    <cfRule type="duplicateValues" dxfId="4170" priority="1622"/>
    <cfRule type="duplicateValues" dxfId="4169" priority="1623"/>
    <cfRule type="duplicateValues" dxfId="4168" priority="1624"/>
    <cfRule type="duplicateValues" dxfId="4167" priority="1625"/>
    <cfRule type="duplicateValues" dxfId="4166" priority="1626"/>
    <cfRule type="duplicateValues" dxfId="4165" priority="1627"/>
    <cfRule type="duplicateValues" dxfId="4164" priority="1628"/>
    <cfRule type="duplicateValues" dxfId="4163" priority="1629"/>
    <cfRule type="duplicateValues" dxfId="4162" priority="1630"/>
    <cfRule type="duplicateValues" dxfId="4161" priority="1631"/>
    <cfRule type="duplicateValues" dxfId="4160" priority="1632"/>
    <cfRule type="duplicateValues" dxfId="4159" priority="1633"/>
    <cfRule type="duplicateValues" dxfId="4158" priority="1634"/>
    <cfRule type="duplicateValues" dxfId="4157" priority="1635"/>
    <cfRule type="duplicateValues" dxfId="4156" priority="1636"/>
    <cfRule type="duplicateValues" dxfId="4155" priority="1637"/>
    <cfRule type="duplicateValues" dxfId="4154" priority="1638"/>
    <cfRule type="duplicateValues" dxfId="4153" priority="1639"/>
    <cfRule type="duplicateValues" dxfId="4152" priority="1640"/>
    <cfRule type="duplicateValues" dxfId="4151" priority="1641"/>
    <cfRule type="duplicateValues" dxfId="4150" priority="1642"/>
    <cfRule type="duplicateValues" dxfId="4149" priority="1643"/>
    <cfRule type="duplicateValues" dxfId="4148" priority="1644"/>
    <cfRule type="duplicateValues" dxfId="4147" priority="1645"/>
    <cfRule type="duplicateValues" dxfId="4146" priority="1646"/>
    <cfRule type="duplicateValues" dxfId="4145" priority="1647"/>
    <cfRule type="duplicateValues" dxfId="4144" priority="1648"/>
    <cfRule type="duplicateValues" dxfId="4143" priority="1649"/>
    <cfRule type="duplicateValues" dxfId="4142" priority="1650"/>
    <cfRule type="duplicateValues" dxfId="4141" priority="1651"/>
    <cfRule type="duplicateValues" dxfId="4140" priority="1652"/>
    <cfRule type="duplicateValues" dxfId="4139" priority="1653"/>
    <cfRule type="duplicateValues" dxfId="4138" priority="1654"/>
    <cfRule type="duplicateValues" dxfId="4137" priority="1655"/>
  </conditionalFormatting>
  <conditionalFormatting sqref="B406:B409">
    <cfRule type="duplicateValues" dxfId="4136" priority="1282"/>
    <cfRule type="duplicateValues" dxfId="4135" priority="1281"/>
    <cfRule type="duplicateValues" dxfId="4134" priority="1468"/>
    <cfRule type="duplicateValues" dxfId="4133" priority="1467"/>
    <cfRule type="duplicateValues" dxfId="4132" priority="1466"/>
    <cfRule type="duplicateValues" dxfId="4131" priority="1465"/>
    <cfRule type="duplicateValues" dxfId="4130" priority="1464"/>
    <cfRule type="duplicateValues" dxfId="4129" priority="1463"/>
    <cfRule type="duplicateValues" dxfId="4128" priority="1462"/>
    <cfRule type="duplicateValues" dxfId="4127" priority="1461"/>
    <cfRule type="duplicateValues" dxfId="4126" priority="1460"/>
    <cfRule type="duplicateValues" dxfId="4125" priority="1459"/>
    <cfRule type="duplicateValues" dxfId="4124" priority="1458"/>
    <cfRule type="duplicateValues" dxfId="4123" priority="1457"/>
    <cfRule type="duplicateValues" dxfId="4122" priority="1456"/>
    <cfRule type="duplicateValues" dxfId="4121" priority="1455"/>
    <cfRule type="duplicateValues" dxfId="4120" priority="1454"/>
    <cfRule type="duplicateValues" dxfId="4119" priority="1453"/>
    <cfRule type="duplicateValues" dxfId="4118" priority="1452"/>
    <cfRule type="duplicateValues" dxfId="4117" priority="1451"/>
    <cfRule type="duplicateValues" dxfId="4116" priority="1450"/>
    <cfRule type="duplicateValues" dxfId="4115" priority="1449"/>
    <cfRule type="duplicateValues" dxfId="4114" priority="1448"/>
    <cfRule type="duplicateValues" dxfId="4113" priority="1447"/>
    <cfRule type="duplicateValues" dxfId="4112" priority="1446"/>
    <cfRule type="duplicateValues" dxfId="4111" priority="1445"/>
    <cfRule type="duplicateValues" dxfId="4110" priority="1444"/>
    <cfRule type="duplicateValues" dxfId="4109" priority="1443"/>
    <cfRule type="duplicateValues" dxfId="4108" priority="1442"/>
    <cfRule type="duplicateValues" dxfId="4107" priority="1441"/>
    <cfRule type="duplicateValues" dxfId="4106" priority="1440"/>
    <cfRule type="duplicateValues" dxfId="4105" priority="1439"/>
    <cfRule type="duplicateValues" dxfId="4104" priority="1438"/>
    <cfRule type="duplicateValues" dxfId="4103" priority="1437"/>
    <cfRule type="duplicateValues" dxfId="4102" priority="1436"/>
    <cfRule type="duplicateValues" dxfId="4101" priority="1435"/>
    <cfRule type="duplicateValues" dxfId="4100" priority="1434"/>
    <cfRule type="duplicateValues" dxfId="4099" priority="1433"/>
    <cfRule type="duplicateValues" dxfId="4098" priority="1432"/>
    <cfRule type="duplicateValues" dxfId="4097" priority="1431"/>
    <cfRule type="duplicateValues" dxfId="4096" priority="1430"/>
    <cfRule type="duplicateValues" dxfId="4095" priority="1429"/>
    <cfRule type="duplicateValues" dxfId="4094" priority="1428"/>
    <cfRule type="duplicateValues" dxfId="4093" priority="1427"/>
    <cfRule type="duplicateValues" dxfId="4092" priority="1426"/>
    <cfRule type="duplicateValues" dxfId="4091" priority="1425"/>
    <cfRule type="duplicateValues" dxfId="4090" priority="1424"/>
    <cfRule type="duplicateValues" dxfId="4089" priority="1423"/>
    <cfRule type="duplicateValues" dxfId="4088" priority="1422"/>
    <cfRule type="duplicateValues" dxfId="4087" priority="1421"/>
    <cfRule type="duplicateValues" dxfId="4086" priority="1420"/>
    <cfRule type="duplicateValues" dxfId="4085" priority="1419"/>
    <cfRule type="duplicateValues" dxfId="4084" priority="1418"/>
    <cfRule type="duplicateValues" dxfId="4083" priority="1417"/>
    <cfRule type="duplicateValues" dxfId="4082" priority="1416"/>
    <cfRule type="duplicateValues" dxfId="4081" priority="1415"/>
    <cfRule type="duplicateValues" dxfId="4080" priority="1414"/>
    <cfRule type="duplicateValues" dxfId="4079" priority="1413"/>
    <cfRule type="duplicateValues" dxfId="4078" priority="1412"/>
    <cfRule type="duplicateValues" dxfId="4077" priority="1411"/>
    <cfRule type="duplicateValues" dxfId="4076" priority="1410"/>
    <cfRule type="duplicateValues" dxfId="4075" priority="1409"/>
    <cfRule type="duplicateValues" dxfId="4074" priority="1408"/>
    <cfRule type="duplicateValues" dxfId="4073" priority="1407"/>
    <cfRule type="duplicateValues" dxfId="4072" priority="1406"/>
    <cfRule type="duplicateValues" dxfId="4071" priority="1405"/>
    <cfRule type="duplicateValues" dxfId="4070" priority="1404"/>
    <cfRule type="duplicateValues" dxfId="4069" priority="1403"/>
    <cfRule type="duplicateValues" dxfId="4068" priority="1402"/>
    <cfRule type="duplicateValues" dxfId="4067" priority="1401"/>
    <cfRule type="duplicateValues" dxfId="4066" priority="1400"/>
    <cfRule type="duplicateValues" dxfId="4065" priority="1399"/>
    <cfRule type="duplicateValues" dxfId="4064" priority="1398"/>
    <cfRule type="duplicateValues" dxfId="4063" priority="1397"/>
    <cfRule type="duplicateValues" dxfId="4062" priority="1396"/>
    <cfRule type="duplicateValues" dxfId="4061" priority="1395"/>
    <cfRule type="duplicateValues" dxfId="4060" priority="1394"/>
    <cfRule type="duplicateValues" dxfId="4059" priority="1393"/>
    <cfRule type="duplicateValues" dxfId="4058" priority="1392"/>
    <cfRule type="duplicateValues" dxfId="4057" priority="1391"/>
    <cfRule type="duplicateValues" dxfId="4056" priority="1390"/>
    <cfRule type="duplicateValues" dxfId="4055" priority="1389"/>
    <cfRule type="duplicateValues" dxfId="4054" priority="1388"/>
    <cfRule type="duplicateValues" dxfId="4053" priority="1387"/>
    <cfRule type="duplicateValues" dxfId="4052" priority="1386"/>
    <cfRule type="duplicateValues" dxfId="4051" priority="1385"/>
    <cfRule type="duplicateValues" dxfId="4050" priority="1384"/>
    <cfRule type="duplicateValues" dxfId="4049" priority="1383"/>
    <cfRule type="duplicateValues" dxfId="4048" priority="1382"/>
    <cfRule type="duplicateValues" dxfId="4047" priority="1381"/>
    <cfRule type="duplicateValues" dxfId="4046" priority="1380"/>
    <cfRule type="duplicateValues" dxfId="4045" priority="1379"/>
    <cfRule type="duplicateValues" dxfId="4044" priority="1378"/>
    <cfRule type="duplicateValues" dxfId="4043" priority="1377"/>
    <cfRule type="duplicateValues" dxfId="4042" priority="1376"/>
    <cfRule type="duplicateValues" dxfId="4041" priority="1375"/>
    <cfRule type="duplicateValues" dxfId="4040" priority="1374"/>
    <cfRule type="duplicateValues" dxfId="4039" priority="1373"/>
    <cfRule type="duplicateValues" dxfId="4038" priority="1372"/>
    <cfRule type="duplicateValues" dxfId="4037" priority="1371"/>
    <cfRule type="duplicateValues" dxfId="4036" priority="1370"/>
    <cfRule type="duplicateValues" dxfId="4035" priority="1369"/>
    <cfRule type="duplicateValues" dxfId="4034" priority="1368"/>
    <cfRule type="duplicateValues" dxfId="4033" priority="1367"/>
    <cfRule type="duplicateValues" dxfId="4032" priority="1366"/>
    <cfRule type="duplicateValues" dxfId="4031" priority="1365"/>
    <cfRule type="duplicateValues" dxfId="4030" priority="1364"/>
    <cfRule type="duplicateValues" dxfId="4029" priority="1363"/>
    <cfRule type="duplicateValues" dxfId="4028" priority="1362"/>
    <cfRule type="duplicateValues" dxfId="4027" priority="1361"/>
    <cfRule type="duplicateValues" dxfId="4026" priority="1360"/>
    <cfRule type="duplicateValues" dxfId="4025" priority="1359"/>
    <cfRule type="duplicateValues" dxfId="4024" priority="1358"/>
    <cfRule type="duplicateValues" dxfId="4023" priority="1357"/>
    <cfRule type="duplicateValues" dxfId="4022" priority="1356"/>
    <cfRule type="duplicateValues" dxfId="4021" priority="1355"/>
    <cfRule type="duplicateValues" dxfId="4020" priority="1354"/>
    <cfRule type="duplicateValues" dxfId="4019" priority="1353"/>
    <cfRule type="duplicateValues" dxfId="4018" priority="1352"/>
    <cfRule type="duplicateValues" dxfId="4017" priority="1351"/>
    <cfRule type="duplicateValues" dxfId="4016" priority="1350"/>
    <cfRule type="duplicateValues" dxfId="4015" priority="1349"/>
    <cfRule type="duplicateValues" dxfId="4014" priority="1348"/>
    <cfRule type="duplicateValues" dxfId="4013" priority="1347"/>
    <cfRule type="duplicateValues" dxfId="4012" priority="1346"/>
    <cfRule type="duplicateValues" dxfId="4011" priority="1345"/>
    <cfRule type="duplicateValues" dxfId="4010" priority="1344"/>
    <cfRule type="duplicateValues" dxfId="4009" priority="1343"/>
    <cfRule type="duplicateValues" dxfId="4008" priority="1342"/>
    <cfRule type="duplicateValues" dxfId="4007" priority="1341"/>
    <cfRule type="duplicateValues" dxfId="4006" priority="1340"/>
    <cfRule type="duplicateValues" dxfId="4005" priority="1339"/>
    <cfRule type="duplicateValues" dxfId="4004" priority="1338"/>
    <cfRule type="duplicateValues" dxfId="4003" priority="1337"/>
    <cfRule type="duplicateValues" dxfId="4002" priority="1336"/>
    <cfRule type="duplicateValues" dxfId="4001" priority="1335"/>
    <cfRule type="duplicateValues" dxfId="4000" priority="1334"/>
    <cfRule type="duplicateValues" dxfId="3999" priority="1333"/>
    <cfRule type="duplicateValues" dxfId="3998" priority="1332"/>
    <cfRule type="duplicateValues" dxfId="3997" priority="1331"/>
    <cfRule type="duplicateValues" dxfId="3996" priority="1330"/>
    <cfRule type="duplicateValues" dxfId="3995" priority="1329"/>
    <cfRule type="duplicateValues" dxfId="3994" priority="1328"/>
    <cfRule type="duplicateValues" dxfId="3993" priority="1327"/>
    <cfRule type="duplicateValues" dxfId="3992" priority="1326"/>
    <cfRule type="duplicateValues" dxfId="3991" priority="1325"/>
    <cfRule type="duplicateValues" dxfId="3990" priority="1324"/>
    <cfRule type="duplicateValues" dxfId="3989" priority="1323"/>
    <cfRule type="duplicateValues" dxfId="3988" priority="1322"/>
    <cfRule type="duplicateValues" dxfId="3987" priority="1321"/>
    <cfRule type="duplicateValues" dxfId="3986" priority="1320"/>
    <cfRule type="duplicateValues" dxfId="3985" priority="1319"/>
    <cfRule type="duplicateValues" dxfId="3984" priority="1318"/>
    <cfRule type="duplicateValues" dxfId="3983" priority="1317"/>
    <cfRule type="duplicateValues" dxfId="3982" priority="1316"/>
    <cfRule type="duplicateValues" dxfId="3981" priority="1315"/>
    <cfRule type="duplicateValues" dxfId="3980" priority="1314"/>
    <cfRule type="duplicateValues" dxfId="3979" priority="1313"/>
    <cfRule type="duplicateValues" dxfId="3978" priority="1312"/>
    <cfRule type="duplicateValues" dxfId="3977" priority="1311"/>
    <cfRule type="duplicateValues" dxfId="3976" priority="1310"/>
    <cfRule type="duplicateValues" dxfId="3975" priority="1309"/>
    <cfRule type="duplicateValues" dxfId="3974" priority="1308"/>
    <cfRule type="duplicateValues" dxfId="3973" priority="1307"/>
    <cfRule type="duplicateValues" dxfId="3972" priority="1306"/>
    <cfRule type="duplicateValues" dxfId="3971" priority="1305"/>
    <cfRule type="duplicateValues" dxfId="3970" priority="1304"/>
    <cfRule type="duplicateValues" dxfId="3969" priority="1303"/>
    <cfRule type="duplicateValues" dxfId="3968" priority="1302"/>
    <cfRule type="duplicateValues" dxfId="3967" priority="1301"/>
    <cfRule type="duplicateValues" dxfId="3966" priority="1300"/>
    <cfRule type="duplicateValues" dxfId="3965" priority="1299"/>
    <cfRule type="duplicateValues" dxfId="3964" priority="1298"/>
    <cfRule type="duplicateValues" dxfId="3963" priority="1297"/>
    <cfRule type="duplicateValues" dxfId="3962" priority="1296"/>
    <cfRule type="duplicateValues" dxfId="3961" priority="1295"/>
    <cfRule type="duplicateValues" dxfId="3960" priority="1294"/>
    <cfRule type="duplicateValues" dxfId="3959" priority="1293"/>
    <cfRule type="duplicateValues" dxfId="3958" priority="1292"/>
    <cfRule type="duplicateValues" dxfId="3957" priority="1291"/>
    <cfRule type="duplicateValues" dxfId="3956" priority="1290"/>
    <cfRule type="duplicateValues" dxfId="3955" priority="1289"/>
    <cfRule type="duplicateValues" dxfId="3954" priority="1288"/>
    <cfRule type="duplicateValues" dxfId="3953" priority="1287"/>
    <cfRule type="duplicateValues" dxfId="3952" priority="1286"/>
    <cfRule type="duplicateValues" dxfId="3951" priority="1285"/>
    <cfRule type="duplicateValues" dxfId="3950" priority="1284"/>
    <cfRule type="duplicateValues" dxfId="3949" priority="1283"/>
  </conditionalFormatting>
  <conditionalFormatting sqref="B410:B415">
    <cfRule type="duplicateValues" dxfId="3948" priority="997"/>
    <cfRule type="duplicateValues" dxfId="3947" priority="904"/>
    <cfRule type="duplicateValues" dxfId="3946" priority="905"/>
    <cfRule type="duplicateValues" dxfId="3945" priority="906"/>
    <cfRule type="duplicateValues" dxfId="3944" priority="907"/>
    <cfRule type="duplicateValues" dxfId="3943" priority="908"/>
    <cfRule type="duplicateValues" dxfId="3942" priority="909"/>
    <cfRule type="duplicateValues" dxfId="3941" priority="910"/>
    <cfRule type="duplicateValues" dxfId="3940" priority="911"/>
    <cfRule type="duplicateValues" dxfId="3939" priority="912"/>
    <cfRule type="duplicateValues" dxfId="3938" priority="913"/>
    <cfRule type="duplicateValues" dxfId="3937" priority="914"/>
    <cfRule type="duplicateValues" dxfId="3936" priority="915"/>
    <cfRule type="duplicateValues" dxfId="3935" priority="916"/>
    <cfRule type="duplicateValues" dxfId="3934" priority="917"/>
    <cfRule type="duplicateValues" dxfId="3933" priority="918"/>
    <cfRule type="duplicateValues" dxfId="3932" priority="919"/>
    <cfRule type="duplicateValues" dxfId="3931" priority="920"/>
    <cfRule type="duplicateValues" dxfId="3930" priority="921"/>
    <cfRule type="duplicateValues" dxfId="3929" priority="922"/>
    <cfRule type="duplicateValues" dxfId="3928" priority="923"/>
    <cfRule type="duplicateValues" dxfId="3927" priority="924"/>
    <cfRule type="duplicateValues" dxfId="3926" priority="925"/>
    <cfRule type="duplicateValues" dxfId="3925" priority="926"/>
    <cfRule type="duplicateValues" dxfId="3924" priority="927"/>
    <cfRule type="duplicateValues" dxfId="3923" priority="928"/>
    <cfRule type="duplicateValues" dxfId="3922" priority="929"/>
    <cfRule type="duplicateValues" dxfId="3921" priority="930"/>
    <cfRule type="duplicateValues" dxfId="3920" priority="931"/>
    <cfRule type="duplicateValues" dxfId="3919" priority="932"/>
    <cfRule type="duplicateValues" dxfId="3918" priority="933"/>
    <cfRule type="duplicateValues" dxfId="3917" priority="934"/>
    <cfRule type="duplicateValues" dxfId="3916" priority="935"/>
    <cfRule type="duplicateValues" dxfId="3915" priority="936"/>
    <cfRule type="duplicateValues" dxfId="3914" priority="937"/>
    <cfRule type="duplicateValues" dxfId="3913" priority="938"/>
    <cfRule type="duplicateValues" dxfId="3912" priority="939"/>
    <cfRule type="duplicateValues" dxfId="3911" priority="940"/>
    <cfRule type="duplicateValues" dxfId="3910" priority="941"/>
    <cfRule type="duplicateValues" dxfId="3909" priority="942"/>
    <cfRule type="duplicateValues" dxfId="3908" priority="943"/>
    <cfRule type="duplicateValues" dxfId="3907" priority="944"/>
    <cfRule type="duplicateValues" dxfId="3906" priority="945"/>
    <cfRule type="duplicateValues" dxfId="3905" priority="946"/>
    <cfRule type="duplicateValues" dxfId="3904" priority="947"/>
    <cfRule type="duplicateValues" dxfId="3903" priority="948"/>
    <cfRule type="duplicateValues" dxfId="3902" priority="949"/>
    <cfRule type="duplicateValues" dxfId="3901" priority="950"/>
    <cfRule type="duplicateValues" dxfId="3900" priority="951"/>
    <cfRule type="duplicateValues" dxfId="3899" priority="952"/>
    <cfRule type="duplicateValues" dxfId="3898" priority="953"/>
    <cfRule type="duplicateValues" dxfId="3897" priority="954"/>
    <cfRule type="duplicateValues" dxfId="3896" priority="955"/>
    <cfRule type="duplicateValues" dxfId="3895" priority="956"/>
    <cfRule type="duplicateValues" dxfId="3894" priority="957"/>
    <cfRule type="duplicateValues" dxfId="3893" priority="958"/>
    <cfRule type="duplicateValues" dxfId="3892" priority="959"/>
    <cfRule type="duplicateValues" dxfId="3891" priority="960"/>
    <cfRule type="duplicateValues" dxfId="3890" priority="961"/>
    <cfRule type="duplicateValues" dxfId="3889" priority="962"/>
    <cfRule type="duplicateValues" dxfId="3888" priority="963"/>
    <cfRule type="duplicateValues" dxfId="3887" priority="964"/>
    <cfRule type="duplicateValues" dxfId="3886" priority="965"/>
    <cfRule type="duplicateValues" dxfId="3885" priority="966"/>
    <cfRule type="duplicateValues" dxfId="3884" priority="967"/>
    <cfRule type="duplicateValues" dxfId="3883" priority="968"/>
    <cfRule type="duplicateValues" dxfId="3882" priority="969"/>
    <cfRule type="duplicateValues" dxfId="3881" priority="970"/>
    <cfRule type="duplicateValues" dxfId="3880" priority="971"/>
    <cfRule type="duplicateValues" dxfId="3879" priority="972"/>
    <cfRule type="duplicateValues" dxfId="3878" priority="973"/>
    <cfRule type="duplicateValues" dxfId="3877" priority="974"/>
    <cfRule type="duplicateValues" dxfId="3876" priority="975"/>
    <cfRule type="duplicateValues" dxfId="3875" priority="976"/>
    <cfRule type="duplicateValues" dxfId="3874" priority="977"/>
    <cfRule type="duplicateValues" dxfId="3873" priority="978"/>
    <cfRule type="duplicateValues" dxfId="3872" priority="979"/>
    <cfRule type="duplicateValues" dxfId="3871" priority="980"/>
    <cfRule type="duplicateValues" dxfId="3870" priority="981"/>
    <cfRule type="duplicateValues" dxfId="3869" priority="982"/>
    <cfRule type="duplicateValues" dxfId="3868" priority="983"/>
    <cfRule type="duplicateValues" dxfId="3867" priority="984"/>
    <cfRule type="duplicateValues" dxfId="3866" priority="985"/>
    <cfRule type="duplicateValues" dxfId="3865" priority="986"/>
    <cfRule type="duplicateValues" dxfId="3864" priority="987"/>
    <cfRule type="duplicateValues" dxfId="3863" priority="988"/>
    <cfRule type="duplicateValues" dxfId="3862" priority="989"/>
    <cfRule type="duplicateValues" dxfId="3861" priority="990"/>
    <cfRule type="duplicateValues" dxfId="3860" priority="991"/>
    <cfRule type="duplicateValues" dxfId="3859" priority="992"/>
    <cfRule type="duplicateValues" dxfId="3858" priority="993"/>
    <cfRule type="duplicateValues" dxfId="3857" priority="994"/>
    <cfRule type="duplicateValues" dxfId="3856" priority="995"/>
    <cfRule type="duplicateValues" dxfId="3855" priority="996"/>
    <cfRule type="duplicateValues" dxfId="3854" priority="903"/>
    <cfRule type="duplicateValues" dxfId="3853" priority="998"/>
    <cfRule type="duplicateValues" dxfId="3852" priority="999"/>
    <cfRule type="duplicateValues" dxfId="3851" priority="1000"/>
    <cfRule type="duplicateValues" dxfId="3850" priority="1001"/>
    <cfRule type="duplicateValues" dxfId="3849" priority="1002"/>
    <cfRule type="duplicateValues" dxfId="3848" priority="1003"/>
    <cfRule type="duplicateValues" dxfId="3847" priority="1004"/>
    <cfRule type="duplicateValues" dxfId="3846" priority="1005"/>
    <cfRule type="duplicateValues" dxfId="3845" priority="1006"/>
    <cfRule type="duplicateValues" dxfId="3844" priority="1007"/>
    <cfRule type="duplicateValues" dxfId="3843" priority="1008"/>
    <cfRule type="duplicateValues" dxfId="3842" priority="1009"/>
    <cfRule type="duplicateValues" dxfId="3841" priority="1010"/>
    <cfRule type="duplicateValues" dxfId="3840" priority="1011"/>
    <cfRule type="duplicateValues" dxfId="3839" priority="1012"/>
    <cfRule type="duplicateValues" dxfId="3838" priority="1013"/>
    <cfRule type="duplicateValues" dxfId="3837" priority="1014"/>
    <cfRule type="duplicateValues" dxfId="3836" priority="1015"/>
    <cfRule type="duplicateValues" dxfId="3835" priority="1016"/>
    <cfRule type="duplicateValues" dxfId="3834" priority="1017"/>
    <cfRule type="duplicateValues" dxfId="3833" priority="1018"/>
    <cfRule type="duplicateValues" dxfId="3832" priority="1019"/>
    <cfRule type="duplicateValues" dxfId="3831" priority="1020"/>
    <cfRule type="duplicateValues" dxfId="3830" priority="1021"/>
    <cfRule type="duplicateValues" dxfId="3829" priority="1022"/>
    <cfRule type="duplicateValues" dxfId="3828" priority="1023"/>
    <cfRule type="duplicateValues" dxfId="3827" priority="1024"/>
    <cfRule type="duplicateValues" dxfId="3826" priority="1025"/>
    <cfRule type="duplicateValues" dxfId="3825" priority="1026"/>
    <cfRule type="duplicateValues" dxfId="3824" priority="1027"/>
    <cfRule type="duplicateValues" dxfId="3823" priority="1028"/>
    <cfRule type="duplicateValues" dxfId="3822" priority="1029"/>
    <cfRule type="duplicateValues" dxfId="3821" priority="1030"/>
    <cfRule type="duplicateValues" dxfId="3820" priority="1031"/>
    <cfRule type="duplicateValues" dxfId="3819" priority="1032"/>
    <cfRule type="duplicateValues" dxfId="3818" priority="1033"/>
    <cfRule type="duplicateValues" dxfId="3817" priority="1034"/>
    <cfRule type="duplicateValues" dxfId="3816" priority="1035"/>
    <cfRule type="duplicateValues" dxfId="3815" priority="1036"/>
    <cfRule type="duplicateValues" dxfId="3814" priority="1037"/>
    <cfRule type="duplicateValues" dxfId="3813" priority="1038"/>
    <cfRule type="duplicateValues" dxfId="3812" priority="1039"/>
    <cfRule type="duplicateValues" dxfId="3811" priority="1040"/>
    <cfRule type="duplicateValues" dxfId="3810" priority="1041"/>
    <cfRule type="duplicateValues" dxfId="3809" priority="1042"/>
    <cfRule type="duplicateValues" dxfId="3808" priority="1043"/>
    <cfRule type="duplicateValues" dxfId="3807" priority="1044"/>
    <cfRule type="duplicateValues" dxfId="3806" priority="1045"/>
    <cfRule type="duplicateValues" dxfId="3805" priority="1046"/>
    <cfRule type="duplicateValues" dxfId="3804" priority="1047"/>
    <cfRule type="duplicateValues" dxfId="3803" priority="1048"/>
    <cfRule type="duplicateValues" dxfId="3802" priority="1049"/>
    <cfRule type="duplicateValues" dxfId="3801" priority="1050"/>
    <cfRule type="duplicateValues" dxfId="3800" priority="1051"/>
    <cfRule type="duplicateValues" dxfId="3799" priority="1052"/>
    <cfRule type="duplicateValues" dxfId="3798" priority="1053"/>
    <cfRule type="duplicateValues" dxfId="3797" priority="1054"/>
    <cfRule type="duplicateValues" dxfId="3796" priority="1055"/>
    <cfRule type="duplicateValues" dxfId="3795" priority="1056"/>
    <cfRule type="duplicateValues" dxfId="3794" priority="1057"/>
    <cfRule type="duplicateValues" dxfId="3793" priority="1058"/>
    <cfRule type="duplicateValues" dxfId="3792" priority="1059"/>
    <cfRule type="duplicateValues" dxfId="3791" priority="1060"/>
    <cfRule type="duplicateValues" dxfId="3790" priority="1061"/>
    <cfRule type="duplicateValues" dxfId="3789" priority="1062"/>
    <cfRule type="duplicateValues" dxfId="3788" priority="1063"/>
    <cfRule type="duplicateValues" dxfId="3787" priority="1064"/>
    <cfRule type="duplicateValues" dxfId="3786" priority="1065"/>
    <cfRule type="duplicateValues" dxfId="3785" priority="1066"/>
    <cfRule type="duplicateValues" dxfId="3784" priority="1067"/>
    <cfRule type="duplicateValues" dxfId="3783" priority="1068"/>
    <cfRule type="duplicateValues" dxfId="3782" priority="1069"/>
    <cfRule type="duplicateValues" dxfId="3781" priority="1070"/>
    <cfRule type="duplicateValues" dxfId="3780" priority="1071"/>
    <cfRule type="duplicateValues" dxfId="3779" priority="1072"/>
    <cfRule type="duplicateValues" dxfId="3778" priority="1073"/>
    <cfRule type="duplicateValues" dxfId="3777" priority="1074"/>
    <cfRule type="duplicateValues" dxfId="3776" priority="1075"/>
    <cfRule type="duplicateValues" dxfId="3775" priority="1076"/>
    <cfRule type="duplicateValues" dxfId="3774" priority="1077"/>
    <cfRule type="duplicateValues" dxfId="3773" priority="1078"/>
    <cfRule type="duplicateValues" dxfId="3772" priority="1079"/>
    <cfRule type="duplicateValues" dxfId="3771" priority="1080"/>
    <cfRule type="duplicateValues" dxfId="3770" priority="1081"/>
    <cfRule type="duplicateValues" dxfId="3769" priority="1082"/>
    <cfRule type="duplicateValues" dxfId="3768" priority="1083"/>
    <cfRule type="duplicateValues" dxfId="3767" priority="1084"/>
    <cfRule type="duplicateValues" dxfId="3766" priority="1085"/>
    <cfRule type="duplicateValues" dxfId="3765" priority="1086"/>
    <cfRule type="duplicateValues" dxfId="3764" priority="1087"/>
    <cfRule type="duplicateValues" dxfId="3763" priority="1088"/>
    <cfRule type="duplicateValues" dxfId="3762" priority="1089"/>
    <cfRule type="duplicateValues" dxfId="3761" priority="1090"/>
  </conditionalFormatting>
  <conditionalFormatting sqref="B416:B430">
    <cfRule type="duplicateValues" dxfId="3760" priority="1233"/>
    <cfRule type="duplicateValues" dxfId="3759" priority="1093"/>
    <cfRule type="duplicateValues" dxfId="3758" priority="1094"/>
    <cfRule type="duplicateValues" dxfId="3757" priority="1095"/>
    <cfRule type="duplicateValues" dxfId="3756" priority="1096"/>
    <cfRule type="duplicateValues" dxfId="3755" priority="1097"/>
    <cfRule type="duplicateValues" dxfId="3754" priority="1098"/>
    <cfRule type="duplicateValues" dxfId="3753" priority="1099"/>
    <cfRule type="duplicateValues" dxfId="3752" priority="1100"/>
    <cfRule type="duplicateValues" dxfId="3751" priority="1101"/>
    <cfRule type="duplicateValues" dxfId="3750" priority="1102"/>
    <cfRule type="duplicateValues" dxfId="3749" priority="1103"/>
    <cfRule type="duplicateValues" dxfId="3748" priority="1104"/>
    <cfRule type="duplicateValues" dxfId="3747" priority="1105"/>
    <cfRule type="duplicateValues" dxfId="3746" priority="1106"/>
    <cfRule type="duplicateValues" dxfId="3745" priority="1107"/>
    <cfRule type="duplicateValues" dxfId="3744" priority="1108"/>
    <cfRule type="duplicateValues" dxfId="3743" priority="1109"/>
    <cfRule type="duplicateValues" dxfId="3742" priority="1110"/>
    <cfRule type="duplicateValues" dxfId="3741" priority="1111"/>
    <cfRule type="duplicateValues" dxfId="3740" priority="1112"/>
    <cfRule type="duplicateValues" dxfId="3739" priority="1113"/>
    <cfRule type="duplicateValues" dxfId="3738" priority="1114"/>
    <cfRule type="duplicateValues" dxfId="3737" priority="1115"/>
    <cfRule type="duplicateValues" dxfId="3736" priority="1116"/>
    <cfRule type="duplicateValues" dxfId="3735" priority="1117"/>
    <cfRule type="duplicateValues" dxfId="3734" priority="1118"/>
    <cfRule type="duplicateValues" dxfId="3733" priority="1119"/>
    <cfRule type="duplicateValues" dxfId="3732" priority="1120"/>
    <cfRule type="duplicateValues" dxfId="3731" priority="1121"/>
    <cfRule type="duplicateValues" dxfId="3730" priority="1122"/>
    <cfRule type="duplicateValues" dxfId="3729" priority="1123"/>
    <cfRule type="duplicateValues" dxfId="3728" priority="1124"/>
    <cfRule type="duplicateValues" dxfId="3727" priority="1125"/>
    <cfRule type="duplicateValues" dxfId="3726" priority="1126"/>
    <cfRule type="duplicateValues" dxfId="3725" priority="1127"/>
    <cfRule type="duplicateValues" dxfId="3724" priority="1128"/>
    <cfRule type="duplicateValues" dxfId="3723" priority="1129"/>
    <cfRule type="duplicateValues" dxfId="3722" priority="1130"/>
    <cfRule type="duplicateValues" dxfId="3721" priority="1131"/>
    <cfRule type="duplicateValues" dxfId="3720" priority="1132"/>
    <cfRule type="duplicateValues" dxfId="3719" priority="1133"/>
    <cfRule type="duplicateValues" dxfId="3718" priority="1134"/>
    <cfRule type="duplicateValues" dxfId="3717" priority="1135"/>
    <cfRule type="duplicateValues" dxfId="3716" priority="1136"/>
    <cfRule type="duplicateValues" dxfId="3715" priority="1137"/>
    <cfRule type="duplicateValues" dxfId="3714" priority="1138"/>
    <cfRule type="duplicateValues" dxfId="3713" priority="1139"/>
    <cfRule type="duplicateValues" dxfId="3712" priority="1140"/>
    <cfRule type="duplicateValues" dxfId="3711" priority="1141"/>
    <cfRule type="duplicateValues" dxfId="3710" priority="1142"/>
    <cfRule type="duplicateValues" dxfId="3709" priority="1143"/>
    <cfRule type="duplicateValues" dxfId="3708" priority="1144"/>
    <cfRule type="duplicateValues" dxfId="3707" priority="1145"/>
    <cfRule type="duplicateValues" dxfId="3706" priority="1146"/>
    <cfRule type="duplicateValues" dxfId="3705" priority="1147"/>
    <cfRule type="duplicateValues" dxfId="3704" priority="1148"/>
    <cfRule type="duplicateValues" dxfId="3703" priority="1149"/>
    <cfRule type="duplicateValues" dxfId="3702" priority="1150"/>
    <cfRule type="duplicateValues" dxfId="3701" priority="1151"/>
    <cfRule type="duplicateValues" dxfId="3700" priority="1152"/>
    <cfRule type="duplicateValues" dxfId="3699" priority="1153"/>
    <cfRule type="duplicateValues" dxfId="3698" priority="1154"/>
    <cfRule type="duplicateValues" dxfId="3697" priority="1155"/>
    <cfRule type="duplicateValues" dxfId="3696" priority="1156"/>
    <cfRule type="duplicateValues" dxfId="3695" priority="1157"/>
    <cfRule type="duplicateValues" dxfId="3694" priority="1158"/>
    <cfRule type="duplicateValues" dxfId="3693" priority="1159"/>
    <cfRule type="duplicateValues" dxfId="3692" priority="1160"/>
    <cfRule type="duplicateValues" dxfId="3691" priority="1161"/>
    <cfRule type="duplicateValues" dxfId="3690" priority="1162"/>
    <cfRule type="duplicateValues" dxfId="3689" priority="1163"/>
    <cfRule type="duplicateValues" dxfId="3688" priority="1164"/>
    <cfRule type="duplicateValues" dxfId="3687" priority="1165"/>
    <cfRule type="duplicateValues" dxfId="3686" priority="1166"/>
    <cfRule type="duplicateValues" dxfId="3685" priority="1167"/>
    <cfRule type="duplicateValues" dxfId="3684" priority="1168"/>
    <cfRule type="duplicateValues" dxfId="3683" priority="1169"/>
    <cfRule type="duplicateValues" dxfId="3682" priority="1170"/>
    <cfRule type="duplicateValues" dxfId="3681" priority="1171"/>
    <cfRule type="duplicateValues" dxfId="3680" priority="1172"/>
    <cfRule type="duplicateValues" dxfId="3679" priority="1173"/>
    <cfRule type="duplicateValues" dxfId="3678" priority="1174"/>
    <cfRule type="duplicateValues" dxfId="3677" priority="1175"/>
    <cfRule type="duplicateValues" dxfId="3676" priority="1176"/>
    <cfRule type="duplicateValues" dxfId="3675" priority="1177"/>
    <cfRule type="duplicateValues" dxfId="3674" priority="1178"/>
    <cfRule type="duplicateValues" dxfId="3673" priority="1179"/>
    <cfRule type="duplicateValues" dxfId="3672" priority="1180"/>
    <cfRule type="duplicateValues" dxfId="3671" priority="1181"/>
    <cfRule type="duplicateValues" dxfId="3670" priority="1182"/>
    <cfRule type="duplicateValues" dxfId="3669" priority="1183"/>
    <cfRule type="duplicateValues" dxfId="3668" priority="1184"/>
    <cfRule type="duplicateValues" dxfId="3667" priority="1185"/>
    <cfRule type="duplicateValues" dxfId="3666" priority="1186"/>
    <cfRule type="duplicateValues" dxfId="3665" priority="1187"/>
    <cfRule type="duplicateValues" dxfId="3664" priority="1188"/>
    <cfRule type="duplicateValues" dxfId="3663" priority="1189"/>
    <cfRule type="duplicateValues" dxfId="3662" priority="1190"/>
    <cfRule type="duplicateValues" dxfId="3661" priority="1191"/>
    <cfRule type="duplicateValues" dxfId="3660" priority="1192"/>
    <cfRule type="duplicateValues" dxfId="3659" priority="1193"/>
    <cfRule type="duplicateValues" dxfId="3658" priority="1194"/>
    <cfRule type="duplicateValues" dxfId="3657" priority="1195"/>
    <cfRule type="duplicateValues" dxfId="3656" priority="1196"/>
    <cfRule type="duplicateValues" dxfId="3655" priority="1197"/>
    <cfRule type="duplicateValues" dxfId="3654" priority="1198"/>
    <cfRule type="duplicateValues" dxfId="3653" priority="1199"/>
    <cfRule type="duplicateValues" dxfId="3652" priority="1200"/>
    <cfRule type="duplicateValues" dxfId="3651" priority="1201"/>
    <cfRule type="duplicateValues" dxfId="3650" priority="1202"/>
    <cfRule type="duplicateValues" dxfId="3649" priority="1203"/>
    <cfRule type="duplicateValues" dxfId="3648" priority="1204"/>
    <cfRule type="duplicateValues" dxfId="3647" priority="1205"/>
    <cfRule type="duplicateValues" dxfId="3646" priority="1206"/>
    <cfRule type="duplicateValues" dxfId="3645" priority="1207"/>
    <cfRule type="duplicateValues" dxfId="3644" priority="1208"/>
    <cfRule type="duplicateValues" dxfId="3643" priority="1209"/>
    <cfRule type="duplicateValues" dxfId="3642" priority="1210"/>
    <cfRule type="duplicateValues" dxfId="3641" priority="1211"/>
    <cfRule type="duplicateValues" dxfId="3640" priority="1212"/>
    <cfRule type="duplicateValues" dxfId="3639" priority="1213"/>
    <cfRule type="duplicateValues" dxfId="3638" priority="1214"/>
    <cfRule type="duplicateValues" dxfId="3637" priority="1215"/>
    <cfRule type="duplicateValues" dxfId="3636" priority="1216"/>
    <cfRule type="duplicateValues" dxfId="3635" priority="1217"/>
    <cfRule type="duplicateValues" dxfId="3634" priority="1218"/>
    <cfRule type="duplicateValues" dxfId="3633" priority="1219"/>
    <cfRule type="duplicateValues" dxfId="3632" priority="1220"/>
    <cfRule type="duplicateValues" dxfId="3631" priority="1221"/>
    <cfRule type="duplicateValues" dxfId="3630" priority="1222"/>
    <cfRule type="duplicateValues" dxfId="3629" priority="1223"/>
    <cfRule type="duplicateValues" dxfId="3628" priority="1224"/>
    <cfRule type="duplicateValues" dxfId="3627" priority="1225"/>
    <cfRule type="duplicateValues" dxfId="3626" priority="1226"/>
    <cfRule type="duplicateValues" dxfId="3625" priority="1227"/>
    <cfRule type="duplicateValues" dxfId="3624" priority="1228"/>
    <cfRule type="duplicateValues" dxfId="3623" priority="1229"/>
    <cfRule type="duplicateValues" dxfId="3622" priority="1230"/>
    <cfRule type="duplicateValues" dxfId="3621" priority="1231"/>
    <cfRule type="duplicateValues" dxfId="3620" priority="1232"/>
    <cfRule type="duplicateValues" dxfId="3619" priority="1280"/>
    <cfRule type="duplicateValues" dxfId="3618" priority="1234"/>
    <cfRule type="duplicateValues" dxfId="3617" priority="1235"/>
    <cfRule type="duplicateValues" dxfId="3616" priority="1236"/>
    <cfRule type="duplicateValues" dxfId="3615" priority="1237"/>
    <cfRule type="duplicateValues" dxfId="3614" priority="1238"/>
    <cfRule type="duplicateValues" dxfId="3613" priority="1239"/>
    <cfRule type="duplicateValues" dxfId="3612" priority="1240"/>
    <cfRule type="duplicateValues" dxfId="3611" priority="1241"/>
    <cfRule type="duplicateValues" dxfId="3610" priority="1242"/>
    <cfRule type="duplicateValues" dxfId="3609" priority="1243"/>
    <cfRule type="duplicateValues" dxfId="3608" priority="1244"/>
    <cfRule type="duplicateValues" dxfId="3607" priority="1245"/>
    <cfRule type="duplicateValues" dxfId="3606" priority="1246"/>
    <cfRule type="duplicateValues" dxfId="3605" priority="1247"/>
    <cfRule type="duplicateValues" dxfId="3604" priority="1248"/>
    <cfRule type="duplicateValues" dxfId="3603" priority="1249"/>
    <cfRule type="duplicateValues" dxfId="3602" priority="1250"/>
    <cfRule type="duplicateValues" dxfId="3601" priority="1251"/>
    <cfRule type="duplicateValues" dxfId="3600" priority="1252"/>
    <cfRule type="duplicateValues" dxfId="3599" priority="1253"/>
    <cfRule type="duplicateValues" dxfId="3598" priority="1254"/>
    <cfRule type="duplicateValues" dxfId="3597" priority="1255"/>
    <cfRule type="duplicateValues" dxfId="3596" priority="1256"/>
    <cfRule type="duplicateValues" dxfId="3595" priority="1257"/>
    <cfRule type="duplicateValues" dxfId="3594" priority="1258"/>
    <cfRule type="duplicateValues" dxfId="3593" priority="1259"/>
    <cfRule type="duplicateValues" dxfId="3592" priority="1260"/>
    <cfRule type="duplicateValues" dxfId="3591" priority="1261"/>
    <cfRule type="duplicateValues" dxfId="3590" priority="1262"/>
    <cfRule type="duplicateValues" dxfId="3589" priority="1263"/>
    <cfRule type="duplicateValues" dxfId="3588" priority="1264"/>
    <cfRule type="duplicateValues" dxfId="3587" priority="1265"/>
    <cfRule type="duplicateValues" dxfId="3586" priority="1266"/>
    <cfRule type="duplicateValues" dxfId="3585" priority="1267"/>
    <cfRule type="duplicateValues" dxfId="3584" priority="1268"/>
    <cfRule type="duplicateValues" dxfId="3583" priority="1269"/>
    <cfRule type="duplicateValues" dxfId="3582" priority="1270"/>
    <cfRule type="duplicateValues" dxfId="3581" priority="1271"/>
    <cfRule type="duplicateValues" dxfId="3580" priority="1272"/>
    <cfRule type="duplicateValues" dxfId="3579" priority="1273"/>
    <cfRule type="duplicateValues" dxfId="3578" priority="1274"/>
    <cfRule type="duplicateValues" dxfId="3577" priority="1275"/>
    <cfRule type="duplicateValues" dxfId="3576" priority="1276"/>
    <cfRule type="duplicateValues" dxfId="3575" priority="1277"/>
    <cfRule type="duplicateValues" dxfId="3574" priority="1278"/>
    <cfRule type="duplicateValues" dxfId="3573" priority="1279"/>
  </conditionalFormatting>
  <conditionalFormatting sqref="B416:B440">
    <cfRule type="duplicateValues" dxfId="3572" priority="1092"/>
  </conditionalFormatting>
  <conditionalFormatting sqref="B431:B440">
    <cfRule type="duplicateValues" dxfId="3571" priority="716"/>
    <cfRule type="duplicateValues" dxfId="3570" priority="717"/>
    <cfRule type="duplicateValues" dxfId="3569" priority="718"/>
    <cfRule type="duplicateValues" dxfId="3568" priority="719"/>
    <cfRule type="duplicateValues" dxfId="3567" priority="720"/>
    <cfRule type="duplicateValues" dxfId="3566" priority="721"/>
    <cfRule type="duplicateValues" dxfId="3565" priority="722"/>
    <cfRule type="duplicateValues" dxfId="3564" priority="723"/>
    <cfRule type="duplicateValues" dxfId="3563" priority="724"/>
    <cfRule type="duplicateValues" dxfId="3562" priority="725"/>
    <cfRule type="duplicateValues" dxfId="3561" priority="726"/>
    <cfRule type="duplicateValues" dxfId="3560" priority="727"/>
    <cfRule type="duplicateValues" dxfId="3559" priority="728"/>
    <cfRule type="duplicateValues" dxfId="3558" priority="729"/>
    <cfRule type="duplicateValues" dxfId="3557" priority="730"/>
    <cfRule type="duplicateValues" dxfId="3556" priority="731"/>
    <cfRule type="duplicateValues" dxfId="3555" priority="732"/>
    <cfRule type="duplicateValues" dxfId="3554" priority="733"/>
    <cfRule type="duplicateValues" dxfId="3553" priority="734"/>
    <cfRule type="duplicateValues" dxfId="3552" priority="735"/>
    <cfRule type="duplicateValues" dxfId="3551" priority="736"/>
    <cfRule type="duplicateValues" dxfId="3550" priority="737"/>
    <cfRule type="duplicateValues" dxfId="3549" priority="738"/>
    <cfRule type="duplicateValues" dxfId="3548" priority="739"/>
    <cfRule type="duplicateValues" dxfId="3547" priority="740"/>
    <cfRule type="duplicateValues" dxfId="3546" priority="741"/>
    <cfRule type="duplicateValues" dxfId="3545" priority="742"/>
    <cfRule type="duplicateValues" dxfId="3544" priority="743"/>
    <cfRule type="duplicateValues" dxfId="3543" priority="744"/>
    <cfRule type="duplicateValues" dxfId="3542" priority="745"/>
    <cfRule type="duplicateValues" dxfId="3541" priority="746"/>
    <cfRule type="duplicateValues" dxfId="3540" priority="747"/>
    <cfRule type="duplicateValues" dxfId="3539" priority="748"/>
    <cfRule type="duplicateValues" dxfId="3538" priority="749"/>
    <cfRule type="duplicateValues" dxfId="3537" priority="750"/>
    <cfRule type="duplicateValues" dxfId="3536" priority="751"/>
    <cfRule type="duplicateValues" dxfId="3535" priority="752"/>
    <cfRule type="duplicateValues" dxfId="3534" priority="753"/>
    <cfRule type="duplicateValues" dxfId="3533" priority="754"/>
    <cfRule type="duplicateValues" dxfId="3532" priority="755"/>
    <cfRule type="duplicateValues" dxfId="3531" priority="756"/>
    <cfRule type="duplicateValues" dxfId="3530" priority="757"/>
    <cfRule type="duplicateValues" dxfId="3529" priority="758"/>
    <cfRule type="duplicateValues" dxfId="3528" priority="759"/>
    <cfRule type="duplicateValues" dxfId="3527" priority="760"/>
    <cfRule type="duplicateValues" dxfId="3526" priority="761"/>
    <cfRule type="duplicateValues" dxfId="3525" priority="763"/>
    <cfRule type="duplicateValues" dxfId="3524" priority="764"/>
    <cfRule type="duplicateValues" dxfId="3523" priority="765"/>
    <cfRule type="duplicateValues" dxfId="3522" priority="766"/>
    <cfRule type="duplicateValues" dxfId="3521" priority="767"/>
    <cfRule type="duplicateValues" dxfId="3520" priority="768"/>
    <cfRule type="duplicateValues" dxfId="3519" priority="769"/>
    <cfRule type="duplicateValues" dxfId="3518" priority="770"/>
    <cfRule type="duplicateValues" dxfId="3517" priority="771"/>
    <cfRule type="duplicateValues" dxfId="3516" priority="772"/>
    <cfRule type="duplicateValues" dxfId="3515" priority="773"/>
    <cfRule type="duplicateValues" dxfId="3514" priority="774"/>
    <cfRule type="duplicateValues" dxfId="3513" priority="775"/>
    <cfRule type="duplicateValues" dxfId="3512" priority="776"/>
    <cfRule type="duplicateValues" dxfId="3511" priority="777"/>
    <cfRule type="duplicateValues" dxfId="3510" priority="778"/>
    <cfRule type="duplicateValues" dxfId="3509" priority="779"/>
    <cfRule type="duplicateValues" dxfId="3508" priority="780"/>
    <cfRule type="duplicateValues" dxfId="3507" priority="781"/>
    <cfRule type="duplicateValues" dxfId="3506" priority="782"/>
    <cfRule type="duplicateValues" dxfId="3505" priority="783"/>
    <cfRule type="duplicateValues" dxfId="3504" priority="784"/>
    <cfRule type="duplicateValues" dxfId="3503" priority="785"/>
    <cfRule type="duplicateValues" dxfId="3502" priority="786"/>
    <cfRule type="duplicateValues" dxfId="3501" priority="787"/>
    <cfRule type="duplicateValues" dxfId="3500" priority="788"/>
    <cfRule type="duplicateValues" dxfId="3499" priority="789"/>
    <cfRule type="duplicateValues" dxfId="3498" priority="790"/>
    <cfRule type="duplicateValues" dxfId="3497" priority="791"/>
    <cfRule type="duplicateValues" dxfId="3496" priority="792"/>
    <cfRule type="duplicateValues" dxfId="3495" priority="793"/>
    <cfRule type="duplicateValues" dxfId="3494" priority="794"/>
    <cfRule type="duplicateValues" dxfId="3493" priority="795"/>
    <cfRule type="duplicateValues" dxfId="3492" priority="796"/>
    <cfRule type="duplicateValues" dxfId="3491" priority="797"/>
    <cfRule type="duplicateValues" dxfId="3490" priority="798"/>
    <cfRule type="duplicateValues" dxfId="3489" priority="799"/>
    <cfRule type="duplicateValues" dxfId="3488" priority="800"/>
    <cfRule type="duplicateValues" dxfId="3487" priority="801"/>
    <cfRule type="duplicateValues" dxfId="3486" priority="802"/>
    <cfRule type="duplicateValues" dxfId="3485" priority="803"/>
    <cfRule type="duplicateValues" dxfId="3484" priority="804"/>
    <cfRule type="duplicateValues" dxfId="3483" priority="805"/>
    <cfRule type="duplicateValues" dxfId="3482" priority="806"/>
    <cfRule type="duplicateValues" dxfId="3481" priority="807"/>
    <cfRule type="duplicateValues" dxfId="3480" priority="808"/>
    <cfRule type="duplicateValues" dxfId="3479" priority="810"/>
    <cfRule type="duplicateValues" dxfId="3478" priority="811"/>
    <cfRule type="duplicateValues" dxfId="3477" priority="812"/>
    <cfRule type="duplicateValues" dxfId="3476" priority="813"/>
    <cfRule type="duplicateValues" dxfId="3475" priority="814"/>
    <cfRule type="duplicateValues" dxfId="3474" priority="815"/>
    <cfRule type="duplicateValues" dxfId="3473" priority="816"/>
    <cfRule type="duplicateValues" dxfId="3472" priority="817"/>
    <cfRule type="duplicateValues" dxfId="3471" priority="818"/>
    <cfRule type="duplicateValues" dxfId="3470" priority="819"/>
    <cfRule type="duplicateValues" dxfId="3469" priority="820"/>
    <cfRule type="duplicateValues" dxfId="3468" priority="821"/>
    <cfRule type="duplicateValues" dxfId="3467" priority="822"/>
    <cfRule type="duplicateValues" dxfId="3466" priority="823"/>
    <cfRule type="duplicateValues" dxfId="3465" priority="824"/>
    <cfRule type="duplicateValues" dxfId="3464" priority="825"/>
    <cfRule type="duplicateValues" dxfId="3463" priority="826"/>
    <cfRule type="duplicateValues" dxfId="3462" priority="827"/>
    <cfRule type="duplicateValues" dxfId="3461" priority="828"/>
    <cfRule type="duplicateValues" dxfId="3460" priority="829"/>
    <cfRule type="duplicateValues" dxfId="3459" priority="830"/>
    <cfRule type="duplicateValues" dxfId="3458" priority="831"/>
    <cfRule type="duplicateValues" dxfId="3457" priority="832"/>
    <cfRule type="duplicateValues" dxfId="3456" priority="833"/>
    <cfRule type="duplicateValues" dxfId="3455" priority="834"/>
    <cfRule type="duplicateValues" dxfId="3454" priority="835"/>
    <cfRule type="duplicateValues" dxfId="3453" priority="836"/>
    <cfRule type="duplicateValues" dxfId="3452" priority="837"/>
    <cfRule type="duplicateValues" dxfId="3451" priority="838"/>
    <cfRule type="duplicateValues" dxfId="3450" priority="839"/>
    <cfRule type="duplicateValues" dxfId="3449" priority="840"/>
    <cfRule type="duplicateValues" dxfId="3448" priority="841"/>
    <cfRule type="duplicateValues" dxfId="3447" priority="842"/>
    <cfRule type="duplicateValues" dxfId="3446" priority="843"/>
    <cfRule type="duplicateValues" dxfId="3445" priority="844"/>
    <cfRule type="duplicateValues" dxfId="3444" priority="845"/>
    <cfRule type="duplicateValues" dxfId="3443" priority="846"/>
    <cfRule type="duplicateValues" dxfId="3442" priority="847"/>
    <cfRule type="duplicateValues" dxfId="3441" priority="848"/>
    <cfRule type="duplicateValues" dxfId="3440" priority="849"/>
    <cfRule type="duplicateValues" dxfId="3439" priority="850"/>
    <cfRule type="duplicateValues" dxfId="3438" priority="851"/>
    <cfRule type="duplicateValues" dxfId="3437" priority="852"/>
    <cfRule type="duplicateValues" dxfId="3436" priority="853"/>
    <cfRule type="duplicateValues" dxfId="3435" priority="854"/>
    <cfRule type="duplicateValues" dxfId="3434" priority="855"/>
    <cfRule type="duplicateValues" dxfId="3433" priority="856"/>
    <cfRule type="duplicateValues" dxfId="3432" priority="858"/>
    <cfRule type="duplicateValues" dxfId="3431" priority="859"/>
    <cfRule type="duplicateValues" dxfId="3430" priority="715"/>
    <cfRule type="duplicateValues" dxfId="3429" priority="861"/>
    <cfRule type="duplicateValues" dxfId="3428" priority="862"/>
    <cfRule type="duplicateValues" dxfId="3427" priority="863"/>
    <cfRule type="duplicateValues" dxfId="3426" priority="864"/>
    <cfRule type="duplicateValues" dxfId="3425" priority="865"/>
    <cfRule type="duplicateValues" dxfId="3424" priority="866"/>
    <cfRule type="duplicateValues" dxfId="3423" priority="867"/>
    <cfRule type="duplicateValues" dxfId="3422" priority="868"/>
    <cfRule type="duplicateValues" dxfId="3421" priority="869"/>
    <cfRule type="duplicateValues" dxfId="3420" priority="870"/>
    <cfRule type="duplicateValues" dxfId="3419" priority="871"/>
    <cfRule type="duplicateValues" dxfId="3418" priority="872"/>
    <cfRule type="duplicateValues" dxfId="3417" priority="873"/>
    <cfRule type="duplicateValues" dxfId="3416" priority="874"/>
    <cfRule type="duplicateValues" dxfId="3415" priority="875"/>
    <cfRule type="duplicateValues" dxfId="3414" priority="876"/>
    <cfRule type="duplicateValues" dxfId="3413" priority="877"/>
    <cfRule type="duplicateValues" dxfId="3412" priority="878"/>
    <cfRule type="duplicateValues" dxfId="3411" priority="879"/>
    <cfRule type="duplicateValues" dxfId="3410" priority="880"/>
    <cfRule type="duplicateValues" dxfId="3409" priority="881"/>
    <cfRule type="duplicateValues" dxfId="3408" priority="882"/>
    <cfRule type="duplicateValues" dxfId="3407" priority="860"/>
    <cfRule type="duplicateValues" dxfId="3406" priority="884"/>
    <cfRule type="duplicateValues" dxfId="3405" priority="885"/>
    <cfRule type="duplicateValues" dxfId="3404" priority="886"/>
    <cfRule type="duplicateValues" dxfId="3403" priority="887"/>
    <cfRule type="duplicateValues" dxfId="3402" priority="888"/>
    <cfRule type="duplicateValues" dxfId="3401" priority="889"/>
    <cfRule type="duplicateValues" dxfId="3400" priority="890"/>
    <cfRule type="duplicateValues" dxfId="3399" priority="891"/>
    <cfRule type="duplicateValues" dxfId="3398" priority="892"/>
    <cfRule type="duplicateValues" dxfId="3397" priority="893"/>
    <cfRule type="duplicateValues" dxfId="3396" priority="894"/>
    <cfRule type="duplicateValues" dxfId="3395" priority="895"/>
    <cfRule type="duplicateValues" dxfId="3394" priority="896"/>
    <cfRule type="duplicateValues" dxfId="3393" priority="897"/>
    <cfRule type="duplicateValues" dxfId="3392" priority="898"/>
    <cfRule type="duplicateValues" dxfId="3391" priority="899"/>
    <cfRule type="duplicateValues" dxfId="3390" priority="900"/>
    <cfRule type="duplicateValues" dxfId="3389" priority="901"/>
    <cfRule type="duplicateValues" dxfId="3388" priority="902"/>
    <cfRule type="duplicateValues" dxfId="3387" priority="809"/>
    <cfRule type="duplicateValues" dxfId="3386" priority="857"/>
    <cfRule type="duplicateValues" dxfId="3385" priority="762"/>
    <cfRule type="duplicateValues" dxfId="3384" priority="883"/>
  </conditionalFormatting>
  <conditionalFormatting sqref="B441:B466">
    <cfRule type="duplicateValues" dxfId="3383" priority="265042"/>
    <cfRule type="duplicateValues" dxfId="3382" priority="265043"/>
    <cfRule type="duplicateValues" dxfId="3381" priority="265044"/>
    <cfRule type="duplicateValues" dxfId="3380" priority="265045"/>
    <cfRule type="duplicateValues" dxfId="3379" priority="265046"/>
    <cfRule type="duplicateValues" dxfId="3378" priority="265047"/>
    <cfRule type="duplicateValues" dxfId="3377" priority="265048"/>
    <cfRule type="duplicateValues" dxfId="3376" priority="265049"/>
    <cfRule type="duplicateValues" dxfId="3375" priority="265050"/>
    <cfRule type="duplicateValues" dxfId="3374" priority="265051"/>
    <cfRule type="duplicateValues" dxfId="3373" priority="265052"/>
    <cfRule type="duplicateValues" dxfId="3372" priority="265053"/>
    <cfRule type="duplicateValues" dxfId="3371" priority="265054"/>
    <cfRule type="duplicateValues" dxfId="3370" priority="265055"/>
    <cfRule type="duplicateValues" dxfId="3369" priority="265056"/>
    <cfRule type="duplicateValues" dxfId="3368" priority="265057"/>
    <cfRule type="duplicateValues" dxfId="3367" priority="265058"/>
    <cfRule type="duplicateValues" dxfId="3366" priority="265059"/>
    <cfRule type="duplicateValues" dxfId="3365" priority="265060"/>
    <cfRule type="duplicateValues" dxfId="3364" priority="265061"/>
    <cfRule type="duplicateValues" dxfId="3363" priority="265062"/>
    <cfRule type="duplicateValues" dxfId="3362" priority="265063"/>
    <cfRule type="duplicateValues" dxfId="3361" priority="265064"/>
    <cfRule type="duplicateValues" dxfId="3360" priority="265065"/>
    <cfRule type="duplicateValues" dxfId="3359" priority="265066"/>
    <cfRule type="duplicateValues" dxfId="3358" priority="265067"/>
    <cfRule type="duplicateValues" dxfId="3357" priority="265068"/>
    <cfRule type="duplicateValues" dxfId="3356" priority="265069"/>
    <cfRule type="duplicateValues" dxfId="3355" priority="265070"/>
    <cfRule type="duplicateValues" dxfId="3354" priority="265071"/>
    <cfRule type="duplicateValues" dxfId="3353" priority="265072"/>
    <cfRule type="duplicateValues" dxfId="3352" priority="265073"/>
    <cfRule type="duplicateValues" dxfId="3351" priority="265074"/>
    <cfRule type="duplicateValues" dxfId="3350" priority="265075"/>
    <cfRule type="duplicateValues" dxfId="3349" priority="265076"/>
    <cfRule type="duplicateValues" dxfId="3348" priority="265077"/>
    <cfRule type="duplicateValues" dxfId="3347" priority="265078"/>
    <cfRule type="duplicateValues" dxfId="3346" priority="265079"/>
    <cfRule type="duplicateValues" dxfId="3345" priority="265080"/>
    <cfRule type="duplicateValues" dxfId="3344" priority="265081"/>
    <cfRule type="duplicateValues" dxfId="3343" priority="265082"/>
    <cfRule type="duplicateValues" dxfId="3342" priority="265083"/>
    <cfRule type="duplicateValues" dxfId="3341" priority="265084"/>
    <cfRule type="duplicateValues" dxfId="3340" priority="265085"/>
    <cfRule type="duplicateValues" dxfId="3339" priority="265086"/>
    <cfRule type="duplicateValues" dxfId="3338" priority="265087"/>
    <cfRule type="duplicateValues" dxfId="3337" priority="265088"/>
    <cfRule type="duplicateValues" dxfId="3336" priority="265089"/>
    <cfRule type="duplicateValues" dxfId="3335" priority="265090"/>
    <cfRule type="duplicateValues" dxfId="3334" priority="265091"/>
    <cfRule type="duplicateValues" dxfId="3333" priority="265092"/>
    <cfRule type="duplicateValues" dxfId="3332" priority="265093"/>
    <cfRule type="duplicateValues" dxfId="3331" priority="265094"/>
    <cfRule type="duplicateValues" dxfId="3330" priority="265095"/>
    <cfRule type="duplicateValues" dxfId="3329" priority="265096"/>
    <cfRule type="duplicateValues" dxfId="3328" priority="265097"/>
    <cfRule type="duplicateValues" dxfId="3327" priority="265098"/>
    <cfRule type="duplicateValues" dxfId="3326" priority="265099"/>
    <cfRule type="duplicateValues" dxfId="3325" priority="265100"/>
    <cfRule type="duplicateValues" dxfId="3324" priority="265101"/>
    <cfRule type="duplicateValues" dxfId="3323" priority="265102"/>
    <cfRule type="duplicateValues" dxfId="3322" priority="265103"/>
    <cfRule type="duplicateValues" dxfId="3321" priority="265104"/>
    <cfRule type="duplicateValues" dxfId="3320" priority="265105"/>
    <cfRule type="duplicateValues" dxfId="3319" priority="265106"/>
    <cfRule type="duplicateValues" dxfId="3318" priority="265107"/>
    <cfRule type="duplicateValues" dxfId="3317" priority="265108"/>
    <cfRule type="duplicateValues" dxfId="3316" priority="265109"/>
    <cfRule type="duplicateValues" dxfId="3315" priority="265110"/>
    <cfRule type="duplicateValues" dxfId="3314" priority="265111"/>
    <cfRule type="duplicateValues" dxfId="3313" priority="265112"/>
    <cfRule type="duplicateValues" dxfId="3312" priority="265113"/>
    <cfRule type="duplicateValues" dxfId="3311" priority="265114"/>
    <cfRule type="duplicateValues" dxfId="3310" priority="265115"/>
    <cfRule type="duplicateValues" dxfId="3309" priority="265116"/>
    <cfRule type="duplicateValues" dxfId="3308" priority="265117"/>
    <cfRule type="duplicateValues" dxfId="3307" priority="265118"/>
    <cfRule type="duplicateValues" dxfId="3306" priority="265119"/>
    <cfRule type="duplicateValues" dxfId="3305" priority="265120"/>
    <cfRule type="duplicateValues" dxfId="3304" priority="265121"/>
    <cfRule type="duplicateValues" dxfId="3303" priority="265122"/>
    <cfRule type="duplicateValues" dxfId="3302" priority="265123"/>
    <cfRule type="duplicateValues" dxfId="3301" priority="265124"/>
    <cfRule type="duplicateValues" dxfId="3300" priority="265125"/>
    <cfRule type="duplicateValues" dxfId="3299" priority="265126"/>
    <cfRule type="duplicateValues" dxfId="3298" priority="265127"/>
    <cfRule type="duplicateValues" dxfId="3297" priority="265128"/>
    <cfRule type="duplicateValues" dxfId="3296" priority="265129"/>
    <cfRule type="duplicateValues" dxfId="3295" priority="265130"/>
    <cfRule type="duplicateValues" dxfId="3294" priority="265131"/>
    <cfRule type="duplicateValues" dxfId="3293" priority="265132"/>
    <cfRule type="duplicateValues" dxfId="3292" priority="265133"/>
    <cfRule type="duplicateValues" dxfId="3291" priority="265134"/>
    <cfRule type="duplicateValues" dxfId="3290" priority="265135"/>
    <cfRule type="duplicateValues" dxfId="3289" priority="265136"/>
    <cfRule type="duplicateValues" dxfId="3288" priority="265137"/>
    <cfRule type="duplicateValues" dxfId="3287" priority="265138"/>
    <cfRule type="duplicateValues" dxfId="3286" priority="265139"/>
    <cfRule type="duplicateValues" dxfId="3285" priority="265140"/>
    <cfRule type="duplicateValues" dxfId="3284" priority="265141"/>
    <cfRule type="duplicateValues" dxfId="3283" priority="265142"/>
    <cfRule type="duplicateValues" dxfId="3282" priority="265143"/>
    <cfRule type="duplicateValues" dxfId="3281" priority="265144"/>
    <cfRule type="duplicateValues" dxfId="3280" priority="265145"/>
    <cfRule type="duplicateValues" dxfId="3279" priority="265146"/>
    <cfRule type="duplicateValues" dxfId="3278" priority="265147"/>
    <cfRule type="duplicateValues" dxfId="3277" priority="265148"/>
    <cfRule type="duplicateValues" dxfId="3276" priority="265149"/>
    <cfRule type="duplicateValues" dxfId="3275" priority="265150"/>
    <cfRule type="duplicateValues" dxfId="3274" priority="265151"/>
    <cfRule type="duplicateValues" dxfId="3273" priority="265152"/>
    <cfRule type="duplicateValues" dxfId="3272" priority="265153"/>
    <cfRule type="duplicateValues" dxfId="3271" priority="265154"/>
    <cfRule type="duplicateValues" dxfId="3270" priority="265155"/>
    <cfRule type="duplicateValues" dxfId="3269" priority="265156"/>
    <cfRule type="duplicateValues" dxfId="3268" priority="265157"/>
    <cfRule type="duplicateValues" dxfId="3267" priority="265158"/>
    <cfRule type="duplicateValues" dxfId="3266" priority="265159"/>
    <cfRule type="duplicateValues" dxfId="3265" priority="265160"/>
    <cfRule type="duplicateValues" dxfId="3264" priority="265161"/>
    <cfRule type="duplicateValues" dxfId="3263" priority="265162"/>
    <cfRule type="duplicateValues" dxfId="3262" priority="265163"/>
    <cfRule type="duplicateValues" dxfId="3261" priority="265164"/>
    <cfRule type="duplicateValues" dxfId="3260" priority="265165"/>
    <cfRule type="duplicateValues" dxfId="3259" priority="265166"/>
    <cfRule type="duplicateValues" dxfId="3258" priority="265167"/>
    <cfRule type="duplicateValues" dxfId="3257" priority="265168"/>
    <cfRule type="duplicateValues" dxfId="3256" priority="265169"/>
    <cfRule type="duplicateValues" dxfId="3255" priority="265170"/>
    <cfRule type="duplicateValues" dxfId="3254" priority="265171"/>
    <cfRule type="duplicateValues" dxfId="3253" priority="265172"/>
    <cfRule type="duplicateValues" dxfId="3252" priority="265173"/>
    <cfRule type="duplicateValues" dxfId="3251" priority="265174"/>
    <cfRule type="duplicateValues" dxfId="3250" priority="265175"/>
    <cfRule type="duplicateValues" dxfId="3249" priority="265176"/>
    <cfRule type="duplicateValues" dxfId="3248" priority="265177"/>
    <cfRule type="duplicateValues" dxfId="3247" priority="265178"/>
    <cfRule type="duplicateValues" dxfId="3246" priority="265179"/>
    <cfRule type="duplicateValues" dxfId="3245" priority="265180"/>
    <cfRule type="duplicateValues" dxfId="3244" priority="265181"/>
    <cfRule type="duplicateValues" dxfId="3243" priority="265182"/>
    <cfRule type="duplicateValues" dxfId="3242" priority="265183"/>
    <cfRule type="duplicateValues" dxfId="3241" priority="265184"/>
    <cfRule type="duplicateValues" dxfId="3240" priority="265185"/>
    <cfRule type="duplicateValues" dxfId="3239" priority="265186"/>
    <cfRule type="duplicateValues" dxfId="3238" priority="265187"/>
    <cfRule type="duplicateValues" dxfId="3237" priority="265188"/>
    <cfRule type="duplicateValues" dxfId="3236" priority="265189"/>
    <cfRule type="duplicateValues" dxfId="3235" priority="265190"/>
    <cfRule type="duplicateValues" dxfId="3234" priority="265191"/>
    <cfRule type="duplicateValues" dxfId="3233" priority="265192"/>
    <cfRule type="duplicateValues" dxfId="3232" priority="265193"/>
    <cfRule type="duplicateValues" dxfId="3231" priority="265194"/>
    <cfRule type="duplicateValues" dxfId="3230" priority="265195"/>
    <cfRule type="duplicateValues" dxfId="3229" priority="265196"/>
    <cfRule type="duplicateValues" dxfId="3228" priority="265197"/>
    <cfRule type="duplicateValues" dxfId="3227" priority="265198"/>
    <cfRule type="duplicateValues" dxfId="3226" priority="265199"/>
    <cfRule type="duplicateValues" dxfId="3225" priority="265200"/>
    <cfRule type="duplicateValues" dxfId="3224" priority="265201"/>
    <cfRule type="duplicateValues" dxfId="3223" priority="265202"/>
    <cfRule type="duplicateValues" dxfId="3222" priority="265203"/>
    <cfRule type="duplicateValues" dxfId="3221" priority="265204"/>
    <cfRule type="duplicateValues" dxfId="3220" priority="265205"/>
    <cfRule type="duplicateValues" dxfId="3219" priority="265206"/>
    <cfRule type="duplicateValues" dxfId="3218" priority="265207"/>
    <cfRule type="duplicateValues" dxfId="3217" priority="265208"/>
    <cfRule type="duplicateValues" dxfId="3216" priority="265209"/>
    <cfRule type="duplicateValues" dxfId="3215" priority="265210"/>
    <cfRule type="duplicateValues" dxfId="3214" priority="265211"/>
    <cfRule type="duplicateValues" dxfId="3213" priority="265212"/>
    <cfRule type="duplicateValues" dxfId="3212" priority="265213"/>
    <cfRule type="duplicateValues" dxfId="3211" priority="265214"/>
    <cfRule type="duplicateValues" dxfId="3210" priority="265215"/>
    <cfRule type="duplicateValues" dxfId="3209" priority="265216"/>
    <cfRule type="duplicateValues" dxfId="3208" priority="265217"/>
    <cfRule type="duplicateValues" dxfId="3207" priority="265218"/>
    <cfRule type="duplicateValues" dxfId="3206" priority="265219"/>
    <cfRule type="duplicateValues" dxfId="3205" priority="265220"/>
    <cfRule type="duplicateValues" dxfId="3204" priority="265221"/>
    <cfRule type="duplicateValues" dxfId="3203" priority="265222"/>
    <cfRule type="duplicateValues" dxfId="3202" priority="265223"/>
    <cfRule type="duplicateValues" dxfId="3201" priority="265224"/>
    <cfRule type="duplicateValues" dxfId="3200" priority="265225"/>
    <cfRule type="duplicateValues" dxfId="3199" priority="265037"/>
    <cfRule type="duplicateValues" dxfId="3198" priority="265038"/>
    <cfRule type="duplicateValues" dxfId="3197" priority="265039"/>
    <cfRule type="duplicateValues" dxfId="3196" priority="265040"/>
    <cfRule type="duplicateValues" dxfId="3195" priority="265041"/>
  </conditionalFormatting>
  <conditionalFormatting sqref="C2:C11 C105:C122 C130:C135 C144:C154 C179 C197:C440">
    <cfRule type="cellIs" dxfId="3194" priority="15914" operator="equal">
      <formula>"NO"</formula>
    </cfRule>
    <cfRule type="containsText" dxfId="3193" priority="15804" operator="containsText" text="PEX DESAFILIADO">
      <formula>NOT(ISERROR(SEARCH("PEX DESAFILIADO",C2)))</formula>
    </cfRule>
    <cfRule type="containsText" dxfId="3192" priority="15805" operator="containsText" text="NO INSTALADO">
      <formula>NOT(ISERROR(SEARCH("NO INSTALADO",C2)))</formula>
    </cfRule>
    <cfRule type="containsText" dxfId="3191" priority="15899" operator="containsText" text="PEX BLOQUEADO">
      <formula>NOT(ISERROR(SEARCH("PEX BLOQUEADO",C2)))</formula>
    </cfRule>
    <cfRule type="cellIs" dxfId="3190" priority="15806" operator="equal">
      <formula>"NO"</formula>
    </cfRule>
    <cfRule type="containsText" dxfId="3189" priority="15807" operator="containsText" text="PEX BLOQUEADO">
      <formula>NOT(ISERROR(SEARCH("PEX BLOQUEADO",C2)))</formula>
    </cfRule>
    <cfRule type="containsText" dxfId="3188" priority="15808" operator="containsText" text="PEX DESAFILIADO">
      <formula>NOT(ISERROR(SEARCH("PEX DESAFILIADO",C2)))</formula>
    </cfRule>
    <cfRule type="containsText" dxfId="3187" priority="15809" operator="containsText" text="NO INSTALADO">
      <formula>NOT(ISERROR(SEARCH("NO INSTALADO",C2)))</formula>
    </cfRule>
    <cfRule type="containsText" dxfId="3186" priority="15811" operator="containsText" text="PEX BLOQUEADO">
      <formula>NOT(ISERROR(SEARCH("PEX BLOQUEADO",C2)))</formula>
    </cfRule>
    <cfRule type="containsText" dxfId="3185" priority="15812" operator="containsText" text="PEX DESAFILIADO">
      <formula>NOT(ISERROR(SEARCH("PEX DESAFILIADO",C2)))</formula>
    </cfRule>
    <cfRule type="containsText" dxfId="3184" priority="15813" operator="containsText" text="NO INSTALADO">
      <formula>NOT(ISERROR(SEARCH("NO INSTALADO",C2)))</formula>
    </cfRule>
    <cfRule type="cellIs" dxfId="3183" priority="15814" operator="equal">
      <formula>"NO"</formula>
    </cfRule>
    <cfRule type="containsText" dxfId="3182" priority="15815" operator="containsText" text="PEX BLOQUEADO">
      <formula>NOT(ISERROR(SEARCH("PEX BLOQUEADO",C2)))</formula>
    </cfRule>
    <cfRule type="containsText" dxfId="3181" priority="15816" operator="containsText" text="PEX DESAFILIADO">
      <formula>NOT(ISERROR(SEARCH("PEX DESAFILIADO",C2)))</formula>
    </cfRule>
    <cfRule type="containsText" dxfId="3180" priority="15817" operator="containsText" text="NO INSTALADO">
      <formula>NOT(ISERROR(SEARCH("NO INSTALADO",C2)))</formula>
    </cfRule>
    <cfRule type="containsText" dxfId="3179" priority="15893" operator="containsText" text="NO INSTALADO">
      <formula>NOT(ISERROR(SEARCH("NO INSTALADO",C2)))</formula>
    </cfRule>
    <cfRule type="cellIs" dxfId="3178" priority="15818" operator="equal">
      <formula>"NO"</formula>
    </cfRule>
    <cfRule type="containsText" dxfId="3177" priority="15754" operator="containsText" text="PEX BLOQUEADO">
      <formula>NOT(ISERROR(SEARCH("PEX BLOQUEADO",C2)))</formula>
    </cfRule>
    <cfRule type="containsText" dxfId="3176" priority="15755" operator="containsText" text="PEX DESAFILIADO">
      <formula>NOT(ISERROR(SEARCH("PEX DESAFILIADO",C2)))</formula>
    </cfRule>
    <cfRule type="containsText" dxfId="3175" priority="15756" operator="containsText" text="NO INSTALADO">
      <formula>NOT(ISERROR(SEARCH("NO INSTALADO",C2)))</formula>
    </cfRule>
    <cfRule type="cellIs" dxfId="3174" priority="15757" operator="equal">
      <formula>"NO"</formula>
    </cfRule>
    <cfRule type="cellIs" dxfId="3173" priority="15898" operator="equal">
      <formula>"NO"</formula>
    </cfRule>
    <cfRule type="cellIs" dxfId="3172" priority="15890" operator="equal">
      <formula>"NO"</formula>
    </cfRule>
    <cfRule type="containsText" dxfId="3171" priority="15903" operator="containsText" text="PEX BLOQUEADO">
      <formula>NOT(ISERROR(SEARCH("PEX BLOQUEADO",C2)))</formula>
    </cfRule>
    <cfRule type="containsText" dxfId="3170" priority="15856" operator="containsText" text="PEX DESAFILIADO">
      <formula>NOT(ISERROR(SEARCH("PEX DESAFILIADO",C2)))</formula>
    </cfRule>
    <cfRule type="containsText" dxfId="3169" priority="15855" operator="containsText" text="PEX BLOQUEADO">
      <formula>NOT(ISERROR(SEARCH("PEX BLOQUEADO",C2)))</formula>
    </cfRule>
    <cfRule type="cellIs" dxfId="3168" priority="15854" operator="equal">
      <formula>"NO"</formula>
    </cfRule>
    <cfRule type="containsText" dxfId="3167" priority="15853" operator="containsText" text="NO INSTALADO">
      <formula>NOT(ISERROR(SEARCH("NO INSTALADO",C2)))</formula>
    </cfRule>
    <cfRule type="containsText" dxfId="3166" priority="15852" operator="containsText" text="PEX DESAFILIADO">
      <formula>NOT(ISERROR(SEARCH("PEX DESAFILIADO",C2)))</formula>
    </cfRule>
    <cfRule type="containsText" dxfId="3165" priority="15851" operator="containsText" text="PEX BLOQUEADO">
      <formula>NOT(ISERROR(SEARCH("PEX BLOQUEADO",C2)))</formula>
    </cfRule>
    <cfRule type="cellIs" dxfId="3164" priority="15850" operator="equal">
      <formula>"NO"</formula>
    </cfRule>
    <cfRule type="containsText" dxfId="3163" priority="15758" operator="containsText" text="PEX BLOQUEADO">
      <formula>NOT(ISERROR(SEARCH("PEX BLOQUEADO",C2)))</formula>
    </cfRule>
    <cfRule type="containsText" dxfId="3162" priority="15849" operator="containsText" text="NO INSTALADO">
      <formula>NOT(ISERROR(SEARCH("NO INSTALADO",C2)))</formula>
    </cfRule>
    <cfRule type="containsText" dxfId="3161" priority="15848" operator="containsText" text="PEX DESAFILIADO">
      <formula>NOT(ISERROR(SEARCH("PEX DESAFILIADO",C2)))</formula>
    </cfRule>
    <cfRule type="containsText" dxfId="3160" priority="15847" operator="containsText" text="PEX BLOQUEADO">
      <formula>NOT(ISERROR(SEARCH("PEX BLOQUEADO",C2)))</formula>
    </cfRule>
    <cfRule type="cellIs" dxfId="3159" priority="15846" operator="equal">
      <formula>"NO"</formula>
    </cfRule>
    <cfRule type="containsText" dxfId="3158" priority="15845" operator="containsText" text="NO INSTALADO">
      <formula>NOT(ISERROR(SEARCH("NO INSTALADO",C2)))</formula>
    </cfRule>
    <cfRule type="containsText" dxfId="3157" priority="15844" operator="containsText" text="PEX DESAFILIADO">
      <formula>NOT(ISERROR(SEARCH("PEX DESAFILIADO",C2)))</formula>
    </cfRule>
    <cfRule type="containsText" dxfId="3156" priority="15843" operator="containsText" text="PEX BLOQUEADO">
      <formula>NOT(ISERROR(SEARCH("PEX BLOQUEADO",C2)))</formula>
    </cfRule>
    <cfRule type="cellIs" dxfId="3155" priority="15842" operator="equal">
      <formula>"NO"</formula>
    </cfRule>
    <cfRule type="containsText" dxfId="3154" priority="15841" operator="containsText" text="NO INSTALADO">
      <formula>NOT(ISERROR(SEARCH("NO INSTALADO",C2)))</formula>
    </cfRule>
    <cfRule type="containsText" dxfId="3153" priority="15759" operator="containsText" text="PEX DESAFILIADO">
      <formula>NOT(ISERROR(SEARCH("PEX DESAFILIADO",C2)))</formula>
    </cfRule>
    <cfRule type="containsText" dxfId="3152" priority="15840" operator="containsText" text="PEX DESAFILIADO">
      <formula>NOT(ISERROR(SEARCH("PEX DESAFILIADO",C2)))</formula>
    </cfRule>
    <cfRule type="containsText" dxfId="3151" priority="15839" operator="containsText" text="PEX BLOQUEADO">
      <formula>NOT(ISERROR(SEARCH("PEX BLOQUEADO",C2)))</formula>
    </cfRule>
    <cfRule type="cellIs" dxfId="3150" priority="15838" operator="equal">
      <formula>"NO"</formula>
    </cfRule>
    <cfRule type="containsText" dxfId="3149" priority="15837" operator="containsText" text="NO INSTALADO">
      <formula>NOT(ISERROR(SEARCH("NO INSTALADO",C2)))</formula>
    </cfRule>
    <cfRule type="containsText" dxfId="3148" priority="15836" operator="containsText" text="PEX DESAFILIADO">
      <formula>NOT(ISERROR(SEARCH("PEX DESAFILIADO",C2)))</formula>
    </cfRule>
    <cfRule type="containsText" dxfId="3147" priority="15835" operator="containsText" text="PEX BLOQUEADO">
      <formula>NOT(ISERROR(SEARCH("PEX BLOQUEADO",C2)))</formula>
    </cfRule>
    <cfRule type="cellIs" dxfId="3146" priority="15834" operator="equal">
      <formula>"NO"</formula>
    </cfRule>
    <cfRule type="containsText" dxfId="3145" priority="15833" operator="containsText" text="NO INSTALADO">
      <formula>NOT(ISERROR(SEARCH("NO INSTALADO",C2)))</formula>
    </cfRule>
    <cfRule type="containsText" dxfId="3144" priority="15832" operator="containsText" text="PEX DESAFILIADO">
      <formula>NOT(ISERROR(SEARCH("PEX DESAFILIADO",C2)))</formula>
    </cfRule>
    <cfRule type="containsText" dxfId="3143" priority="15831" operator="containsText" text="PEX BLOQUEADO">
      <formula>NOT(ISERROR(SEARCH("PEX BLOQUEADO",C2)))</formula>
    </cfRule>
    <cfRule type="cellIs" dxfId="3142" priority="15830" operator="equal">
      <formula>"NO"</formula>
    </cfRule>
    <cfRule type="containsText" dxfId="3141" priority="15829" operator="containsText" text="NO INSTALADO">
      <formula>NOT(ISERROR(SEARCH("NO INSTALADO",C2)))</formula>
    </cfRule>
    <cfRule type="containsText" dxfId="3140" priority="15828" operator="containsText" text="PEX DESAFILIADO">
      <formula>NOT(ISERROR(SEARCH("PEX DESAFILIADO",C2)))</formula>
    </cfRule>
    <cfRule type="containsText" dxfId="3139" priority="15827" operator="containsText" text="PEX BLOQUEADO">
      <formula>NOT(ISERROR(SEARCH("PEX BLOQUEADO",C2)))</formula>
    </cfRule>
    <cfRule type="cellIs" dxfId="3138" priority="15826" operator="equal">
      <formula>"NO"</formula>
    </cfRule>
    <cfRule type="containsText" dxfId="3137" priority="15825" operator="containsText" text="NO INSTALADO">
      <formula>NOT(ISERROR(SEARCH("NO INSTALADO",C2)))</formula>
    </cfRule>
    <cfRule type="containsText" dxfId="3136" priority="15824" operator="containsText" text="PEX DESAFILIADO">
      <formula>NOT(ISERROR(SEARCH("PEX DESAFILIADO",C2)))</formula>
    </cfRule>
    <cfRule type="containsText" dxfId="3135" priority="15823" operator="containsText" text="PEX BLOQUEADO">
      <formula>NOT(ISERROR(SEARCH("PEX BLOQUEADO",C2)))</formula>
    </cfRule>
    <cfRule type="cellIs" dxfId="3134" priority="15822" operator="equal">
      <formula>"NO"</formula>
    </cfRule>
    <cfRule type="containsText" dxfId="3133" priority="15821" operator="containsText" text="NO INSTALADO">
      <formula>NOT(ISERROR(SEARCH("NO INSTALADO",C2)))</formula>
    </cfRule>
    <cfRule type="containsText" dxfId="3132" priority="15820" operator="containsText" text="PEX DESAFILIADO">
      <formula>NOT(ISERROR(SEARCH("PEX DESAFILIADO",C2)))</formula>
    </cfRule>
    <cfRule type="containsText" dxfId="3131" priority="15880" operator="containsText" text="PEX DESAFILIADO">
      <formula>NOT(ISERROR(SEARCH("PEX DESAFILIADO",C2)))</formula>
    </cfRule>
    <cfRule type="containsText" dxfId="3130" priority="15819" operator="containsText" text="PEX BLOQUEADO">
      <formula>NOT(ISERROR(SEARCH("PEX BLOQUEADO",C2)))</formula>
    </cfRule>
    <cfRule type="cellIs" dxfId="3129" priority="15902" operator="equal">
      <formula>"NO"</formula>
    </cfRule>
    <cfRule type="containsText" dxfId="3128" priority="15901" operator="containsText" text="NO INSTALADO">
      <formula>NOT(ISERROR(SEARCH("NO INSTALADO",C2)))</formula>
    </cfRule>
    <cfRule type="containsText" dxfId="3127" priority="15900" operator="containsText" text="PEX DESAFILIADO">
      <formula>NOT(ISERROR(SEARCH("PEX DESAFILIADO",C2)))</formula>
    </cfRule>
    <cfRule type="containsText" dxfId="3126" priority="15760" operator="containsText" text="NO INSTALADO">
      <formula>NOT(ISERROR(SEARCH("NO INSTALADO",C2)))</formula>
    </cfRule>
    <cfRule type="cellIs" dxfId="3125" priority="15761" operator="equal">
      <formula>"NO"</formula>
    </cfRule>
    <cfRule type="containsText" dxfId="3124" priority="15762" operator="containsText" text="PEX BLOQUEADO">
      <formula>NOT(ISERROR(SEARCH("PEX BLOQUEADO",C2)))</formula>
    </cfRule>
    <cfRule type="containsText" dxfId="3123" priority="15763" operator="containsText" text="PEX DESAFILIADO">
      <formula>NOT(ISERROR(SEARCH("PEX DESAFILIADO",C2)))</formula>
    </cfRule>
    <cfRule type="containsText" dxfId="3122" priority="15764" operator="containsText" text="NO INSTALADO">
      <formula>NOT(ISERROR(SEARCH("NO INSTALADO",C2)))</formula>
    </cfRule>
    <cfRule type="cellIs" dxfId="3121" priority="15765" operator="equal">
      <formula>"NO"</formula>
    </cfRule>
    <cfRule type="containsText" dxfId="3120" priority="15767" operator="containsText" text="PEX BLOQUEADO">
      <formula>NOT(ISERROR(SEARCH("PEX BLOQUEADO",C2)))</formula>
    </cfRule>
    <cfRule type="containsText" dxfId="3119" priority="15768" operator="containsText" text="PEX DESAFILIADO">
      <formula>NOT(ISERROR(SEARCH("PEX DESAFILIADO",C2)))</formula>
    </cfRule>
    <cfRule type="containsText" dxfId="3118" priority="15769" operator="containsText" text="NO INSTALADO">
      <formula>NOT(ISERROR(SEARCH("NO INSTALADO",C2)))</formula>
    </cfRule>
    <cfRule type="cellIs" dxfId="3117" priority="15770" operator="equal">
      <formula>"NO"</formula>
    </cfRule>
    <cfRule type="containsText" dxfId="3116" priority="15771" operator="containsText" text="PEX BLOQUEADO">
      <formula>NOT(ISERROR(SEARCH("PEX BLOQUEADO",C2)))</formula>
    </cfRule>
    <cfRule type="containsText" dxfId="3115" priority="15772" operator="containsText" text="PEX DESAFILIADO">
      <formula>NOT(ISERROR(SEARCH("PEX DESAFILIADO",C2)))</formula>
    </cfRule>
    <cfRule type="containsText" dxfId="3114" priority="15773" operator="containsText" text="NO INSTALADO">
      <formula>NOT(ISERROR(SEARCH("NO INSTALADO",C2)))</formula>
    </cfRule>
    <cfRule type="cellIs" dxfId="3113" priority="15774" operator="equal">
      <formula>"NO"</formula>
    </cfRule>
    <cfRule type="containsText" dxfId="3112" priority="15775" operator="containsText" text="PEX BLOQUEADO">
      <formula>NOT(ISERROR(SEARCH("PEX BLOQUEADO",C2)))</formula>
    </cfRule>
    <cfRule type="containsText" dxfId="3111" priority="15776" operator="containsText" text="PEX DESAFILIADO">
      <formula>NOT(ISERROR(SEARCH("PEX DESAFILIADO",C2)))</formula>
    </cfRule>
    <cfRule type="containsText" dxfId="3110" priority="15777" operator="containsText" text="NO INSTALADO">
      <formula>NOT(ISERROR(SEARCH("NO INSTALADO",C2)))</formula>
    </cfRule>
    <cfRule type="cellIs" dxfId="3109" priority="15778" operator="equal">
      <formula>"NO"</formula>
    </cfRule>
    <cfRule type="containsText" dxfId="3108" priority="15779" operator="containsText" text="PEX BLOQUEADO">
      <formula>NOT(ISERROR(SEARCH("PEX BLOQUEADO",C2)))</formula>
    </cfRule>
    <cfRule type="containsText" dxfId="3107" priority="15780" operator="containsText" text="PEX DESAFILIADO">
      <formula>NOT(ISERROR(SEARCH("PEX DESAFILIADO",C2)))</formula>
    </cfRule>
    <cfRule type="containsText" dxfId="3106" priority="15781" operator="containsText" text="NO INSTALADO">
      <formula>NOT(ISERROR(SEARCH("NO INSTALADO",C2)))</formula>
    </cfRule>
    <cfRule type="cellIs" dxfId="3105" priority="15782" operator="equal">
      <formula>"NO"</formula>
    </cfRule>
    <cfRule type="containsText" dxfId="3104" priority="15783" operator="containsText" text="PEX BLOQUEADO">
      <formula>NOT(ISERROR(SEARCH("PEX BLOQUEADO",C2)))</formula>
    </cfRule>
    <cfRule type="containsText" dxfId="3103" priority="15784" operator="containsText" text="PEX DESAFILIADO">
      <formula>NOT(ISERROR(SEARCH("PEX DESAFILIADO",C2)))</formula>
    </cfRule>
    <cfRule type="containsText" dxfId="3102" priority="15785" operator="containsText" text="NO INSTALADO">
      <formula>NOT(ISERROR(SEARCH("NO INSTALADO",C2)))</formula>
    </cfRule>
    <cfRule type="cellIs" dxfId="3101" priority="15786" operator="equal">
      <formula>"NO"</formula>
    </cfRule>
    <cfRule type="containsText" dxfId="3100" priority="15787" operator="containsText" text="PEX BLOQUEADO">
      <formula>NOT(ISERROR(SEARCH("PEX BLOQUEADO",C2)))</formula>
    </cfRule>
    <cfRule type="containsText" dxfId="3099" priority="15788" operator="containsText" text="PEX DESAFILIADO">
      <formula>NOT(ISERROR(SEARCH("PEX DESAFILIADO",C2)))</formula>
    </cfRule>
    <cfRule type="containsText" dxfId="3098" priority="15789" operator="containsText" text="NO INSTALADO">
      <formula>NOT(ISERROR(SEARCH("NO INSTALADO",C2)))</formula>
    </cfRule>
    <cfRule type="cellIs" dxfId="3097" priority="15790" operator="equal">
      <formula>"NO"</formula>
    </cfRule>
    <cfRule type="containsText" dxfId="3096" priority="15791" operator="containsText" text="PEX BLOQUEADO">
      <formula>NOT(ISERROR(SEARCH("PEX BLOQUEADO",C2)))</formula>
    </cfRule>
    <cfRule type="containsText" dxfId="3095" priority="15792" operator="containsText" text="PEX DESAFILIADO">
      <formula>NOT(ISERROR(SEARCH("PEX DESAFILIADO",C2)))</formula>
    </cfRule>
    <cfRule type="containsText" dxfId="3094" priority="15793" operator="containsText" text="NO INSTALADO">
      <formula>NOT(ISERROR(SEARCH("NO INSTALADO",C2)))</formula>
    </cfRule>
    <cfRule type="cellIs" dxfId="3093" priority="15794" operator="equal">
      <formula>"NO"</formula>
    </cfRule>
    <cfRule type="containsText" dxfId="3092" priority="15795" operator="containsText" text="PEX BLOQUEADO">
      <formula>NOT(ISERROR(SEARCH("PEX BLOQUEADO",C2)))</formula>
    </cfRule>
    <cfRule type="containsText" dxfId="3091" priority="15796" operator="containsText" text="PEX DESAFILIADO">
      <formula>NOT(ISERROR(SEARCH("PEX DESAFILIADO",C2)))</formula>
    </cfRule>
    <cfRule type="containsText" dxfId="3090" priority="15797" operator="containsText" text="NO INSTALADO">
      <formula>NOT(ISERROR(SEARCH("NO INSTALADO",C2)))</formula>
    </cfRule>
    <cfRule type="cellIs" dxfId="3089" priority="15798" operator="equal">
      <formula>"NO"</formula>
    </cfRule>
    <cfRule type="containsText" dxfId="3088" priority="15799" operator="containsText" text="PEX BLOQUEADO">
      <formula>NOT(ISERROR(SEARCH("PEX BLOQUEADO",C2)))</formula>
    </cfRule>
    <cfRule type="containsText" dxfId="3087" priority="15800" operator="containsText" text="PEX DESAFILIADO">
      <formula>NOT(ISERROR(SEARCH("PEX DESAFILIADO",C2)))</formula>
    </cfRule>
    <cfRule type="containsText" dxfId="3086" priority="15801" operator="containsText" text="NO INSTALADO">
      <formula>NOT(ISERROR(SEARCH("NO INSTALADO",C2)))</formula>
    </cfRule>
    <cfRule type="cellIs" dxfId="3085" priority="15802" operator="equal">
      <formula>"NO"</formula>
    </cfRule>
    <cfRule type="containsText" dxfId="3084" priority="15803" operator="containsText" text="PEX BLOQUEADO">
      <formula>NOT(ISERROR(SEARCH("PEX BLOQUEADO",C2)))</formula>
    </cfRule>
    <cfRule type="containsText" dxfId="3083" priority="15857" operator="containsText" text="NO INSTALADO">
      <formula>NOT(ISERROR(SEARCH("NO INSTALADO",C2)))</formula>
    </cfRule>
    <cfRule type="cellIs" dxfId="3082" priority="15858" operator="equal">
      <formula>"NO"</formula>
    </cfRule>
    <cfRule type="containsText" dxfId="3081" priority="15859" operator="containsText" text="PEX BLOQUEADO">
      <formula>NOT(ISERROR(SEARCH("PEX BLOQUEADO",C2)))</formula>
    </cfRule>
    <cfRule type="containsText" dxfId="3080" priority="15860" operator="containsText" text="PEX DESAFILIADO">
      <formula>NOT(ISERROR(SEARCH("PEX DESAFILIADO",C2)))</formula>
    </cfRule>
    <cfRule type="containsText" dxfId="3079" priority="15861" operator="containsText" text="NO INSTALADO">
      <formula>NOT(ISERROR(SEARCH("NO INSTALADO",C2)))</formula>
    </cfRule>
    <cfRule type="cellIs" dxfId="3078" priority="15862" operator="equal">
      <formula>"NO"</formula>
    </cfRule>
    <cfRule type="containsText" dxfId="3077" priority="15863" operator="containsText" text="PEX BLOQUEADO">
      <formula>NOT(ISERROR(SEARCH("PEX BLOQUEADO",C2)))</formula>
    </cfRule>
    <cfRule type="containsText" dxfId="3076" priority="15864" operator="containsText" text="PEX DESAFILIADO">
      <formula>NOT(ISERROR(SEARCH("PEX DESAFILIADO",C2)))</formula>
    </cfRule>
    <cfRule type="containsText" dxfId="3075" priority="15865" operator="containsText" text="NO INSTALADO">
      <formula>NOT(ISERROR(SEARCH("NO INSTALADO",C2)))</formula>
    </cfRule>
    <cfRule type="cellIs" dxfId="3074" priority="15866" operator="equal">
      <formula>"NO"</formula>
    </cfRule>
    <cfRule type="containsText" dxfId="3073" priority="15867" operator="containsText" text="PEX BLOQUEADO">
      <formula>NOT(ISERROR(SEARCH("PEX BLOQUEADO",C2)))</formula>
    </cfRule>
    <cfRule type="containsText" dxfId="3072" priority="15868" operator="containsText" text="PEX DESAFILIADO">
      <formula>NOT(ISERROR(SEARCH("PEX DESAFILIADO",C2)))</formula>
    </cfRule>
    <cfRule type="containsText" dxfId="3071" priority="15869" operator="containsText" text="NO INSTALADO">
      <formula>NOT(ISERROR(SEARCH("NO INSTALADO",C2)))</formula>
    </cfRule>
    <cfRule type="cellIs" dxfId="3070" priority="15870" operator="equal">
      <formula>"NO"</formula>
    </cfRule>
    <cfRule type="containsText" dxfId="3069" priority="15871" operator="containsText" text="PEX BLOQUEADO">
      <formula>NOT(ISERROR(SEARCH("PEX BLOQUEADO",C2)))</formula>
    </cfRule>
    <cfRule type="containsText" dxfId="3068" priority="15872" operator="containsText" text="PEX DESAFILIADO">
      <formula>NOT(ISERROR(SEARCH("PEX DESAFILIADO",C2)))</formula>
    </cfRule>
    <cfRule type="containsText" dxfId="3067" priority="15873" operator="containsText" text="NO INSTALADO">
      <formula>NOT(ISERROR(SEARCH("NO INSTALADO",C2)))</formula>
    </cfRule>
    <cfRule type="cellIs" dxfId="3066" priority="15874" operator="equal">
      <formula>"NO"</formula>
    </cfRule>
    <cfRule type="containsText" dxfId="3065" priority="15875" operator="containsText" text="PEX BLOQUEADO">
      <formula>NOT(ISERROR(SEARCH("PEX BLOQUEADO",C2)))</formula>
    </cfRule>
    <cfRule type="containsText" dxfId="3064" priority="15876" operator="containsText" text="PEX DESAFILIADO">
      <formula>NOT(ISERROR(SEARCH("PEX DESAFILIADO",C2)))</formula>
    </cfRule>
    <cfRule type="containsText" dxfId="3063" priority="15877" operator="containsText" text="NO INSTALADO">
      <formula>NOT(ISERROR(SEARCH("NO INSTALADO",C2)))</formula>
    </cfRule>
    <cfRule type="cellIs" dxfId="3062" priority="15878" operator="equal">
      <formula>"NO"</formula>
    </cfRule>
    <cfRule type="containsText" dxfId="3061" priority="15879" operator="containsText" text="PEX BLOQUEADO">
      <formula>NOT(ISERROR(SEARCH("PEX BLOQUEADO",C2)))</formula>
    </cfRule>
    <cfRule type="containsText" dxfId="3060" priority="15881" operator="containsText" text="NO INSTALADO">
      <formula>NOT(ISERROR(SEARCH("NO INSTALADO",C2)))</formula>
    </cfRule>
    <cfRule type="cellIs" dxfId="3059" priority="15882" operator="equal">
      <formula>"NO"</formula>
    </cfRule>
    <cfRule type="containsText" dxfId="3058" priority="15883" operator="containsText" text="PEX BLOQUEADO">
      <formula>NOT(ISERROR(SEARCH("PEX BLOQUEADO",C2)))</formula>
    </cfRule>
    <cfRule type="containsText" dxfId="3057" priority="15884" operator="containsText" text="PEX DESAFILIADO">
      <formula>NOT(ISERROR(SEARCH("PEX DESAFILIADO",C2)))</formula>
    </cfRule>
    <cfRule type="containsText" dxfId="3056" priority="15885" operator="containsText" text="NO INSTALADO">
      <formula>NOT(ISERROR(SEARCH("NO INSTALADO",C2)))</formula>
    </cfRule>
    <cfRule type="cellIs" dxfId="3055" priority="15886" operator="equal">
      <formula>"NO"</formula>
    </cfRule>
    <cfRule type="containsText" dxfId="3054" priority="15887" operator="containsText" text="PEX BLOQUEADO">
      <formula>NOT(ISERROR(SEARCH("PEX BLOQUEADO",C2)))</formula>
    </cfRule>
    <cfRule type="containsText" dxfId="3053" priority="15888" operator="containsText" text="PEX DESAFILIADO">
      <formula>NOT(ISERROR(SEARCH("PEX DESAFILIADO",C2)))</formula>
    </cfRule>
    <cfRule type="containsText" dxfId="3052" priority="15889" operator="containsText" text="NO INSTALADO">
      <formula>NOT(ISERROR(SEARCH("NO INSTALADO",C2)))</formula>
    </cfRule>
    <cfRule type="containsText" dxfId="3051" priority="15980" operator="containsText" text="PEX DESAFILIADO">
      <formula>NOT(ISERROR(SEARCH("PEX DESAFILIADO",C2)))</formula>
    </cfRule>
    <cfRule type="containsText" dxfId="3050" priority="15984" operator="containsText" text="PEX DESAFILIADO">
      <formula>NOT(ISERROR(SEARCH("PEX DESAFILIADO",C2)))</formula>
    </cfRule>
    <cfRule type="cellIs" dxfId="3049" priority="15982" operator="equal">
      <formula>"NO"</formula>
    </cfRule>
    <cfRule type="containsText" dxfId="3048" priority="15976" operator="containsText" text="PEX DESAFILIADO">
      <formula>NOT(ISERROR(SEARCH("PEX DESAFILIADO",C2)))</formula>
    </cfRule>
    <cfRule type="containsText" dxfId="3047" priority="15987" operator="containsText" text="PEX BLOQUEADO">
      <formula>NOT(ISERROR(SEARCH("PEX BLOQUEADO",C2)))</formula>
    </cfRule>
    <cfRule type="containsText" dxfId="3046" priority="15979" operator="containsText" text="PEX BLOQUEADO">
      <formula>NOT(ISERROR(SEARCH("PEX BLOQUEADO",C2)))</formula>
    </cfRule>
    <cfRule type="containsText" dxfId="3045" priority="15985" operator="containsText" text="NO INSTALADO">
      <formula>NOT(ISERROR(SEARCH("NO INSTALADO",C2)))</formula>
    </cfRule>
    <cfRule type="containsText" dxfId="3044" priority="15975" operator="containsText" text="PEX BLOQUEADO">
      <formula>NOT(ISERROR(SEARCH("PEX BLOQUEADO",C2)))</formula>
    </cfRule>
    <cfRule type="cellIs" dxfId="3043" priority="15986" operator="equal">
      <formula>"NO"</formula>
    </cfRule>
    <cfRule type="containsText" dxfId="3042" priority="15981" operator="containsText" text="NO INSTALADO">
      <formula>NOT(ISERROR(SEARCH("NO INSTALADO",C2)))</formula>
    </cfRule>
    <cfRule type="cellIs" dxfId="3041" priority="15978" operator="equal">
      <formula>"NO"</formula>
    </cfRule>
    <cfRule type="cellIs" dxfId="3040" priority="15974" operator="equal">
      <formula>"NO"</formula>
    </cfRule>
    <cfRule type="containsText" dxfId="3039" priority="15983" operator="containsText" text="PEX BLOQUEADO">
      <formula>NOT(ISERROR(SEARCH("PEX BLOQUEADO",C2)))</formula>
    </cfRule>
    <cfRule type="containsText" dxfId="3038" priority="15988" operator="containsText" text="PEX DESAFILIADO">
      <formula>NOT(ISERROR(SEARCH("PEX DESAFILIADO",C2)))</formula>
    </cfRule>
    <cfRule type="containsText" dxfId="3037" priority="15989" operator="containsText" text="NO INSTALADO">
      <formula>NOT(ISERROR(SEARCH("NO INSTALADO",C2)))</formula>
    </cfRule>
    <cfRule type="containsText" dxfId="3036" priority="15973" operator="containsText" text="NO INSTALADO">
      <formula>NOT(ISERROR(SEARCH("NO INSTALADO",C2)))</formula>
    </cfRule>
    <cfRule type="containsText" dxfId="3035" priority="15972" operator="containsText" text="PEX DESAFILIADO">
      <formula>NOT(ISERROR(SEARCH("PEX DESAFILIADO",C2)))</formula>
    </cfRule>
    <cfRule type="containsText" dxfId="3034" priority="15971" operator="containsText" text="PEX BLOQUEADO">
      <formula>NOT(ISERROR(SEARCH("PEX BLOQUEADO",C2)))</formula>
    </cfRule>
    <cfRule type="cellIs" dxfId="3033" priority="15970" operator="equal">
      <formula>"NO"</formula>
    </cfRule>
    <cfRule type="containsText" dxfId="3032" priority="15969" operator="containsText" text="NO INSTALADO">
      <formula>NOT(ISERROR(SEARCH("NO INSTALADO",C2)))</formula>
    </cfRule>
    <cfRule type="containsText" dxfId="3031" priority="15968" operator="containsText" text="PEX DESAFILIADO">
      <formula>NOT(ISERROR(SEARCH("PEX DESAFILIADO",C2)))</formula>
    </cfRule>
    <cfRule type="containsText" dxfId="3030" priority="15967" operator="containsText" text="PEX BLOQUEADO">
      <formula>NOT(ISERROR(SEARCH("PEX BLOQUEADO",C2)))</formula>
    </cfRule>
    <cfRule type="cellIs" dxfId="3029" priority="15966" operator="equal">
      <formula>"NO"</formula>
    </cfRule>
    <cfRule type="containsText" dxfId="3028" priority="15965" operator="containsText" text="NO INSTALADO">
      <formula>NOT(ISERROR(SEARCH("NO INSTALADO",C2)))</formula>
    </cfRule>
    <cfRule type="containsText" dxfId="3027" priority="15964" operator="containsText" text="PEX DESAFILIADO">
      <formula>NOT(ISERROR(SEARCH("PEX DESAFILIADO",C2)))</formula>
    </cfRule>
    <cfRule type="containsText" dxfId="3026" priority="15963" operator="containsText" text="PEX BLOQUEADO">
      <formula>NOT(ISERROR(SEARCH("PEX BLOQUEADO",C2)))</formula>
    </cfRule>
    <cfRule type="cellIs" dxfId="3025" priority="15962" operator="equal">
      <formula>"NO"</formula>
    </cfRule>
    <cfRule type="containsText" dxfId="3024" priority="15961" operator="containsText" text="NO INSTALADO">
      <formula>NOT(ISERROR(SEARCH("NO INSTALADO",C2)))</formula>
    </cfRule>
    <cfRule type="containsText" dxfId="3023" priority="15960" operator="containsText" text="PEX DESAFILIADO">
      <formula>NOT(ISERROR(SEARCH("PEX DESAFILIADO",C2)))</formula>
    </cfRule>
    <cfRule type="containsText" dxfId="3022" priority="15959" operator="containsText" text="PEX BLOQUEADO">
      <formula>NOT(ISERROR(SEARCH("PEX BLOQUEADO",C2)))</formula>
    </cfRule>
    <cfRule type="cellIs" dxfId="3021" priority="15958" operator="equal">
      <formula>"NO"</formula>
    </cfRule>
    <cfRule type="containsText" dxfId="3020" priority="15957" operator="containsText" text="NO INSTALADO">
      <formula>NOT(ISERROR(SEARCH("NO INSTALADO",C2)))</formula>
    </cfRule>
    <cfRule type="containsText" dxfId="3019" priority="15956" operator="containsText" text="PEX DESAFILIADO">
      <formula>NOT(ISERROR(SEARCH("PEX DESAFILIADO",C2)))</formula>
    </cfRule>
    <cfRule type="containsText" dxfId="3018" priority="15955" operator="containsText" text="PEX BLOQUEADO">
      <formula>NOT(ISERROR(SEARCH("PEX BLOQUEADO",C2)))</formula>
    </cfRule>
    <cfRule type="cellIs" dxfId="3017" priority="15954" operator="equal">
      <formula>"NO"</formula>
    </cfRule>
    <cfRule type="containsText" dxfId="3016" priority="15977" operator="containsText" text="NO INSTALADO">
      <formula>NOT(ISERROR(SEARCH("NO INSTALADO",C2)))</formula>
    </cfRule>
    <cfRule type="containsText" dxfId="3015" priority="15953" operator="containsText" text="NO INSTALADO">
      <formula>NOT(ISERROR(SEARCH("NO INSTALADO",C2)))</formula>
    </cfRule>
    <cfRule type="containsText" dxfId="3014" priority="15952" operator="containsText" text="PEX DESAFILIADO">
      <formula>NOT(ISERROR(SEARCH("PEX DESAFILIADO",C2)))</formula>
    </cfRule>
    <cfRule type="containsText" dxfId="3013" priority="15951" operator="containsText" text="PEX BLOQUEADO">
      <formula>NOT(ISERROR(SEARCH("PEX BLOQUEADO",C2)))</formula>
    </cfRule>
    <cfRule type="cellIs" dxfId="3012" priority="15950" operator="equal">
      <formula>"NO"</formula>
    </cfRule>
    <cfRule type="containsText" dxfId="3011" priority="15949" operator="containsText" text="NO INSTALADO">
      <formula>NOT(ISERROR(SEARCH("NO INSTALADO",C2)))</formula>
    </cfRule>
    <cfRule type="containsText" dxfId="3010" priority="15948" operator="containsText" text="PEX DESAFILIADO">
      <formula>NOT(ISERROR(SEARCH("PEX DESAFILIADO",C2)))</formula>
    </cfRule>
    <cfRule type="containsText" dxfId="3009" priority="15947" operator="containsText" text="PEX BLOQUEADO">
      <formula>NOT(ISERROR(SEARCH("PEX BLOQUEADO",C2)))</formula>
    </cfRule>
    <cfRule type="cellIs" dxfId="3008" priority="15946" operator="equal">
      <formula>"NO"</formula>
    </cfRule>
    <cfRule type="containsText" dxfId="3007" priority="15945" operator="containsText" text="NO INSTALADO">
      <formula>NOT(ISERROR(SEARCH("NO INSTALADO",C2)))</formula>
    </cfRule>
    <cfRule type="containsText" dxfId="3006" priority="15944" operator="containsText" text="PEX DESAFILIADO">
      <formula>NOT(ISERROR(SEARCH("PEX DESAFILIADO",C2)))</formula>
    </cfRule>
    <cfRule type="containsText" dxfId="3005" priority="15943" operator="containsText" text="PEX BLOQUEADO">
      <formula>NOT(ISERROR(SEARCH("PEX BLOQUEADO",C2)))</formula>
    </cfRule>
    <cfRule type="cellIs" dxfId="3004" priority="15942" operator="equal">
      <formula>"NO"</formula>
    </cfRule>
    <cfRule type="containsText" dxfId="3003" priority="15941" operator="containsText" text="NO INSTALADO">
      <formula>NOT(ISERROR(SEARCH("NO INSTALADO",C2)))</formula>
    </cfRule>
    <cfRule type="containsText" dxfId="3002" priority="15940" operator="containsText" text="PEX DESAFILIADO">
      <formula>NOT(ISERROR(SEARCH("PEX DESAFILIADO",C2)))</formula>
    </cfRule>
    <cfRule type="containsText" dxfId="3001" priority="15939" operator="containsText" text="PEX BLOQUEADO">
      <formula>NOT(ISERROR(SEARCH("PEX BLOQUEADO",C2)))</formula>
    </cfRule>
    <cfRule type="cellIs" dxfId="3000" priority="15938" operator="equal">
      <formula>"NO"</formula>
    </cfRule>
    <cfRule type="containsText" dxfId="2999" priority="15937" operator="containsText" text="NO INSTALADO">
      <formula>NOT(ISERROR(SEARCH("NO INSTALADO",C2)))</formula>
    </cfRule>
    <cfRule type="containsText" dxfId="2998" priority="15936" operator="containsText" text="PEX DESAFILIADO">
      <formula>NOT(ISERROR(SEARCH("PEX DESAFILIADO",C2)))</formula>
    </cfRule>
    <cfRule type="containsText" dxfId="2997" priority="15935" operator="containsText" text="PEX BLOQUEADO">
      <formula>NOT(ISERROR(SEARCH("PEX BLOQUEADO",C2)))</formula>
    </cfRule>
    <cfRule type="cellIs" dxfId="2996" priority="15934" operator="equal">
      <formula>"NO"</formula>
    </cfRule>
    <cfRule type="containsText" dxfId="2995" priority="15933" operator="containsText" text="NO INSTALADO">
      <formula>NOT(ISERROR(SEARCH("NO INSTALADO",C2)))</formula>
    </cfRule>
    <cfRule type="containsText" dxfId="2994" priority="15932" operator="containsText" text="PEX DESAFILIADO">
      <formula>NOT(ISERROR(SEARCH("PEX DESAFILIADO",C2)))</formula>
    </cfRule>
    <cfRule type="containsText" dxfId="2993" priority="15931" operator="containsText" text="PEX BLOQUEADO">
      <formula>NOT(ISERROR(SEARCH("PEX BLOQUEADO",C2)))</formula>
    </cfRule>
    <cfRule type="cellIs" dxfId="2992" priority="15930" operator="equal">
      <formula>"NO"</formula>
    </cfRule>
    <cfRule type="containsText" dxfId="2991" priority="15929" operator="containsText" text="NO INSTALADO">
      <formula>NOT(ISERROR(SEARCH("NO INSTALADO",C2)))</formula>
    </cfRule>
    <cfRule type="containsText" dxfId="2990" priority="15928" operator="containsText" text="PEX DESAFILIADO">
      <formula>NOT(ISERROR(SEARCH("PEX DESAFILIADO",C2)))</formula>
    </cfRule>
    <cfRule type="containsText" dxfId="2989" priority="15927" operator="containsText" text="PEX BLOQUEADO">
      <formula>NOT(ISERROR(SEARCH("PEX BLOQUEADO",C2)))</formula>
    </cfRule>
    <cfRule type="cellIs" dxfId="2988" priority="15926" operator="equal">
      <formula>"NO"</formula>
    </cfRule>
    <cfRule type="containsText" dxfId="2987" priority="15925" operator="containsText" text="NO INSTALADO">
      <formula>NOT(ISERROR(SEARCH("NO INSTALADO",C2)))</formula>
    </cfRule>
    <cfRule type="containsText" dxfId="2986" priority="15924" operator="containsText" text="PEX DESAFILIADO">
      <formula>NOT(ISERROR(SEARCH("PEX DESAFILIADO",C2)))</formula>
    </cfRule>
    <cfRule type="containsText" dxfId="2985" priority="15923" operator="containsText" text="PEX BLOQUEADO">
      <formula>NOT(ISERROR(SEARCH("PEX BLOQUEADO",C2)))</formula>
    </cfRule>
    <cfRule type="cellIs" dxfId="2984" priority="15922" operator="equal">
      <formula>"NO"</formula>
    </cfRule>
    <cfRule type="containsText" dxfId="2983" priority="15921" operator="containsText" text="NO INSTALADO">
      <formula>NOT(ISERROR(SEARCH("NO INSTALADO",C2)))</formula>
    </cfRule>
    <cfRule type="containsText" dxfId="2982" priority="15920" operator="containsText" text="PEX DESAFILIADO">
      <formula>NOT(ISERROR(SEARCH("PEX DESAFILIADO",C2)))</formula>
    </cfRule>
    <cfRule type="containsText" dxfId="2981" priority="15919" operator="containsText" text="PEX BLOQUEADO">
      <formula>NOT(ISERROR(SEARCH("PEX BLOQUEADO",C2)))</formula>
    </cfRule>
    <cfRule type="cellIs" dxfId="2980" priority="15918" operator="equal">
      <formula>"NO"</formula>
    </cfRule>
    <cfRule type="cellIs" dxfId="2979" priority="15810" operator="equal">
      <formula>"NO"</formula>
    </cfRule>
    <cfRule type="containsText" dxfId="2978" priority="15917" operator="containsText" text="NO INSTALADO">
      <formula>NOT(ISERROR(SEARCH("NO INSTALADO",C2)))</formula>
    </cfRule>
    <cfRule type="containsText" dxfId="2977" priority="15916" operator="containsText" text="PEX DESAFILIADO">
      <formula>NOT(ISERROR(SEARCH("PEX DESAFILIADO",C2)))</formula>
    </cfRule>
    <cfRule type="containsText" dxfId="2976" priority="15915" operator="containsText" text="PEX BLOQUEADO">
      <formula>NOT(ISERROR(SEARCH("PEX BLOQUEADO",C2)))</formula>
    </cfRule>
    <cfRule type="containsText" dxfId="2975" priority="15913" operator="containsText" text="NO INSTALADO">
      <formula>NOT(ISERROR(SEARCH("NO INSTALADO",C2)))</formula>
    </cfRule>
    <cfRule type="containsText" dxfId="2974" priority="15912" operator="containsText" text="PEX DESAFILIADO">
      <formula>NOT(ISERROR(SEARCH("PEX DESAFILIADO",C2)))</formula>
    </cfRule>
    <cfRule type="containsText" dxfId="2973" priority="15911" operator="containsText" text="PEX BLOQUEADO">
      <formula>NOT(ISERROR(SEARCH("PEX BLOQUEADO",C2)))</formula>
    </cfRule>
    <cfRule type="cellIs" dxfId="2972" priority="15910" operator="equal">
      <formula>"NO"</formula>
    </cfRule>
    <cfRule type="containsText" dxfId="2971" priority="15909" operator="containsText" text="NO INSTALADO">
      <formula>NOT(ISERROR(SEARCH("NO INSTALADO",C2)))</formula>
    </cfRule>
    <cfRule type="containsText" dxfId="2970" priority="15908" operator="containsText" text="PEX DESAFILIADO">
      <formula>NOT(ISERROR(SEARCH("PEX DESAFILIADO",C2)))</formula>
    </cfRule>
    <cfRule type="containsText" dxfId="2969" priority="15907" operator="containsText" text="PEX BLOQUEADO">
      <formula>NOT(ISERROR(SEARCH("PEX BLOQUEADO",C2)))</formula>
    </cfRule>
    <cfRule type="cellIs" dxfId="2968" priority="15906" operator="equal">
      <formula>"NO"</formula>
    </cfRule>
    <cfRule type="containsText" dxfId="2967" priority="15905" operator="containsText" text="NO INSTALADO">
      <formula>NOT(ISERROR(SEARCH("NO INSTALADO",C2)))</formula>
    </cfRule>
    <cfRule type="containsText" dxfId="2966" priority="15904" operator="containsText" text="PEX DESAFILIADO">
      <formula>NOT(ISERROR(SEARCH("PEX DESAFILIADO",C2)))</formula>
    </cfRule>
    <cfRule type="cellIs" dxfId="2965" priority="15894" operator="equal">
      <formula>"NO"</formula>
    </cfRule>
    <cfRule type="containsText" dxfId="2964" priority="15892" operator="containsText" text="PEX DESAFILIADO">
      <formula>NOT(ISERROR(SEARCH("PEX DESAFILIADO",C2)))</formula>
    </cfRule>
    <cfRule type="containsText" dxfId="2963" priority="15896" operator="containsText" text="PEX DESAFILIADO">
      <formula>NOT(ISERROR(SEARCH("PEX DESAFILIADO",C2)))</formula>
    </cfRule>
    <cfRule type="containsText" dxfId="2962" priority="15895" operator="containsText" text="PEX BLOQUEADO">
      <formula>NOT(ISERROR(SEARCH("PEX BLOQUEADO",C2)))</formula>
    </cfRule>
    <cfRule type="containsText" dxfId="2961" priority="15897" operator="containsText" text="NO INSTALADO">
      <formula>NOT(ISERROR(SEARCH("NO INSTALADO",C2)))</formula>
    </cfRule>
    <cfRule type="containsText" dxfId="2960" priority="15891" operator="containsText" text="PEX BLOQUEADO">
      <formula>NOT(ISERROR(SEARCH("PEX BLOQUEADO",C2)))</formula>
    </cfRule>
  </conditionalFormatting>
  <conditionalFormatting sqref="C2:C11 C105:C122 C197:C440 C130:C135 C144:C154 C179">
    <cfRule type="cellIs" dxfId="2959" priority="15753" operator="equal">
      <formula>"NO"</formula>
    </cfRule>
    <cfRule type="containsText" dxfId="2958" priority="15528" operator="containsText" text="NO INSTALADO">
      <formula>NOT(ISERROR(SEARCH("NO INSTALADO",C2)))</formula>
    </cfRule>
    <cfRule type="containsText" dxfId="2957" priority="15527" operator="containsText" text="PEX DESAFILIADO">
      <formula>NOT(ISERROR(SEARCH("PEX DESAFILIADO",C2)))</formula>
    </cfRule>
    <cfRule type="containsText" dxfId="2956" priority="15526" operator="containsText" text="PEX BLOQUEADO">
      <formula>NOT(ISERROR(SEARCH("PEX BLOQUEADO",C2)))</formula>
    </cfRule>
  </conditionalFormatting>
  <conditionalFormatting sqref="C2:C11 C105:C122 C197:C440">
    <cfRule type="containsText" dxfId="2955" priority="15739" operator="containsText" text="PEX DESAFILIADO">
      <formula>NOT(ISERROR(SEARCH("PEX DESAFILIADO",C2)))</formula>
    </cfRule>
    <cfRule type="containsText" dxfId="2954" priority="15740" operator="containsText" text="NO INSTALADO">
      <formula>NOT(ISERROR(SEARCH("NO INSTALADO",C2)))</formula>
    </cfRule>
    <cfRule type="cellIs" dxfId="2953" priority="15741" operator="equal">
      <formula>"NO"</formula>
    </cfRule>
    <cfRule type="containsText" dxfId="2952" priority="15742" operator="containsText" text="PEX BLOQUEADO">
      <formula>NOT(ISERROR(SEARCH("PEX BLOQUEADO",C2)))</formula>
    </cfRule>
    <cfRule type="containsText" dxfId="2951" priority="15743" operator="containsText" text="PEX DESAFILIADO">
      <formula>NOT(ISERROR(SEARCH("PEX DESAFILIADO",C2)))</formula>
    </cfRule>
    <cfRule type="containsText" dxfId="2950" priority="15744" operator="containsText" text="NO INSTALADO">
      <formula>NOT(ISERROR(SEARCH("NO INSTALADO",C2)))</formula>
    </cfRule>
    <cfRule type="cellIs" dxfId="2949" priority="15745" operator="equal">
      <formula>"NO"</formula>
    </cfRule>
    <cfRule type="containsText" dxfId="2948" priority="15746" operator="containsText" text="PEX BLOQUEADO">
      <formula>NOT(ISERROR(SEARCH("PEX BLOQUEADO",C2)))</formula>
    </cfRule>
    <cfRule type="containsText" dxfId="2947" priority="15747" operator="containsText" text="PEX DESAFILIADO">
      <formula>NOT(ISERROR(SEARCH("PEX DESAFILIADO",C2)))</formula>
    </cfRule>
    <cfRule type="containsText" dxfId="2946" priority="15748" operator="containsText" text="NO INSTALADO">
      <formula>NOT(ISERROR(SEARCH("NO INSTALADO",C2)))</formula>
    </cfRule>
    <cfRule type="cellIs" dxfId="2945" priority="15749" operator="equal">
      <formula>"NO"</formula>
    </cfRule>
    <cfRule type="containsText" dxfId="2944" priority="15750" operator="containsText" text="PEX BLOQUEADO">
      <formula>NOT(ISERROR(SEARCH("PEX BLOQUEADO",C2)))</formula>
    </cfRule>
    <cfRule type="containsText" dxfId="2943" priority="15751" operator="containsText" text="PEX DESAFILIADO">
      <formula>NOT(ISERROR(SEARCH("PEX DESAFILIADO",C2)))</formula>
    </cfRule>
    <cfRule type="cellIs" dxfId="2942" priority="15689" operator="equal">
      <formula>"NO"</formula>
    </cfRule>
    <cfRule type="containsText" dxfId="2941" priority="15548" operator="containsText" text="NO INSTALADO">
      <formula>NOT(ISERROR(SEARCH("NO INSTALADO",C2)))</formula>
    </cfRule>
    <cfRule type="containsText" dxfId="2940" priority="15547" operator="containsText" text="PEX DESAFILIADO">
      <formula>NOT(ISERROR(SEARCH("PEX DESAFILIADO",C2)))</formula>
    </cfRule>
    <cfRule type="containsText" dxfId="2939" priority="15546" operator="containsText" text="PEX BLOQUEADO">
      <formula>NOT(ISERROR(SEARCH("PEX BLOQUEADO",C2)))</formula>
    </cfRule>
    <cfRule type="cellIs" dxfId="2938" priority="15545" operator="equal">
      <formula>"NO"</formula>
    </cfRule>
    <cfRule type="containsText" dxfId="2937" priority="15544" operator="containsText" text="NO INSTALADO">
      <formula>NOT(ISERROR(SEARCH("NO INSTALADO",C2)))</formula>
    </cfRule>
    <cfRule type="containsText" dxfId="2936" priority="15543" operator="containsText" text="PEX DESAFILIADO">
      <formula>NOT(ISERROR(SEARCH("PEX DESAFILIADO",C2)))</formula>
    </cfRule>
    <cfRule type="containsText" dxfId="2935" priority="15542" operator="containsText" text="PEX BLOQUEADO">
      <formula>NOT(ISERROR(SEARCH("PEX BLOQUEADO",C2)))</formula>
    </cfRule>
    <cfRule type="cellIs" dxfId="2934" priority="15541" operator="equal">
      <formula>"NO"</formula>
    </cfRule>
    <cfRule type="containsText" dxfId="2933" priority="15540" operator="containsText" text="NO INSTALADO">
      <formula>NOT(ISERROR(SEARCH("NO INSTALADO",C2)))</formula>
    </cfRule>
    <cfRule type="containsText" dxfId="2932" priority="15539" operator="containsText" text="PEX DESAFILIADO">
      <formula>NOT(ISERROR(SEARCH("PEX DESAFILIADO",C2)))</formula>
    </cfRule>
    <cfRule type="containsText" dxfId="2931" priority="15538" operator="containsText" text="PEX BLOQUEADO">
      <formula>NOT(ISERROR(SEARCH("PEX BLOQUEADO",C2)))</formula>
    </cfRule>
    <cfRule type="cellIs" dxfId="2930" priority="15537" operator="equal">
      <formula>"NO"</formula>
    </cfRule>
    <cfRule type="containsText" dxfId="2929" priority="15536" operator="containsText" text="NO INSTALADO">
      <formula>NOT(ISERROR(SEARCH("NO INSTALADO",C2)))</formula>
    </cfRule>
    <cfRule type="containsText" dxfId="2928" priority="15535" operator="containsText" text="PEX DESAFILIADO">
      <formula>NOT(ISERROR(SEARCH("PEX DESAFILIADO",C2)))</formula>
    </cfRule>
    <cfRule type="containsText" dxfId="2927" priority="15534" operator="containsText" text="PEX BLOQUEADO">
      <formula>NOT(ISERROR(SEARCH("PEX BLOQUEADO",C2)))</formula>
    </cfRule>
    <cfRule type="cellIs" dxfId="2926" priority="15533" operator="equal">
      <formula>"NO"</formula>
    </cfRule>
    <cfRule type="containsText" dxfId="2925" priority="15532" operator="containsText" text="NO INSTALADO">
      <formula>NOT(ISERROR(SEARCH("NO INSTALADO",C2)))</formula>
    </cfRule>
    <cfRule type="containsText" dxfId="2924" priority="15531" operator="containsText" text="PEX DESAFILIADO">
      <formula>NOT(ISERROR(SEARCH("PEX DESAFILIADO",C2)))</formula>
    </cfRule>
    <cfRule type="containsText" dxfId="2923" priority="15530" operator="containsText" text="PEX BLOQUEADO">
      <formula>NOT(ISERROR(SEARCH("PEX BLOQUEADO",C2)))</formula>
    </cfRule>
    <cfRule type="cellIs" dxfId="2922" priority="15529" operator="equal">
      <formula>"NO"</formula>
    </cfRule>
    <cfRule type="cellIs" dxfId="2921" priority="15581" operator="equal">
      <formula>"NO"</formula>
    </cfRule>
    <cfRule type="cellIs" dxfId="2920" priority="15508" operator="equal">
      <formula>"NO"</formula>
    </cfRule>
    <cfRule type="containsText" dxfId="2919" priority="15630" operator="containsText" text="PEX BLOQUEADO">
      <formula>NOT(ISERROR(SEARCH("PEX BLOQUEADO",C2)))</formula>
    </cfRule>
    <cfRule type="containsText" dxfId="2918" priority="15752" operator="containsText" text="NO INSTALADO">
      <formula>NOT(ISERROR(SEARCH("NO INSTALADO",C2)))</formula>
    </cfRule>
    <cfRule type="containsText" dxfId="2917" priority="15631" operator="containsText" text="PEX DESAFILIADO">
      <formula>NOT(ISERROR(SEARCH("PEX DESAFILIADO",C2)))</formula>
    </cfRule>
    <cfRule type="containsText" dxfId="2916" priority="15632" operator="containsText" text="NO INSTALADO">
      <formula>NOT(ISERROR(SEARCH("NO INSTALADO",C2)))</formula>
    </cfRule>
    <cfRule type="cellIs" dxfId="2915" priority="15633" operator="equal">
      <formula>"NO"</formula>
    </cfRule>
    <cfRule type="containsText" dxfId="2914" priority="15634" operator="containsText" text="PEX BLOQUEADO">
      <formula>NOT(ISERROR(SEARCH("PEX BLOQUEADO",C2)))</formula>
    </cfRule>
    <cfRule type="containsText" dxfId="2913" priority="15635" operator="containsText" text="PEX DESAFILIADO">
      <formula>NOT(ISERROR(SEARCH("PEX DESAFILIADO",C2)))</formula>
    </cfRule>
    <cfRule type="cellIs" dxfId="2912" priority="15637" operator="equal">
      <formula>"NO"</formula>
    </cfRule>
    <cfRule type="containsText" dxfId="2911" priority="15638" operator="containsText" text="PEX BLOQUEADO">
      <formula>NOT(ISERROR(SEARCH("PEX BLOQUEADO",C2)))</formula>
    </cfRule>
    <cfRule type="containsText" dxfId="2910" priority="15639" operator="containsText" text="PEX DESAFILIADO">
      <formula>NOT(ISERROR(SEARCH("PEX DESAFILIADO",C2)))</formula>
    </cfRule>
    <cfRule type="containsText" dxfId="2909" priority="15640" operator="containsText" text="NO INSTALADO">
      <formula>NOT(ISERROR(SEARCH("NO INSTALADO",C2)))</formula>
    </cfRule>
    <cfRule type="cellIs" dxfId="2908" priority="15641" operator="equal">
      <formula>"NO"</formula>
    </cfRule>
    <cfRule type="containsText" dxfId="2907" priority="15642" operator="containsText" text="PEX BLOQUEADO">
      <formula>NOT(ISERROR(SEARCH("PEX BLOQUEADO",C2)))</formula>
    </cfRule>
    <cfRule type="containsText" dxfId="2906" priority="15643" operator="containsText" text="PEX DESAFILIADO">
      <formula>NOT(ISERROR(SEARCH("PEX DESAFILIADO",C2)))</formula>
    </cfRule>
    <cfRule type="containsText" dxfId="2905" priority="15644" operator="containsText" text="NO INSTALADO">
      <formula>NOT(ISERROR(SEARCH("NO INSTALADO",C2)))</formula>
    </cfRule>
    <cfRule type="cellIs" dxfId="2904" priority="15645" operator="equal">
      <formula>"NO"</formula>
    </cfRule>
    <cfRule type="containsText" dxfId="2903" priority="15646" operator="containsText" text="PEX BLOQUEADO">
      <formula>NOT(ISERROR(SEARCH("PEX BLOQUEADO",C2)))</formula>
    </cfRule>
    <cfRule type="containsText" dxfId="2902" priority="15647" operator="containsText" text="PEX DESAFILIADO">
      <formula>NOT(ISERROR(SEARCH("PEX DESAFILIADO",C2)))</formula>
    </cfRule>
    <cfRule type="containsText" dxfId="2901" priority="15648" operator="containsText" text="NO INSTALADO">
      <formula>NOT(ISERROR(SEARCH("NO INSTALADO",C2)))</formula>
    </cfRule>
    <cfRule type="cellIs" dxfId="2900" priority="15649" operator="equal">
      <formula>"NO"</formula>
    </cfRule>
    <cfRule type="containsText" dxfId="2899" priority="15650" operator="containsText" text="PEX BLOQUEADO">
      <formula>NOT(ISERROR(SEARCH("PEX BLOQUEADO",C2)))</formula>
    </cfRule>
    <cfRule type="containsText" dxfId="2898" priority="15651" operator="containsText" text="PEX DESAFILIADO">
      <formula>NOT(ISERROR(SEARCH("PEX DESAFILIADO",C2)))</formula>
    </cfRule>
    <cfRule type="containsText" dxfId="2897" priority="15652" operator="containsText" text="NO INSTALADO">
      <formula>NOT(ISERROR(SEARCH("NO INSTALADO",C2)))</formula>
    </cfRule>
    <cfRule type="cellIs" dxfId="2896" priority="15653" operator="equal">
      <formula>"NO"</formula>
    </cfRule>
    <cfRule type="containsText" dxfId="2895" priority="15654" operator="containsText" text="PEX BLOQUEADO">
      <formula>NOT(ISERROR(SEARCH("PEX BLOQUEADO",C2)))</formula>
    </cfRule>
    <cfRule type="containsText" dxfId="2894" priority="15655" operator="containsText" text="PEX DESAFILIADO">
      <formula>NOT(ISERROR(SEARCH("PEX DESAFILIADO",C2)))</formula>
    </cfRule>
    <cfRule type="containsText" dxfId="2893" priority="15656" operator="containsText" text="NO INSTALADO">
      <formula>NOT(ISERROR(SEARCH("NO INSTALADO",C2)))</formula>
    </cfRule>
    <cfRule type="cellIs" dxfId="2892" priority="15657" operator="equal">
      <formula>"NO"</formula>
    </cfRule>
    <cfRule type="containsText" dxfId="2891" priority="15658" operator="containsText" text="PEX BLOQUEADO">
      <formula>NOT(ISERROR(SEARCH("PEX BLOQUEADO",C2)))</formula>
    </cfRule>
    <cfRule type="containsText" dxfId="2890" priority="15659" operator="containsText" text="PEX DESAFILIADO">
      <formula>NOT(ISERROR(SEARCH("PEX DESAFILIADO",C2)))</formula>
    </cfRule>
    <cfRule type="containsText" dxfId="2889" priority="15660" operator="containsText" text="NO INSTALADO">
      <formula>NOT(ISERROR(SEARCH("NO INSTALADO",C2)))</formula>
    </cfRule>
    <cfRule type="cellIs" dxfId="2888" priority="15661" operator="equal">
      <formula>"NO"</formula>
    </cfRule>
    <cfRule type="containsText" dxfId="2887" priority="15662" operator="containsText" text="PEX BLOQUEADO">
      <formula>NOT(ISERROR(SEARCH("PEX BLOQUEADO",C2)))</formula>
    </cfRule>
    <cfRule type="containsText" dxfId="2886" priority="15663" operator="containsText" text="PEX DESAFILIADO">
      <formula>NOT(ISERROR(SEARCH("PEX DESAFILIADO",C2)))</formula>
    </cfRule>
    <cfRule type="containsText" dxfId="2885" priority="15664" operator="containsText" text="NO INSTALADO">
      <formula>NOT(ISERROR(SEARCH("NO INSTALADO",C2)))</formula>
    </cfRule>
    <cfRule type="cellIs" dxfId="2884" priority="15665" operator="equal">
      <formula>"NO"</formula>
    </cfRule>
    <cfRule type="containsText" dxfId="2883" priority="15666" operator="containsText" text="PEX BLOQUEADO">
      <formula>NOT(ISERROR(SEARCH("PEX BLOQUEADO",C2)))</formula>
    </cfRule>
    <cfRule type="containsText" dxfId="2882" priority="15667" operator="containsText" text="PEX DESAFILIADO">
      <formula>NOT(ISERROR(SEARCH("PEX DESAFILIADO",C2)))</formula>
    </cfRule>
    <cfRule type="containsText" dxfId="2881" priority="15668" operator="containsText" text="NO INSTALADO">
      <formula>NOT(ISERROR(SEARCH("NO INSTALADO",C2)))</formula>
    </cfRule>
    <cfRule type="cellIs" dxfId="2880" priority="15669" operator="equal">
      <formula>"NO"</formula>
    </cfRule>
    <cfRule type="containsText" dxfId="2879" priority="15670" operator="containsText" text="PEX BLOQUEADO">
      <formula>NOT(ISERROR(SEARCH("PEX BLOQUEADO",C2)))</formula>
    </cfRule>
    <cfRule type="containsText" dxfId="2878" priority="15671" operator="containsText" text="PEX DESAFILIADO">
      <formula>NOT(ISERROR(SEARCH("PEX DESAFILIADO",C2)))</formula>
    </cfRule>
    <cfRule type="containsText" dxfId="2877" priority="15672" operator="containsText" text="NO INSTALADO">
      <formula>NOT(ISERROR(SEARCH("NO INSTALADO",C2)))</formula>
    </cfRule>
    <cfRule type="cellIs" dxfId="2876" priority="15673" operator="equal">
      <formula>"NO"</formula>
    </cfRule>
    <cfRule type="containsText" dxfId="2875" priority="15732" operator="containsText" text="NO INSTALADO">
      <formula>NOT(ISERROR(SEARCH("NO INSTALADO",C2)))</formula>
    </cfRule>
    <cfRule type="containsText" dxfId="2874" priority="15674" operator="containsText" text="PEX BLOQUEADO">
      <formula>NOT(ISERROR(SEARCH("PEX BLOQUEADO",C2)))</formula>
    </cfRule>
    <cfRule type="containsText" dxfId="2873" priority="15675" operator="containsText" text="PEX DESAFILIADO">
      <formula>NOT(ISERROR(SEARCH("PEX DESAFILIADO",C2)))</formula>
    </cfRule>
    <cfRule type="containsText" dxfId="2872" priority="15676" operator="containsText" text="NO INSTALADO">
      <formula>NOT(ISERROR(SEARCH("NO INSTALADO",C2)))</formula>
    </cfRule>
    <cfRule type="cellIs" dxfId="2871" priority="15677" operator="equal">
      <formula>"NO"</formula>
    </cfRule>
    <cfRule type="containsText" dxfId="2870" priority="15678" operator="containsText" text="PEX BLOQUEADO">
      <formula>NOT(ISERROR(SEARCH("PEX BLOQUEADO",C2)))</formula>
    </cfRule>
    <cfRule type="containsText" dxfId="2869" priority="15679" operator="containsText" text="PEX DESAFILIADO">
      <formula>NOT(ISERROR(SEARCH("PEX DESAFILIADO",C2)))</formula>
    </cfRule>
    <cfRule type="containsText" dxfId="2868" priority="15680" operator="containsText" text="NO INSTALADO">
      <formula>NOT(ISERROR(SEARCH("NO INSTALADO",C2)))</formula>
    </cfRule>
    <cfRule type="cellIs" dxfId="2867" priority="15681" operator="equal">
      <formula>"NO"</formula>
    </cfRule>
    <cfRule type="containsText" dxfId="2866" priority="15682" operator="containsText" text="PEX BLOQUEADO">
      <formula>NOT(ISERROR(SEARCH("PEX BLOQUEADO",C2)))</formula>
    </cfRule>
    <cfRule type="containsText" dxfId="2865" priority="15683" operator="containsText" text="PEX DESAFILIADO">
      <formula>NOT(ISERROR(SEARCH("PEX DESAFILIADO",C2)))</formula>
    </cfRule>
    <cfRule type="containsText" dxfId="2864" priority="15684" operator="containsText" text="NO INSTALADO">
      <formula>NOT(ISERROR(SEARCH("NO INSTALADO",C2)))</formula>
    </cfRule>
    <cfRule type="cellIs" dxfId="2863" priority="15685" operator="equal">
      <formula>"NO"</formula>
    </cfRule>
    <cfRule type="containsText" dxfId="2862" priority="15686" operator="containsText" text="PEX BLOQUEADO">
      <formula>NOT(ISERROR(SEARCH("PEX BLOQUEADO",C2)))</formula>
    </cfRule>
    <cfRule type="containsText" dxfId="2861" priority="15687" operator="containsText" text="PEX DESAFILIADO">
      <formula>NOT(ISERROR(SEARCH("PEX DESAFILIADO",C2)))</formula>
    </cfRule>
    <cfRule type="containsText" dxfId="2860" priority="15688" operator="containsText" text="NO INSTALADO">
      <formula>NOT(ISERROR(SEARCH("NO INSTALADO",C2)))</formula>
    </cfRule>
    <cfRule type="containsText" dxfId="2859" priority="15690" operator="containsText" text="PEX BLOQUEADO">
      <formula>NOT(ISERROR(SEARCH("PEX BLOQUEADO",C2)))</formula>
    </cfRule>
    <cfRule type="containsText" dxfId="2858" priority="15691" operator="containsText" text="PEX DESAFILIADO">
      <formula>NOT(ISERROR(SEARCH("PEX DESAFILIADO",C2)))</formula>
    </cfRule>
    <cfRule type="containsText" dxfId="2857" priority="15692" operator="containsText" text="NO INSTALADO">
      <formula>NOT(ISERROR(SEARCH("NO INSTALADO",C2)))</formula>
    </cfRule>
    <cfRule type="cellIs" dxfId="2856" priority="15693" operator="equal">
      <formula>"NO"</formula>
    </cfRule>
    <cfRule type="containsText" dxfId="2855" priority="15694" operator="containsText" text="PEX BLOQUEADO">
      <formula>NOT(ISERROR(SEARCH("PEX BLOQUEADO",C2)))</formula>
    </cfRule>
    <cfRule type="containsText" dxfId="2854" priority="15695" operator="containsText" text="PEX DESAFILIADO">
      <formula>NOT(ISERROR(SEARCH("PEX DESAFILIADO",C2)))</formula>
    </cfRule>
    <cfRule type="containsText" dxfId="2853" priority="15696" operator="containsText" text="NO INSTALADO">
      <formula>NOT(ISERROR(SEARCH("NO INSTALADO",C2)))</formula>
    </cfRule>
    <cfRule type="cellIs" dxfId="2852" priority="15697" operator="equal">
      <formula>"NO"</formula>
    </cfRule>
    <cfRule type="containsText" dxfId="2851" priority="15698" operator="containsText" text="PEX BLOQUEADO">
      <formula>NOT(ISERROR(SEARCH("PEX BLOQUEADO",C2)))</formula>
    </cfRule>
    <cfRule type="containsText" dxfId="2850" priority="15699" operator="containsText" text="PEX DESAFILIADO">
      <formula>NOT(ISERROR(SEARCH("PEX DESAFILIADO",C2)))</formula>
    </cfRule>
    <cfRule type="containsText" dxfId="2849" priority="15700" operator="containsText" text="NO INSTALADO">
      <formula>NOT(ISERROR(SEARCH("NO INSTALADO",C2)))</formula>
    </cfRule>
    <cfRule type="cellIs" dxfId="2848" priority="15701" operator="equal">
      <formula>"NO"</formula>
    </cfRule>
    <cfRule type="containsText" dxfId="2847" priority="15702" operator="containsText" text="PEX BLOQUEADO">
      <formula>NOT(ISERROR(SEARCH("PEX BLOQUEADO",C2)))</formula>
    </cfRule>
    <cfRule type="containsText" dxfId="2846" priority="15703" operator="containsText" text="PEX DESAFILIADO">
      <formula>NOT(ISERROR(SEARCH("PEX DESAFILIADO",C2)))</formula>
    </cfRule>
    <cfRule type="containsText" dxfId="2845" priority="15704" operator="containsText" text="NO INSTALADO">
      <formula>NOT(ISERROR(SEARCH("NO INSTALADO",C2)))</formula>
    </cfRule>
    <cfRule type="cellIs" dxfId="2844" priority="15705" operator="equal">
      <formula>"NO"</formula>
    </cfRule>
    <cfRule type="containsText" dxfId="2843" priority="15706" operator="containsText" text="PEX BLOQUEADO">
      <formula>NOT(ISERROR(SEARCH("PEX BLOQUEADO",C2)))</formula>
    </cfRule>
    <cfRule type="containsText" dxfId="2842" priority="15707" operator="containsText" text="PEX DESAFILIADO">
      <formula>NOT(ISERROR(SEARCH("PEX DESAFILIADO",C2)))</formula>
    </cfRule>
    <cfRule type="containsText" dxfId="2841" priority="15708" operator="containsText" text="NO INSTALADO">
      <formula>NOT(ISERROR(SEARCH("NO INSTALADO",C2)))</formula>
    </cfRule>
    <cfRule type="cellIs" dxfId="2840" priority="15709" operator="equal">
      <formula>"NO"</formula>
    </cfRule>
    <cfRule type="containsText" dxfId="2839" priority="15710" operator="containsText" text="PEX BLOQUEADO">
      <formula>NOT(ISERROR(SEARCH("PEX BLOQUEADO",C2)))</formula>
    </cfRule>
    <cfRule type="containsText" dxfId="2838" priority="15711" operator="containsText" text="PEX DESAFILIADO">
      <formula>NOT(ISERROR(SEARCH("PEX DESAFILIADO",C2)))</formula>
    </cfRule>
    <cfRule type="containsText" dxfId="2837" priority="15712" operator="containsText" text="NO INSTALADO">
      <formula>NOT(ISERROR(SEARCH("NO INSTALADO",C2)))</formula>
    </cfRule>
    <cfRule type="cellIs" dxfId="2836" priority="15713" operator="equal">
      <formula>"NO"</formula>
    </cfRule>
    <cfRule type="containsText" dxfId="2835" priority="15714" operator="containsText" text="PEX BLOQUEADO">
      <formula>NOT(ISERROR(SEARCH("PEX BLOQUEADO",C2)))</formula>
    </cfRule>
    <cfRule type="containsText" dxfId="2834" priority="15715" operator="containsText" text="PEX DESAFILIADO">
      <formula>NOT(ISERROR(SEARCH("PEX DESAFILIADO",C2)))</formula>
    </cfRule>
    <cfRule type="containsText" dxfId="2833" priority="15716" operator="containsText" text="NO INSTALADO">
      <formula>NOT(ISERROR(SEARCH("NO INSTALADO",C2)))</formula>
    </cfRule>
    <cfRule type="cellIs" dxfId="2832" priority="15717" operator="equal">
      <formula>"NO"</formula>
    </cfRule>
    <cfRule type="containsText" dxfId="2831" priority="15718" operator="containsText" text="PEX BLOQUEADO">
      <formula>NOT(ISERROR(SEARCH("PEX BLOQUEADO",C2)))</formula>
    </cfRule>
    <cfRule type="containsText" dxfId="2830" priority="15719" operator="containsText" text="PEX DESAFILIADO">
      <formula>NOT(ISERROR(SEARCH("PEX DESAFILIADO",C2)))</formula>
    </cfRule>
    <cfRule type="containsText" dxfId="2829" priority="15720" operator="containsText" text="NO INSTALADO">
      <formula>NOT(ISERROR(SEARCH("NO INSTALADO",C2)))</formula>
    </cfRule>
    <cfRule type="cellIs" dxfId="2828" priority="15721" operator="equal">
      <formula>"NO"</formula>
    </cfRule>
    <cfRule type="containsText" dxfId="2827" priority="15722" operator="containsText" text="PEX BLOQUEADO">
      <formula>NOT(ISERROR(SEARCH("PEX BLOQUEADO",C2)))</formula>
    </cfRule>
    <cfRule type="containsText" dxfId="2826" priority="15723" operator="containsText" text="PEX DESAFILIADO">
      <formula>NOT(ISERROR(SEARCH("PEX DESAFILIADO",C2)))</formula>
    </cfRule>
    <cfRule type="containsText" dxfId="2825" priority="15724" operator="containsText" text="NO INSTALADO">
      <formula>NOT(ISERROR(SEARCH("NO INSTALADO",C2)))</formula>
    </cfRule>
    <cfRule type="cellIs" dxfId="2824" priority="15725" operator="equal">
      <formula>"NO"</formula>
    </cfRule>
    <cfRule type="containsText" dxfId="2823" priority="15726" operator="containsText" text="PEX BLOQUEADO">
      <formula>NOT(ISERROR(SEARCH("PEX BLOQUEADO",C2)))</formula>
    </cfRule>
    <cfRule type="containsText" dxfId="2822" priority="15727" operator="containsText" text="PEX DESAFILIADO">
      <formula>NOT(ISERROR(SEARCH("PEX DESAFILIADO",C2)))</formula>
    </cfRule>
    <cfRule type="containsText" dxfId="2821" priority="15728" operator="containsText" text="NO INSTALADO">
      <formula>NOT(ISERROR(SEARCH("NO INSTALADO",C2)))</formula>
    </cfRule>
    <cfRule type="cellIs" dxfId="2820" priority="15729" operator="equal">
      <formula>"NO"</formula>
    </cfRule>
    <cfRule type="containsText" dxfId="2819" priority="15730" operator="containsText" text="PEX BLOQUEADO">
      <formula>NOT(ISERROR(SEARCH("PEX BLOQUEADO",C2)))</formula>
    </cfRule>
    <cfRule type="containsText" dxfId="2818" priority="15731" operator="containsText" text="PEX DESAFILIADO">
      <formula>NOT(ISERROR(SEARCH("PEX DESAFILIADO",C2)))</formula>
    </cfRule>
    <cfRule type="cellIs" dxfId="2817" priority="15733" operator="equal">
      <formula>"NO"</formula>
    </cfRule>
    <cfRule type="containsText" dxfId="2816" priority="15734" operator="containsText" text="PEX BLOQUEADO">
      <formula>NOT(ISERROR(SEARCH("PEX BLOQUEADO",C2)))</formula>
    </cfRule>
    <cfRule type="containsText" dxfId="2815" priority="15735" operator="containsText" text="PEX DESAFILIADO">
      <formula>NOT(ISERROR(SEARCH("PEX DESAFILIADO",C2)))</formula>
    </cfRule>
    <cfRule type="containsText" dxfId="2814" priority="15736" operator="containsText" text="NO INSTALADO">
      <formula>NOT(ISERROR(SEARCH("NO INSTALADO",C2)))</formula>
    </cfRule>
    <cfRule type="containsText" dxfId="2813" priority="15636" operator="containsText" text="NO INSTALADO">
      <formula>NOT(ISERROR(SEARCH("NO INSTALADO",C2)))</formula>
    </cfRule>
    <cfRule type="cellIs" dxfId="2812" priority="15737" operator="equal">
      <formula>"NO"</formula>
    </cfRule>
    <cfRule type="cellIs" dxfId="2811" priority="15629" operator="equal">
      <formula>"NO"</formula>
    </cfRule>
    <cfRule type="containsText" dxfId="2810" priority="15628" operator="containsText" text="NO INSTALADO">
      <formula>NOT(ISERROR(SEARCH("NO INSTALADO",C2)))</formula>
    </cfRule>
    <cfRule type="containsText" dxfId="2809" priority="15627" operator="containsText" text="PEX DESAFILIADO">
      <formula>NOT(ISERROR(SEARCH("PEX DESAFILIADO",C2)))</formula>
    </cfRule>
    <cfRule type="containsText" dxfId="2808" priority="15626" operator="containsText" text="PEX BLOQUEADO">
      <formula>NOT(ISERROR(SEARCH("PEX BLOQUEADO",C2)))</formula>
    </cfRule>
    <cfRule type="cellIs" dxfId="2807" priority="15625" operator="equal">
      <formula>"NO"</formula>
    </cfRule>
    <cfRule type="containsText" dxfId="2806" priority="15624" operator="containsText" text="NO INSTALADO">
      <formula>NOT(ISERROR(SEARCH("NO INSTALADO",C2)))</formula>
    </cfRule>
    <cfRule type="containsText" dxfId="2805" priority="15623" operator="containsText" text="PEX DESAFILIADO">
      <formula>NOT(ISERROR(SEARCH("PEX DESAFILIADO",C2)))</formula>
    </cfRule>
    <cfRule type="containsText" dxfId="2804" priority="15622" operator="containsText" text="PEX BLOQUEADO">
      <formula>NOT(ISERROR(SEARCH("PEX BLOQUEADO",C2)))</formula>
    </cfRule>
    <cfRule type="cellIs" dxfId="2803" priority="15621" operator="equal">
      <formula>"NO"</formula>
    </cfRule>
    <cfRule type="containsText" dxfId="2802" priority="15620" operator="containsText" text="NO INSTALADO">
      <formula>NOT(ISERROR(SEARCH("NO INSTALADO",C2)))</formula>
    </cfRule>
    <cfRule type="containsText" dxfId="2801" priority="15619" operator="containsText" text="PEX DESAFILIADO">
      <formula>NOT(ISERROR(SEARCH("PEX DESAFILIADO",C2)))</formula>
    </cfRule>
    <cfRule type="containsText" dxfId="2800" priority="15618" operator="containsText" text="PEX BLOQUEADO">
      <formula>NOT(ISERROR(SEARCH("PEX BLOQUEADO",C2)))</formula>
    </cfRule>
    <cfRule type="cellIs" dxfId="2799" priority="15617" operator="equal">
      <formula>"NO"</formula>
    </cfRule>
    <cfRule type="containsText" dxfId="2798" priority="15616" operator="containsText" text="NO INSTALADO">
      <formula>NOT(ISERROR(SEARCH("NO INSTALADO",C2)))</formula>
    </cfRule>
    <cfRule type="containsText" dxfId="2797" priority="15615" operator="containsText" text="PEX DESAFILIADO">
      <formula>NOT(ISERROR(SEARCH("PEX DESAFILIADO",C2)))</formula>
    </cfRule>
    <cfRule type="containsText" dxfId="2796" priority="15614" operator="containsText" text="PEX BLOQUEADO">
      <formula>NOT(ISERROR(SEARCH("PEX BLOQUEADO",C2)))</formula>
    </cfRule>
    <cfRule type="cellIs" dxfId="2795" priority="15613" operator="equal">
      <formula>"NO"</formula>
    </cfRule>
    <cfRule type="containsText" dxfId="2794" priority="15612" operator="containsText" text="NO INSTALADO">
      <formula>NOT(ISERROR(SEARCH("NO INSTALADO",C2)))</formula>
    </cfRule>
    <cfRule type="containsText" dxfId="2793" priority="15611" operator="containsText" text="PEX DESAFILIADO">
      <formula>NOT(ISERROR(SEARCH("PEX DESAFILIADO",C2)))</formula>
    </cfRule>
    <cfRule type="containsText" dxfId="2792" priority="15610" operator="containsText" text="PEX BLOQUEADO">
      <formula>NOT(ISERROR(SEARCH("PEX BLOQUEADO",C2)))</formula>
    </cfRule>
    <cfRule type="cellIs" dxfId="2791" priority="15609" operator="equal">
      <formula>"NO"</formula>
    </cfRule>
    <cfRule type="containsText" dxfId="2790" priority="15608" operator="containsText" text="NO INSTALADO">
      <formula>NOT(ISERROR(SEARCH("NO INSTALADO",C2)))</formula>
    </cfRule>
    <cfRule type="containsText" dxfId="2789" priority="15607" operator="containsText" text="PEX DESAFILIADO">
      <formula>NOT(ISERROR(SEARCH("PEX DESAFILIADO",C2)))</formula>
    </cfRule>
    <cfRule type="containsText" dxfId="2788" priority="15606" operator="containsText" text="PEX BLOQUEADO">
      <formula>NOT(ISERROR(SEARCH("PEX BLOQUEADO",C2)))</formula>
    </cfRule>
    <cfRule type="cellIs" dxfId="2787" priority="15605" operator="equal">
      <formula>"NO"</formula>
    </cfRule>
    <cfRule type="containsText" dxfId="2786" priority="15604" operator="containsText" text="NO INSTALADO">
      <formula>NOT(ISERROR(SEARCH("NO INSTALADO",C2)))</formula>
    </cfRule>
    <cfRule type="containsText" dxfId="2785" priority="15603" operator="containsText" text="PEX DESAFILIADO">
      <formula>NOT(ISERROR(SEARCH("PEX DESAFILIADO",C2)))</formula>
    </cfRule>
    <cfRule type="containsText" dxfId="2784" priority="15602" operator="containsText" text="PEX BLOQUEADO">
      <formula>NOT(ISERROR(SEARCH("PEX BLOQUEADO",C2)))</formula>
    </cfRule>
    <cfRule type="cellIs" dxfId="2783" priority="15601" operator="equal">
      <formula>"NO"</formula>
    </cfRule>
    <cfRule type="containsText" dxfId="2782" priority="15600" operator="containsText" text="NO INSTALADO">
      <formula>NOT(ISERROR(SEARCH("NO INSTALADO",C2)))</formula>
    </cfRule>
    <cfRule type="containsText" dxfId="2781" priority="15599" operator="containsText" text="PEX DESAFILIADO">
      <formula>NOT(ISERROR(SEARCH("PEX DESAFILIADO",C2)))</formula>
    </cfRule>
    <cfRule type="containsText" dxfId="2780" priority="15598" operator="containsText" text="PEX BLOQUEADO">
      <formula>NOT(ISERROR(SEARCH("PEX BLOQUEADO",C2)))</formula>
    </cfRule>
    <cfRule type="cellIs" dxfId="2779" priority="15597" operator="equal">
      <formula>"NO"</formula>
    </cfRule>
    <cfRule type="containsText" dxfId="2778" priority="15596" operator="containsText" text="NO INSTALADO">
      <formula>NOT(ISERROR(SEARCH("NO INSTALADO",C2)))</formula>
    </cfRule>
    <cfRule type="containsText" dxfId="2777" priority="15595" operator="containsText" text="PEX DESAFILIADO">
      <formula>NOT(ISERROR(SEARCH("PEX DESAFILIADO",C2)))</formula>
    </cfRule>
    <cfRule type="containsText" dxfId="2776" priority="15594" operator="containsText" text="PEX BLOQUEADO">
      <formula>NOT(ISERROR(SEARCH("PEX BLOQUEADO",C2)))</formula>
    </cfRule>
    <cfRule type="cellIs" dxfId="2775" priority="15593" operator="equal">
      <formula>"NO"</formula>
    </cfRule>
    <cfRule type="containsText" dxfId="2774" priority="15592" operator="containsText" text="NO INSTALADO">
      <formula>NOT(ISERROR(SEARCH("NO INSTALADO",C2)))</formula>
    </cfRule>
    <cfRule type="containsText" dxfId="2773" priority="15591" operator="containsText" text="PEX DESAFILIADO">
      <formula>NOT(ISERROR(SEARCH("PEX DESAFILIADO",C2)))</formula>
    </cfRule>
    <cfRule type="containsText" dxfId="2772" priority="15590" operator="containsText" text="PEX BLOQUEADO">
      <formula>NOT(ISERROR(SEARCH("PEX BLOQUEADO",C2)))</formula>
    </cfRule>
    <cfRule type="cellIs" dxfId="2771" priority="15589" operator="equal">
      <formula>"NO"</formula>
    </cfRule>
    <cfRule type="containsText" dxfId="2770" priority="15588" operator="containsText" text="NO INSTALADO">
      <formula>NOT(ISERROR(SEARCH("NO INSTALADO",C2)))</formula>
    </cfRule>
    <cfRule type="containsText" dxfId="2769" priority="15587" operator="containsText" text="PEX DESAFILIADO">
      <formula>NOT(ISERROR(SEARCH("PEX DESAFILIADO",C2)))</formula>
    </cfRule>
    <cfRule type="containsText" dxfId="2768" priority="15586" operator="containsText" text="PEX BLOQUEADO">
      <formula>NOT(ISERROR(SEARCH("PEX BLOQUEADO",C2)))</formula>
    </cfRule>
    <cfRule type="cellIs" dxfId="2767" priority="15585" operator="equal">
      <formula>"NO"</formula>
    </cfRule>
    <cfRule type="containsText" dxfId="2766" priority="15584" operator="containsText" text="NO INSTALADO">
      <formula>NOT(ISERROR(SEARCH("NO INSTALADO",C2)))</formula>
    </cfRule>
    <cfRule type="containsText" dxfId="2765" priority="15583" operator="containsText" text="PEX DESAFILIADO">
      <formula>NOT(ISERROR(SEARCH("PEX DESAFILIADO",C2)))</formula>
    </cfRule>
    <cfRule type="containsText" dxfId="2764" priority="15582" operator="containsText" text="PEX BLOQUEADO">
      <formula>NOT(ISERROR(SEARCH("PEX BLOQUEADO",C2)))</formula>
    </cfRule>
    <cfRule type="containsText" dxfId="2763" priority="15580" operator="containsText" text="NO INSTALADO">
      <formula>NOT(ISERROR(SEARCH("NO INSTALADO",C2)))</formula>
    </cfRule>
    <cfRule type="containsText" dxfId="2762" priority="15579" operator="containsText" text="PEX DESAFILIADO">
      <formula>NOT(ISERROR(SEARCH("PEX DESAFILIADO",C2)))</formula>
    </cfRule>
    <cfRule type="containsText" dxfId="2761" priority="15578" operator="containsText" text="PEX BLOQUEADO">
      <formula>NOT(ISERROR(SEARCH("PEX BLOQUEADO",C2)))</formula>
    </cfRule>
    <cfRule type="cellIs" dxfId="2760" priority="15577" operator="equal">
      <formula>"NO"</formula>
    </cfRule>
    <cfRule type="containsText" dxfId="2759" priority="15576" operator="containsText" text="NO INSTALADO">
      <formula>NOT(ISERROR(SEARCH("NO INSTALADO",C2)))</formula>
    </cfRule>
    <cfRule type="containsText" dxfId="2758" priority="15575" operator="containsText" text="PEX DESAFILIADO">
      <formula>NOT(ISERROR(SEARCH("PEX DESAFILIADO",C2)))</formula>
    </cfRule>
    <cfRule type="containsText" dxfId="2757" priority="15574" operator="containsText" text="PEX BLOQUEADO">
      <formula>NOT(ISERROR(SEARCH("PEX BLOQUEADO",C2)))</formula>
    </cfRule>
    <cfRule type="cellIs" dxfId="2756" priority="15573" operator="equal">
      <formula>"NO"</formula>
    </cfRule>
    <cfRule type="containsText" dxfId="2755" priority="15572" operator="containsText" text="NO INSTALADO">
      <formula>NOT(ISERROR(SEARCH("NO INSTALADO",C2)))</formula>
    </cfRule>
    <cfRule type="containsText" dxfId="2754" priority="15571" operator="containsText" text="PEX DESAFILIADO">
      <formula>NOT(ISERROR(SEARCH("PEX DESAFILIADO",C2)))</formula>
    </cfRule>
    <cfRule type="containsText" dxfId="2753" priority="15570" operator="containsText" text="PEX BLOQUEADO">
      <formula>NOT(ISERROR(SEARCH("PEX BLOQUEADO",C2)))</formula>
    </cfRule>
    <cfRule type="cellIs" dxfId="2752" priority="15569" operator="equal">
      <formula>"NO"</formula>
    </cfRule>
    <cfRule type="containsText" dxfId="2751" priority="15568" operator="containsText" text="NO INSTALADO">
      <formula>NOT(ISERROR(SEARCH("NO INSTALADO",C2)))</formula>
    </cfRule>
    <cfRule type="containsText" dxfId="2750" priority="15567" operator="containsText" text="PEX DESAFILIADO">
      <formula>NOT(ISERROR(SEARCH("PEX DESAFILIADO",C2)))</formula>
    </cfRule>
    <cfRule type="containsText" dxfId="2749" priority="15566" operator="containsText" text="PEX BLOQUEADO">
      <formula>NOT(ISERROR(SEARCH("PEX BLOQUEADO",C2)))</formula>
    </cfRule>
    <cfRule type="cellIs" dxfId="2748" priority="15565" operator="equal">
      <formula>"NO"</formula>
    </cfRule>
    <cfRule type="containsText" dxfId="2747" priority="15564" operator="containsText" text="NO INSTALADO">
      <formula>NOT(ISERROR(SEARCH("NO INSTALADO",C2)))</formula>
    </cfRule>
    <cfRule type="containsText" dxfId="2746" priority="15738" operator="containsText" text="PEX BLOQUEADO">
      <formula>NOT(ISERROR(SEARCH("PEX BLOQUEADO",C2)))</formula>
    </cfRule>
    <cfRule type="containsText" dxfId="2745" priority="15563" operator="containsText" text="PEX DESAFILIADO">
      <formula>NOT(ISERROR(SEARCH("PEX DESAFILIADO",C2)))</formula>
    </cfRule>
    <cfRule type="containsText" dxfId="2744" priority="15562" operator="containsText" text="PEX BLOQUEADO">
      <formula>NOT(ISERROR(SEARCH("PEX BLOQUEADO",C2)))</formula>
    </cfRule>
    <cfRule type="cellIs" dxfId="2743" priority="15561" operator="equal">
      <formula>"NO"</formula>
    </cfRule>
    <cfRule type="containsText" dxfId="2742" priority="15560" operator="containsText" text="NO INSTALADO">
      <formula>NOT(ISERROR(SEARCH("NO INSTALADO",C2)))</formula>
    </cfRule>
    <cfRule type="containsText" dxfId="2741" priority="15559" operator="containsText" text="PEX DESAFILIADO">
      <formula>NOT(ISERROR(SEARCH("PEX DESAFILIADO",C2)))</formula>
    </cfRule>
    <cfRule type="containsText" dxfId="2740" priority="15558" operator="containsText" text="PEX BLOQUEADO">
      <formula>NOT(ISERROR(SEARCH("PEX BLOQUEADO",C2)))</formula>
    </cfRule>
    <cfRule type="cellIs" dxfId="2739" priority="15557" operator="equal">
      <formula>"NO"</formula>
    </cfRule>
    <cfRule type="containsText" dxfId="2738" priority="15556" operator="containsText" text="NO INSTALADO">
      <formula>NOT(ISERROR(SEARCH("NO INSTALADO",C2)))</formula>
    </cfRule>
    <cfRule type="containsText" dxfId="2737" priority="15555" operator="containsText" text="PEX DESAFILIADO">
      <formula>NOT(ISERROR(SEARCH("PEX DESAFILIADO",C2)))</formula>
    </cfRule>
    <cfRule type="containsText" dxfId="2736" priority="15554" operator="containsText" text="PEX BLOQUEADO">
      <formula>NOT(ISERROR(SEARCH("PEX BLOQUEADO",C2)))</formula>
    </cfRule>
    <cfRule type="cellIs" dxfId="2735" priority="15553" operator="equal">
      <formula>"NO"</formula>
    </cfRule>
    <cfRule type="containsText" dxfId="2734" priority="15552" operator="containsText" text="NO INSTALADO">
      <formula>NOT(ISERROR(SEARCH("NO INSTALADO",C2)))</formula>
    </cfRule>
    <cfRule type="containsText" dxfId="2733" priority="15551" operator="containsText" text="PEX DESAFILIADO">
      <formula>NOT(ISERROR(SEARCH("PEX DESAFILIADO",C2)))</formula>
    </cfRule>
    <cfRule type="containsText" dxfId="2732" priority="15550" operator="containsText" text="PEX BLOQUEADO">
      <formula>NOT(ISERROR(SEARCH("PEX BLOQUEADO",C2)))</formula>
    </cfRule>
    <cfRule type="cellIs" dxfId="2731" priority="15549" operator="equal">
      <formula>"NO"</formula>
    </cfRule>
  </conditionalFormatting>
  <conditionalFormatting sqref="C2:C11 C105:C122 C287:C331 C410:C440">
    <cfRule type="containsText" dxfId="2730" priority="15522" operator="containsText" text="PEX BLOQUEADO">
      <formula>NOT(ISERROR(SEARCH("PEX BLOQUEADO",C2)))</formula>
    </cfRule>
    <cfRule type="containsText" dxfId="2729" priority="15523" operator="containsText" text="PEX DESAFILIADO">
      <formula>NOT(ISERROR(SEARCH("PEX DESAFILIADO",C2)))</formula>
    </cfRule>
    <cfRule type="containsText" dxfId="2728" priority="15524" operator="containsText" text="NO INSTALADO">
      <formula>NOT(ISERROR(SEARCH("NO INSTALADO",C2)))</formula>
    </cfRule>
    <cfRule type="cellIs" dxfId="2727" priority="15525" operator="equal">
      <formula>"NO"</formula>
    </cfRule>
  </conditionalFormatting>
  <conditionalFormatting sqref="C2:C11 C105:C122 C292:C331 C410:C440">
    <cfRule type="containsText" dxfId="2726" priority="15520" operator="containsText" text="NO INSTALADO">
      <formula>NOT(ISERROR(SEARCH("NO INSTALADO",C2)))</formula>
    </cfRule>
    <cfRule type="containsText" dxfId="2725" priority="15518" operator="containsText" text="PEX BLOQUEADO">
      <formula>NOT(ISERROR(SEARCH("PEX BLOQUEADO",C2)))</formula>
    </cfRule>
    <cfRule type="containsText" dxfId="2724" priority="15510" operator="containsText" text="PEX BLOQUEADO">
      <formula>NOT(ISERROR(SEARCH("PEX BLOQUEADO",C2)))</formula>
    </cfRule>
    <cfRule type="containsText" dxfId="2723" priority="15511" operator="containsText" text="PEX DESAFILIADO">
      <formula>NOT(ISERROR(SEARCH("PEX DESAFILIADO",C2)))</formula>
    </cfRule>
    <cfRule type="containsText" dxfId="2722" priority="15512" operator="containsText" text="NO INSTALADO">
      <formula>NOT(ISERROR(SEARCH("NO INSTALADO",C2)))</formula>
    </cfRule>
    <cfRule type="cellIs" dxfId="2721" priority="15513" operator="equal">
      <formula>"NO"</formula>
    </cfRule>
    <cfRule type="containsText" dxfId="2720" priority="15514" operator="containsText" text="PEX BLOQUEADO">
      <formula>NOT(ISERROR(SEARCH("PEX BLOQUEADO",C2)))</formula>
    </cfRule>
    <cfRule type="containsText" dxfId="2719" priority="15515" operator="containsText" text="PEX DESAFILIADO">
      <formula>NOT(ISERROR(SEARCH("PEX DESAFILIADO",C2)))</formula>
    </cfRule>
    <cfRule type="containsText" dxfId="2718" priority="15519" operator="containsText" text="PEX DESAFILIADO">
      <formula>NOT(ISERROR(SEARCH("PEX DESAFILIADO",C2)))</formula>
    </cfRule>
    <cfRule type="containsText" dxfId="2717" priority="15516" operator="containsText" text="NO INSTALADO">
      <formula>NOT(ISERROR(SEARCH("NO INSTALADO",C2)))</formula>
    </cfRule>
    <cfRule type="cellIs" dxfId="2716" priority="15517" operator="equal">
      <formula>"NO"</formula>
    </cfRule>
    <cfRule type="cellIs" dxfId="2715" priority="15521" operator="equal">
      <formula>"NO"</formula>
    </cfRule>
  </conditionalFormatting>
  <conditionalFormatting sqref="C2:C11 C105:C122 C299:C312 C410:C440">
    <cfRule type="containsText" dxfId="2714" priority="15505" operator="containsText" text="PEX BLOQUEADO">
      <formula>NOT(ISERROR(SEARCH("PEX BLOQUEADO",C2)))</formula>
    </cfRule>
    <cfRule type="containsText" dxfId="2713" priority="15506" operator="containsText" text="PEX DESAFILIADO">
      <formula>NOT(ISERROR(SEARCH("PEX DESAFILIADO",C2)))</formula>
    </cfRule>
    <cfRule type="containsText" dxfId="2712" priority="15507" operator="containsText" text="NO INSTALADO">
      <formula>NOT(ISERROR(SEARCH("NO INSTALADO",C2)))</formula>
    </cfRule>
  </conditionalFormatting>
  <conditionalFormatting sqref="C2:C11 C105:C123 C130:C135 C144:C154 C179 C197:C440">
    <cfRule type="cellIs" dxfId="2711" priority="15504" operator="equal">
      <formula>"NO"</formula>
    </cfRule>
  </conditionalFormatting>
  <conditionalFormatting sqref="C2:C11 C105:C123 C130:C135 C144:C154 C197:C440 C179">
    <cfRule type="containsText" dxfId="2710" priority="15501" operator="containsText" text="PEX BLOQUEADO">
      <formula>NOT(ISERROR(SEARCH("PEX BLOQUEADO",C2)))</formula>
    </cfRule>
    <cfRule type="containsText" dxfId="2709" priority="15502" operator="containsText" text="PEX DESAFILIADO">
      <formula>NOT(ISERROR(SEARCH("PEX DESAFILIADO",C2)))</formula>
    </cfRule>
    <cfRule type="containsText" dxfId="2708" priority="15503" operator="containsText" text="NO INSTALADO">
      <formula>NOT(ISERROR(SEARCH("NO INSTALADO",C2)))</formula>
    </cfRule>
  </conditionalFormatting>
  <conditionalFormatting sqref="C2:C11 C123 C130:C135 C144:C154 C197:C231 C272:C276">
    <cfRule type="containsText" dxfId="2707" priority="15499" operator="containsText" text="NO INSTALADO">
      <formula>NOT(ISERROR(SEARCH("NO INSTALADO",C2)))</formula>
    </cfRule>
    <cfRule type="cellIs" dxfId="2706" priority="15500" operator="equal">
      <formula>"NO"</formula>
    </cfRule>
    <cfRule type="cellIs" dxfId="2705" priority="15488" operator="equal">
      <formula>"NO"</formula>
    </cfRule>
    <cfRule type="containsText" dxfId="2704" priority="15485" operator="containsText" text="PEX BLOQUEADO">
      <formula>NOT(ISERROR(SEARCH("PEX BLOQUEADO",C2)))</formula>
    </cfRule>
    <cfRule type="cellIs" dxfId="2703" priority="15484" operator="equal">
      <formula>"NO"</formula>
    </cfRule>
    <cfRule type="containsText" dxfId="2702" priority="15486" operator="containsText" text="PEX DESAFILIADO">
      <formula>NOT(ISERROR(SEARCH("PEX DESAFILIADO",C2)))</formula>
    </cfRule>
    <cfRule type="containsText" dxfId="2701" priority="15487" operator="containsText" text="NO INSTALADO">
      <formula>NOT(ISERROR(SEARCH("NO INSTALADO",C2)))</formula>
    </cfRule>
    <cfRule type="containsText" dxfId="2700" priority="15489" operator="containsText" text="PEX BLOQUEADO">
      <formula>NOT(ISERROR(SEARCH("PEX BLOQUEADO",C2)))</formula>
    </cfRule>
    <cfRule type="containsText" dxfId="2699" priority="15490" operator="containsText" text="PEX DESAFILIADO">
      <formula>NOT(ISERROR(SEARCH("PEX DESAFILIADO",C2)))</formula>
    </cfRule>
    <cfRule type="containsText" dxfId="2698" priority="15491" operator="containsText" text="NO INSTALADO">
      <formula>NOT(ISERROR(SEARCH("NO INSTALADO",C2)))</formula>
    </cfRule>
    <cfRule type="cellIs" dxfId="2697" priority="15492" operator="equal">
      <formula>"NO"</formula>
    </cfRule>
    <cfRule type="containsText" dxfId="2696" priority="15493" operator="containsText" text="PEX BLOQUEADO">
      <formula>NOT(ISERROR(SEARCH("PEX BLOQUEADO",C2)))</formula>
    </cfRule>
    <cfRule type="containsText" dxfId="2695" priority="15494" operator="containsText" text="PEX DESAFILIADO">
      <formula>NOT(ISERROR(SEARCH("PEX DESAFILIADO",C2)))</formula>
    </cfRule>
    <cfRule type="containsText" dxfId="2694" priority="15495" operator="containsText" text="NO INSTALADO">
      <formula>NOT(ISERROR(SEARCH("NO INSTALADO",C2)))</formula>
    </cfRule>
    <cfRule type="cellIs" dxfId="2693" priority="15496" operator="equal">
      <formula>"NO"</formula>
    </cfRule>
    <cfRule type="containsText" dxfId="2692" priority="15497" operator="containsText" text="PEX BLOQUEADO">
      <formula>NOT(ISERROR(SEARCH("PEX BLOQUEADO",C2)))</formula>
    </cfRule>
    <cfRule type="containsText" dxfId="2691" priority="15498" operator="containsText" text="PEX DESAFILIADO">
      <formula>NOT(ISERROR(SEARCH("PEX DESAFILIADO",C2)))</formula>
    </cfRule>
  </conditionalFormatting>
  <conditionalFormatting sqref="C2:C11 C123 C130:C135 C144:C154 C197:C231 C272:C291">
    <cfRule type="containsText" dxfId="2690" priority="15417" operator="containsText" text="PEX BLOQUEADO">
      <formula>NOT(ISERROR(SEARCH("PEX BLOQUEADO",C2)))</formula>
    </cfRule>
    <cfRule type="containsText" dxfId="2689" priority="15418" operator="containsText" text="PEX DESAFILIADO">
      <formula>NOT(ISERROR(SEARCH("PEX DESAFILIADO",C2)))</formula>
    </cfRule>
    <cfRule type="containsText" dxfId="2688" priority="15419" operator="containsText" text="NO INSTALADO">
      <formula>NOT(ISERROR(SEARCH("NO INSTALADO",C2)))</formula>
    </cfRule>
    <cfRule type="cellIs" dxfId="2687" priority="15420" operator="equal">
      <formula>"NO"</formula>
    </cfRule>
    <cfRule type="containsText" dxfId="2686" priority="15421" operator="containsText" text="PEX BLOQUEADO">
      <formula>NOT(ISERROR(SEARCH("PEX BLOQUEADO",C2)))</formula>
    </cfRule>
    <cfRule type="containsText" dxfId="2685" priority="15422" operator="containsText" text="PEX DESAFILIADO">
      <formula>NOT(ISERROR(SEARCH("PEX DESAFILIADO",C2)))</formula>
    </cfRule>
    <cfRule type="containsText" dxfId="2684" priority="15423" operator="containsText" text="NO INSTALADO">
      <formula>NOT(ISERROR(SEARCH("NO INSTALADO",C2)))</formula>
    </cfRule>
    <cfRule type="cellIs" dxfId="2683" priority="15424" operator="equal">
      <formula>"NO"</formula>
    </cfRule>
    <cfRule type="containsText" dxfId="2682" priority="15425" operator="containsText" text="PEX BLOQUEADO">
      <formula>NOT(ISERROR(SEARCH("PEX BLOQUEADO",C2)))</formula>
    </cfRule>
    <cfRule type="containsText" dxfId="2681" priority="15426" operator="containsText" text="PEX DESAFILIADO">
      <formula>NOT(ISERROR(SEARCH("PEX DESAFILIADO",C2)))</formula>
    </cfRule>
    <cfRule type="containsText" dxfId="2680" priority="15427" operator="containsText" text="NO INSTALADO">
      <formula>NOT(ISERROR(SEARCH("NO INSTALADO",C2)))</formula>
    </cfRule>
    <cfRule type="cellIs" dxfId="2679" priority="15428" operator="equal">
      <formula>"NO"</formula>
    </cfRule>
    <cfRule type="containsText" dxfId="2678" priority="15429" operator="containsText" text="PEX BLOQUEADO">
      <formula>NOT(ISERROR(SEARCH("PEX BLOQUEADO",C2)))</formula>
    </cfRule>
    <cfRule type="containsText" dxfId="2677" priority="15430" operator="containsText" text="PEX DESAFILIADO">
      <formula>NOT(ISERROR(SEARCH("PEX DESAFILIADO",C2)))</formula>
    </cfRule>
    <cfRule type="containsText" dxfId="2676" priority="15431" operator="containsText" text="NO INSTALADO">
      <formula>NOT(ISERROR(SEARCH("NO INSTALADO",C2)))</formula>
    </cfRule>
    <cfRule type="cellIs" dxfId="2675" priority="15432" operator="equal">
      <formula>"NO"</formula>
    </cfRule>
    <cfRule type="containsText" dxfId="2674" priority="15433" operator="containsText" text="PEX BLOQUEADO">
      <formula>NOT(ISERROR(SEARCH("PEX BLOQUEADO",C2)))</formula>
    </cfRule>
    <cfRule type="containsText" dxfId="2673" priority="15434" operator="containsText" text="PEX DESAFILIADO">
      <formula>NOT(ISERROR(SEARCH("PEX DESAFILIADO",C2)))</formula>
    </cfRule>
    <cfRule type="containsText" dxfId="2672" priority="15435" operator="containsText" text="NO INSTALADO">
      <formula>NOT(ISERROR(SEARCH("NO INSTALADO",C2)))</formula>
    </cfRule>
    <cfRule type="cellIs" dxfId="2671" priority="15436" operator="equal">
      <formula>"NO"</formula>
    </cfRule>
    <cfRule type="containsText" dxfId="2670" priority="15437" operator="containsText" text="PEX BLOQUEADO">
      <formula>NOT(ISERROR(SEARCH("PEX BLOQUEADO",C2)))</formula>
    </cfRule>
    <cfRule type="containsText" dxfId="2669" priority="15438" operator="containsText" text="PEX DESAFILIADO">
      <formula>NOT(ISERROR(SEARCH("PEX DESAFILIADO",C2)))</formula>
    </cfRule>
    <cfRule type="containsText" dxfId="2668" priority="15439" operator="containsText" text="NO INSTALADO">
      <formula>NOT(ISERROR(SEARCH("NO INSTALADO",C2)))</formula>
    </cfRule>
    <cfRule type="cellIs" dxfId="2667" priority="15440" operator="equal">
      <formula>"NO"</formula>
    </cfRule>
    <cfRule type="containsText" dxfId="2666" priority="15441" operator="containsText" text="PEX BLOQUEADO">
      <formula>NOT(ISERROR(SEARCH("PEX BLOQUEADO",C2)))</formula>
    </cfRule>
    <cfRule type="containsText" dxfId="2665" priority="15442" operator="containsText" text="PEX DESAFILIADO">
      <formula>NOT(ISERROR(SEARCH("PEX DESAFILIADO",C2)))</formula>
    </cfRule>
    <cfRule type="containsText" dxfId="2664" priority="15443" operator="containsText" text="NO INSTALADO">
      <formula>NOT(ISERROR(SEARCH("NO INSTALADO",C2)))</formula>
    </cfRule>
    <cfRule type="cellIs" dxfId="2663" priority="15444" operator="equal">
      <formula>"NO"</formula>
    </cfRule>
    <cfRule type="containsText" dxfId="2662" priority="15445" operator="containsText" text="PEX BLOQUEADO">
      <formula>NOT(ISERROR(SEARCH("PEX BLOQUEADO",C2)))</formula>
    </cfRule>
    <cfRule type="containsText" dxfId="2661" priority="15446" operator="containsText" text="PEX DESAFILIADO">
      <formula>NOT(ISERROR(SEARCH("PEX DESAFILIADO",C2)))</formula>
    </cfRule>
    <cfRule type="containsText" dxfId="2660" priority="15447" operator="containsText" text="NO INSTALADO">
      <formula>NOT(ISERROR(SEARCH("NO INSTALADO",C2)))</formula>
    </cfRule>
    <cfRule type="cellIs" dxfId="2659" priority="15448" operator="equal">
      <formula>"NO"</formula>
    </cfRule>
    <cfRule type="containsText" dxfId="2658" priority="15449" operator="containsText" text="PEX BLOQUEADO">
      <formula>NOT(ISERROR(SEARCH("PEX BLOQUEADO",C2)))</formula>
    </cfRule>
    <cfRule type="containsText" dxfId="2657" priority="15450" operator="containsText" text="PEX DESAFILIADO">
      <formula>NOT(ISERROR(SEARCH("PEX DESAFILIADO",C2)))</formula>
    </cfRule>
    <cfRule type="containsText" dxfId="2656" priority="15451" operator="containsText" text="NO INSTALADO">
      <formula>NOT(ISERROR(SEARCH("NO INSTALADO",C2)))</formula>
    </cfRule>
    <cfRule type="cellIs" dxfId="2655" priority="15452" operator="equal">
      <formula>"NO"</formula>
    </cfRule>
    <cfRule type="containsText" dxfId="2654" priority="15453" operator="containsText" text="PEX BLOQUEADO">
      <formula>NOT(ISERROR(SEARCH("PEX BLOQUEADO",C2)))</formula>
    </cfRule>
    <cfRule type="containsText" dxfId="2653" priority="15454" operator="containsText" text="PEX DESAFILIADO">
      <formula>NOT(ISERROR(SEARCH("PEX DESAFILIADO",C2)))</formula>
    </cfRule>
    <cfRule type="containsText" dxfId="2652" priority="15455" operator="containsText" text="NO INSTALADO">
      <formula>NOT(ISERROR(SEARCH("NO INSTALADO",C2)))</formula>
    </cfRule>
    <cfRule type="cellIs" dxfId="2651" priority="15456" operator="equal">
      <formula>"NO"</formula>
    </cfRule>
    <cfRule type="containsText" dxfId="2650" priority="15457" operator="containsText" text="PEX BLOQUEADO">
      <formula>NOT(ISERROR(SEARCH("PEX BLOQUEADO",C2)))</formula>
    </cfRule>
    <cfRule type="containsText" dxfId="2649" priority="15458" operator="containsText" text="PEX DESAFILIADO">
      <formula>NOT(ISERROR(SEARCH("PEX DESAFILIADO",C2)))</formula>
    </cfRule>
    <cfRule type="containsText" dxfId="2648" priority="15459" operator="containsText" text="NO INSTALADO">
      <formula>NOT(ISERROR(SEARCH("NO INSTALADO",C2)))</formula>
    </cfRule>
    <cfRule type="cellIs" dxfId="2647" priority="15460" operator="equal">
      <formula>"NO"</formula>
    </cfRule>
    <cfRule type="containsText" dxfId="2646" priority="15461" operator="containsText" text="PEX BLOQUEADO">
      <formula>NOT(ISERROR(SEARCH("PEX BLOQUEADO",C2)))</formula>
    </cfRule>
    <cfRule type="containsText" dxfId="2645" priority="15462" operator="containsText" text="PEX DESAFILIADO">
      <formula>NOT(ISERROR(SEARCH("PEX DESAFILIADO",C2)))</formula>
    </cfRule>
    <cfRule type="containsText" dxfId="2644" priority="15463" operator="containsText" text="NO INSTALADO">
      <formula>NOT(ISERROR(SEARCH("NO INSTALADO",C2)))</formula>
    </cfRule>
    <cfRule type="cellIs" dxfId="2643" priority="15464" operator="equal">
      <formula>"NO"</formula>
    </cfRule>
    <cfRule type="containsText" dxfId="2642" priority="15465" operator="containsText" text="PEX BLOQUEADO">
      <formula>NOT(ISERROR(SEARCH("PEX BLOQUEADO",C2)))</formula>
    </cfRule>
    <cfRule type="containsText" dxfId="2641" priority="15466" operator="containsText" text="PEX DESAFILIADO">
      <formula>NOT(ISERROR(SEARCH("PEX DESAFILIADO",C2)))</formula>
    </cfRule>
    <cfRule type="containsText" dxfId="2640" priority="15467" operator="containsText" text="NO INSTALADO">
      <formula>NOT(ISERROR(SEARCH("NO INSTALADO",C2)))</formula>
    </cfRule>
    <cfRule type="cellIs" dxfId="2639" priority="15468" operator="equal">
      <formula>"NO"</formula>
    </cfRule>
    <cfRule type="containsText" dxfId="2638" priority="15469" operator="containsText" text="PEX BLOQUEADO">
      <formula>NOT(ISERROR(SEARCH("PEX BLOQUEADO",C2)))</formula>
    </cfRule>
    <cfRule type="containsText" dxfId="2637" priority="15470" operator="containsText" text="PEX DESAFILIADO">
      <formula>NOT(ISERROR(SEARCH("PEX DESAFILIADO",C2)))</formula>
    </cfRule>
    <cfRule type="containsText" dxfId="2636" priority="15471" operator="containsText" text="NO INSTALADO">
      <formula>NOT(ISERROR(SEARCH("NO INSTALADO",C2)))</formula>
    </cfRule>
    <cfRule type="cellIs" dxfId="2635" priority="15472" operator="equal">
      <formula>"NO"</formula>
    </cfRule>
    <cfRule type="containsText" dxfId="2634" priority="15473" operator="containsText" text="PEX BLOQUEADO">
      <formula>NOT(ISERROR(SEARCH("PEX BLOQUEADO",C2)))</formula>
    </cfRule>
    <cfRule type="containsText" dxfId="2633" priority="15474" operator="containsText" text="PEX DESAFILIADO">
      <formula>NOT(ISERROR(SEARCH("PEX DESAFILIADO",C2)))</formula>
    </cfRule>
    <cfRule type="containsText" dxfId="2632" priority="15475" operator="containsText" text="NO INSTALADO">
      <formula>NOT(ISERROR(SEARCH("NO INSTALADO",C2)))</formula>
    </cfRule>
    <cfRule type="cellIs" dxfId="2631" priority="15476" operator="equal">
      <formula>"NO"</formula>
    </cfRule>
    <cfRule type="containsText" dxfId="2630" priority="15477" operator="containsText" text="PEX BLOQUEADO">
      <formula>NOT(ISERROR(SEARCH("PEX BLOQUEADO",C2)))</formula>
    </cfRule>
    <cfRule type="containsText" dxfId="2629" priority="15478" operator="containsText" text="PEX DESAFILIADO">
      <formula>NOT(ISERROR(SEARCH("PEX DESAFILIADO",C2)))</formula>
    </cfRule>
    <cfRule type="containsText" dxfId="2628" priority="15479" operator="containsText" text="NO INSTALADO">
      <formula>NOT(ISERROR(SEARCH("NO INSTALADO",C2)))</formula>
    </cfRule>
    <cfRule type="cellIs" dxfId="2627" priority="15480" operator="equal">
      <formula>"NO"</formula>
    </cfRule>
    <cfRule type="containsText" dxfId="2626" priority="15481" operator="containsText" text="PEX BLOQUEADO">
      <formula>NOT(ISERROR(SEARCH("PEX BLOQUEADO",C2)))</formula>
    </cfRule>
    <cfRule type="containsText" dxfId="2625" priority="15482" operator="containsText" text="PEX DESAFILIADO">
      <formula>NOT(ISERROR(SEARCH("PEX DESAFILIADO",C2)))</formula>
    </cfRule>
    <cfRule type="containsText" dxfId="2624" priority="15483" operator="containsText" text="NO INSTALADO">
      <formula>NOT(ISERROR(SEARCH("NO INSTALADO",C2)))</formula>
    </cfRule>
    <cfRule type="containsText" dxfId="2623" priority="15402" operator="containsText" text="PEX DESAFILIADO">
      <formula>NOT(ISERROR(SEARCH("PEX DESAFILIADO",C2)))</formula>
    </cfRule>
    <cfRule type="containsText" dxfId="2622" priority="15261" operator="containsText" text="PEX BLOQUEADO">
      <formula>NOT(ISERROR(SEARCH("PEX BLOQUEADO",C2)))</formula>
    </cfRule>
    <cfRule type="containsText" dxfId="2621" priority="15262" operator="containsText" text="PEX DESAFILIADO">
      <formula>NOT(ISERROR(SEARCH("PEX DESAFILIADO",C2)))</formula>
    </cfRule>
    <cfRule type="containsText" dxfId="2620" priority="15263" operator="containsText" text="NO INSTALADO">
      <formula>NOT(ISERROR(SEARCH("NO INSTALADO",C2)))</formula>
    </cfRule>
    <cfRule type="cellIs" dxfId="2619" priority="15264" operator="equal">
      <formula>"NO"</formula>
    </cfRule>
    <cfRule type="containsText" dxfId="2618" priority="15265" operator="containsText" text="PEX BLOQUEADO">
      <formula>NOT(ISERROR(SEARCH("PEX BLOQUEADO",C2)))</formula>
    </cfRule>
    <cfRule type="containsText" dxfId="2617" priority="15266" operator="containsText" text="PEX DESAFILIADO">
      <formula>NOT(ISERROR(SEARCH("PEX DESAFILIADO",C2)))</formula>
    </cfRule>
    <cfRule type="containsText" dxfId="2616" priority="15267" operator="containsText" text="NO INSTALADO">
      <formula>NOT(ISERROR(SEARCH("NO INSTALADO",C2)))</formula>
    </cfRule>
    <cfRule type="cellIs" dxfId="2615" priority="15268" operator="equal">
      <formula>"NO"</formula>
    </cfRule>
    <cfRule type="containsText" dxfId="2614" priority="15269" operator="containsText" text="PEX BLOQUEADO">
      <formula>NOT(ISERROR(SEARCH("PEX BLOQUEADO",C2)))</formula>
    </cfRule>
    <cfRule type="containsText" dxfId="2613" priority="15270" operator="containsText" text="PEX DESAFILIADO">
      <formula>NOT(ISERROR(SEARCH("PEX DESAFILIADO",C2)))</formula>
    </cfRule>
    <cfRule type="containsText" dxfId="2612" priority="15271" operator="containsText" text="NO INSTALADO">
      <formula>NOT(ISERROR(SEARCH("NO INSTALADO",C2)))</formula>
    </cfRule>
    <cfRule type="cellIs" dxfId="2611" priority="15272" operator="equal">
      <formula>"NO"</formula>
    </cfRule>
    <cfRule type="containsText" dxfId="2610" priority="15273" operator="containsText" text="PEX BLOQUEADO">
      <formula>NOT(ISERROR(SEARCH("PEX BLOQUEADO",C2)))</formula>
    </cfRule>
    <cfRule type="containsText" dxfId="2609" priority="15274" operator="containsText" text="PEX DESAFILIADO">
      <formula>NOT(ISERROR(SEARCH("PEX DESAFILIADO",C2)))</formula>
    </cfRule>
    <cfRule type="containsText" dxfId="2608" priority="15275" operator="containsText" text="NO INSTALADO">
      <formula>NOT(ISERROR(SEARCH("NO INSTALADO",C2)))</formula>
    </cfRule>
    <cfRule type="cellIs" dxfId="2607" priority="15276" operator="equal">
      <formula>"NO"</formula>
    </cfRule>
    <cfRule type="containsText" dxfId="2606" priority="15277" operator="containsText" text="PEX BLOQUEADO">
      <formula>NOT(ISERROR(SEARCH("PEX BLOQUEADO",C2)))</formula>
    </cfRule>
    <cfRule type="containsText" dxfId="2605" priority="15278" operator="containsText" text="PEX DESAFILIADO">
      <formula>NOT(ISERROR(SEARCH("PEX DESAFILIADO",C2)))</formula>
    </cfRule>
    <cfRule type="containsText" dxfId="2604" priority="15279" operator="containsText" text="NO INSTALADO">
      <formula>NOT(ISERROR(SEARCH("NO INSTALADO",C2)))</formula>
    </cfRule>
    <cfRule type="cellIs" dxfId="2603" priority="15280" operator="equal">
      <formula>"NO"</formula>
    </cfRule>
    <cfRule type="containsText" dxfId="2602" priority="15281" operator="containsText" text="PEX BLOQUEADO">
      <formula>NOT(ISERROR(SEARCH("PEX BLOQUEADO",C2)))</formula>
    </cfRule>
    <cfRule type="containsText" dxfId="2601" priority="15282" operator="containsText" text="PEX DESAFILIADO">
      <formula>NOT(ISERROR(SEARCH("PEX DESAFILIADO",C2)))</formula>
    </cfRule>
    <cfRule type="containsText" dxfId="2600" priority="15283" operator="containsText" text="NO INSTALADO">
      <formula>NOT(ISERROR(SEARCH("NO INSTALADO",C2)))</formula>
    </cfRule>
    <cfRule type="cellIs" dxfId="2599" priority="15284" operator="equal">
      <formula>"NO"</formula>
    </cfRule>
    <cfRule type="containsText" dxfId="2598" priority="15285" operator="containsText" text="PEX BLOQUEADO">
      <formula>NOT(ISERROR(SEARCH("PEX BLOQUEADO",C2)))</formula>
    </cfRule>
    <cfRule type="containsText" dxfId="2597" priority="15286" operator="containsText" text="PEX DESAFILIADO">
      <formula>NOT(ISERROR(SEARCH("PEX DESAFILIADO",C2)))</formula>
    </cfRule>
    <cfRule type="containsText" dxfId="2596" priority="15287" operator="containsText" text="NO INSTALADO">
      <formula>NOT(ISERROR(SEARCH("NO INSTALADO",C2)))</formula>
    </cfRule>
    <cfRule type="cellIs" dxfId="2595" priority="15288" operator="equal">
      <formula>"NO"</formula>
    </cfRule>
    <cfRule type="containsText" dxfId="2594" priority="15289" operator="containsText" text="PEX BLOQUEADO">
      <formula>NOT(ISERROR(SEARCH("PEX BLOQUEADO",C2)))</formula>
    </cfRule>
    <cfRule type="containsText" dxfId="2593" priority="15290" operator="containsText" text="PEX DESAFILIADO">
      <formula>NOT(ISERROR(SEARCH("PEX DESAFILIADO",C2)))</formula>
    </cfRule>
    <cfRule type="containsText" dxfId="2592" priority="15291" operator="containsText" text="NO INSTALADO">
      <formula>NOT(ISERROR(SEARCH("NO INSTALADO",C2)))</formula>
    </cfRule>
    <cfRule type="cellIs" dxfId="2591" priority="15292" operator="equal">
      <formula>"NO"</formula>
    </cfRule>
    <cfRule type="containsText" dxfId="2590" priority="15293" operator="containsText" text="PEX BLOQUEADO">
      <formula>NOT(ISERROR(SEARCH("PEX BLOQUEADO",C2)))</formula>
    </cfRule>
    <cfRule type="containsText" dxfId="2589" priority="15294" operator="containsText" text="PEX DESAFILIADO">
      <formula>NOT(ISERROR(SEARCH("PEX DESAFILIADO",C2)))</formula>
    </cfRule>
    <cfRule type="containsText" dxfId="2588" priority="15295" operator="containsText" text="NO INSTALADO">
      <formula>NOT(ISERROR(SEARCH("NO INSTALADO",C2)))</formula>
    </cfRule>
    <cfRule type="cellIs" dxfId="2587" priority="15296" operator="equal">
      <formula>"NO"</formula>
    </cfRule>
    <cfRule type="containsText" dxfId="2586" priority="15297" operator="containsText" text="PEX BLOQUEADO">
      <formula>NOT(ISERROR(SEARCH("PEX BLOQUEADO",C2)))</formula>
    </cfRule>
    <cfRule type="containsText" dxfId="2585" priority="15298" operator="containsText" text="PEX DESAFILIADO">
      <formula>NOT(ISERROR(SEARCH("PEX DESAFILIADO",C2)))</formula>
    </cfRule>
    <cfRule type="containsText" dxfId="2584" priority="15299" operator="containsText" text="NO INSTALADO">
      <formula>NOT(ISERROR(SEARCH("NO INSTALADO",C2)))</formula>
    </cfRule>
    <cfRule type="containsText" dxfId="2583" priority="15301" operator="containsText" text="PEX BLOQUEADO">
      <formula>NOT(ISERROR(SEARCH("PEX BLOQUEADO",C2)))</formula>
    </cfRule>
    <cfRule type="containsText" dxfId="2582" priority="15302" operator="containsText" text="PEX DESAFILIADO">
      <formula>NOT(ISERROR(SEARCH("PEX DESAFILIADO",C2)))</formula>
    </cfRule>
    <cfRule type="containsText" dxfId="2581" priority="15303" operator="containsText" text="NO INSTALADO">
      <formula>NOT(ISERROR(SEARCH("NO INSTALADO",C2)))</formula>
    </cfRule>
    <cfRule type="cellIs" dxfId="2580" priority="15304" operator="equal">
      <formula>"NO"</formula>
    </cfRule>
    <cfRule type="containsText" dxfId="2579" priority="15305" operator="containsText" text="PEX BLOQUEADO">
      <formula>NOT(ISERROR(SEARCH("PEX BLOQUEADO",C2)))</formula>
    </cfRule>
    <cfRule type="containsText" dxfId="2578" priority="15306" operator="containsText" text="PEX DESAFILIADO">
      <formula>NOT(ISERROR(SEARCH("PEX DESAFILIADO",C2)))</formula>
    </cfRule>
    <cfRule type="containsText" dxfId="2577" priority="15307" operator="containsText" text="NO INSTALADO">
      <formula>NOT(ISERROR(SEARCH("NO INSTALADO",C2)))</formula>
    </cfRule>
    <cfRule type="cellIs" dxfId="2576" priority="15308" operator="equal">
      <formula>"NO"</formula>
    </cfRule>
    <cfRule type="containsText" dxfId="2575" priority="15309" operator="containsText" text="PEX BLOQUEADO">
      <formula>NOT(ISERROR(SEARCH("PEX BLOQUEADO",C2)))</formula>
    </cfRule>
    <cfRule type="containsText" dxfId="2574" priority="15310" operator="containsText" text="PEX DESAFILIADO">
      <formula>NOT(ISERROR(SEARCH("PEX DESAFILIADO",C2)))</formula>
    </cfRule>
    <cfRule type="containsText" dxfId="2573" priority="15311" operator="containsText" text="NO INSTALADO">
      <formula>NOT(ISERROR(SEARCH("NO INSTALADO",C2)))</formula>
    </cfRule>
    <cfRule type="cellIs" dxfId="2572" priority="15312" operator="equal">
      <formula>"NO"</formula>
    </cfRule>
    <cfRule type="containsText" dxfId="2571" priority="15313" operator="containsText" text="PEX BLOQUEADO">
      <formula>NOT(ISERROR(SEARCH("PEX BLOQUEADO",C2)))</formula>
    </cfRule>
    <cfRule type="containsText" dxfId="2570" priority="15314" operator="containsText" text="PEX DESAFILIADO">
      <formula>NOT(ISERROR(SEARCH("PEX DESAFILIADO",C2)))</formula>
    </cfRule>
    <cfRule type="containsText" dxfId="2569" priority="15315" operator="containsText" text="NO INSTALADO">
      <formula>NOT(ISERROR(SEARCH("NO INSTALADO",C2)))</formula>
    </cfRule>
    <cfRule type="cellIs" dxfId="2568" priority="15316" operator="equal">
      <formula>"NO"</formula>
    </cfRule>
    <cfRule type="containsText" dxfId="2567" priority="15317" operator="containsText" text="PEX BLOQUEADO">
      <formula>NOT(ISERROR(SEARCH("PEX BLOQUEADO",C2)))</formula>
    </cfRule>
    <cfRule type="containsText" dxfId="2566" priority="15318" operator="containsText" text="PEX DESAFILIADO">
      <formula>NOT(ISERROR(SEARCH("PEX DESAFILIADO",C2)))</formula>
    </cfRule>
    <cfRule type="containsText" dxfId="2565" priority="15319" operator="containsText" text="NO INSTALADO">
      <formula>NOT(ISERROR(SEARCH("NO INSTALADO",C2)))</formula>
    </cfRule>
    <cfRule type="cellIs" dxfId="2564" priority="15320" operator="equal">
      <formula>"NO"</formula>
    </cfRule>
    <cfRule type="containsText" dxfId="2563" priority="15321" operator="containsText" text="PEX BLOQUEADO">
      <formula>NOT(ISERROR(SEARCH("PEX BLOQUEADO",C2)))</formula>
    </cfRule>
    <cfRule type="containsText" dxfId="2562" priority="15322" operator="containsText" text="PEX DESAFILIADO">
      <formula>NOT(ISERROR(SEARCH("PEX DESAFILIADO",C2)))</formula>
    </cfRule>
    <cfRule type="containsText" dxfId="2561" priority="15323" operator="containsText" text="NO INSTALADO">
      <formula>NOT(ISERROR(SEARCH("NO INSTALADO",C2)))</formula>
    </cfRule>
    <cfRule type="cellIs" dxfId="2560" priority="15324" operator="equal">
      <formula>"NO"</formula>
    </cfRule>
    <cfRule type="containsText" dxfId="2559" priority="15325" operator="containsText" text="PEX BLOQUEADO">
      <formula>NOT(ISERROR(SEARCH("PEX BLOQUEADO",C2)))</formula>
    </cfRule>
    <cfRule type="containsText" dxfId="2558" priority="15326" operator="containsText" text="PEX DESAFILIADO">
      <formula>NOT(ISERROR(SEARCH("PEX DESAFILIADO",C2)))</formula>
    </cfRule>
    <cfRule type="containsText" dxfId="2557" priority="15327" operator="containsText" text="NO INSTALADO">
      <formula>NOT(ISERROR(SEARCH("NO INSTALADO",C2)))</formula>
    </cfRule>
    <cfRule type="cellIs" dxfId="2556" priority="15328" operator="equal">
      <formula>"NO"</formula>
    </cfRule>
    <cfRule type="containsText" dxfId="2555" priority="15329" operator="containsText" text="PEX BLOQUEADO">
      <formula>NOT(ISERROR(SEARCH("PEX BLOQUEADO",C2)))</formula>
    </cfRule>
    <cfRule type="containsText" dxfId="2554" priority="15330" operator="containsText" text="PEX DESAFILIADO">
      <formula>NOT(ISERROR(SEARCH("PEX DESAFILIADO",C2)))</formula>
    </cfRule>
    <cfRule type="containsText" dxfId="2553" priority="15331" operator="containsText" text="NO INSTALADO">
      <formula>NOT(ISERROR(SEARCH("NO INSTALADO",C2)))</formula>
    </cfRule>
    <cfRule type="cellIs" dxfId="2552" priority="15332" operator="equal">
      <formula>"NO"</formula>
    </cfRule>
    <cfRule type="containsText" dxfId="2551" priority="15333" operator="containsText" text="PEX BLOQUEADO">
      <formula>NOT(ISERROR(SEARCH("PEX BLOQUEADO",C2)))</formula>
    </cfRule>
    <cfRule type="containsText" dxfId="2550" priority="15334" operator="containsText" text="PEX DESAFILIADO">
      <formula>NOT(ISERROR(SEARCH("PEX DESAFILIADO",C2)))</formula>
    </cfRule>
    <cfRule type="containsText" dxfId="2549" priority="15335" operator="containsText" text="NO INSTALADO">
      <formula>NOT(ISERROR(SEARCH("NO INSTALADO",C2)))</formula>
    </cfRule>
    <cfRule type="cellIs" dxfId="2548" priority="15336" operator="equal">
      <formula>"NO"</formula>
    </cfRule>
    <cfRule type="containsText" dxfId="2547" priority="15337" operator="containsText" text="PEX BLOQUEADO">
      <formula>NOT(ISERROR(SEARCH("PEX BLOQUEADO",C2)))</formula>
    </cfRule>
    <cfRule type="containsText" dxfId="2546" priority="15338" operator="containsText" text="PEX DESAFILIADO">
      <formula>NOT(ISERROR(SEARCH("PEX DESAFILIADO",C2)))</formula>
    </cfRule>
    <cfRule type="containsText" dxfId="2545" priority="15339" operator="containsText" text="NO INSTALADO">
      <formula>NOT(ISERROR(SEARCH("NO INSTALADO",C2)))</formula>
    </cfRule>
    <cfRule type="cellIs" dxfId="2544" priority="15340" operator="equal">
      <formula>"NO"</formula>
    </cfRule>
    <cfRule type="containsText" dxfId="2543" priority="15341" operator="containsText" text="PEX BLOQUEADO">
      <formula>NOT(ISERROR(SEARCH("PEX BLOQUEADO",C2)))</formula>
    </cfRule>
    <cfRule type="containsText" dxfId="2542" priority="15342" operator="containsText" text="PEX DESAFILIADO">
      <formula>NOT(ISERROR(SEARCH("PEX DESAFILIADO",C2)))</formula>
    </cfRule>
    <cfRule type="containsText" dxfId="2541" priority="15343" operator="containsText" text="NO INSTALADO">
      <formula>NOT(ISERROR(SEARCH("NO INSTALADO",C2)))</formula>
    </cfRule>
    <cfRule type="cellIs" dxfId="2540" priority="15344" operator="equal">
      <formula>"NO"</formula>
    </cfRule>
    <cfRule type="containsText" dxfId="2539" priority="15345" operator="containsText" text="PEX BLOQUEADO">
      <formula>NOT(ISERROR(SEARCH("PEX BLOQUEADO",C2)))</formula>
    </cfRule>
    <cfRule type="containsText" dxfId="2538" priority="15346" operator="containsText" text="PEX DESAFILIADO">
      <formula>NOT(ISERROR(SEARCH("PEX DESAFILIADO",C2)))</formula>
    </cfRule>
    <cfRule type="containsText" dxfId="2537" priority="15347" operator="containsText" text="NO INSTALADO">
      <formula>NOT(ISERROR(SEARCH("NO INSTALADO",C2)))</formula>
    </cfRule>
    <cfRule type="cellIs" dxfId="2536" priority="15348" operator="equal">
      <formula>"NO"</formula>
    </cfRule>
    <cfRule type="containsText" dxfId="2535" priority="15349" operator="containsText" text="PEX BLOQUEADO">
      <formula>NOT(ISERROR(SEARCH("PEX BLOQUEADO",C2)))</formula>
    </cfRule>
    <cfRule type="containsText" dxfId="2534" priority="15350" operator="containsText" text="PEX DESAFILIADO">
      <formula>NOT(ISERROR(SEARCH("PEX DESAFILIADO",C2)))</formula>
    </cfRule>
    <cfRule type="containsText" dxfId="2533" priority="15351" operator="containsText" text="NO INSTALADO">
      <formula>NOT(ISERROR(SEARCH("NO INSTALADO",C2)))</formula>
    </cfRule>
    <cfRule type="cellIs" dxfId="2532" priority="15352" operator="equal">
      <formula>"NO"</formula>
    </cfRule>
    <cfRule type="containsText" dxfId="2531" priority="15353" operator="containsText" text="PEX BLOQUEADO">
      <formula>NOT(ISERROR(SEARCH("PEX BLOQUEADO",C2)))</formula>
    </cfRule>
    <cfRule type="containsText" dxfId="2530" priority="15354" operator="containsText" text="PEX DESAFILIADO">
      <formula>NOT(ISERROR(SEARCH("PEX DESAFILIADO",C2)))</formula>
    </cfRule>
    <cfRule type="containsText" dxfId="2529" priority="15355" operator="containsText" text="NO INSTALADO">
      <formula>NOT(ISERROR(SEARCH("NO INSTALADO",C2)))</formula>
    </cfRule>
    <cfRule type="cellIs" dxfId="2528" priority="15356" operator="equal">
      <formula>"NO"</formula>
    </cfRule>
    <cfRule type="containsText" dxfId="2527" priority="15357" operator="containsText" text="PEX BLOQUEADO">
      <formula>NOT(ISERROR(SEARCH("PEX BLOQUEADO",C2)))</formula>
    </cfRule>
    <cfRule type="containsText" dxfId="2526" priority="15358" operator="containsText" text="PEX DESAFILIADO">
      <formula>NOT(ISERROR(SEARCH("PEX DESAFILIADO",C2)))</formula>
    </cfRule>
    <cfRule type="containsText" dxfId="2525" priority="15359" operator="containsText" text="NO INSTALADO">
      <formula>NOT(ISERROR(SEARCH("NO INSTALADO",C2)))</formula>
    </cfRule>
    <cfRule type="cellIs" dxfId="2524" priority="15360" operator="equal">
      <formula>"NO"</formula>
    </cfRule>
    <cfRule type="containsText" dxfId="2523" priority="15361" operator="containsText" text="PEX BLOQUEADO">
      <formula>NOT(ISERROR(SEARCH("PEX BLOQUEADO",C2)))</formula>
    </cfRule>
    <cfRule type="containsText" dxfId="2522" priority="15362" operator="containsText" text="PEX DESAFILIADO">
      <formula>NOT(ISERROR(SEARCH("PEX DESAFILIADO",C2)))</formula>
    </cfRule>
    <cfRule type="containsText" dxfId="2521" priority="15363" operator="containsText" text="NO INSTALADO">
      <formula>NOT(ISERROR(SEARCH("NO INSTALADO",C2)))</formula>
    </cfRule>
    <cfRule type="cellIs" dxfId="2520" priority="15364" operator="equal">
      <formula>"NO"</formula>
    </cfRule>
    <cfRule type="containsText" dxfId="2519" priority="15365" operator="containsText" text="PEX BLOQUEADO">
      <formula>NOT(ISERROR(SEARCH("PEX BLOQUEADO",C2)))</formula>
    </cfRule>
    <cfRule type="containsText" dxfId="2518" priority="15366" operator="containsText" text="PEX DESAFILIADO">
      <formula>NOT(ISERROR(SEARCH("PEX DESAFILIADO",C2)))</formula>
    </cfRule>
    <cfRule type="containsText" dxfId="2517" priority="15367" operator="containsText" text="NO INSTALADO">
      <formula>NOT(ISERROR(SEARCH("NO INSTALADO",C2)))</formula>
    </cfRule>
    <cfRule type="cellIs" dxfId="2516" priority="15368" operator="equal">
      <formula>"NO"</formula>
    </cfRule>
    <cfRule type="containsText" dxfId="2515" priority="15369" operator="containsText" text="PEX BLOQUEADO">
      <formula>NOT(ISERROR(SEARCH("PEX BLOQUEADO",C2)))</formula>
    </cfRule>
    <cfRule type="containsText" dxfId="2514" priority="15370" operator="containsText" text="PEX DESAFILIADO">
      <formula>NOT(ISERROR(SEARCH("PEX DESAFILIADO",C2)))</formula>
    </cfRule>
    <cfRule type="containsText" dxfId="2513" priority="15371" operator="containsText" text="NO INSTALADO">
      <formula>NOT(ISERROR(SEARCH("NO INSTALADO",C2)))</formula>
    </cfRule>
    <cfRule type="cellIs" dxfId="2512" priority="15372" operator="equal">
      <formula>"NO"</formula>
    </cfRule>
    <cfRule type="containsText" dxfId="2511" priority="15373" operator="containsText" text="PEX BLOQUEADO">
      <formula>NOT(ISERROR(SEARCH("PEX BLOQUEADO",C2)))</formula>
    </cfRule>
    <cfRule type="containsText" dxfId="2510" priority="15374" operator="containsText" text="PEX DESAFILIADO">
      <formula>NOT(ISERROR(SEARCH("PEX DESAFILIADO",C2)))</formula>
    </cfRule>
    <cfRule type="containsText" dxfId="2509" priority="15375" operator="containsText" text="NO INSTALADO">
      <formula>NOT(ISERROR(SEARCH("NO INSTALADO",C2)))</formula>
    </cfRule>
    <cfRule type="cellIs" dxfId="2508" priority="15376" operator="equal">
      <formula>"NO"</formula>
    </cfRule>
    <cfRule type="containsText" dxfId="2507" priority="15377" operator="containsText" text="PEX BLOQUEADO">
      <formula>NOT(ISERROR(SEARCH("PEX BLOQUEADO",C2)))</formula>
    </cfRule>
    <cfRule type="containsText" dxfId="2506" priority="15378" operator="containsText" text="PEX DESAFILIADO">
      <formula>NOT(ISERROR(SEARCH("PEX DESAFILIADO",C2)))</formula>
    </cfRule>
    <cfRule type="containsText" dxfId="2505" priority="15379" operator="containsText" text="NO INSTALADO">
      <formula>NOT(ISERROR(SEARCH("NO INSTALADO",C2)))</formula>
    </cfRule>
    <cfRule type="cellIs" dxfId="2504" priority="15380" operator="equal">
      <formula>"NO"</formula>
    </cfRule>
    <cfRule type="containsText" dxfId="2503" priority="15381" operator="containsText" text="PEX BLOQUEADO">
      <formula>NOT(ISERROR(SEARCH("PEX BLOQUEADO",C2)))</formula>
    </cfRule>
    <cfRule type="containsText" dxfId="2502" priority="15382" operator="containsText" text="PEX DESAFILIADO">
      <formula>NOT(ISERROR(SEARCH("PEX DESAFILIADO",C2)))</formula>
    </cfRule>
    <cfRule type="containsText" dxfId="2501" priority="15383" operator="containsText" text="NO INSTALADO">
      <formula>NOT(ISERROR(SEARCH("NO INSTALADO",C2)))</formula>
    </cfRule>
    <cfRule type="cellIs" dxfId="2500" priority="15384" operator="equal">
      <formula>"NO"</formula>
    </cfRule>
    <cfRule type="containsText" dxfId="2499" priority="15385" operator="containsText" text="PEX BLOQUEADO">
      <formula>NOT(ISERROR(SEARCH("PEX BLOQUEADO",C2)))</formula>
    </cfRule>
    <cfRule type="containsText" dxfId="2498" priority="15386" operator="containsText" text="PEX DESAFILIADO">
      <formula>NOT(ISERROR(SEARCH("PEX DESAFILIADO",C2)))</formula>
    </cfRule>
    <cfRule type="containsText" dxfId="2497" priority="15387" operator="containsText" text="NO INSTALADO">
      <formula>NOT(ISERROR(SEARCH("NO INSTALADO",C2)))</formula>
    </cfRule>
    <cfRule type="cellIs" dxfId="2496" priority="15388" operator="equal">
      <formula>"NO"</formula>
    </cfRule>
    <cfRule type="containsText" dxfId="2495" priority="15389" operator="containsText" text="PEX BLOQUEADO">
      <formula>NOT(ISERROR(SEARCH("PEX BLOQUEADO",C2)))</formula>
    </cfRule>
    <cfRule type="containsText" dxfId="2494" priority="15390" operator="containsText" text="PEX DESAFILIADO">
      <formula>NOT(ISERROR(SEARCH("PEX DESAFILIADO",C2)))</formula>
    </cfRule>
    <cfRule type="containsText" dxfId="2493" priority="15391" operator="containsText" text="NO INSTALADO">
      <formula>NOT(ISERROR(SEARCH("NO INSTALADO",C2)))</formula>
    </cfRule>
    <cfRule type="cellIs" dxfId="2492" priority="15392" operator="equal">
      <formula>"NO"</formula>
    </cfRule>
    <cfRule type="containsText" dxfId="2491" priority="15393" operator="containsText" text="PEX BLOQUEADO">
      <formula>NOT(ISERROR(SEARCH("PEX BLOQUEADO",C2)))</formula>
    </cfRule>
    <cfRule type="containsText" dxfId="2490" priority="15394" operator="containsText" text="PEX DESAFILIADO">
      <formula>NOT(ISERROR(SEARCH("PEX DESAFILIADO",C2)))</formula>
    </cfRule>
    <cfRule type="containsText" dxfId="2489" priority="15395" operator="containsText" text="NO INSTALADO">
      <formula>NOT(ISERROR(SEARCH("NO INSTALADO",C2)))</formula>
    </cfRule>
    <cfRule type="cellIs" dxfId="2488" priority="15396" operator="equal">
      <formula>"NO"</formula>
    </cfRule>
    <cfRule type="containsText" dxfId="2487" priority="15397" operator="containsText" text="PEX BLOQUEADO">
      <formula>NOT(ISERROR(SEARCH("PEX BLOQUEADO",C2)))</formula>
    </cfRule>
    <cfRule type="containsText" dxfId="2486" priority="15398" operator="containsText" text="PEX DESAFILIADO">
      <formula>NOT(ISERROR(SEARCH("PEX DESAFILIADO",C2)))</formula>
    </cfRule>
    <cfRule type="containsText" dxfId="2485" priority="15399" operator="containsText" text="NO INSTALADO">
      <formula>NOT(ISERROR(SEARCH("NO INSTALADO",C2)))</formula>
    </cfRule>
    <cfRule type="cellIs" dxfId="2484" priority="15400" operator="equal">
      <formula>"NO"</formula>
    </cfRule>
    <cfRule type="containsText" dxfId="2483" priority="15401" operator="containsText" text="PEX BLOQUEADO">
      <formula>NOT(ISERROR(SEARCH("PEX BLOQUEADO",C2)))</formula>
    </cfRule>
    <cfRule type="cellIs" dxfId="2482" priority="15300" operator="equal">
      <formula>"NO"</formula>
    </cfRule>
    <cfRule type="containsText" dxfId="2481" priority="15403" operator="containsText" text="NO INSTALADO">
      <formula>NOT(ISERROR(SEARCH("NO INSTALADO",C2)))</formula>
    </cfRule>
    <cfRule type="cellIs" dxfId="2480" priority="15404" operator="equal">
      <formula>"NO"</formula>
    </cfRule>
    <cfRule type="containsText" dxfId="2479" priority="15405" operator="containsText" text="PEX BLOQUEADO">
      <formula>NOT(ISERROR(SEARCH("PEX BLOQUEADO",C2)))</formula>
    </cfRule>
    <cfRule type="containsText" dxfId="2478" priority="15406" operator="containsText" text="PEX DESAFILIADO">
      <formula>NOT(ISERROR(SEARCH("PEX DESAFILIADO",C2)))</formula>
    </cfRule>
    <cfRule type="containsText" dxfId="2477" priority="15407" operator="containsText" text="NO INSTALADO">
      <formula>NOT(ISERROR(SEARCH("NO INSTALADO",C2)))</formula>
    </cfRule>
    <cfRule type="cellIs" dxfId="2476" priority="15408" operator="equal">
      <formula>"NO"</formula>
    </cfRule>
    <cfRule type="containsText" dxfId="2475" priority="15409" operator="containsText" text="PEX BLOQUEADO">
      <formula>NOT(ISERROR(SEARCH("PEX BLOQUEADO",C2)))</formula>
    </cfRule>
    <cfRule type="containsText" dxfId="2474" priority="15410" operator="containsText" text="PEX DESAFILIADO">
      <formula>NOT(ISERROR(SEARCH("PEX DESAFILIADO",C2)))</formula>
    </cfRule>
    <cfRule type="containsText" dxfId="2473" priority="15411" operator="containsText" text="NO INSTALADO">
      <formula>NOT(ISERROR(SEARCH("NO INSTALADO",C2)))</formula>
    </cfRule>
    <cfRule type="cellIs" dxfId="2472" priority="15412" operator="equal">
      <formula>"NO"</formula>
    </cfRule>
    <cfRule type="containsText" dxfId="2471" priority="15413" operator="containsText" text="PEX BLOQUEADO">
      <formula>NOT(ISERROR(SEARCH("PEX BLOQUEADO",C2)))</formula>
    </cfRule>
    <cfRule type="containsText" dxfId="2470" priority="15414" operator="containsText" text="PEX DESAFILIADO">
      <formula>NOT(ISERROR(SEARCH("PEX DESAFILIADO",C2)))</formula>
    </cfRule>
    <cfRule type="containsText" dxfId="2469" priority="15415" operator="containsText" text="NO INSTALADO">
      <formula>NOT(ISERROR(SEARCH("NO INSTALADO",C2)))</formula>
    </cfRule>
    <cfRule type="cellIs" dxfId="2468" priority="15416" operator="equal">
      <formula>"NO"</formula>
    </cfRule>
  </conditionalFormatting>
  <conditionalFormatting sqref="C2:C11 C123">
    <cfRule type="cellIs" dxfId="2467" priority="15237" operator="equal">
      <formula>"NO"</formula>
    </cfRule>
    <cfRule type="cellIs" dxfId="2466" priority="15225" operator="equal">
      <formula>"NO"</formula>
    </cfRule>
    <cfRule type="containsText" dxfId="2465" priority="15224" operator="containsText" text="NO INSTALADO">
      <formula>NOT(ISERROR(SEARCH("NO INSTALADO",C2)))</formula>
    </cfRule>
    <cfRule type="containsText" dxfId="2464" priority="15222" operator="containsText" text="PEX BLOQUEADO">
      <formula>NOT(ISERROR(SEARCH("PEX BLOQUEADO",C2)))</formula>
    </cfRule>
    <cfRule type="cellIs" dxfId="2463" priority="15221" operator="equal">
      <formula>"NO"</formula>
    </cfRule>
    <cfRule type="containsText" dxfId="2462" priority="15220" operator="containsText" text="NO INSTALADO">
      <formula>NOT(ISERROR(SEARCH("NO INSTALADO",C2)))</formula>
    </cfRule>
    <cfRule type="containsText" dxfId="2461" priority="15219" operator="containsText" text="PEX DESAFILIADO">
      <formula>NOT(ISERROR(SEARCH("PEX DESAFILIADO",C2)))</formula>
    </cfRule>
    <cfRule type="containsText" dxfId="2460" priority="15218" operator="containsText" text="PEX BLOQUEADO">
      <formula>NOT(ISERROR(SEARCH("PEX BLOQUEADO",C2)))</formula>
    </cfRule>
    <cfRule type="cellIs" dxfId="2459" priority="15217" operator="equal">
      <formula>"NO"</formula>
    </cfRule>
    <cfRule type="containsText" dxfId="2458" priority="15216" operator="containsText" text="NO INSTALADO">
      <formula>NOT(ISERROR(SEARCH("NO INSTALADO",C2)))</formula>
    </cfRule>
    <cfRule type="containsText" dxfId="2457" priority="15215" operator="containsText" text="PEX DESAFILIADO">
      <formula>NOT(ISERROR(SEARCH("PEX DESAFILIADO",C2)))</formula>
    </cfRule>
    <cfRule type="containsText" dxfId="2456" priority="15214" operator="containsText" text="PEX BLOQUEADO">
      <formula>NOT(ISERROR(SEARCH("PEX BLOQUEADO",C2)))</formula>
    </cfRule>
    <cfRule type="cellIs" dxfId="2455" priority="15213" operator="equal">
      <formula>"NO"</formula>
    </cfRule>
    <cfRule type="containsText" dxfId="2454" priority="15212" operator="containsText" text="NO INSTALADO">
      <formula>NOT(ISERROR(SEARCH("NO INSTALADO",C2)))</formula>
    </cfRule>
    <cfRule type="containsText" dxfId="2453" priority="15211" operator="containsText" text="PEX DESAFILIADO">
      <formula>NOT(ISERROR(SEARCH("PEX DESAFILIADO",C2)))</formula>
    </cfRule>
    <cfRule type="containsText" dxfId="2452" priority="15210" operator="containsText" text="PEX BLOQUEADO">
      <formula>NOT(ISERROR(SEARCH("PEX BLOQUEADO",C2)))</formula>
    </cfRule>
    <cfRule type="cellIs" dxfId="2451" priority="15209" operator="equal">
      <formula>"NO"</formula>
    </cfRule>
    <cfRule type="containsText" dxfId="2450" priority="15208" operator="containsText" text="NO INSTALADO">
      <formula>NOT(ISERROR(SEARCH("NO INSTALADO",C2)))</formula>
    </cfRule>
    <cfRule type="containsText" dxfId="2449" priority="15207" operator="containsText" text="PEX DESAFILIADO">
      <formula>NOT(ISERROR(SEARCH("PEX DESAFILIADO",C2)))</formula>
    </cfRule>
    <cfRule type="containsText" dxfId="2448" priority="15206" operator="containsText" text="PEX BLOQUEADO">
      <formula>NOT(ISERROR(SEARCH("PEX BLOQUEADO",C2)))</formula>
    </cfRule>
    <cfRule type="cellIs" dxfId="2447" priority="15205" operator="equal">
      <formula>"NO"</formula>
    </cfRule>
    <cfRule type="containsText" dxfId="2446" priority="15204" operator="containsText" text="NO INSTALADO">
      <formula>NOT(ISERROR(SEARCH("NO INSTALADO",C2)))</formula>
    </cfRule>
    <cfRule type="containsText" dxfId="2445" priority="15203" operator="containsText" text="PEX DESAFILIADO">
      <formula>NOT(ISERROR(SEARCH("PEX DESAFILIADO",C2)))</formula>
    </cfRule>
    <cfRule type="containsText" dxfId="2444" priority="15202" operator="containsText" text="PEX BLOQUEADO">
      <formula>NOT(ISERROR(SEARCH("PEX BLOQUEADO",C2)))</formula>
    </cfRule>
    <cfRule type="cellIs" dxfId="2443" priority="15201" operator="equal">
      <formula>"NO"</formula>
    </cfRule>
    <cfRule type="containsText" dxfId="2442" priority="15200" operator="containsText" text="NO INSTALADO">
      <formula>NOT(ISERROR(SEARCH("NO INSTALADO",C2)))</formula>
    </cfRule>
    <cfRule type="containsText" dxfId="2441" priority="15199" operator="containsText" text="PEX DESAFILIADO">
      <formula>NOT(ISERROR(SEARCH("PEX DESAFILIADO",C2)))</formula>
    </cfRule>
    <cfRule type="containsText" dxfId="2440" priority="15198" operator="containsText" text="PEX BLOQUEADO">
      <formula>NOT(ISERROR(SEARCH("PEX BLOQUEADO",C2)))</formula>
    </cfRule>
    <cfRule type="cellIs" dxfId="2439" priority="15197" operator="equal">
      <formula>"NO"</formula>
    </cfRule>
    <cfRule type="containsText" dxfId="2438" priority="15196" operator="containsText" text="NO INSTALADO">
      <formula>NOT(ISERROR(SEARCH("NO INSTALADO",C2)))</formula>
    </cfRule>
    <cfRule type="containsText" dxfId="2437" priority="15195" operator="containsText" text="PEX DESAFILIADO">
      <formula>NOT(ISERROR(SEARCH("PEX DESAFILIADO",C2)))</formula>
    </cfRule>
    <cfRule type="containsText" dxfId="2436" priority="15194" operator="containsText" text="PEX BLOQUEADO">
      <formula>NOT(ISERROR(SEARCH("PEX BLOQUEADO",C2)))</formula>
    </cfRule>
    <cfRule type="cellIs" dxfId="2435" priority="15193" operator="equal">
      <formula>"NO"</formula>
    </cfRule>
    <cfRule type="containsText" dxfId="2434" priority="15192" operator="containsText" text="NO INSTALADO">
      <formula>NOT(ISERROR(SEARCH("NO INSTALADO",C2)))</formula>
    </cfRule>
    <cfRule type="containsText" dxfId="2433" priority="15191" operator="containsText" text="PEX DESAFILIADO">
      <formula>NOT(ISERROR(SEARCH("PEX DESAFILIADO",C2)))</formula>
    </cfRule>
    <cfRule type="containsText" dxfId="2432" priority="15190" operator="containsText" text="PEX BLOQUEADO">
      <formula>NOT(ISERROR(SEARCH("PEX BLOQUEADO",C2)))</formula>
    </cfRule>
    <cfRule type="cellIs" dxfId="2431" priority="15189" operator="equal">
      <formula>"NO"</formula>
    </cfRule>
    <cfRule type="containsText" dxfId="2430" priority="15188" operator="containsText" text="NO INSTALADO">
      <formula>NOT(ISERROR(SEARCH("NO INSTALADO",C2)))</formula>
    </cfRule>
    <cfRule type="containsText" dxfId="2429" priority="15187" operator="containsText" text="PEX DESAFILIADO">
      <formula>NOT(ISERROR(SEARCH("PEX DESAFILIADO",C2)))</formula>
    </cfRule>
    <cfRule type="containsText" dxfId="2428" priority="15186" operator="containsText" text="PEX BLOQUEADO">
      <formula>NOT(ISERROR(SEARCH("PEX BLOQUEADO",C2)))</formula>
    </cfRule>
    <cfRule type="cellIs" dxfId="2427" priority="15185" operator="equal">
      <formula>"NO"</formula>
    </cfRule>
    <cfRule type="containsText" dxfId="2426" priority="15184" operator="containsText" text="NO INSTALADO">
      <formula>NOT(ISERROR(SEARCH("NO INSTALADO",C2)))</formula>
    </cfRule>
    <cfRule type="containsText" dxfId="2425" priority="15183" operator="containsText" text="PEX DESAFILIADO">
      <formula>NOT(ISERROR(SEARCH("PEX DESAFILIADO",C2)))</formula>
    </cfRule>
    <cfRule type="containsText" dxfId="2424" priority="15182" operator="containsText" text="PEX BLOQUEADO">
      <formula>NOT(ISERROR(SEARCH("PEX BLOQUEADO",C2)))</formula>
    </cfRule>
    <cfRule type="cellIs" dxfId="2423" priority="15181" operator="equal">
      <formula>"NO"</formula>
    </cfRule>
    <cfRule type="containsText" dxfId="2422" priority="15180" operator="containsText" text="NO INSTALADO">
      <formula>NOT(ISERROR(SEARCH("NO INSTALADO",C2)))</formula>
    </cfRule>
    <cfRule type="containsText" dxfId="2421" priority="15179" operator="containsText" text="PEX DESAFILIADO">
      <formula>NOT(ISERROR(SEARCH("PEX DESAFILIADO",C2)))</formula>
    </cfRule>
    <cfRule type="containsText" dxfId="2420" priority="15178" operator="containsText" text="PEX BLOQUEADO">
      <formula>NOT(ISERROR(SEARCH("PEX BLOQUEADO",C2)))</formula>
    </cfRule>
    <cfRule type="containsText" dxfId="2419" priority="15226" operator="containsText" text="PEX BLOQUEADO">
      <formula>NOT(ISERROR(SEARCH("PEX BLOQUEADO",C2)))</formula>
    </cfRule>
    <cfRule type="containsText" dxfId="2418" priority="15238" operator="containsText" text="PEX BLOQUEADO">
      <formula>NOT(ISERROR(SEARCH("PEX BLOQUEADO",C2)))</formula>
    </cfRule>
    <cfRule type="containsText" dxfId="2417" priority="15223" operator="containsText" text="PEX DESAFILIADO">
      <formula>NOT(ISERROR(SEARCH("PEX DESAFILIADO",C2)))</formula>
    </cfRule>
    <cfRule type="containsText" dxfId="2416" priority="15256" operator="containsText" text="NO INSTALADO">
      <formula>NOT(ISERROR(SEARCH("NO INSTALADO",C2)))</formula>
    </cfRule>
    <cfRule type="containsText" dxfId="2415" priority="15255" operator="containsText" text="PEX DESAFILIADO">
      <formula>NOT(ISERROR(SEARCH("PEX DESAFILIADO",C2)))</formula>
    </cfRule>
    <cfRule type="containsText" dxfId="2414" priority="15254" operator="containsText" text="PEX BLOQUEADO">
      <formula>NOT(ISERROR(SEARCH("PEX BLOQUEADO",C2)))</formula>
    </cfRule>
    <cfRule type="cellIs" dxfId="2413" priority="15253" operator="equal">
      <formula>"NO"</formula>
    </cfRule>
    <cfRule type="containsText" dxfId="2412" priority="15252" operator="containsText" text="NO INSTALADO">
      <formula>NOT(ISERROR(SEARCH("NO INSTALADO",C2)))</formula>
    </cfRule>
    <cfRule type="containsText" dxfId="2411" priority="15251" operator="containsText" text="PEX DESAFILIADO">
      <formula>NOT(ISERROR(SEARCH("PEX DESAFILIADO",C2)))</formula>
    </cfRule>
    <cfRule type="containsText" dxfId="2410" priority="15250" operator="containsText" text="PEX BLOQUEADO">
      <formula>NOT(ISERROR(SEARCH("PEX BLOQUEADO",C2)))</formula>
    </cfRule>
    <cfRule type="cellIs" dxfId="2409" priority="15249" operator="equal">
      <formula>"NO"</formula>
    </cfRule>
    <cfRule type="containsText" dxfId="2408" priority="15248" operator="containsText" text="NO INSTALADO">
      <formula>NOT(ISERROR(SEARCH("NO INSTALADO",C2)))</formula>
    </cfRule>
    <cfRule type="containsText" dxfId="2407" priority="15247" operator="containsText" text="PEX DESAFILIADO">
      <formula>NOT(ISERROR(SEARCH("PEX DESAFILIADO",C2)))</formula>
    </cfRule>
    <cfRule type="containsText" dxfId="2406" priority="15246" operator="containsText" text="PEX BLOQUEADO">
      <formula>NOT(ISERROR(SEARCH("PEX BLOQUEADO",C2)))</formula>
    </cfRule>
    <cfRule type="cellIs" dxfId="2405" priority="15245" operator="equal">
      <formula>"NO"</formula>
    </cfRule>
    <cfRule type="containsText" dxfId="2404" priority="15244" operator="containsText" text="NO INSTALADO">
      <formula>NOT(ISERROR(SEARCH("NO INSTALADO",C2)))</formula>
    </cfRule>
    <cfRule type="containsText" dxfId="2403" priority="15243" operator="containsText" text="PEX DESAFILIADO">
      <formula>NOT(ISERROR(SEARCH("PEX DESAFILIADO",C2)))</formula>
    </cfRule>
    <cfRule type="containsText" dxfId="2402" priority="15242" operator="containsText" text="PEX BLOQUEADO">
      <formula>NOT(ISERROR(SEARCH("PEX BLOQUEADO",C2)))</formula>
    </cfRule>
    <cfRule type="cellIs" dxfId="2401" priority="15241" operator="equal">
      <formula>"NO"</formula>
    </cfRule>
    <cfRule type="containsText" dxfId="2400" priority="15240" operator="containsText" text="NO INSTALADO">
      <formula>NOT(ISERROR(SEARCH("NO INSTALADO",C2)))</formula>
    </cfRule>
    <cfRule type="containsText" dxfId="2399" priority="15239" operator="containsText" text="PEX DESAFILIADO">
      <formula>NOT(ISERROR(SEARCH("PEX DESAFILIADO",C2)))</formula>
    </cfRule>
    <cfRule type="containsText" dxfId="2398" priority="15236" operator="containsText" text="NO INSTALADO">
      <formula>NOT(ISERROR(SEARCH("NO INSTALADO",C2)))</formula>
    </cfRule>
    <cfRule type="containsText" dxfId="2397" priority="15235" operator="containsText" text="PEX DESAFILIADO">
      <formula>NOT(ISERROR(SEARCH("PEX DESAFILIADO",C2)))</formula>
    </cfRule>
    <cfRule type="containsText" dxfId="2396" priority="15234" operator="containsText" text="PEX BLOQUEADO">
      <formula>NOT(ISERROR(SEARCH("PEX BLOQUEADO",C2)))</formula>
    </cfRule>
    <cfRule type="cellIs" dxfId="2395" priority="15233" operator="equal">
      <formula>"NO"</formula>
    </cfRule>
    <cfRule type="containsText" dxfId="2394" priority="15232" operator="containsText" text="NO INSTALADO">
      <formula>NOT(ISERROR(SEARCH("NO INSTALADO",C2)))</formula>
    </cfRule>
    <cfRule type="containsText" dxfId="2393" priority="15231" operator="containsText" text="PEX DESAFILIADO">
      <formula>NOT(ISERROR(SEARCH("PEX DESAFILIADO",C2)))</formula>
    </cfRule>
    <cfRule type="containsText" dxfId="2392" priority="15230" operator="containsText" text="PEX BLOQUEADO">
      <formula>NOT(ISERROR(SEARCH("PEX BLOQUEADO",C2)))</formula>
    </cfRule>
    <cfRule type="cellIs" dxfId="2391" priority="15229" operator="equal">
      <formula>"NO"</formula>
    </cfRule>
    <cfRule type="containsText" dxfId="2390" priority="15228" operator="containsText" text="NO INSTALADO">
      <formula>NOT(ISERROR(SEARCH("NO INSTALADO",C2)))</formula>
    </cfRule>
    <cfRule type="containsText" dxfId="2389" priority="15227" operator="containsText" text="PEX DESAFILIADO">
      <formula>NOT(ISERROR(SEARCH("PEX DESAFILIADO",C2)))</formula>
    </cfRule>
  </conditionalFormatting>
  <conditionalFormatting sqref="C2:C11 C130:C135 C144:C154 C197:C231 C272:C291">
    <cfRule type="containsText" dxfId="2388" priority="15159" operator="containsText" text="NO INSTALADO">
      <formula>NOT(ISERROR(SEARCH("NO INSTALADO",C2)))</formula>
    </cfRule>
    <cfRule type="containsText" dxfId="2387" priority="15157" operator="containsText" text="PEX BLOQUEADO">
      <formula>NOT(ISERROR(SEARCH("PEX BLOQUEADO",C2)))</formula>
    </cfRule>
    <cfRule type="containsText" dxfId="2386" priority="15158" operator="containsText" text="PEX DESAFILIADO">
      <formula>NOT(ISERROR(SEARCH("PEX DESAFILIADO",C2)))</formula>
    </cfRule>
  </conditionalFormatting>
  <conditionalFormatting sqref="C2:C11 C272:C276">
    <cfRule type="containsText" dxfId="2385" priority="15161" operator="containsText" text="PEX BLOQUEADO">
      <formula>NOT(ISERROR(SEARCH("PEX BLOQUEADO",C2)))</formula>
    </cfRule>
    <cfRule type="cellIs" dxfId="2384" priority="15160" operator="equal">
      <formula>"NO"</formula>
    </cfRule>
    <cfRule type="containsText" dxfId="2383" priority="15174" operator="containsText" text="PEX DESAFILIADO">
      <formula>NOT(ISERROR(SEARCH("PEX DESAFILIADO",C2)))</formula>
    </cfRule>
    <cfRule type="containsText" dxfId="2382" priority="15173" operator="containsText" text="PEX BLOQUEADO">
      <formula>NOT(ISERROR(SEARCH("PEX BLOQUEADO",C2)))</formula>
    </cfRule>
    <cfRule type="cellIs" dxfId="2381" priority="15172" operator="equal">
      <formula>"NO"</formula>
    </cfRule>
    <cfRule type="containsText" dxfId="2380" priority="15175" operator="containsText" text="NO INSTALADO">
      <formula>NOT(ISERROR(SEARCH("NO INSTALADO",C2)))</formula>
    </cfRule>
    <cfRule type="containsText" dxfId="2379" priority="15171" operator="containsText" text="NO INSTALADO">
      <formula>NOT(ISERROR(SEARCH("NO INSTALADO",C2)))</formula>
    </cfRule>
    <cfRule type="containsText" dxfId="2378" priority="15170" operator="containsText" text="PEX DESAFILIADO">
      <formula>NOT(ISERROR(SEARCH("PEX DESAFILIADO",C2)))</formula>
    </cfRule>
    <cfRule type="containsText" dxfId="2377" priority="15169" operator="containsText" text="PEX BLOQUEADO">
      <formula>NOT(ISERROR(SEARCH("PEX BLOQUEADO",C2)))</formula>
    </cfRule>
    <cfRule type="cellIs" dxfId="2376" priority="15168" operator="equal">
      <formula>"NO"</formula>
    </cfRule>
    <cfRule type="containsText" dxfId="2375" priority="15167" operator="containsText" text="NO INSTALADO">
      <formula>NOT(ISERROR(SEARCH("NO INSTALADO",C2)))</formula>
    </cfRule>
    <cfRule type="containsText" dxfId="2374" priority="15166" operator="containsText" text="PEX DESAFILIADO">
      <formula>NOT(ISERROR(SEARCH("PEX DESAFILIADO",C2)))</formula>
    </cfRule>
    <cfRule type="containsText" dxfId="2373" priority="15165" operator="containsText" text="PEX BLOQUEADO">
      <formula>NOT(ISERROR(SEARCH("PEX BLOQUEADO",C2)))</formula>
    </cfRule>
    <cfRule type="cellIs" dxfId="2372" priority="15164" operator="equal">
      <formula>"NO"</formula>
    </cfRule>
    <cfRule type="containsText" dxfId="2371" priority="15163" operator="containsText" text="NO INSTALADO">
      <formula>NOT(ISERROR(SEARCH("NO INSTALADO",C2)))</formula>
    </cfRule>
    <cfRule type="containsText" dxfId="2370" priority="15162" operator="containsText" text="PEX DESAFILIADO">
      <formula>NOT(ISERROR(SEARCH("PEX DESAFILIADO",C2)))</formula>
    </cfRule>
  </conditionalFormatting>
  <conditionalFormatting sqref="C2:C11 C272:C291">
    <cfRule type="cellIs" dxfId="2369" priority="15176" operator="equal">
      <formula>"NO"</formula>
    </cfRule>
  </conditionalFormatting>
  <conditionalFormatting sqref="C2:C11">
    <cfRule type="cellIs" dxfId="2368" priority="14940" operator="equal">
      <formula>"NO"</formula>
    </cfRule>
    <cfRule type="containsText" dxfId="2367" priority="14939" operator="containsText" text="NO INSTALADO">
      <formula>NOT(ISERROR(SEARCH("NO INSTALADO",C2)))</formula>
    </cfRule>
    <cfRule type="containsText" dxfId="2366" priority="14938" operator="containsText" text="PEX DESAFILIADO">
      <formula>NOT(ISERROR(SEARCH("PEX DESAFILIADO",C2)))</formula>
    </cfRule>
    <cfRule type="containsText" dxfId="2365" priority="14937" operator="containsText" text="PEX BLOQUEADO">
      <formula>NOT(ISERROR(SEARCH("PEX BLOQUEADO",C2)))</formula>
    </cfRule>
    <cfRule type="cellIs" dxfId="2364" priority="14936" operator="equal">
      <formula>"NO"</formula>
    </cfRule>
    <cfRule type="containsText" dxfId="2363" priority="14935" operator="containsText" text="NO INSTALADO">
      <formula>NOT(ISERROR(SEARCH("NO INSTALADO",C2)))</formula>
    </cfRule>
    <cfRule type="containsText" dxfId="2362" priority="14863" operator="containsText" text="NO INSTALADO">
      <formula>NOT(ISERROR(SEARCH("NO INSTALADO",C2)))</formula>
    </cfRule>
    <cfRule type="containsText" dxfId="2361" priority="14934" operator="containsText" text="PEX DESAFILIADO">
      <formula>NOT(ISERROR(SEARCH("PEX DESAFILIADO",C2)))</formula>
    </cfRule>
    <cfRule type="containsText" dxfId="2360" priority="14933" operator="containsText" text="PEX BLOQUEADO">
      <formula>NOT(ISERROR(SEARCH("PEX BLOQUEADO",C2)))</formula>
    </cfRule>
    <cfRule type="containsText" dxfId="2359" priority="14931" operator="containsText" text="NO INSTALADO">
      <formula>NOT(ISERROR(SEARCH("NO INSTALADO",C2)))</formula>
    </cfRule>
    <cfRule type="containsText" dxfId="2358" priority="14930" operator="containsText" text="PEX DESAFILIADO">
      <formula>NOT(ISERROR(SEARCH("PEX DESAFILIADO",C2)))</formula>
    </cfRule>
    <cfRule type="containsText" dxfId="2357" priority="14929" operator="containsText" text="PEX BLOQUEADO">
      <formula>NOT(ISERROR(SEARCH("PEX BLOQUEADO",C2)))</formula>
    </cfRule>
    <cfRule type="cellIs" dxfId="2356" priority="14928" operator="equal">
      <formula>"NO"</formula>
    </cfRule>
    <cfRule type="containsText" dxfId="2355" priority="14927" operator="containsText" text="NO INSTALADO">
      <formula>NOT(ISERROR(SEARCH("NO INSTALADO",C2)))</formula>
    </cfRule>
    <cfRule type="containsText" dxfId="2354" priority="14926" operator="containsText" text="PEX DESAFILIADO">
      <formula>NOT(ISERROR(SEARCH("PEX DESAFILIADO",C2)))</formula>
    </cfRule>
    <cfRule type="containsText" dxfId="2353" priority="14925" operator="containsText" text="PEX BLOQUEADO">
      <formula>NOT(ISERROR(SEARCH("PEX BLOQUEADO",C2)))</formula>
    </cfRule>
    <cfRule type="cellIs" dxfId="2352" priority="14924" operator="equal">
      <formula>"NO"</formula>
    </cfRule>
    <cfRule type="containsText" dxfId="2351" priority="14923" operator="containsText" text="NO INSTALADO">
      <formula>NOT(ISERROR(SEARCH("NO INSTALADO",C2)))</formula>
    </cfRule>
    <cfRule type="containsText" dxfId="2350" priority="14922" operator="containsText" text="PEX DESAFILIADO">
      <formula>NOT(ISERROR(SEARCH("PEX DESAFILIADO",C2)))</formula>
    </cfRule>
    <cfRule type="containsText" dxfId="2349" priority="14921" operator="containsText" text="PEX BLOQUEADO">
      <formula>NOT(ISERROR(SEARCH("PEX BLOQUEADO",C2)))</formula>
    </cfRule>
    <cfRule type="cellIs" dxfId="2348" priority="14920" operator="equal">
      <formula>"NO"</formula>
    </cfRule>
    <cfRule type="containsText" dxfId="2347" priority="14919" operator="containsText" text="NO INSTALADO">
      <formula>NOT(ISERROR(SEARCH("NO INSTALADO",C2)))</formula>
    </cfRule>
    <cfRule type="containsText" dxfId="2346" priority="14918" operator="containsText" text="PEX DESAFILIADO">
      <formula>NOT(ISERROR(SEARCH("PEX DESAFILIADO",C2)))</formula>
    </cfRule>
    <cfRule type="containsText" dxfId="2345" priority="14917" operator="containsText" text="PEX BLOQUEADO">
      <formula>NOT(ISERROR(SEARCH("PEX BLOQUEADO",C2)))</formula>
    </cfRule>
    <cfRule type="cellIs" dxfId="2344" priority="14916" operator="equal">
      <formula>"NO"</formula>
    </cfRule>
    <cfRule type="containsText" dxfId="2343" priority="14915" operator="containsText" text="NO INSTALADO">
      <formula>NOT(ISERROR(SEARCH("NO INSTALADO",C2)))</formula>
    </cfRule>
    <cfRule type="containsText" dxfId="2342" priority="14914" operator="containsText" text="PEX DESAFILIADO">
      <formula>NOT(ISERROR(SEARCH("PEX DESAFILIADO",C2)))</formula>
    </cfRule>
    <cfRule type="containsText" dxfId="2341" priority="14913" operator="containsText" text="PEX BLOQUEADO">
      <formula>NOT(ISERROR(SEARCH("PEX BLOQUEADO",C2)))</formula>
    </cfRule>
    <cfRule type="cellIs" dxfId="2340" priority="14912" operator="equal">
      <formula>"NO"</formula>
    </cfRule>
    <cfRule type="containsText" dxfId="2339" priority="14908" operator="containsText" text="NO INSTALADO">
      <formula>NOT(ISERROR(SEARCH("NO INSTALADO",C2)))</formula>
    </cfRule>
    <cfRule type="containsText" dxfId="2338" priority="14907" operator="containsText" text="PEX DESAFILIADO">
      <formula>NOT(ISERROR(SEARCH("PEX DESAFILIADO",C2)))</formula>
    </cfRule>
    <cfRule type="containsText" dxfId="2337" priority="14906" operator="containsText" text="PEX BLOQUEADO">
      <formula>NOT(ISERROR(SEARCH("PEX BLOQUEADO",C2)))</formula>
    </cfRule>
    <cfRule type="cellIs" dxfId="2336" priority="14905" operator="equal">
      <formula>"NO"</formula>
    </cfRule>
    <cfRule type="containsText" dxfId="2335" priority="14904" operator="containsText" text="NO INSTALADO">
      <formula>NOT(ISERROR(SEARCH("NO INSTALADO",C2)))</formula>
    </cfRule>
    <cfRule type="containsText" dxfId="2334" priority="14903" operator="containsText" text="PEX DESAFILIADO">
      <formula>NOT(ISERROR(SEARCH("PEX DESAFILIADO",C2)))</formula>
    </cfRule>
    <cfRule type="containsText" dxfId="2333" priority="14902" operator="containsText" text="PEX BLOQUEADO">
      <formula>NOT(ISERROR(SEARCH("PEX BLOQUEADO",C2)))</formula>
    </cfRule>
    <cfRule type="cellIs" dxfId="2332" priority="14901" operator="equal">
      <formula>"NO"</formula>
    </cfRule>
    <cfRule type="containsText" dxfId="2331" priority="14900" operator="containsText" text="NO INSTALADO">
      <formula>NOT(ISERROR(SEARCH("NO INSTALADO",C2)))</formula>
    </cfRule>
    <cfRule type="containsText" dxfId="2330" priority="14899" operator="containsText" text="PEX DESAFILIADO">
      <formula>NOT(ISERROR(SEARCH("PEX DESAFILIADO",C2)))</formula>
    </cfRule>
    <cfRule type="containsText" dxfId="2329" priority="14898" operator="containsText" text="PEX BLOQUEADO">
      <formula>NOT(ISERROR(SEARCH("PEX BLOQUEADO",C2)))</formula>
    </cfRule>
    <cfRule type="cellIs" dxfId="2328" priority="14897" operator="equal">
      <formula>"NO"</formula>
    </cfRule>
    <cfRule type="containsText" dxfId="2327" priority="14896" operator="containsText" text="NO INSTALADO">
      <formula>NOT(ISERROR(SEARCH("NO INSTALADO",C2)))</formula>
    </cfRule>
    <cfRule type="containsText" dxfId="2326" priority="14895" operator="containsText" text="PEX DESAFILIADO">
      <formula>NOT(ISERROR(SEARCH("PEX DESAFILIADO",C2)))</formula>
    </cfRule>
    <cfRule type="containsText" dxfId="2325" priority="14894" operator="containsText" text="PEX BLOQUEADO">
      <formula>NOT(ISERROR(SEARCH("PEX BLOQUEADO",C2)))</formula>
    </cfRule>
    <cfRule type="cellIs" dxfId="2324" priority="14893" operator="equal">
      <formula>"NO"</formula>
    </cfRule>
    <cfRule type="containsText" dxfId="2323" priority="14892" operator="containsText" text="NO INSTALADO">
      <formula>NOT(ISERROR(SEARCH("NO INSTALADO",C2)))</formula>
    </cfRule>
    <cfRule type="containsText" dxfId="2322" priority="14891" operator="containsText" text="PEX DESAFILIADO">
      <formula>NOT(ISERROR(SEARCH("PEX DESAFILIADO",C2)))</formula>
    </cfRule>
    <cfRule type="containsText" dxfId="2321" priority="14890" operator="containsText" text="PEX BLOQUEADO">
      <formula>NOT(ISERROR(SEARCH("PEX BLOQUEADO",C2)))</formula>
    </cfRule>
    <cfRule type="cellIs" dxfId="2320" priority="14889" operator="equal">
      <formula>"NO"</formula>
    </cfRule>
    <cfRule type="containsText" dxfId="2319" priority="14888" operator="containsText" text="NO INSTALADO">
      <formula>NOT(ISERROR(SEARCH("NO INSTALADO",C2)))</formula>
    </cfRule>
    <cfRule type="containsText" dxfId="2318" priority="14887" operator="containsText" text="PEX DESAFILIADO">
      <formula>NOT(ISERROR(SEARCH("PEX DESAFILIADO",C2)))</formula>
    </cfRule>
    <cfRule type="containsText" dxfId="2317" priority="14886" operator="containsText" text="PEX BLOQUEADO">
      <formula>NOT(ISERROR(SEARCH("PEX BLOQUEADO",C2)))</formula>
    </cfRule>
    <cfRule type="cellIs" dxfId="2316" priority="14884" operator="equal">
      <formula>"NO"</formula>
    </cfRule>
    <cfRule type="containsText" dxfId="2315" priority="14883" operator="containsText" text="NO INSTALADO">
      <formula>NOT(ISERROR(SEARCH("NO INSTALADO",C2)))</formula>
    </cfRule>
    <cfRule type="containsText" dxfId="2314" priority="14882" operator="containsText" text="PEX DESAFILIADO">
      <formula>NOT(ISERROR(SEARCH("PEX DESAFILIADO",C2)))</formula>
    </cfRule>
    <cfRule type="containsText" dxfId="2313" priority="14881" operator="containsText" text="PEX BLOQUEADO">
      <formula>NOT(ISERROR(SEARCH("PEX BLOQUEADO",C2)))</formula>
    </cfRule>
    <cfRule type="cellIs" dxfId="2312" priority="14880" operator="equal">
      <formula>"NO"</formula>
    </cfRule>
    <cfRule type="containsText" dxfId="2311" priority="14879" operator="containsText" text="NO INSTALADO">
      <formula>NOT(ISERROR(SEARCH("NO INSTALADO",C2)))</formula>
    </cfRule>
    <cfRule type="containsText" dxfId="2310" priority="14878" operator="containsText" text="PEX DESAFILIADO">
      <formula>NOT(ISERROR(SEARCH("PEX DESAFILIADO",C2)))</formula>
    </cfRule>
    <cfRule type="containsText" dxfId="2309" priority="14877" operator="containsText" text="PEX BLOQUEADO">
      <formula>NOT(ISERROR(SEARCH("PEX BLOQUEADO",C2)))</formula>
    </cfRule>
    <cfRule type="cellIs" dxfId="2308" priority="14876" operator="equal">
      <formula>"NO"</formula>
    </cfRule>
    <cfRule type="containsText" dxfId="2307" priority="14875" operator="containsText" text="NO INSTALADO">
      <formula>NOT(ISERROR(SEARCH("NO INSTALADO",C2)))</formula>
    </cfRule>
    <cfRule type="containsText" dxfId="2306" priority="14874" operator="containsText" text="PEX DESAFILIADO">
      <formula>NOT(ISERROR(SEARCH("PEX DESAFILIADO",C2)))</formula>
    </cfRule>
    <cfRule type="containsText" dxfId="2305" priority="14873" operator="containsText" text="PEX BLOQUEADO">
      <formula>NOT(ISERROR(SEARCH("PEX BLOQUEADO",C2)))</formula>
    </cfRule>
    <cfRule type="cellIs" dxfId="2304" priority="14872" operator="equal">
      <formula>"NO"</formula>
    </cfRule>
    <cfRule type="containsText" dxfId="2303" priority="14871" operator="containsText" text="NO INSTALADO">
      <formula>NOT(ISERROR(SEARCH("NO INSTALADO",C2)))</formula>
    </cfRule>
    <cfRule type="cellIs" dxfId="2302" priority="15088" operator="equal">
      <formula>"NO"</formula>
    </cfRule>
    <cfRule type="containsText" dxfId="2301" priority="15149" operator="containsText" text="PEX BLOQUEADO">
      <formula>NOT(ISERROR(SEARCH("PEX BLOQUEADO",C2)))</formula>
    </cfRule>
    <cfRule type="cellIs" dxfId="2300" priority="14932" operator="equal">
      <formula>"NO"</formula>
    </cfRule>
    <cfRule type="cellIs" dxfId="2299" priority="15156" operator="equal">
      <formula>"NO"</formula>
    </cfRule>
    <cfRule type="containsText" dxfId="2298" priority="15155" operator="containsText" text="NO INSTALADO">
      <formula>NOT(ISERROR(SEARCH("NO INSTALADO",C2)))</formula>
    </cfRule>
    <cfRule type="containsText" dxfId="2297" priority="15154" operator="containsText" text="PEX DESAFILIADO">
      <formula>NOT(ISERROR(SEARCH("PEX DESAFILIADO",C2)))</formula>
    </cfRule>
    <cfRule type="containsText" dxfId="2296" priority="15153" operator="containsText" text="PEX BLOQUEADO">
      <formula>NOT(ISERROR(SEARCH("PEX BLOQUEADO",C2)))</formula>
    </cfRule>
    <cfRule type="cellIs" dxfId="2295" priority="15152" operator="equal">
      <formula>"NO"</formula>
    </cfRule>
    <cfRule type="containsText" dxfId="2294" priority="15151" operator="containsText" text="NO INSTALADO">
      <formula>NOT(ISERROR(SEARCH("NO INSTALADO",C2)))</formula>
    </cfRule>
    <cfRule type="containsText" dxfId="2293" priority="15150" operator="containsText" text="PEX DESAFILIADO">
      <formula>NOT(ISERROR(SEARCH("PEX DESAFILIADO",C2)))</formula>
    </cfRule>
    <cfRule type="containsText" dxfId="2292" priority="14870" operator="containsText" text="PEX DESAFILIADO">
      <formula>NOT(ISERROR(SEARCH("PEX DESAFILIADO",C2)))</formula>
    </cfRule>
    <cfRule type="cellIs" dxfId="2291" priority="15148" operator="equal">
      <formula>"NO"</formula>
    </cfRule>
    <cfRule type="containsText" dxfId="2290" priority="15147" operator="containsText" text="NO INSTALADO">
      <formula>NOT(ISERROR(SEARCH("NO INSTALADO",C2)))</formula>
    </cfRule>
    <cfRule type="containsText" dxfId="2289" priority="15146" operator="containsText" text="PEX DESAFILIADO">
      <formula>NOT(ISERROR(SEARCH("PEX DESAFILIADO",C2)))</formula>
    </cfRule>
    <cfRule type="containsText" dxfId="2288" priority="15145" operator="containsText" text="PEX BLOQUEADO">
      <formula>NOT(ISERROR(SEARCH("PEX BLOQUEADO",C2)))</formula>
    </cfRule>
    <cfRule type="cellIs" dxfId="2287" priority="15144" operator="equal">
      <formula>"NO"</formula>
    </cfRule>
    <cfRule type="containsText" dxfId="2286" priority="15143" operator="containsText" text="NO INSTALADO">
      <formula>NOT(ISERROR(SEARCH("NO INSTALADO",C2)))</formula>
    </cfRule>
    <cfRule type="containsText" dxfId="2285" priority="15142" operator="containsText" text="PEX DESAFILIADO">
      <formula>NOT(ISERROR(SEARCH("PEX DESAFILIADO",C2)))</formula>
    </cfRule>
    <cfRule type="containsText" dxfId="2284" priority="15141" operator="containsText" text="PEX BLOQUEADO">
      <formula>NOT(ISERROR(SEARCH("PEX BLOQUEADO",C2)))</formula>
    </cfRule>
    <cfRule type="cellIs" dxfId="2283" priority="15140" operator="equal">
      <formula>"NO"</formula>
    </cfRule>
    <cfRule type="containsText" dxfId="2282" priority="15139" operator="containsText" text="NO INSTALADO">
      <formula>NOT(ISERROR(SEARCH("NO INSTALADO",C2)))</formula>
    </cfRule>
    <cfRule type="containsText" dxfId="2281" priority="15138" operator="containsText" text="PEX DESAFILIADO">
      <formula>NOT(ISERROR(SEARCH("PEX DESAFILIADO",C2)))</formula>
    </cfRule>
    <cfRule type="containsText" dxfId="2280" priority="15137" operator="containsText" text="PEX BLOQUEADO">
      <formula>NOT(ISERROR(SEARCH("PEX BLOQUEADO",C2)))</formula>
    </cfRule>
    <cfRule type="cellIs" dxfId="2279" priority="15136" operator="equal">
      <formula>"NO"</formula>
    </cfRule>
    <cfRule type="containsText" dxfId="2278" priority="15135" operator="containsText" text="NO INSTALADO">
      <formula>NOT(ISERROR(SEARCH("NO INSTALADO",C2)))</formula>
    </cfRule>
    <cfRule type="containsText" dxfId="2277" priority="15134" operator="containsText" text="PEX DESAFILIADO">
      <formula>NOT(ISERROR(SEARCH("PEX DESAFILIADO",C2)))</formula>
    </cfRule>
    <cfRule type="containsText" dxfId="2276" priority="15133" operator="containsText" text="PEX BLOQUEADO">
      <formula>NOT(ISERROR(SEARCH("PEX BLOQUEADO",C2)))</formula>
    </cfRule>
    <cfRule type="cellIs" dxfId="2275" priority="15132" operator="equal">
      <formula>"NO"</formula>
    </cfRule>
    <cfRule type="containsText" dxfId="2274" priority="15131" operator="containsText" text="NO INSTALADO">
      <formula>NOT(ISERROR(SEARCH("NO INSTALADO",C2)))</formula>
    </cfRule>
    <cfRule type="containsText" dxfId="2273" priority="15130" operator="containsText" text="PEX DESAFILIADO">
      <formula>NOT(ISERROR(SEARCH("PEX DESAFILIADO",C2)))</formula>
    </cfRule>
    <cfRule type="containsText" dxfId="2272" priority="15129" operator="containsText" text="PEX BLOQUEADO">
      <formula>NOT(ISERROR(SEARCH("PEX BLOQUEADO",C2)))</formula>
    </cfRule>
    <cfRule type="cellIs" dxfId="2271" priority="15128" operator="equal">
      <formula>"NO"</formula>
    </cfRule>
    <cfRule type="containsText" dxfId="2270" priority="15127" operator="containsText" text="NO INSTALADO">
      <formula>NOT(ISERROR(SEARCH("NO INSTALADO",C2)))</formula>
    </cfRule>
    <cfRule type="containsText" dxfId="2269" priority="15126" operator="containsText" text="PEX DESAFILIADO">
      <formula>NOT(ISERROR(SEARCH("PEX DESAFILIADO",C2)))</formula>
    </cfRule>
    <cfRule type="containsText" dxfId="2268" priority="15125" operator="containsText" text="PEX BLOQUEADO">
      <formula>NOT(ISERROR(SEARCH("PEX BLOQUEADO",C2)))</formula>
    </cfRule>
    <cfRule type="cellIs" dxfId="2267" priority="15124" operator="equal">
      <formula>"NO"</formula>
    </cfRule>
    <cfRule type="containsText" dxfId="2266" priority="15123" operator="containsText" text="NO INSTALADO">
      <formula>NOT(ISERROR(SEARCH("NO INSTALADO",C2)))</formula>
    </cfRule>
    <cfRule type="containsText" dxfId="2265" priority="15122" operator="containsText" text="PEX DESAFILIADO">
      <formula>NOT(ISERROR(SEARCH("PEX DESAFILIADO",C2)))</formula>
    </cfRule>
    <cfRule type="containsText" dxfId="2264" priority="15121" operator="containsText" text="PEX BLOQUEADO">
      <formula>NOT(ISERROR(SEARCH("PEX BLOQUEADO",C2)))</formula>
    </cfRule>
    <cfRule type="cellIs" dxfId="2263" priority="15120" operator="equal">
      <formula>"NO"</formula>
    </cfRule>
    <cfRule type="containsText" dxfId="2262" priority="15119" operator="containsText" text="NO INSTALADO">
      <formula>NOT(ISERROR(SEARCH("NO INSTALADO",C2)))</formula>
    </cfRule>
    <cfRule type="containsText" dxfId="2261" priority="15118" operator="containsText" text="PEX DESAFILIADO">
      <formula>NOT(ISERROR(SEARCH("PEX DESAFILIADO",C2)))</formula>
    </cfRule>
    <cfRule type="containsText" dxfId="2260" priority="15117" operator="containsText" text="PEX BLOQUEADO">
      <formula>NOT(ISERROR(SEARCH("PEX BLOQUEADO",C2)))</formula>
    </cfRule>
    <cfRule type="cellIs" dxfId="2259" priority="15116" operator="equal">
      <formula>"NO"</formula>
    </cfRule>
    <cfRule type="containsText" dxfId="2258" priority="15115" operator="containsText" text="NO INSTALADO">
      <formula>NOT(ISERROR(SEARCH("NO INSTALADO",C2)))</formula>
    </cfRule>
    <cfRule type="containsText" dxfId="2257" priority="15114" operator="containsText" text="PEX DESAFILIADO">
      <formula>NOT(ISERROR(SEARCH("PEX DESAFILIADO",C2)))</formula>
    </cfRule>
    <cfRule type="containsText" dxfId="2256" priority="15113" operator="containsText" text="PEX BLOQUEADO">
      <formula>NOT(ISERROR(SEARCH("PEX BLOQUEADO",C2)))</formula>
    </cfRule>
    <cfRule type="cellIs" dxfId="2255" priority="15112" operator="equal">
      <formula>"NO"</formula>
    </cfRule>
    <cfRule type="containsText" dxfId="2254" priority="15111" operator="containsText" text="NO INSTALADO">
      <formula>NOT(ISERROR(SEARCH("NO INSTALADO",C2)))</formula>
    </cfRule>
    <cfRule type="containsText" dxfId="2253" priority="15110" operator="containsText" text="PEX DESAFILIADO">
      <formula>NOT(ISERROR(SEARCH("PEX DESAFILIADO",C2)))</formula>
    </cfRule>
    <cfRule type="containsText" dxfId="2252" priority="15109" operator="containsText" text="PEX BLOQUEADO">
      <formula>NOT(ISERROR(SEARCH("PEX BLOQUEADO",C2)))</formula>
    </cfRule>
    <cfRule type="cellIs" dxfId="2251" priority="15108" operator="equal">
      <formula>"NO"</formula>
    </cfRule>
    <cfRule type="containsText" dxfId="2250" priority="15107" operator="containsText" text="NO INSTALADO">
      <formula>NOT(ISERROR(SEARCH("NO INSTALADO",C2)))</formula>
    </cfRule>
    <cfRule type="containsText" dxfId="2249" priority="15106" operator="containsText" text="PEX DESAFILIADO">
      <formula>NOT(ISERROR(SEARCH("PEX DESAFILIADO",C2)))</formula>
    </cfRule>
    <cfRule type="containsText" dxfId="2248" priority="15105" operator="containsText" text="PEX BLOQUEADO">
      <formula>NOT(ISERROR(SEARCH("PEX BLOQUEADO",C2)))</formula>
    </cfRule>
    <cfRule type="cellIs" dxfId="2247" priority="15104" operator="equal">
      <formula>"NO"</formula>
    </cfRule>
    <cfRule type="containsText" dxfId="2246" priority="15103" operator="containsText" text="NO INSTALADO">
      <formula>NOT(ISERROR(SEARCH("NO INSTALADO",C2)))</formula>
    </cfRule>
    <cfRule type="containsText" dxfId="2245" priority="15102" operator="containsText" text="PEX DESAFILIADO">
      <formula>NOT(ISERROR(SEARCH("PEX DESAFILIADO",C2)))</formula>
    </cfRule>
    <cfRule type="containsText" dxfId="2244" priority="15101" operator="containsText" text="PEX BLOQUEADO">
      <formula>NOT(ISERROR(SEARCH("PEX BLOQUEADO",C2)))</formula>
    </cfRule>
    <cfRule type="cellIs" dxfId="2243" priority="15100" operator="equal">
      <formula>"NO"</formula>
    </cfRule>
    <cfRule type="containsText" dxfId="2242" priority="15099" operator="containsText" text="NO INSTALADO">
      <formula>NOT(ISERROR(SEARCH("NO INSTALADO",C2)))</formula>
    </cfRule>
    <cfRule type="containsText" dxfId="2241" priority="15098" operator="containsText" text="PEX DESAFILIADO">
      <formula>NOT(ISERROR(SEARCH("PEX DESAFILIADO",C2)))</formula>
    </cfRule>
    <cfRule type="containsText" dxfId="2240" priority="15097" operator="containsText" text="PEX BLOQUEADO">
      <formula>NOT(ISERROR(SEARCH("PEX BLOQUEADO",C2)))</formula>
    </cfRule>
    <cfRule type="cellIs" dxfId="2239" priority="15096" operator="equal">
      <formula>"NO"</formula>
    </cfRule>
    <cfRule type="containsText" dxfId="2238" priority="15095" operator="containsText" text="NO INSTALADO">
      <formula>NOT(ISERROR(SEARCH("NO INSTALADO",C2)))</formula>
    </cfRule>
    <cfRule type="containsText" dxfId="2237" priority="15094" operator="containsText" text="PEX DESAFILIADO">
      <formula>NOT(ISERROR(SEARCH("PEX DESAFILIADO",C2)))</formula>
    </cfRule>
    <cfRule type="containsText" dxfId="2236" priority="15093" operator="containsText" text="PEX BLOQUEADO">
      <formula>NOT(ISERROR(SEARCH("PEX BLOQUEADO",C2)))</formula>
    </cfRule>
    <cfRule type="containsText" dxfId="2235" priority="14869" operator="containsText" text="PEX BLOQUEADO">
      <formula>NOT(ISERROR(SEARCH("PEX BLOQUEADO",C2)))</formula>
    </cfRule>
    <cfRule type="cellIs" dxfId="2234" priority="14868" operator="equal">
      <formula>"NO"</formula>
    </cfRule>
    <cfRule type="containsText" dxfId="2233" priority="14867" operator="containsText" text="NO INSTALADO">
      <formula>NOT(ISERROR(SEARCH("NO INSTALADO",C2)))</formula>
    </cfRule>
    <cfRule type="cellIs" dxfId="2232" priority="15092" operator="equal">
      <formula>"NO"</formula>
    </cfRule>
    <cfRule type="containsText" dxfId="2231" priority="14866" operator="containsText" text="PEX DESAFILIADO">
      <formula>NOT(ISERROR(SEARCH("PEX DESAFILIADO",C2)))</formula>
    </cfRule>
    <cfRule type="containsText" dxfId="2230" priority="14865" operator="containsText" text="PEX BLOQUEADO">
      <formula>NOT(ISERROR(SEARCH("PEX BLOQUEADO",C2)))</formula>
    </cfRule>
    <cfRule type="cellIs" dxfId="2229" priority="14864" operator="equal">
      <formula>"NO"</formula>
    </cfRule>
    <cfRule type="containsText" dxfId="2228" priority="14862" operator="containsText" text="PEX DESAFILIADO">
      <formula>NOT(ISERROR(SEARCH("PEX DESAFILIADO",C2)))</formula>
    </cfRule>
    <cfRule type="containsText" dxfId="2227" priority="14861" operator="containsText" text="PEX BLOQUEADO">
      <formula>NOT(ISERROR(SEARCH("PEX BLOQUEADO",C2)))</formula>
    </cfRule>
    <cfRule type="cellIs" dxfId="2226" priority="14860" operator="equal">
      <formula>"NO"</formula>
    </cfRule>
    <cfRule type="containsText" dxfId="2225" priority="14859" operator="containsText" text="NO INSTALADO">
      <formula>NOT(ISERROR(SEARCH("NO INSTALADO",C2)))</formula>
    </cfRule>
    <cfRule type="containsText" dxfId="2224" priority="15091" operator="containsText" text="NO INSTALADO">
      <formula>NOT(ISERROR(SEARCH("NO INSTALADO",C2)))</formula>
    </cfRule>
    <cfRule type="containsText" dxfId="2223" priority="14858" operator="containsText" text="PEX DESAFILIADO">
      <formula>NOT(ISERROR(SEARCH("PEX DESAFILIADO",C2)))</formula>
    </cfRule>
    <cfRule type="containsText" dxfId="2222" priority="14857" operator="containsText" text="PEX BLOQUEADO">
      <formula>NOT(ISERROR(SEARCH("PEX BLOQUEADO",C2)))</formula>
    </cfRule>
    <cfRule type="cellIs" dxfId="2221" priority="14856" operator="equal">
      <formula>"NO"</formula>
    </cfRule>
    <cfRule type="containsText" dxfId="2220" priority="15090" operator="containsText" text="PEX DESAFILIADO">
      <formula>NOT(ISERROR(SEARCH("PEX DESAFILIADO",C2)))</formula>
    </cfRule>
    <cfRule type="containsText" dxfId="2219" priority="14855" operator="containsText" text="NO INSTALADO">
      <formula>NOT(ISERROR(SEARCH("NO INSTALADO",C2)))</formula>
    </cfRule>
    <cfRule type="containsText" dxfId="2218" priority="14854" operator="containsText" text="PEX DESAFILIADO">
      <formula>NOT(ISERROR(SEARCH("PEX DESAFILIADO",C2)))</formula>
    </cfRule>
    <cfRule type="containsText" dxfId="2217" priority="14853" operator="containsText" text="PEX BLOQUEADO">
      <formula>NOT(ISERROR(SEARCH("PEX BLOQUEADO",C2)))</formula>
    </cfRule>
    <cfRule type="containsText" dxfId="2216" priority="15089" operator="containsText" text="PEX BLOQUEADO">
      <formula>NOT(ISERROR(SEARCH("PEX BLOQUEADO",C2)))</formula>
    </cfRule>
    <cfRule type="cellIs" dxfId="2215" priority="14852" operator="equal">
      <formula>"NO"</formula>
    </cfRule>
    <cfRule type="containsText" dxfId="2214" priority="14851" operator="containsText" text="NO INSTALADO">
      <formula>NOT(ISERROR(SEARCH("NO INSTALADO",C2)))</formula>
    </cfRule>
    <cfRule type="containsText" dxfId="2213" priority="14850" operator="containsText" text="PEX DESAFILIADO">
      <formula>NOT(ISERROR(SEARCH("PEX DESAFILIADO",C2)))</formula>
    </cfRule>
    <cfRule type="containsText" dxfId="2212" priority="14849" operator="containsText" text="PEX BLOQUEADO">
      <formula>NOT(ISERROR(SEARCH("PEX BLOQUEADO",C2)))</formula>
    </cfRule>
    <cfRule type="cellIs" dxfId="2211" priority="14848" operator="equal">
      <formula>"NO"</formula>
    </cfRule>
    <cfRule type="containsText" dxfId="2210" priority="14847" operator="containsText" text="NO INSTALADO">
      <formula>NOT(ISERROR(SEARCH("NO INSTALADO",C2)))</formula>
    </cfRule>
    <cfRule type="containsText" dxfId="2209" priority="14846" operator="containsText" text="PEX DESAFILIADO">
      <formula>NOT(ISERROR(SEARCH("PEX DESAFILIADO",C2)))</formula>
    </cfRule>
    <cfRule type="containsText" dxfId="2208" priority="14845" operator="containsText" text="PEX BLOQUEADO">
      <formula>NOT(ISERROR(SEARCH("PEX BLOQUEADO",C2)))</formula>
    </cfRule>
    <cfRule type="cellIs" dxfId="2207" priority="14844" operator="equal">
      <formula>"NO"</formula>
    </cfRule>
    <cfRule type="containsText" dxfId="2206" priority="14843" operator="containsText" text="NO INSTALADO">
      <formula>NOT(ISERROR(SEARCH("NO INSTALADO",C2)))</formula>
    </cfRule>
    <cfRule type="containsText" dxfId="2205" priority="14842" operator="containsText" text="PEX DESAFILIADO">
      <formula>NOT(ISERROR(SEARCH("PEX DESAFILIADO",C2)))</formula>
    </cfRule>
    <cfRule type="containsText" dxfId="2204" priority="15017" operator="containsText" text="PEX BLOQUEADO">
      <formula>NOT(ISERROR(SEARCH("PEX BLOQUEADO",C2)))</formula>
    </cfRule>
    <cfRule type="containsText" dxfId="2203" priority="14841" operator="containsText" text="PEX BLOQUEADO">
      <formula>NOT(ISERROR(SEARCH("PEX BLOQUEADO",C2)))</formula>
    </cfRule>
    <cfRule type="cellIs" dxfId="2202" priority="14840" operator="equal">
      <formula>"NO"</formula>
    </cfRule>
    <cfRule type="containsText" dxfId="2201" priority="14838" operator="containsText" text="PEX DESAFILIADO">
      <formula>NOT(ISERROR(SEARCH("PEX DESAFILIADO",C2)))</formula>
    </cfRule>
    <cfRule type="containsText" dxfId="2200" priority="14837" operator="containsText" text="PEX BLOQUEADO">
      <formula>NOT(ISERROR(SEARCH("PEX BLOQUEADO",C2)))</formula>
    </cfRule>
    <cfRule type="cellIs" dxfId="2199" priority="14836" operator="equal">
      <formula>"NO"</formula>
    </cfRule>
    <cfRule type="containsText" dxfId="2198" priority="14835" operator="containsText" text="NO INSTALADO">
      <formula>NOT(ISERROR(SEARCH("NO INSTALADO",C2)))</formula>
    </cfRule>
    <cfRule type="containsText" dxfId="2197" priority="14834" operator="containsText" text="PEX DESAFILIADO">
      <formula>NOT(ISERROR(SEARCH("PEX DESAFILIADO",C2)))</formula>
    </cfRule>
    <cfRule type="containsText" dxfId="2196" priority="14833" operator="containsText" text="PEX BLOQUEADO">
      <formula>NOT(ISERROR(SEARCH("PEX BLOQUEADO",C2)))</formula>
    </cfRule>
    <cfRule type="cellIs" dxfId="2195" priority="14832" operator="equal">
      <formula>"NO"</formula>
    </cfRule>
    <cfRule type="containsText" dxfId="2194" priority="14831" operator="containsText" text="NO INSTALADO">
      <formula>NOT(ISERROR(SEARCH("NO INSTALADO",C2)))</formula>
    </cfRule>
    <cfRule type="containsText" dxfId="2193" priority="14830" operator="containsText" text="PEX DESAFILIADO">
      <formula>NOT(ISERROR(SEARCH("PEX DESAFILIADO",C2)))</formula>
    </cfRule>
    <cfRule type="containsText" dxfId="2192" priority="14829" operator="containsText" text="PEX BLOQUEADO">
      <formula>NOT(ISERROR(SEARCH("PEX BLOQUEADO",C2)))</formula>
    </cfRule>
    <cfRule type="cellIs" dxfId="2191" priority="14828" operator="equal">
      <formula>"NO"</formula>
    </cfRule>
    <cfRule type="containsText" dxfId="2190" priority="14827" operator="containsText" text="NO INSTALADO">
      <formula>NOT(ISERROR(SEARCH("NO INSTALADO",C2)))</formula>
    </cfRule>
    <cfRule type="containsText" dxfId="2189" priority="14826" operator="containsText" text="PEX DESAFILIADO">
      <formula>NOT(ISERROR(SEARCH("PEX DESAFILIADO",C2)))</formula>
    </cfRule>
    <cfRule type="containsText" dxfId="2188" priority="14825" operator="containsText" text="PEX BLOQUEADO">
      <formula>NOT(ISERROR(SEARCH("PEX BLOQUEADO",C2)))</formula>
    </cfRule>
    <cfRule type="cellIs" dxfId="2187" priority="14824" operator="equal">
      <formula>"NO"</formula>
    </cfRule>
    <cfRule type="containsText" dxfId="2186" priority="14823" operator="containsText" text="NO INSTALADO">
      <formula>NOT(ISERROR(SEARCH("NO INSTALADO",C2)))</formula>
    </cfRule>
    <cfRule type="containsText" dxfId="2185" priority="14822" operator="containsText" text="PEX DESAFILIADO">
      <formula>NOT(ISERROR(SEARCH("PEX DESAFILIADO",C2)))</formula>
    </cfRule>
    <cfRule type="containsText" dxfId="2184" priority="14821" operator="containsText" text="PEX BLOQUEADO">
      <formula>NOT(ISERROR(SEARCH("PEX BLOQUEADO",C2)))</formula>
    </cfRule>
    <cfRule type="cellIs" dxfId="2183" priority="14820" operator="equal">
      <formula>"NO"</formula>
    </cfRule>
    <cfRule type="containsText" dxfId="2182" priority="14819" operator="containsText" text="NO INSTALADO">
      <formula>NOT(ISERROR(SEARCH("NO INSTALADO",C2)))</formula>
    </cfRule>
    <cfRule type="containsText" dxfId="2181" priority="14818" operator="containsText" text="PEX DESAFILIADO">
      <formula>NOT(ISERROR(SEARCH("PEX DESAFILIADO",C2)))</formula>
    </cfRule>
    <cfRule type="containsText" dxfId="2180" priority="14817" operator="containsText" text="PEX BLOQUEADO">
      <formula>NOT(ISERROR(SEARCH("PEX BLOQUEADO",C2)))</formula>
    </cfRule>
    <cfRule type="cellIs" dxfId="2179" priority="14816" operator="equal">
      <formula>"NO"</formula>
    </cfRule>
    <cfRule type="containsText" dxfId="2178" priority="14815" operator="containsText" text="NO INSTALADO">
      <formula>NOT(ISERROR(SEARCH("NO INSTALADO",C2)))</formula>
    </cfRule>
    <cfRule type="containsText" dxfId="2177" priority="14814" operator="containsText" text="PEX DESAFILIADO">
      <formula>NOT(ISERROR(SEARCH("PEX DESAFILIADO",C2)))</formula>
    </cfRule>
    <cfRule type="containsText" dxfId="2176" priority="14813" operator="containsText" text="PEX BLOQUEADO">
      <formula>NOT(ISERROR(SEARCH("PEX BLOQUEADO",C2)))</formula>
    </cfRule>
    <cfRule type="cellIs" dxfId="2175" priority="14812" operator="equal">
      <formula>"NO"</formula>
    </cfRule>
    <cfRule type="containsText" dxfId="2174" priority="14811" operator="containsText" text="NO INSTALADO">
      <formula>NOT(ISERROR(SEARCH("NO INSTALADO",C2)))</formula>
    </cfRule>
    <cfRule type="containsText" dxfId="2173" priority="14810" operator="containsText" text="PEX DESAFILIADO">
      <formula>NOT(ISERROR(SEARCH("PEX DESAFILIADO",C2)))</formula>
    </cfRule>
    <cfRule type="containsText" dxfId="2172" priority="14809" operator="containsText" text="PEX BLOQUEADO">
      <formula>NOT(ISERROR(SEARCH("PEX BLOQUEADO",C2)))</formula>
    </cfRule>
    <cfRule type="cellIs" dxfId="2171" priority="14808" operator="equal">
      <formula>"NO"</formula>
    </cfRule>
    <cfRule type="containsText" dxfId="2170" priority="14807" operator="containsText" text="NO INSTALADO">
      <formula>NOT(ISERROR(SEARCH("NO INSTALADO",C2)))</formula>
    </cfRule>
    <cfRule type="containsText" dxfId="2169" priority="14806" operator="containsText" text="PEX DESAFILIADO">
      <formula>NOT(ISERROR(SEARCH("PEX DESAFILIADO",C2)))</formula>
    </cfRule>
    <cfRule type="containsText" dxfId="2168" priority="14805" operator="containsText" text="PEX BLOQUEADO">
      <formula>NOT(ISERROR(SEARCH("PEX BLOQUEADO",C2)))</formula>
    </cfRule>
    <cfRule type="cellIs" dxfId="2167" priority="14804" operator="equal">
      <formula>"NO"</formula>
    </cfRule>
    <cfRule type="containsText" dxfId="2166" priority="14803" operator="containsText" text="NO INSTALADO">
      <formula>NOT(ISERROR(SEARCH("NO INSTALADO",C2)))</formula>
    </cfRule>
    <cfRule type="containsText" dxfId="2165" priority="14802" operator="containsText" text="PEX DESAFILIADO">
      <formula>NOT(ISERROR(SEARCH("PEX DESAFILIADO",C2)))</formula>
    </cfRule>
    <cfRule type="containsText" dxfId="2164" priority="14801" operator="containsText" text="PEX BLOQUEADO">
      <formula>NOT(ISERROR(SEARCH("PEX BLOQUEADO",C2)))</formula>
    </cfRule>
    <cfRule type="cellIs" dxfId="2163" priority="14800" operator="equal">
      <formula>"NO"</formula>
    </cfRule>
    <cfRule type="containsText" dxfId="2162" priority="14799" operator="containsText" text="NO INSTALADO">
      <formula>NOT(ISERROR(SEARCH("NO INSTALADO",C2)))</formula>
    </cfRule>
    <cfRule type="containsText" dxfId="2161" priority="14798" operator="containsText" text="PEX DESAFILIADO">
      <formula>NOT(ISERROR(SEARCH("PEX DESAFILIADO",C2)))</formula>
    </cfRule>
    <cfRule type="containsText" dxfId="2160" priority="14797" operator="containsText" text="PEX BLOQUEADO">
      <formula>NOT(ISERROR(SEARCH("PEX BLOQUEADO",C2)))</formula>
    </cfRule>
    <cfRule type="cellIs" dxfId="2159" priority="14796" operator="equal">
      <formula>"NO"</formula>
    </cfRule>
    <cfRule type="containsText" dxfId="2158" priority="14795" operator="containsText" text="NO INSTALADO">
      <formula>NOT(ISERROR(SEARCH("NO INSTALADO",C2)))</formula>
    </cfRule>
    <cfRule type="containsText" dxfId="2157" priority="14794" operator="containsText" text="PEX DESAFILIADO">
      <formula>NOT(ISERROR(SEARCH("PEX DESAFILIADO",C2)))</formula>
    </cfRule>
    <cfRule type="containsText" dxfId="2156" priority="14793" operator="containsText" text="PEX BLOQUEADO">
      <formula>NOT(ISERROR(SEARCH("PEX BLOQUEADO",C2)))</formula>
    </cfRule>
    <cfRule type="cellIs" dxfId="2155" priority="14792" operator="equal">
      <formula>"NO"</formula>
    </cfRule>
    <cfRule type="containsText" dxfId="2154" priority="14791" operator="containsText" text="NO INSTALADO">
      <formula>NOT(ISERROR(SEARCH("NO INSTALADO",C2)))</formula>
    </cfRule>
    <cfRule type="containsText" dxfId="2153" priority="14790" operator="containsText" text="PEX DESAFILIADO">
      <formula>NOT(ISERROR(SEARCH("PEX DESAFILIADO",C2)))</formula>
    </cfRule>
    <cfRule type="containsText" dxfId="2152" priority="14789" operator="containsText" text="PEX BLOQUEADO">
      <formula>NOT(ISERROR(SEARCH("PEX BLOQUEADO",C2)))</formula>
    </cfRule>
    <cfRule type="cellIs" dxfId="2151" priority="14788" operator="equal">
      <formula>"NO"</formula>
    </cfRule>
    <cfRule type="containsText" dxfId="2150" priority="14787" operator="containsText" text="NO INSTALADO">
      <formula>NOT(ISERROR(SEARCH("NO INSTALADO",C2)))</formula>
    </cfRule>
    <cfRule type="containsText" dxfId="2149" priority="14786" operator="containsText" text="PEX DESAFILIADO">
      <formula>NOT(ISERROR(SEARCH("PEX DESAFILIADO",C2)))</formula>
    </cfRule>
    <cfRule type="containsText" dxfId="2148" priority="14785" operator="containsText" text="PEX BLOQUEADO">
      <formula>NOT(ISERROR(SEARCH("PEX BLOQUEADO",C2)))</formula>
    </cfRule>
    <cfRule type="cellIs" dxfId="2147" priority="14784" operator="equal">
      <formula>"NO"</formula>
    </cfRule>
    <cfRule type="containsText" dxfId="2146" priority="14783" operator="containsText" text="NO INSTALADO">
      <formula>NOT(ISERROR(SEARCH("NO INSTALADO",C2)))</formula>
    </cfRule>
    <cfRule type="containsText" dxfId="2145" priority="14782" operator="containsText" text="PEX DESAFILIADO">
      <formula>NOT(ISERROR(SEARCH("PEX DESAFILIADO",C2)))</formula>
    </cfRule>
    <cfRule type="containsText" dxfId="2144" priority="14781" operator="containsText" text="PEX BLOQUEADO">
      <formula>NOT(ISERROR(SEARCH("PEX BLOQUEADO",C2)))</formula>
    </cfRule>
    <cfRule type="cellIs" dxfId="2143" priority="14780" operator="equal">
      <formula>"NO"</formula>
    </cfRule>
    <cfRule type="containsText" dxfId="2142" priority="14779" operator="containsText" text="NO INSTALADO">
      <formula>NOT(ISERROR(SEARCH("NO INSTALADO",C2)))</formula>
    </cfRule>
    <cfRule type="containsText" dxfId="2141" priority="14778" operator="containsText" text="PEX DESAFILIADO">
      <formula>NOT(ISERROR(SEARCH("PEX DESAFILIADO",C2)))</formula>
    </cfRule>
    <cfRule type="containsText" dxfId="2140" priority="14777" operator="containsText" text="PEX BLOQUEADO">
      <formula>NOT(ISERROR(SEARCH("PEX BLOQUEADO",C2)))</formula>
    </cfRule>
    <cfRule type="cellIs" dxfId="2139" priority="14776" operator="equal">
      <formula>"NO"</formula>
    </cfRule>
    <cfRule type="containsText" dxfId="2138" priority="14775" operator="containsText" text="NO INSTALADO">
      <formula>NOT(ISERROR(SEARCH("NO INSTALADO",C2)))</formula>
    </cfRule>
    <cfRule type="containsText" dxfId="2137" priority="14774" operator="containsText" text="PEX DESAFILIADO">
      <formula>NOT(ISERROR(SEARCH("PEX DESAFILIADO",C2)))</formula>
    </cfRule>
    <cfRule type="containsText" dxfId="2136" priority="14773" operator="containsText" text="PEX BLOQUEADO">
      <formula>NOT(ISERROR(SEARCH("PEX BLOQUEADO",C2)))</formula>
    </cfRule>
    <cfRule type="cellIs" dxfId="2135" priority="14772" operator="equal">
      <formula>"NO"</formula>
    </cfRule>
    <cfRule type="containsText" dxfId="2134" priority="14771" operator="containsText" text="NO INSTALADO">
      <formula>NOT(ISERROR(SEARCH("NO INSTALADO",C2)))</formula>
    </cfRule>
    <cfRule type="containsText" dxfId="2133" priority="14770" operator="containsText" text="PEX DESAFILIADO">
      <formula>NOT(ISERROR(SEARCH("PEX DESAFILIADO",C2)))</formula>
    </cfRule>
    <cfRule type="containsText" dxfId="2132" priority="14769" operator="containsText" text="PEX BLOQUEADO">
      <formula>NOT(ISERROR(SEARCH("PEX BLOQUEADO",C2)))</formula>
    </cfRule>
    <cfRule type="cellIs" dxfId="2131" priority="14768" operator="equal">
      <formula>"NO"</formula>
    </cfRule>
    <cfRule type="containsText" dxfId="2130" priority="14767" operator="containsText" text="NO INSTALADO">
      <formula>NOT(ISERROR(SEARCH("NO INSTALADO",C2)))</formula>
    </cfRule>
    <cfRule type="containsText" dxfId="2129" priority="14766" operator="containsText" text="PEX DESAFILIADO">
      <formula>NOT(ISERROR(SEARCH("PEX DESAFILIADO",C2)))</formula>
    </cfRule>
    <cfRule type="containsText" dxfId="2128" priority="14765" operator="containsText" text="PEX BLOQUEADO">
      <formula>NOT(ISERROR(SEARCH("PEX BLOQUEADO",C2)))</formula>
    </cfRule>
    <cfRule type="cellIs" dxfId="2127" priority="14764" operator="equal">
      <formula>"NO"</formula>
    </cfRule>
    <cfRule type="containsText" dxfId="2126" priority="14763" operator="containsText" text="NO INSTALADO">
      <formula>NOT(ISERROR(SEARCH("NO INSTALADO",C2)))</formula>
    </cfRule>
    <cfRule type="containsText" dxfId="2125" priority="15087" operator="containsText" text="NO INSTALADO">
      <formula>NOT(ISERROR(SEARCH("NO INSTALADO",C2)))</formula>
    </cfRule>
    <cfRule type="containsText" dxfId="2124" priority="14762" operator="containsText" text="PEX DESAFILIADO">
      <formula>NOT(ISERROR(SEARCH("PEX DESAFILIADO",C2)))</formula>
    </cfRule>
    <cfRule type="containsText" dxfId="2123" priority="14761" operator="containsText" text="PEX BLOQUEADO">
      <formula>NOT(ISERROR(SEARCH("PEX BLOQUEADO",C2)))</formula>
    </cfRule>
    <cfRule type="cellIs" dxfId="2122" priority="14760" operator="equal">
      <formula>"NO"</formula>
    </cfRule>
    <cfRule type="containsText" dxfId="2121" priority="14759" operator="containsText" text="NO INSTALADO">
      <formula>NOT(ISERROR(SEARCH("NO INSTALADO",C2)))</formula>
    </cfRule>
    <cfRule type="containsText" dxfId="2120" priority="14758" operator="containsText" text="PEX DESAFILIADO">
      <formula>NOT(ISERROR(SEARCH("PEX DESAFILIADO",C2)))</formula>
    </cfRule>
    <cfRule type="containsText" dxfId="2119" priority="14757" operator="containsText" text="PEX BLOQUEADO">
      <formula>NOT(ISERROR(SEARCH("PEX BLOQUEADO",C2)))</formula>
    </cfRule>
    <cfRule type="containsText" dxfId="2118" priority="14839" operator="containsText" text="NO INSTALADO">
      <formula>NOT(ISERROR(SEARCH("NO INSTALADO",C2)))</formula>
    </cfRule>
    <cfRule type="containsText" dxfId="2117" priority="15086" operator="containsText" text="PEX DESAFILIADO">
      <formula>NOT(ISERROR(SEARCH("PEX DESAFILIADO",C2)))</formula>
    </cfRule>
    <cfRule type="containsText" dxfId="2116" priority="15085" operator="containsText" text="PEX BLOQUEADO">
      <formula>NOT(ISERROR(SEARCH("PEX BLOQUEADO",C2)))</formula>
    </cfRule>
    <cfRule type="cellIs" dxfId="2115" priority="15084" operator="equal">
      <formula>"NO"</formula>
    </cfRule>
    <cfRule type="containsText" dxfId="2114" priority="15083" operator="containsText" text="NO INSTALADO">
      <formula>NOT(ISERROR(SEARCH("NO INSTALADO",C2)))</formula>
    </cfRule>
    <cfRule type="containsText" dxfId="2113" priority="15082" operator="containsText" text="PEX DESAFILIADO">
      <formula>NOT(ISERROR(SEARCH("PEX DESAFILIADO",C2)))</formula>
    </cfRule>
    <cfRule type="containsText" dxfId="2112" priority="15081" operator="containsText" text="PEX BLOQUEADO">
      <formula>NOT(ISERROR(SEARCH("PEX BLOQUEADO",C2)))</formula>
    </cfRule>
    <cfRule type="cellIs" dxfId="2111" priority="15080" operator="equal">
      <formula>"NO"</formula>
    </cfRule>
    <cfRule type="containsText" dxfId="2110" priority="15079" operator="containsText" text="NO INSTALADO">
      <formula>NOT(ISERROR(SEARCH("NO INSTALADO",C2)))</formula>
    </cfRule>
    <cfRule type="containsText" dxfId="2109" priority="15078" operator="containsText" text="PEX DESAFILIADO">
      <formula>NOT(ISERROR(SEARCH("PEX DESAFILIADO",C2)))</formula>
    </cfRule>
    <cfRule type="containsText" dxfId="2108" priority="15077" operator="containsText" text="PEX BLOQUEADO">
      <formula>NOT(ISERROR(SEARCH("PEX BLOQUEADO",C2)))</formula>
    </cfRule>
    <cfRule type="cellIs" dxfId="2107" priority="15076" operator="equal">
      <formula>"NO"</formula>
    </cfRule>
    <cfRule type="containsText" dxfId="2106" priority="15075" operator="containsText" text="NO INSTALADO">
      <formula>NOT(ISERROR(SEARCH("NO INSTALADO",C2)))</formula>
    </cfRule>
    <cfRule type="containsText" dxfId="2105" priority="15074" operator="containsText" text="PEX DESAFILIADO">
      <formula>NOT(ISERROR(SEARCH("PEX DESAFILIADO",C2)))</formula>
    </cfRule>
    <cfRule type="containsText" dxfId="2104" priority="15073" operator="containsText" text="PEX BLOQUEADO">
      <formula>NOT(ISERROR(SEARCH("PEX BLOQUEADO",C2)))</formula>
    </cfRule>
    <cfRule type="cellIs" dxfId="2103" priority="15072" operator="equal">
      <formula>"NO"</formula>
    </cfRule>
    <cfRule type="containsText" dxfId="2102" priority="15071" operator="containsText" text="NO INSTALADO">
      <formula>NOT(ISERROR(SEARCH("NO INSTALADO",C2)))</formula>
    </cfRule>
    <cfRule type="containsText" dxfId="2101" priority="15070" operator="containsText" text="PEX DESAFILIADO">
      <formula>NOT(ISERROR(SEARCH("PEX DESAFILIADO",C2)))</formula>
    </cfRule>
    <cfRule type="containsText" dxfId="2100" priority="15069" operator="containsText" text="PEX BLOQUEADO">
      <formula>NOT(ISERROR(SEARCH("PEX BLOQUEADO",C2)))</formula>
    </cfRule>
    <cfRule type="cellIs" dxfId="2099" priority="15068" operator="equal">
      <formula>"NO"</formula>
    </cfRule>
    <cfRule type="containsText" dxfId="2098" priority="15067" operator="containsText" text="NO INSTALADO">
      <formula>NOT(ISERROR(SEARCH("NO INSTALADO",C2)))</formula>
    </cfRule>
    <cfRule type="containsText" dxfId="2097" priority="15066" operator="containsText" text="PEX DESAFILIADO">
      <formula>NOT(ISERROR(SEARCH("PEX DESAFILIADO",C2)))</formula>
    </cfRule>
    <cfRule type="containsText" dxfId="2096" priority="15065" operator="containsText" text="PEX BLOQUEADO">
      <formula>NOT(ISERROR(SEARCH("PEX BLOQUEADO",C2)))</formula>
    </cfRule>
    <cfRule type="cellIs" dxfId="2095" priority="15064" operator="equal">
      <formula>"NO"</formula>
    </cfRule>
    <cfRule type="containsText" dxfId="2094" priority="15063" operator="containsText" text="NO INSTALADO">
      <formula>NOT(ISERROR(SEARCH("NO INSTALADO",C2)))</formula>
    </cfRule>
    <cfRule type="containsText" dxfId="2093" priority="15062" operator="containsText" text="PEX DESAFILIADO">
      <formula>NOT(ISERROR(SEARCH("PEX DESAFILIADO",C2)))</formula>
    </cfRule>
    <cfRule type="containsText" dxfId="2092" priority="15061" operator="containsText" text="PEX BLOQUEADO">
      <formula>NOT(ISERROR(SEARCH("PEX BLOQUEADO",C2)))</formula>
    </cfRule>
    <cfRule type="cellIs" dxfId="2091" priority="15060" operator="equal">
      <formula>"NO"</formula>
    </cfRule>
    <cfRule type="containsText" dxfId="2090" priority="15059" operator="containsText" text="NO INSTALADO">
      <formula>NOT(ISERROR(SEARCH("NO INSTALADO",C2)))</formula>
    </cfRule>
    <cfRule type="containsText" dxfId="2089" priority="15058" operator="containsText" text="PEX DESAFILIADO">
      <formula>NOT(ISERROR(SEARCH("PEX DESAFILIADO",C2)))</formula>
    </cfRule>
    <cfRule type="containsText" dxfId="2088" priority="15057" operator="containsText" text="PEX BLOQUEADO">
      <formula>NOT(ISERROR(SEARCH("PEX BLOQUEADO",C2)))</formula>
    </cfRule>
    <cfRule type="cellIs" dxfId="2087" priority="15056" operator="equal">
      <formula>"NO"</formula>
    </cfRule>
    <cfRule type="containsText" dxfId="2086" priority="15055" operator="containsText" text="NO INSTALADO">
      <formula>NOT(ISERROR(SEARCH("NO INSTALADO",C2)))</formula>
    </cfRule>
    <cfRule type="containsText" dxfId="2085" priority="15054" operator="containsText" text="PEX DESAFILIADO">
      <formula>NOT(ISERROR(SEARCH("PEX DESAFILIADO",C2)))</formula>
    </cfRule>
    <cfRule type="containsText" dxfId="2084" priority="15053" operator="containsText" text="PEX BLOQUEADO">
      <formula>NOT(ISERROR(SEARCH("PEX BLOQUEADO",C2)))</formula>
    </cfRule>
    <cfRule type="cellIs" dxfId="2083" priority="15052" operator="equal">
      <formula>"NO"</formula>
    </cfRule>
    <cfRule type="containsText" dxfId="2082" priority="15051" operator="containsText" text="NO INSTALADO">
      <formula>NOT(ISERROR(SEARCH("NO INSTALADO",C2)))</formula>
    </cfRule>
    <cfRule type="containsText" dxfId="2081" priority="15050" operator="containsText" text="PEX DESAFILIADO">
      <formula>NOT(ISERROR(SEARCH("PEX DESAFILIADO",C2)))</formula>
    </cfRule>
    <cfRule type="containsText" dxfId="2080" priority="15049" operator="containsText" text="PEX BLOQUEADO">
      <formula>NOT(ISERROR(SEARCH("PEX BLOQUEADO",C2)))</formula>
    </cfRule>
    <cfRule type="cellIs" dxfId="2079" priority="15048" operator="equal">
      <formula>"NO"</formula>
    </cfRule>
    <cfRule type="containsText" dxfId="2078" priority="15047" operator="containsText" text="NO INSTALADO">
      <formula>NOT(ISERROR(SEARCH("NO INSTALADO",C2)))</formula>
    </cfRule>
    <cfRule type="containsText" dxfId="2077" priority="15046" operator="containsText" text="PEX DESAFILIADO">
      <formula>NOT(ISERROR(SEARCH("PEX DESAFILIADO",C2)))</formula>
    </cfRule>
    <cfRule type="containsText" dxfId="2076" priority="15045" operator="containsText" text="PEX BLOQUEADO">
      <formula>NOT(ISERROR(SEARCH("PEX BLOQUEADO",C2)))</formula>
    </cfRule>
    <cfRule type="cellIs" dxfId="2075" priority="15044" operator="equal">
      <formula>"NO"</formula>
    </cfRule>
    <cfRule type="containsText" dxfId="2074" priority="15043" operator="containsText" text="NO INSTALADO">
      <formula>NOT(ISERROR(SEARCH("NO INSTALADO",C2)))</formula>
    </cfRule>
    <cfRule type="containsText" dxfId="2073" priority="15042" operator="containsText" text="PEX DESAFILIADO">
      <formula>NOT(ISERROR(SEARCH("PEX DESAFILIADO",C2)))</formula>
    </cfRule>
    <cfRule type="containsText" dxfId="2072" priority="15041" operator="containsText" text="PEX BLOQUEADO">
      <formula>NOT(ISERROR(SEARCH("PEX BLOQUEADO",C2)))</formula>
    </cfRule>
    <cfRule type="cellIs" dxfId="2071" priority="15040" operator="equal">
      <formula>"NO"</formula>
    </cfRule>
    <cfRule type="containsText" dxfId="2070" priority="15039" operator="containsText" text="NO INSTALADO">
      <formula>NOT(ISERROR(SEARCH("NO INSTALADO",C2)))</formula>
    </cfRule>
    <cfRule type="containsText" dxfId="2069" priority="15038" operator="containsText" text="PEX DESAFILIADO">
      <formula>NOT(ISERROR(SEARCH("PEX DESAFILIADO",C2)))</formula>
    </cfRule>
    <cfRule type="containsText" dxfId="2068" priority="15037" operator="containsText" text="PEX BLOQUEADO">
      <formula>NOT(ISERROR(SEARCH("PEX BLOQUEADO",C2)))</formula>
    </cfRule>
    <cfRule type="cellIs" dxfId="2067" priority="15036" operator="equal">
      <formula>"NO"</formula>
    </cfRule>
    <cfRule type="containsText" dxfId="2066" priority="15035" operator="containsText" text="NO INSTALADO">
      <formula>NOT(ISERROR(SEARCH("NO INSTALADO",C2)))</formula>
    </cfRule>
    <cfRule type="containsText" dxfId="2065" priority="15034" operator="containsText" text="PEX DESAFILIADO">
      <formula>NOT(ISERROR(SEARCH("PEX DESAFILIADO",C2)))</formula>
    </cfRule>
    <cfRule type="containsText" dxfId="2064" priority="15033" operator="containsText" text="PEX BLOQUEADO">
      <formula>NOT(ISERROR(SEARCH("PEX BLOQUEADO",C2)))</formula>
    </cfRule>
    <cfRule type="cellIs" dxfId="2063" priority="15032" operator="equal">
      <formula>"NO"</formula>
    </cfRule>
    <cfRule type="containsText" dxfId="2062" priority="15031" operator="containsText" text="NO INSTALADO">
      <formula>NOT(ISERROR(SEARCH("NO INSTALADO",C2)))</formula>
    </cfRule>
    <cfRule type="containsText" dxfId="2061" priority="15030" operator="containsText" text="PEX DESAFILIADO">
      <formula>NOT(ISERROR(SEARCH("PEX DESAFILIADO",C2)))</formula>
    </cfRule>
    <cfRule type="containsText" dxfId="2060" priority="15029" operator="containsText" text="PEX BLOQUEADO">
      <formula>NOT(ISERROR(SEARCH("PEX BLOQUEADO",C2)))</formula>
    </cfRule>
    <cfRule type="cellIs" dxfId="2059" priority="15028" operator="equal">
      <formula>"NO"</formula>
    </cfRule>
    <cfRule type="containsText" dxfId="2058" priority="15027" operator="containsText" text="NO INSTALADO">
      <formula>NOT(ISERROR(SEARCH("NO INSTALADO",C2)))</formula>
    </cfRule>
    <cfRule type="containsText" dxfId="2057" priority="15026" operator="containsText" text="PEX DESAFILIADO">
      <formula>NOT(ISERROR(SEARCH("PEX DESAFILIADO",C2)))</formula>
    </cfRule>
    <cfRule type="containsText" dxfId="2056" priority="15025" operator="containsText" text="PEX BLOQUEADO">
      <formula>NOT(ISERROR(SEARCH("PEX BLOQUEADO",C2)))</formula>
    </cfRule>
    <cfRule type="cellIs" dxfId="2055" priority="15024" operator="equal">
      <formula>"NO"</formula>
    </cfRule>
    <cfRule type="containsText" dxfId="2054" priority="15023" operator="containsText" text="NO INSTALADO">
      <formula>NOT(ISERROR(SEARCH("NO INSTALADO",C2)))</formula>
    </cfRule>
    <cfRule type="containsText" dxfId="2053" priority="15022" operator="containsText" text="PEX DESAFILIADO">
      <formula>NOT(ISERROR(SEARCH("PEX DESAFILIADO",C2)))</formula>
    </cfRule>
    <cfRule type="containsText" dxfId="2052" priority="15021" operator="containsText" text="PEX BLOQUEADO">
      <formula>NOT(ISERROR(SEARCH("PEX BLOQUEADO",C2)))</formula>
    </cfRule>
    <cfRule type="cellIs" dxfId="2051" priority="15020" operator="equal">
      <formula>"NO"</formula>
    </cfRule>
    <cfRule type="containsText" dxfId="2050" priority="15019" operator="containsText" text="NO INSTALADO">
      <formula>NOT(ISERROR(SEARCH("NO INSTALADO",C2)))</formula>
    </cfRule>
    <cfRule type="containsText" dxfId="2049" priority="15018" operator="containsText" text="PEX DESAFILIADO">
      <formula>NOT(ISERROR(SEARCH("PEX DESAFILIADO",C2)))</formula>
    </cfRule>
    <cfRule type="cellIs" dxfId="2048" priority="15016" operator="equal">
      <formula>"NO"</formula>
    </cfRule>
    <cfRule type="containsText" dxfId="2047" priority="15015" operator="containsText" text="NO INSTALADO">
      <formula>NOT(ISERROR(SEARCH("NO INSTALADO",C2)))</formula>
    </cfRule>
    <cfRule type="containsText" dxfId="2046" priority="15014" operator="containsText" text="PEX DESAFILIADO">
      <formula>NOT(ISERROR(SEARCH("PEX DESAFILIADO",C2)))</formula>
    </cfRule>
    <cfRule type="containsText" dxfId="2045" priority="15013" operator="containsText" text="PEX BLOQUEADO">
      <formula>NOT(ISERROR(SEARCH("PEX BLOQUEADO",C2)))</formula>
    </cfRule>
    <cfRule type="cellIs" dxfId="2044" priority="15012" operator="equal">
      <formula>"NO"</formula>
    </cfRule>
    <cfRule type="containsText" dxfId="2043" priority="15011" operator="containsText" text="NO INSTALADO">
      <formula>NOT(ISERROR(SEARCH("NO INSTALADO",C2)))</formula>
    </cfRule>
    <cfRule type="containsText" dxfId="2042" priority="15010" operator="containsText" text="PEX DESAFILIADO">
      <formula>NOT(ISERROR(SEARCH("PEX DESAFILIADO",C2)))</formula>
    </cfRule>
    <cfRule type="containsText" dxfId="2041" priority="15009" operator="containsText" text="PEX BLOQUEADO">
      <formula>NOT(ISERROR(SEARCH("PEX BLOQUEADO",C2)))</formula>
    </cfRule>
    <cfRule type="cellIs" dxfId="2040" priority="15008" operator="equal">
      <formula>"NO"</formula>
    </cfRule>
    <cfRule type="containsText" dxfId="2039" priority="15007" operator="containsText" text="NO INSTALADO">
      <formula>NOT(ISERROR(SEARCH("NO INSTALADO",C2)))</formula>
    </cfRule>
    <cfRule type="containsText" dxfId="2038" priority="15006" operator="containsText" text="PEX DESAFILIADO">
      <formula>NOT(ISERROR(SEARCH("PEX DESAFILIADO",C2)))</formula>
    </cfRule>
    <cfRule type="containsText" dxfId="2037" priority="15005" operator="containsText" text="PEX BLOQUEADO">
      <formula>NOT(ISERROR(SEARCH("PEX BLOQUEADO",C2)))</formula>
    </cfRule>
    <cfRule type="cellIs" dxfId="2036" priority="15004" operator="equal">
      <formula>"NO"</formula>
    </cfRule>
    <cfRule type="containsText" dxfId="2035" priority="15003" operator="containsText" text="NO INSTALADO">
      <formula>NOT(ISERROR(SEARCH("NO INSTALADO",C2)))</formula>
    </cfRule>
    <cfRule type="containsText" dxfId="2034" priority="15002" operator="containsText" text="PEX DESAFILIADO">
      <formula>NOT(ISERROR(SEARCH("PEX DESAFILIADO",C2)))</formula>
    </cfRule>
    <cfRule type="containsText" dxfId="2033" priority="15001" operator="containsText" text="PEX BLOQUEADO">
      <formula>NOT(ISERROR(SEARCH("PEX BLOQUEADO",C2)))</formula>
    </cfRule>
    <cfRule type="cellIs" dxfId="2032" priority="15000" operator="equal">
      <formula>"NO"</formula>
    </cfRule>
    <cfRule type="containsText" dxfId="2031" priority="14999" operator="containsText" text="NO INSTALADO">
      <formula>NOT(ISERROR(SEARCH("NO INSTALADO",C2)))</formula>
    </cfRule>
    <cfRule type="containsText" dxfId="2030" priority="14998" operator="containsText" text="PEX DESAFILIADO">
      <formula>NOT(ISERROR(SEARCH("PEX DESAFILIADO",C2)))</formula>
    </cfRule>
    <cfRule type="containsText" dxfId="2029" priority="14997" operator="containsText" text="PEX BLOQUEADO">
      <formula>NOT(ISERROR(SEARCH("PEX BLOQUEADO",C2)))</formula>
    </cfRule>
    <cfRule type="cellIs" dxfId="2028" priority="14996" operator="equal">
      <formula>"NO"</formula>
    </cfRule>
    <cfRule type="containsText" dxfId="2027" priority="14995" operator="containsText" text="NO INSTALADO">
      <formula>NOT(ISERROR(SEARCH("NO INSTALADO",C2)))</formula>
    </cfRule>
    <cfRule type="containsText" dxfId="2026" priority="14994" operator="containsText" text="PEX DESAFILIADO">
      <formula>NOT(ISERROR(SEARCH("PEX DESAFILIADO",C2)))</formula>
    </cfRule>
    <cfRule type="containsText" dxfId="2025" priority="14993" operator="containsText" text="PEX BLOQUEADO">
      <formula>NOT(ISERROR(SEARCH("PEX BLOQUEADO",C2)))</formula>
    </cfRule>
    <cfRule type="cellIs" dxfId="2024" priority="14992" operator="equal">
      <formula>"NO"</formula>
    </cfRule>
    <cfRule type="containsText" dxfId="2023" priority="14991" operator="containsText" text="NO INSTALADO">
      <formula>NOT(ISERROR(SEARCH("NO INSTALADO",C2)))</formula>
    </cfRule>
    <cfRule type="containsText" dxfId="2022" priority="14990" operator="containsText" text="PEX DESAFILIADO">
      <formula>NOT(ISERROR(SEARCH("PEX DESAFILIADO",C2)))</formula>
    </cfRule>
    <cfRule type="containsText" dxfId="2021" priority="14989" operator="containsText" text="PEX BLOQUEADO">
      <formula>NOT(ISERROR(SEARCH("PEX BLOQUEADO",C2)))</formula>
    </cfRule>
    <cfRule type="cellIs" dxfId="2020" priority="14988" operator="equal">
      <formula>"NO"</formula>
    </cfRule>
    <cfRule type="containsText" dxfId="2019" priority="14987" operator="containsText" text="NO INSTALADO">
      <formula>NOT(ISERROR(SEARCH("NO INSTALADO",C2)))</formula>
    </cfRule>
    <cfRule type="containsText" dxfId="2018" priority="14986" operator="containsText" text="PEX DESAFILIADO">
      <formula>NOT(ISERROR(SEARCH("PEX DESAFILIADO",C2)))</formula>
    </cfRule>
    <cfRule type="containsText" dxfId="2017" priority="14985" operator="containsText" text="PEX BLOQUEADO">
      <formula>NOT(ISERROR(SEARCH("PEX BLOQUEADO",C2)))</formula>
    </cfRule>
    <cfRule type="cellIs" dxfId="2016" priority="14984" operator="equal">
      <formula>"NO"</formula>
    </cfRule>
    <cfRule type="containsText" dxfId="2015" priority="14983" operator="containsText" text="NO INSTALADO">
      <formula>NOT(ISERROR(SEARCH("NO INSTALADO",C2)))</formula>
    </cfRule>
    <cfRule type="containsText" dxfId="2014" priority="14982" operator="containsText" text="PEX DESAFILIADO">
      <formula>NOT(ISERROR(SEARCH("PEX DESAFILIADO",C2)))</formula>
    </cfRule>
    <cfRule type="containsText" dxfId="2013" priority="14981" operator="containsText" text="PEX BLOQUEADO">
      <formula>NOT(ISERROR(SEARCH("PEX BLOQUEADO",C2)))</formula>
    </cfRule>
    <cfRule type="cellIs" dxfId="2012" priority="14980" operator="equal">
      <formula>"NO"</formula>
    </cfRule>
    <cfRule type="containsText" dxfId="2011" priority="14979" operator="containsText" text="NO INSTALADO">
      <formula>NOT(ISERROR(SEARCH("NO INSTALADO",C2)))</formula>
    </cfRule>
    <cfRule type="containsText" dxfId="2010" priority="14978" operator="containsText" text="PEX DESAFILIADO">
      <formula>NOT(ISERROR(SEARCH("PEX DESAFILIADO",C2)))</formula>
    </cfRule>
    <cfRule type="containsText" dxfId="2009" priority="14977" operator="containsText" text="PEX BLOQUEADO">
      <formula>NOT(ISERROR(SEARCH("PEX BLOQUEADO",C2)))</formula>
    </cfRule>
    <cfRule type="cellIs" dxfId="2008" priority="14976" operator="equal">
      <formula>"NO"</formula>
    </cfRule>
    <cfRule type="containsText" dxfId="2007" priority="14975" operator="containsText" text="NO INSTALADO">
      <formula>NOT(ISERROR(SEARCH("NO INSTALADO",C2)))</formula>
    </cfRule>
    <cfRule type="containsText" dxfId="2006" priority="14974" operator="containsText" text="PEX DESAFILIADO">
      <formula>NOT(ISERROR(SEARCH("PEX DESAFILIADO",C2)))</formula>
    </cfRule>
    <cfRule type="containsText" dxfId="2005" priority="14973" operator="containsText" text="PEX BLOQUEADO">
      <formula>NOT(ISERROR(SEARCH("PEX BLOQUEADO",C2)))</formula>
    </cfRule>
    <cfRule type="cellIs" dxfId="2004" priority="14972" operator="equal">
      <formula>"NO"</formula>
    </cfRule>
    <cfRule type="containsText" dxfId="2003" priority="14971" operator="containsText" text="NO INSTALADO">
      <formula>NOT(ISERROR(SEARCH("NO INSTALADO",C2)))</formula>
    </cfRule>
    <cfRule type="containsText" dxfId="2002" priority="14970" operator="containsText" text="PEX DESAFILIADO">
      <formula>NOT(ISERROR(SEARCH("PEX DESAFILIADO",C2)))</formula>
    </cfRule>
    <cfRule type="containsText" dxfId="2001" priority="14969" operator="containsText" text="PEX BLOQUEADO">
      <formula>NOT(ISERROR(SEARCH("PEX BLOQUEADO",C2)))</formula>
    </cfRule>
    <cfRule type="cellIs" dxfId="2000" priority="14968" operator="equal">
      <formula>"NO"</formula>
    </cfRule>
    <cfRule type="containsText" dxfId="1999" priority="14967" operator="containsText" text="NO INSTALADO">
      <formula>NOT(ISERROR(SEARCH("NO INSTALADO",C2)))</formula>
    </cfRule>
    <cfRule type="containsText" dxfId="1998" priority="14966" operator="containsText" text="PEX DESAFILIADO">
      <formula>NOT(ISERROR(SEARCH("PEX DESAFILIADO",C2)))</formula>
    </cfRule>
    <cfRule type="containsText" dxfId="1997" priority="14965" operator="containsText" text="PEX BLOQUEADO">
      <formula>NOT(ISERROR(SEARCH("PEX BLOQUEADO",C2)))</formula>
    </cfRule>
    <cfRule type="cellIs" dxfId="1996" priority="14964" operator="equal">
      <formula>"NO"</formula>
    </cfRule>
    <cfRule type="containsText" dxfId="1995" priority="14963" operator="containsText" text="NO INSTALADO">
      <formula>NOT(ISERROR(SEARCH("NO INSTALADO",C2)))</formula>
    </cfRule>
    <cfRule type="containsText" dxfId="1994" priority="14962" operator="containsText" text="PEX DESAFILIADO">
      <formula>NOT(ISERROR(SEARCH("PEX DESAFILIADO",C2)))</formula>
    </cfRule>
    <cfRule type="containsText" dxfId="1993" priority="14961" operator="containsText" text="PEX BLOQUEADO">
      <formula>NOT(ISERROR(SEARCH("PEX BLOQUEADO",C2)))</formula>
    </cfRule>
    <cfRule type="cellIs" dxfId="1992" priority="14960" operator="equal">
      <formula>"NO"</formula>
    </cfRule>
    <cfRule type="containsText" dxfId="1991" priority="14959" operator="containsText" text="NO INSTALADO">
      <formula>NOT(ISERROR(SEARCH("NO INSTALADO",C2)))</formula>
    </cfRule>
    <cfRule type="containsText" dxfId="1990" priority="14958" operator="containsText" text="PEX DESAFILIADO">
      <formula>NOT(ISERROR(SEARCH("PEX DESAFILIADO",C2)))</formula>
    </cfRule>
    <cfRule type="containsText" dxfId="1989" priority="14957" operator="containsText" text="PEX BLOQUEADO">
      <formula>NOT(ISERROR(SEARCH("PEX BLOQUEADO",C2)))</formula>
    </cfRule>
    <cfRule type="cellIs" dxfId="1988" priority="14956" operator="equal">
      <formula>"NO"</formula>
    </cfRule>
    <cfRule type="containsText" dxfId="1987" priority="14955" operator="containsText" text="NO INSTALADO">
      <formula>NOT(ISERROR(SEARCH("NO INSTALADO",C2)))</formula>
    </cfRule>
    <cfRule type="containsText" dxfId="1986" priority="14954" operator="containsText" text="PEX DESAFILIADO">
      <formula>NOT(ISERROR(SEARCH("PEX DESAFILIADO",C2)))</formula>
    </cfRule>
    <cfRule type="containsText" dxfId="1985" priority="14953" operator="containsText" text="PEX BLOQUEADO">
      <formula>NOT(ISERROR(SEARCH("PEX BLOQUEADO",C2)))</formula>
    </cfRule>
    <cfRule type="cellIs" dxfId="1984" priority="14952" operator="equal">
      <formula>"NO"</formula>
    </cfRule>
    <cfRule type="containsText" dxfId="1983" priority="14951" operator="containsText" text="NO INSTALADO">
      <formula>NOT(ISERROR(SEARCH("NO INSTALADO",C2)))</formula>
    </cfRule>
    <cfRule type="containsText" dxfId="1982" priority="14950" operator="containsText" text="PEX DESAFILIADO">
      <formula>NOT(ISERROR(SEARCH("PEX DESAFILIADO",C2)))</formula>
    </cfRule>
    <cfRule type="containsText" dxfId="1981" priority="14949" operator="containsText" text="PEX BLOQUEADO">
      <formula>NOT(ISERROR(SEARCH("PEX BLOQUEADO",C2)))</formula>
    </cfRule>
    <cfRule type="cellIs" dxfId="1980" priority="14948" operator="equal">
      <formula>"NO"</formula>
    </cfRule>
    <cfRule type="containsText" dxfId="1979" priority="14947" operator="containsText" text="NO INSTALADO">
      <formula>NOT(ISERROR(SEARCH("NO INSTALADO",C2)))</formula>
    </cfRule>
    <cfRule type="containsText" dxfId="1978" priority="14946" operator="containsText" text="PEX DESAFILIADO">
      <formula>NOT(ISERROR(SEARCH("PEX DESAFILIADO",C2)))</formula>
    </cfRule>
    <cfRule type="containsText" dxfId="1977" priority="14945" operator="containsText" text="PEX BLOQUEADO">
      <formula>NOT(ISERROR(SEARCH("PEX BLOQUEADO",C2)))</formula>
    </cfRule>
    <cfRule type="cellIs" dxfId="1976" priority="14944" operator="equal">
      <formula>"NO"</formula>
    </cfRule>
    <cfRule type="containsText" dxfId="1975" priority="14943" operator="containsText" text="NO INSTALADO">
      <formula>NOT(ISERROR(SEARCH("NO INSTALADO",C2)))</formula>
    </cfRule>
    <cfRule type="containsText" dxfId="1974" priority="14942" operator="containsText" text="PEX DESAFILIADO">
      <formula>NOT(ISERROR(SEARCH("PEX DESAFILIADO",C2)))</formula>
    </cfRule>
    <cfRule type="containsText" dxfId="1973" priority="14941" operator="containsText" text="PEX BLOQUEADO">
      <formula>NOT(ISERROR(SEARCH("PEX BLOQUEADO",C2)))</formula>
    </cfRule>
  </conditionalFormatting>
  <conditionalFormatting sqref="C2:C83 C86:C440">
    <cfRule type="containsText" dxfId="1972" priority="14755" operator="containsText" text="NO INSTALADO">
      <formula>NOT(ISERROR(SEARCH("NO INSTALADO",C2)))</formula>
    </cfRule>
    <cfRule type="cellIs" dxfId="1971" priority="14756" operator="equal">
      <formula>"NO"</formula>
    </cfRule>
    <cfRule type="containsText" dxfId="1970" priority="14753" operator="containsText" text="PEX BLOQUEADO">
      <formula>NOT(ISERROR(SEARCH("PEX BLOQUEADO",C2)))</formula>
    </cfRule>
    <cfRule type="containsText" dxfId="1969" priority="14754" operator="containsText" text="PEX DESAFILIADO">
      <formula>NOT(ISERROR(SEARCH("PEX DESAFILIADO",C2)))</formula>
    </cfRule>
  </conditionalFormatting>
  <conditionalFormatting sqref="C2:C440">
    <cfRule type="containsText" dxfId="1968" priority="14745" operator="containsText" text="PEX BLOQUEADO">
      <formula>NOT(ISERROR(SEARCH("PEX BLOQUEADO",C2)))</formula>
    </cfRule>
    <cfRule type="containsText" dxfId="1967" priority="14746" operator="containsText" text="PEX DESAFILIADO">
      <formula>NOT(ISERROR(SEARCH("PEX DESAFILIADO",C2)))</formula>
    </cfRule>
    <cfRule type="containsText" dxfId="1966" priority="14747" operator="containsText" text="NO INSTALADO">
      <formula>NOT(ISERROR(SEARCH("NO INSTALADO",C2)))</formula>
    </cfRule>
    <cfRule type="cellIs" dxfId="1965" priority="14748" operator="equal">
      <formula>"NO"</formula>
    </cfRule>
    <cfRule type="containsText" dxfId="1964" priority="14749" operator="containsText" text="PEX BLOQUEADO">
      <formula>NOT(ISERROR(SEARCH("PEX BLOQUEADO",C2)))</formula>
    </cfRule>
    <cfRule type="containsText" dxfId="1963" priority="14750" operator="containsText" text="PEX DESAFILIADO">
      <formula>NOT(ISERROR(SEARCH("PEX DESAFILIADO",C2)))</formula>
    </cfRule>
    <cfRule type="containsText" dxfId="1962" priority="14751" operator="containsText" text="NO INSTALADO">
      <formula>NOT(ISERROR(SEARCH("NO INSTALADO",C2)))</formula>
    </cfRule>
    <cfRule type="cellIs" dxfId="1961" priority="14752" operator="equal">
      <formula>"NO"</formula>
    </cfRule>
  </conditionalFormatting>
  <conditionalFormatting sqref="C12:C83 C86:C104 C123:C129 C136:C143 C155:C178 C180:C196 C247:C298 C313:C314 C332:C409">
    <cfRule type="containsText" dxfId="1960" priority="14737" operator="containsText" text="PEX BLOQUEADO">
      <formula>NOT(ISERROR(SEARCH("PEX BLOQUEADO",C12)))</formula>
    </cfRule>
    <cfRule type="containsText" dxfId="1959" priority="14734" operator="containsText" text="PEX DESAFILIADO">
      <formula>NOT(ISERROR(SEARCH("PEX DESAFILIADO",C12)))</formula>
    </cfRule>
    <cfRule type="containsText" dxfId="1958" priority="14735" operator="containsText" text="NO INSTALADO">
      <formula>NOT(ISERROR(SEARCH("NO INSTALADO",C12)))</formula>
    </cfRule>
    <cfRule type="cellIs" dxfId="1957" priority="14736" operator="equal">
      <formula>"NO"</formula>
    </cfRule>
    <cfRule type="containsText" dxfId="1956" priority="14738" operator="containsText" text="PEX DESAFILIADO">
      <formula>NOT(ISERROR(SEARCH("PEX DESAFILIADO",C12)))</formula>
    </cfRule>
    <cfRule type="containsText" dxfId="1955" priority="14739" operator="containsText" text="NO INSTALADO">
      <formula>NOT(ISERROR(SEARCH("NO INSTALADO",C12)))</formula>
    </cfRule>
    <cfRule type="cellIs" dxfId="1954" priority="14740" operator="equal">
      <formula>"NO"</formula>
    </cfRule>
    <cfRule type="containsText" dxfId="1953" priority="14741" operator="containsText" text="PEX BLOQUEADO">
      <formula>NOT(ISERROR(SEARCH("PEX BLOQUEADO",C12)))</formula>
    </cfRule>
    <cfRule type="containsText" dxfId="1952" priority="14742" operator="containsText" text="PEX DESAFILIADO">
      <formula>NOT(ISERROR(SEARCH("PEX DESAFILIADO",C12)))</formula>
    </cfRule>
    <cfRule type="containsText" dxfId="1951" priority="14743" operator="containsText" text="NO INSTALADO">
      <formula>NOT(ISERROR(SEARCH("NO INSTALADO",C12)))</formula>
    </cfRule>
    <cfRule type="cellIs" dxfId="1950" priority="14744" operator="equal">
      <formula>"NO"</formula>
    </cfRule>
    <cfRule type="containsText" dxfId="1949" priority="14733" operator="containsText" text="PEX BLOQUEADO">
      <formula>NOT(ISERROR(SEARCH("PEX BLOQUEADO",C12)))</formula>
    </cfRule>
  </conditionalFormatting>
  <conditionalFormatting sqref="C12:C83 C86:C104 C123:C129 C136:C143 C155:C178 C180:C196 C292:C298 C313:C314 C332:C409">
    <cfRule type="cellIs" dxfId="1948" priority="14688" operator="equal">
      <formula>"NO"</formula>
    </cfRule>
    <cfRule type="containsText" dxfId="1947" priority="14689" operator="containsText" text="PEX BLOQUEADO">
      <formula>NOT(ISERROR(SEARCH("PEX BLOQUEADO",C12)))</formula>
    </cfRule>
    <cfRule type="containsText" dxfId="1946" priority="14690" operator="containsText" text="PEX DESAFILIADO">
      <formula>NOT(ISERROR(SEARCH("PEX DESAFILIADO",C12)))</formula>
    </cfRule>
    <cfRule type="containsText" dxfId="1945" priority="14691" operator="containsText" text="NO INSTALADO">
      <formula>NOT(ISERROR(SEARCH("NO INSTALADO",C12)))</formula>
    </cfRule>
    <cfRule type="cellIs" dxfId="1944" priority="14692" operator="equal">
      <formula>"NO"</formula>
    </cfRule>
    <cfRule type="containsText" dxfId="1943" priority="14693" operator="containsText" text="PEX BLOQUEADO">
      <formula>NOT(ISERROR(SEARCH("PEX BLOQUEADO",C12)))</formula>
    </cfRule>
    <cfRule type="containsText" dxfId="1942" priority="14694" operator="containsText" text="PEX DESAFILIADO">
      <formula>NOT(ISERROR(SEARCH("PEX DESAFILIADO",C12)))</formula>
    </cfRule>
    <cfRule type="containsText" dxfId="1941" priority="14695" operator="containsText" text="NO INSTALADO">
      <formula>NOT(ISERROR(SEARCH("NO INSTALADO",C12)))</formula>
    </cfRule>
    <cfRule type="cellIs" dxfId="1940" priority="14696" operator="equal">
      <formula>"NO"</formula>
    </cfRule>
    <cfRule type="containsText" dxfId="1939" priority="14697" operator="containsText" text="PEX BLOQUEADO">
      <formula>NOT(ISERROR(SEARCH("PEX BLOQUEADO",C12)))</formula>
    </cfRule>
    <cfRule type="containsText" dxfId="1938" priority="14698" operator="containsText" text="PEX DESAFILIADO">
      <formula>NOT(ISERROR(SEARCH("PEX DESAFILIADO",C12)))</formula>
    </cfRule>
    <cfRule type="containsText" dxfId="1937" priority="14699" operator="containsText" text="NO INSTALADO">
      <formula>NOT(ISERROR(SEARCH("NO INSTALADO",C12)))</formula>
    </cfRule>
    <cfRule type="cellIs" dxfId="1936" priority="14700" operator="equal">
      <formula>"NO"</formula>
    </cfRule>
    <cfRule type="containsText" dxfId="1935" priority="14701" operator="containsText" text="PEX BLOQUEADO">
      <formula>NOT(ISERROR(SEARCH("PEX BLOQUEADO",C12)))</formula>
    </cfRule>
    <cfRule type="containsText" dxfId="1934" priority="14702" operator="containsText" text="PEX DESAFILIADO">
      <formula>NOT(ISERROR(SEARCH("PEX DESAFILIADO",C12)))</formula>
    </cfRule>
    <cfRule type="containsText" dxfId="1933" priority="14703" operator="containsText" text="NO INSTALADO">
      <formula>NOT(ISERROR(SEARCH("NO INSTALADO",C12)))</formula>
    </cfRule>
    <cfRule type="cellIs" dxfId="1932" priority="14704" operator="equal">
      <formula>"NO"</formula>
    </cfRule>
    <cfRule type="containsText" dxfId="1931" priority="14705" operator="containsText" text="PEX BLOQUEADO">
      <formula>NOT(ISERROR(SEARCH("PEX BLOQUEADO",C12)))</formula>
    </cfRule>
    <cfRule type="containsText" dxfId="1930" priority="14706" operator="containsText" text="PEX DESAFILIADO">
      <formula>NOT(ISERROR(SEARCH("PEX DESAFILIADO",C12)))</formula>
    </cfRule>
    <cfRule type="containsText" dxfId="1929" priority="14707" operator="containsText" text="NO INSTALADO">
      <formula>NOT(ISERROR(SEARCH("NO INSTALADO",C12)))</formula>
    </cfRule>
    <cfRule type="cellIs" dxfId="1928" priority="14708" operator="equal">
      <formula>"NO"</formula>
    </cfRule>
    <cfRule type="containsText" dxfId="1927" priority="14709" operator="containsText" text="PEX BLOQUEADO">
      <formula>NOT(ISERROR(SEARCH("PEX BLOQUEADO",C12)))</formula>
    </cfRule>
    <cfRule type="containsText" dxfId="1926" priority="14710" operator="containsText" text="PEX DESAFILIADO">
      <formula>NOT(ISERROR(SEARCH("PEX DESAFILIADO",C12)))</formula>
    </cfRule>
    <cfRule type="containsText" dxfId="1925" priority="14711" operator="containsText" text="NO INSTALADO">
      <formula>NOT(ISERROR(SEARCH("NO INSTALADO",C12)))</formula>
    </cfRule>
    <cfRule type="containsText" dxfId="1924" priority="14687" operator="containsText" text="NO INSTALADO">
      <formula>NOT(ISERROR(SEARCH("NO INSTALADO",C12)))</formula>
    </cfRule>
    <cfRule type="containsText" dxfId="1923" priority="14713" operator="containsText" text="PEX BLOQUEADO">
      <formula>NOT(ISERROR(SEARCH("PEX BLOQUEADO",C12)))</formula>
    </cfRule>
    <cfRule type="containsText" dxfId="1922" priority="14714" operator="containsText" text="PEX DESAFILIADO">
      <formula>NOT(ISERROR(SEARCH("PEX DESAFILIADO",C12)))</formula>
    </cfRule>
    <cfRule type="containsText" dxfId="1921" priority="14715" operator="containsText" text="NO INSTALADO">
      <formula>NOT(ISERROR(SEARCH("NO INSTALADO",C12)))</formula>
    </cfRule>
    <cfRule type="cellIs" dxfId="1920" priority="14716" operator="equal">
      <formula>"NO"</formula>
    </cfRule>
    <cfRule type="containsText" dxfId="1919" priority="14717" operator="containsText" text="PEX BLOQUEADO">
      <formula>NOT(ISERROR(SEARCH("PEX BLOQUEADO",C12)))</formula>
    </cfRule>
    <cfRule type="containsText" dxfId="1918" priority="14718" operator="containsText" text="PEX DESAFILIADO">
      <formula>NOT(ISERROR(SEARCH("PEX DESAFILIADO",C12)))</formula>
    </cfRule>
    <cfRule type="containsText" dxfId="1917" priority="14719" operator="containsText" text="NO INSTALADO">
      <formula>NOT(ISERROR(SEARCH("NO INSTALADO",C12)))</formula>
    </cfRule>
    <cfRule type="cellIs" dxfId="1916" priority="14720" operator="equal">
      <formula>"NO"</formula>
    </cfRule>
    <cfRule type="containsText" dxfId="1915" priority="14721" operator="containsText" text="PEX BLOQUEADO">
      <formula>NOT(ISERROR(SEARCH("PEX BLOQUEADO",C12)))</formula>
    </cfRule>
    <cfRule type="containsText" dxfId="1914" priority="14722" operator="containsText" text="PEX DESAFILIADO">
      <formula>NOT(ISERROR(SEARCH("PEX DESAFILIADO",C12)))</formula>
    </cfRule>
    <cfRule type="containsText" dxfId="1913" priority="14723" operator="containsText" text="NO INSTALADO">
      <formula>NOT(ISERROR(SEARCH("NO INSTALADO",C12)))</formula>
    </cfRule>
    <cfRule type="cellIs" dxfId="1912" priority="14724" operator="equal">
      <formula>"NO"</formula>
    </cfRule>
    <cfRule type="containsText" dxfId="1911" priority="14725" operator="containsText" text="PEX BLOQUEADO">
      <formula>NOT(ISERROR(SEARCH("PEX BLOQUEADO",C12)))</formula>
    </cfRule>
    <cfRule type="containsText" dxfId="1910" priority="14726" operator="containsText" text="PEX DESAFILIADO">
      <formula>NOT(ISERROR(SEARCH("PEX DESAFILIADO",C12)))</formula>
    </cfRule>
    <cfRule type="containsText" dxfId="1909" priority="14727" operator="containsText" text="NO INSTALADO">
      <formula>NOT(ISERROR(SEARCH("NO INSTALADO",C12)))</formula>
    </cfRule>
    <cfRule type="cellIs" dxfId="1908" priority="14728" operator="equal">
      <formula>"NO"</formula>
    </cfRule>
    <cfRule type="containsText" dxfId="1907" priority="14729" operator="containsText" text="PEX BLOQUEADO">
      <formula>NOT(ISERROR(SEARCH("PEX BLOQUEADO",C12)))</formula>
    </cfRule>
    <cfRule type="containsText" dxfId="1906" priority="14730" operator="containsText" text="PEX DESAFILIADO">
      <formula>NOT(ISERROR(SEARCH("PEX DESAFILIADO",C12)))</formula>
    </cfRule>
    <cfRule type="containsText" dxfId="1905" priority="14731" operator="containsText" text="NO INSTALADO">
      <formula>NOT(ISERROR(SEARCH("NO INSTALADO",C12)))</formula>
    </cfRule>
    <cfRule type="cellIs" dxfId="1904" priority="14732" operator="equal">
      <formula>"NO"</formula>
    </cfRule>
    <cfRule type="cellIs" dxfId="1903" priority="14712" operator="equal">
      <formula>"NO"</formula>
    </cfRule>
    <cfRule type="containsText" dxfId="1902" priority="14686" operator="containsText" text="PEX DESAFILIADO">
      <formula>NOT(ISERROR(SEARCH("PEX DESAFILIADO",C12)))</formula>
    </cfRule>
    <cfRule type="containsText" dxfId="1901" priority="14683" operator="containsText" text="NO INSTALADO">
      <formula>NOT(ISERROR(SEARCH("NO INSTALADO",C12)))</formula>
    </cfRule>
    <cfRule type="cellIs" dxfId="1900" priority="14684" operator="equal">
      <formula>"NO"</formula>
    </cfRule>
    <cfRule type="cellIs" dxfId="1899" priority="14668" operator="equal">
      <formula>"NO"</formula>
    </cfRule>
    <cfRule type="containsText" dxfId="1898" priority="14667" operator="containsText" text="NO INSTALADO">
      <formula>NOT(ISERROR(SEARCH("NO INSTALADO",C12)))</formula>
    </cfRule>
    <cfRule type="containsText" dxfId="1897" priority="14669" operator="containsText" text="PEX BLOQUEADO">
      <formula>NOT(ISERROR(SEARCH("PEX BLOQUEADO",C12)))</formula>
    </cfRule>
    <cfRule type="containsText" dxfId="1896" priority="14670" operator="containsText" text="PEX DESAFILIADO">
      <formula>NOT(ISERROR(SEARCH("PEX DESAFILIADO",C12)))</formula>
    </cfRule>
    <cfRule type="containsText" dxfId="1895" priority="14685" operator="containsText" text="PEX BLOQUEADO">
      <formula>NOT(ISERROR(SEARCH("PEX BLOQUEADO",C12)))</formula>
    </cfRule>
    <cfRule type="containsText" dxfId="1894" priority="14671" operator="containsText" text="NO INSTALADO">
      <formula>NOT(ISERROR(SEARCH("NO INSTALADO",C12)))</formula>
    </cfRule>
    <cfRule type="cellIs" dxfId="1893" priority="14672" operator="equal">
      <formula>"NO"</formula>
    </cfRule>
    <cfRule type="cellIs" dxfId="1892" priority="14588" operator="equal">
      <formula>"NO"</formula>
    </cfRule>
    <cfRule type="containsText" dxfId="1891" priority="14673" operator="containsText" text="PEX BLOQUEADO">
      <formula>NOT(ISERROR(SEARCH("PEX BLOQUEADO",C12)))</formula>
    </cfRule>
    <cfRule type="containsText" dxfId="1890" priority="14674" operator="containsText" text="PEX DESAFILIADO">
      <formula>NOT(ISERROR(SEARCH("PEX DESAFILIADO",C12)))</formula>
    </cfRule>
    <cfRule type="cellIs" dxfId="1889" priority="14580" operator="equal">
      <formula>"NO"</formula>
    </cfRule>
    <cfRule type="containsText" dxfId="1888" priority="14675" operator="containsText" text="NO INSTALADO">
      <formula>NOT(ISERROR(SEARCH("NO INSTALADO",C12)))</formula>
    </cfRule>
    <cfRule type="cellIs" dxfId="1887" priority="14676" operator="equal">
      <formula>"NO"</formula>
    </cfRule>
    <cfRule type="containsText" dxfId="1886" priority="14659" operator="containsText" text="NO INSTALADO">
      <formula>NOT(ISERROR(SEARCH("NO INSTALADO",C12)))</formula>
    </cfRule>
    <cfRule type="containsText" dxfId="1885" priority="14573" operator="containsText" text="PEX BLOQUEADO">
      <formula>NOT(ISERROR(SEARCH("PEX BLOQUEADO",C12)))</formula>
    </cfRule>
    <cfRule type="containsText" dxfId="1884" priority="14574" operator="containsText" text="PEX DESAFILIADO">
      <formula>NOT(ISERROR(SEARCH("PEX DESAFILIADO",C12)))</formula>
    </cfRule>
    <cfRule type="containsText" dxfId="1883" priority="14575" operator="containsText" text="NO INSTALADO">
      <formula>NOT(ISERROR(SEARCH("NO INSTALADO",C12)))</formula>
    </cfRule>
    <cfRule type="cellIs" dxfId="1882" priority="14576" operator="equal">
      <formula>"NO"</formula>
    </cfRule>
    <cfRule type="containsText" dxfId="1881" priority="14577" operator="containsText" text="PEX BLOQUEADO">
      <formula>NOT(ISERROR(SEARCH("PEX BLOQUEADO",C12)))</formula>
    </cfRule>
    <cfRule type="containsText" dxfId="1880" priority="14578" operator="containsText" text="PEX DESAFILIADO">
      <formula>NOT(ISERROR(SEARCH("PEX DESAFILIADO",C12)))</formula>
    </cfRule>
    <cfRule type="containsText" dxfId="1879" priority="14579" operator="containsText" text="NO INSTALADO">
      <formula>NOT(ISERROR(SEARCH("NO INSTALADO",C12)))</formula>
    </cfRule>
    <cfRule type="containsText" dxfId="1878" priority="14581" operator="containsText" text="PEX BLOQUEADO">
      <formula>NOT(ISERROR(SEARCH("PEX BLOQUEADO",C12)))</formula>
    </cfRule>
    <cfRule type="containsText" dxfId="1877" priority="14582" operator="containsText" text="PEX DESAFILIADO">
      <formula>NOT(ISERROR(SEARCH("PEX DESAFILIADO",C12)))</formula>
    </cfRule>
    <cfRule type="containsText" dxfId="1876" priority="14583" operator="containsText" text="NO INSTALADO">
      <formula>NOT(ISERROR(SEARCH("NO INSTALADO",C12)))</formula>
    </cfRule>
    <cfRule type="cellIs" dxfId="1875" priority="14584" operator="equal">
      <formula>"NO"</formula>
    </cfRule>
    <cfRule type="containsText" dxfId="1874" priority="14585" operator="containsText" text="PEX BLOQUEADO">
      <formula>NOT(ISERROR(SEARCH("PEX BLOQUEADO",C12)))</formula>
    </cfRule>
    <cfRule type="containsText" dxfId="1873" priority="14586" operator="containsText" text="PEX DESAFILIADO">
      <formula>NOT(ISERROR(SEARCH("PEX DESAFILIADO",C12)))</formula>
    </cfRule>
    <cfRule type="containsText" dxfId="1872" priority="14587" operator="containsText" text="NO INSTALADO">
      <formula>NOT(ISERROR(SEARCH("NO INSTALADO",C12)))</formula>
    </cfRule>
    <cfRule type="containsText" dxfId="1871" priority="14613" operator="containsText" text="PEX BLOQUEADO">
      <formula>NOT(ISERROR(SEARCH("PEX BLOQUEADO",C12)))</formula>
    </cfRule>
    <cfRule type="containsText" dxfId="1870" priority="14589" operator="containsText" text="PEX BLOQUEADO">
      <formula>NOT(ISERROR(SEARCH("PEX BLOQUEADO",C12)))</formula>
    </cfRule>
    <cfRule type="containsText" dxfId="1869" priority="14590" operator="containsText" text="PEX DESAFILIADO">
      <formula>NOT(ISERROR(SEARCH("PEX DESAFILIADO",C12)))</formula>
    </cfRule>
    <cfRule type="containsText" dxfId="1868" priority="14591" operator="containsText" text="NO INSTALADO">
      <formula>NOT(ISERROR(SEARCH("NO INSTALADO",C12)))</formula>
    </cfRule>
    <cfRule type="cellIs" dxfId="1867" priority="14592" operator="equal">
      <formula>"NO"</formula>
    </cfRule>
    <cfRule type="containsText" dxfId="1866" priority="14593" operator="containsText" text="PEX BLOQUEADO">
      <formula>NOT(ISERROR(SEARCH("PEX BLOQUEADO",C12)))</formula>
    </cfRule>
    <cfRule type="containsText" dxfId="1865" priority="14594" operator="containsText" text="PEX DESAFILIADO">
      <formula>NOT(ISERROR(SEARCH("PEX DESAFILIADO",C12)))</formula>
    </cfRule>
    <cfRule type="containsText" dxfId="1864" priority="14595" operator="containsText" text="NO INSTALADO">
      <formula>NOT(ISERROR(SEARCH("NO INSTALADO",C12)))</formula>
    </cfRule>
    <cfRule type="cellIs" dxfId="1863" priority="14596" operator="equal">
      <formula>"NO"</formula>
    </cfRule>
    <cfRule type="containsText" dxfId="1862" priority="14597" operator="containsText" text="PEX BLOQUEADO">
      <formula>NOT(ISERROR(SEARCH("PEX BLOQUEADO",C12)))</formula>
    </cfRule>
    <cfRule type="containsText" dxfId="1861" priority="14598" operator="containsText" text="PEX DESAFILIADO">
      <formula>NOT(ISERROR(SEARCH("PEX DESAFILIADO",C12)))</formula>
    </cfRule>
    <cfRule type="containsText" dxfId="1860" priority="14599" operator="containsText" text="NO INSTALADO">
      <formula>NOT(ISERROR(SEARCH("NO INSTALADO",C12)))</formula>
    </cfRule>
    <cfRule type="cellIs" dxfId="1859" priority="14600" operator="equal">
      <formula>"NO"</formula>
    </cfRule>
    <cfRule type="containsText" dxfId="1858" priority="14601" operator="containsText" text="PEX BLOQUEADO">
      <formula>NOT(ISERROR(SEARCH("PEX BLOQUEADO",C12)))</formula>
    </cfRule>
    <cfRule type="containsText" dxfId="1857" priority="14602" operator="containsText" text="PEX DESAFILIADO">
      <formula>NOT(ISERROR(SEARCH("PEX DESAFILIADO",C12)))</formula>
    </cfRule>
    <cfRule type="containsText" dxfId="1856" priority="14603" operator="containsText" text="NO INSTALADO">
      <formula>NOT(ISERROR(SEARCH("NO INSTALADO",C12)))</formula>
    </cfRule>
    <cfRule type="cellIs" dxfId="1855" priority="14604" operator="equal">
      <formula>"NO"</formula>
    </cfRule>
    <cfRule type="containsText" dxfId="1854" priority="14605" operator="containsText" text="PEX BLOQUEADO">
      <formula>NOT(ISERROR(SEARCH("PEX BLOQUEADO",C12)))</formula>
    </cfRule>
    <cfRule type="containsText" dxfId="1853" priority="14606" operator="containsText" text="PEX DESAFILIADO">
      <formula>NOT(ISERROR(SEARCH("PEX DESAFILIADO",C12)))</formula>
    </cfRule>
    <cfRule type="containsText" dxfId="1852" priority="14607" operator="containsText" text="NO INSTALADO">
      <formula>NOT(ISERROR(SEARCH("NO INSTALADO",C12)))</formula>
    </cfRule>
    <cfRule type="cellIs" dxfId="1851" priority="14608" operator="equal">
      <formula>"NO"</formula>
    </cfRule>
    <cfRule type="containsText" dxfId="1850" priority="14609" operator="containsText" text="PEX BLOQUEADO">
      <formula>NOT(ISERROR(SEARCH("PEX BLOQUEADO",C12)))</formula>
    </cfRule>
    <cfRule type="containsText" dxfId="1849" priority="14610" operator="containsText" text="PEX DESAFILIADO">
      <formula>NOT(ISERROR(SEARCH("PEX DESAFILIADO",C12)))</formula>
    </cfRule>
    <cfRule type="containsText" dxfId="1848" priority="14611" operator="containsText" text="NO INSTALADO">
      <formula>NOT(ISERROR(SEARCH("NO INSTALADO",C12)))</formula>
    </cfRule>
    <cfRule type="cellIs" dxfId="1847" priority="14612" operator="equal">
      <formula>"NO"</formula>
    </cfRule>
    <cfRule type="containsText" dxfId="1846" priority="14614" operator="containsText" text="PEX DESAFILIADO">
      <formula>NOT(ISERROR(SEARCH("PEX DESAFILIADO",C12)))</formula>
    </cfRule>
    <cfRule type="containsText" dxfId="1845" priority="14615" operator="containsText" text="NO INSTALADO">
      <formula>NOT(ISERROR(SEARCH("NO INSTALADO",C12)))</formula>
    </cfRule>
    <cfRule type="cellIs" dxfId="1844" priority="14616" operator="equal">
      <formula>"NO"</formula>
    </cfRule>
    <cfRule type="containsText" dxfId="1843" priority="14617" operator="containsText" text="PEX BLOQUEADO">
      <formula>NOT(ISERROR(SEARCH("PEX BLOQUEADO",C12)))</formula>
    </cfRule>
    <cfRule type="containsText" dxfId="1842" priority="14618" operator="containsText" text="PEX DESAFILIADO">
      <formula>NOT(ISERROR(SEARCH("PEX DESAFILIADO",C12)))</formula>
    </cfRule>
    <cfRule type="containsText" dxfId="1841" priority="14619" operator="containsText" text="NO INSTALADO">
      <formula>NOT(ISERROR(SEARCH("NO INSTALADO",C12)))</formula>
    </cfRule>
    <cfRule type="cellIs" dxfId="1840" priority="14620" operator="equal">
      <formula>"NO"</formula>
    </cfRule>
    <cfRule type="containsText" dxfId="1839" priority="14621" operator="containsText" text="PEX BLOQUEADO">
      <formula>NOT(ISERROR(SEARCH("PEX BLOQUEADO",C12)))</formula>
    </cfRule>
    <cfRule type="containsText" dxfId="1838" priority="14622" operator="containsText" text="PEX DESAFILIADO">
      <formula>NOT(ISERROR(SEARCH("PEX DESAFILIADO",C12)))</formula>
    </cfRule>
    <cfRule type="containsText" dxfId="1837" priority="14623" operator="containsText" text="NO INSTALADO">
      <formula>NOT(ISERROR(SEARCH("NO INSTALADO",C12)))</formula>
    </cfRule>
    <cfRule type="cellIs" dxfId="1836" priority="14624" operator="equal">
      <formula>"NO"</formula>
    </cfRule>
    <cfRule type="containsText" dxfId="1835" priority="14625" operator="containsText" text="PEX BLOQUEADO">
      <formula>NOT(ISERROR(SEARCH("PEX BLOQUEADO",C12)))</formula>
    </cfRule>
    <cfRule type="containsText" dxfId="1834" priority="14626" operator="containsText" text="PEX DESAFILIADO">
      <formula>NOT(ISERROR(SEARCH("PEX DESAFILIADO",C12)))</formula>
    </cfRule>
    <cfRule type="containsText" dxfId="1833" priority="14627" operator="containsText" text="NO INSTALADO">
      <formula>NOT(ISERROR(SEARCH("NO INSTALADO",C12)))</formula>
    </cfRule>
    <cfRule type="cellIs" dxfId="1832" priority="14628" operator="equal">
      <formula>"NO"</formula>
    </cfRule>
    <cfRule type="containsText" dxfId="1831" priority="14629" operator="containsText" text="PEX BLOQUEADO">
      <formula>NOT(ISERROR(SEARCH("PEX BLOQUEADO",C12)))</formula>
    </cfRule>
    <cfRule type="containsText" dxfId="1830" priority="14630" operator="containsText" text="PEX DESAFILIADO">
      <formula>NOT(ISERROR(SEARCH("PEX DESAFILIADO",C12)))</formula>
    </cfRule>
    <cfRule type="containsText" dxfId="1829" priority="14631" operator="containsText" text="NO INSTALADO">
      <formula>NOT(ISERROR(SEARCH("NO INSTALADO",C12)))</formula>
    </cfRule>
    <cfRule type="cellIs" dxfId="1828" priority="14632" operator="equal">
      <formula>"NO"</formula>
    </cfRule>
    <cfRule type="containsText" dxfId="1827" priority="14633" operator="containsText" text="PEX BLOQUEADO">
      <formula>NOT(ISERROR(SEARCH("PEX BLOQUEADO",C12)))</formula>
    </cfRule>
    <cfRule type="containsText" dxfId="1826" priority="14634" operator="containsText" text="PEX DESAFILIADO">
      <formula>NOT(ISERROR(SEARCH("PEX DESAFILIADO",C12)))</formula>
    </cfRule>
    <cfRule type="containsText" dxfId="1825" priority="14635" operator="containsText" text="NO INSTALADO">
      <formula>NOT(ISERROR(SEARCH("NO INSTALADO",C12)))</formula>
    </cfRule>
    <cfRule type="cellIs" dxfId="1824" priority="14636" operator="equal">
      <formula>"NO"</formula>
    </cfRule>
    <cfRule type="containsText" dxfId="1823" priority="14637" operator="containsText" text="PEX BLOQUEADO">
      <formula>NOT(ISERROR(SEARCH("PEX BLOQUEADO",C12)))</formula>
    </cfRule>
    <cfRule type="containsText" dxfId="1822" priority="14638" operator="containsText" text="PEX DESAFILIADO">
      <formula>NOT(ISERROR(SEARCH("PEX DESAFILIADO",C12)))</formula>
    </cfRule>
    <cfRule type="containsText" dxfId="1821" priority="14639" operator="containsText" text="NO INSTALADO">
      <formula>NOT(ISERROR(SEARCH("NO INSTALADO",C12)))</formula>
    </cfRule>
    <cfRule type="cellIs" dxfId="1820" priority="14640" operator="equal">
      <formula>"NO"</formula>
    </cfRule>
    <cfRule type="containsText" dxfId="1819" priority="14641" operator="containsText" text="PEX BLOQUEADO">
      <formula>NOT(ISERROR(SEARCH("PEX BLOQUEADO",C12)))</formula>
    </cfRule>
    <cfRule type="containsText" dxfId="1818" priority="14642" operator="containsText" text="PEX DESAFILIADO">
      <formula>NOT(ISERROR(SEARCH("PEX DESAFILIADO",C12)))</formula>
    </cfRule>
    <cfRule type="containsText" dxfId="1817" priority="14643" operator="containsText" text="NO INSTALADO">
      <formula>NOT(ISERROR(SEARCH("NO INSTALADO",C12)))</formula>
    </cfRule>
    <cfRule type="cellIs" dxfId="1816" priority="14644" operator="equal">
      <formula>"NO"</formula>
    </cfRule>
    <cfRule type="containsText" dxfId="1815" priority="14645" operator="containsText" text="PEX BLOQUEADO">
      <formula>NOT(ISERROR(SEARCH("PEX BLOQUEADO",C12)))</formula>
    </cfRule>
    <cfRule type="containsText" dxfId="1814" priority="14646" operator="containsText" text="PEX DESAFILIADO">
      <formula>NOT(ISERROR(SEARCH("PEX DESAFILIADO",C12)))</formula>
    </cfRule>
    <cfRule type="containsText" dxfId="1813" priority="14647" operator="containsText" text="NO INSTALADO">
      <formula>NOT(ISERROR(SEARCH("NO INSTALADO",C12)))</formula>
    </cfRule>
    <cfRule type="cellIs" dxfId="1812" priority="14648" operator="equal">
      <formula>"NO"</formula>
    </cfRule>
    <cfRule type="containsText" dxfId="1811" priority="14649" operator="containsText" text="PEX BLOQUEADO">
      <formula>NOT(ISERROR(SEARCH("PEX BLOQUEADO",C12)))</formula>
    </cfRule>
    <cfRule type="containsText" dxfId="1810" priority="14650" operator="containsText" text="PEX DESAFILIADO">
      <formula>NOT(ISERROR(SEARCH("PEX DESAFILIADO",C12)))</formula>
    </cfRule>
    <cfRule type="containsText" dxfId="1809" priority="14651" operator="containsText" text="NO INSTALADO">
      <formula>NOT(ISERROR(SEARCH("NO INSTALADO",C12)))</formula>
    </cfRule>
    <cfRule type="cellIs" dxfId="1808" priority="14652" operator="equal">
      <formula>"NO"</formula>
    </cfRule>
    <cfRule type="containsText" dxfId="1807" priority="14653" operator="containsText" text="PEX BLOQUEADO">
      <formula>NOT(ISERROR(SEARCH("PEX BLOQUEADO",C12)))</formula>
    </cfRule>
    <cfRule type="containsText" dxfId="1806" priority="14654" operator="containsText" text="PEX DESAFILIADO">
      <formula>NOT(ISERROR(SEARCH("PEX DESAFILIADO",C12)))</formula>
    </cfRule>
    <cfRule type="containsText" dxfId="1805" priority="14655" operator="containsText" text="NO INSTALADO">
      <formula>NOT(ISERROR(SEARCH("NO INSTALADO",C12)))</formula>
    </cfRule>
    <cfRule type="cellIs" dxfId="1804" priority="14656" operator="equal">
      <formula>"NO"</formula>
    </cfRule>
    <cfRule type="containsText" dxfId="1803" priority="14657" operator="containsText" text="PEX BLOQUEADO">
      <formula>NOT(ISERROR(SEARCH("PEX BLOQUEADO",C12)))</formula>
    </cfRule>
    <cfRule type="containsText" dxfId="1802" priority="14658" operator="containsText" text="PEX DESAFILIADO">
      <formula>NOT(ISERROR(SEARCH("PEX DESAFILIADO",C12)))</formula>
    </cfRule>
    <cfRule type="cellIs" dxfId="1801" priority="14660" operator="equal">
      <formula>"NO"</formula>
    </cfRule>
    <cfRule type="containsText" dxfId="1800" priority="14661" operator="containsText" text="PEX BLOQUEADO">
      <formula>NOT(ISERROR(SEARCH("PEX BLOQUEADO",C12)))</formula>
    </cfRule>
    <cfRule type="containsText" dxfId="1799" priority="14662" operator="containsText" text="PEX DESAFILIADO">
      <formula>NOT(ISERROR(SEARCH("PEX DESAFILIADO",C12)))</formula>
    </cfRule>
    <cfRule type="containsText" dxfId="1798" priority="14663" operator="containsText" text="NO INSTALADO">
      <formula>NOT(ISERROR(SEARCH("NO INSTALADO",C12)))</formula>
    </cfRule>
    <cfRule type="cellIs" dxfId="1797" priority="14664" operator="equal">
      <formula>"NO"</formula>
    </cfRule>
    <cfRule type="containsText" dxfId="1796" priority="14665" operator="containsText" text="PEX BLOQUEADO">
      <formula>NOT(ISERROR(SEARCH("PEX BLOQUEADO",C12)))</formula>
    </cfRule>
    <cfRule type="containsText" dxfId="1795" priority="14677" operator="containsText" text="PEX BLOQUEADO">
      <formula>NOT(ISERROR(SEARCH("PEX BLOQUEADO",C12)))</formula>
    </cfRule>
    <cfRule type="containsText" dxfId="1794" priority="14678" operator="containsText" text="PEX DESAFILIADO">
      <formula>NOT(ISERROR(SEARCH("PEX DESAFILIADO",C12)))</formula>
    </cfRule>
    <cfRule type="containsText" dxfId="1793" priority="14679" operator="containsText" text="NO INSTALADO">
      <formula>NOT(ISERROR(SEARCH("NO INSTALADO",C12)))</formula>
    </cfRule>
    <cfRule type="cellIs" dxfId="1792" priority="14680" operator="equal">
      <formula>"NO"</formula>
    </cfRule>
    <cfRule type="containsText" dxfId="1791" priority="14681" operator="containsText" text="PEX BLOQUEADO">
      <formula>NOT(ISERROR(SEARCH("PEX BLOQUEADO",C12)))</formula>
    </cfRule>
    <cfRule type="containsText" dxfId="1790" priority="14666" operator="containsText" text="PEX DESAFILIADO">
      <formula>NOT(ISERROR(SEARCH("PEX DESAFILIADO",C12)))</formula>
    </cfRule>
    <cfRule type="containsText" dxfId="1789" priority="14682" operator="containsText" text="PEX DESAFILIADO">
      <formula>NOT(ISERROR(SEARCH("PEX DESAFILIADO",C12)))</formula>
    </cfRule>
  </conditionalFormatting>
  <conditionalFormatting sqref="C12:C83 C86:C104 C123:C129 C136:C143 C155:C178 C180:C196 C313:C314 C332:C409 C292:C298">
    <cfRule type="cellIs" dxfId="1788" priority="14572" operator="equal">
      <formula>"NO"</formula>
    </cfRule>
  </conditionalFormatting>
  <conditionalFormatting sqref="C12:C83 C86:C104 C123:C129 C136:C143 C155:C178 C180:C196 C313:C314 C332:C409">
    <cfRule type="containsText" dxfId="1787" priority="14571" operator="containsText" text="NO INSTALADO">
      <formula>NOT(ISERROR(SEARCH("NO INSTALADO",C12)))</formula>
    </cfRule>
    <cfRule type="containsText" dxfId="1786" priority="14570" operator="containsText" text="PEX DESAFILIADO">
      <formula>NOT(ISERROR(SEARCH("PEX DESAFILIADO",C12)))</formula>
    </cfRule>
    <cfRule type="containsText" dxfId="1785" priority="14569" operator="containsText" text="PEX BLOQUEADO">
      <formula>NOT(ISERROR(SEARCH("PEX BLOQUEADO",C12)))</formula>
    </cfRule>
  </conditionalFormatting>
  <conditionalFormatting sqref="C12:C83 C86:C104 C123:C129 C136:C143 C155:C178 C180:C196 C332:C409">
    <cfRule type="containsText" dxfId="1784" priority="14565" operator="containsText" text="PEX BLOQUEADO">
      <formula>NOT(ISERROR(SEARCH("PEX BLOQUEADO",C12)))</formula>
    </cfRule>
    <cfRule type="containsText" dxfId="1783" priority="14566" operator="containsText" text="PEX DESAFILIADO">
      <formula>NOT(ISERROR(SEARCH("PEX DESAFILIADO",C12)))</formula>
    </cfRule>
    <cfRule type="containsText" dxfId="1782" priority="14567" operator="containsText" text="NO INSTALADO">
      <formula>NOT(ISERROR(SEARCH("NO INSTALADO",C12)))</formula>
    </cfRule>
  </conditionalFormatting>
  <conditionalFormatting sqref="C12:C83 C86:C104 C123:C143 C155:C196 C247:C291 C332:C371">
    <cfRule type="containsText" dxfId="1781" priority="14553" operator="containsText" text="PEX BLOQUEADO">
      <formula>NOT(ISERROR(SEARCH("PEX BLOQUEADO",C12)))</formula>
    </cfRule>
    <cfRule type="containsText" dxfId="1780" priority="14554" operator="containsText" text="PEX DESAFILIADO">
      <formula>NOT(ISERROR(SEARCH("PEX DESAFILIADO",C12)))</formula>
    </cfRule>
    <cfRule type="containsText" dxfId="1779" priority="14555" operator="containsText" text="NO INSTALADO">
      <formula>NOT(ISERROR(SEARCH("NO INSTALADO",C12)))</formula>
    </cfRule>
    <cfRule type="containsText" dxfId="1778" priority="14557" operator="containsText" text="PEX BLOQUEADO">
      <formula>NOT(ISERROR(SEARCH("PEX BLOQUEADO",C12)))</formula>
    </cfRule>
    <cfRule type="containsText" dxfId="1777" priority="14558" operator="containsText" text="PEX DESAFILIADO">
      <formula>NOT(ISERROR(SEARCH("PEX DESAFILIADO",C12)))</formula>
    </cfRule>
    <cfRule type="containsText" dxfId="1776" priority="14559" operator="containsText" text="NO INSTALADO">
      <formula>NOT(ISERROR(SEARCH("NO INSTALADO",C12)))</formula>
    </cfRule>
  </conditionalFormatting>
  <conditionalFormatting sqref="C12:C83 C86:C104 C123:C143 C155:C196 C247:C298 C332:C371">
    <cfRule type="containsText" dxfId="1775" priority="14549" operator="containsText" text="PEX BLOQUEADO">
      <formula>NOT(ISERROR(SEARCH("PEX BLOQUEADO",C12)))</formula>
    </cfRule>
    <cfRule type="containsText" dxfId="1774" priority="14550" operator="containsText" text="PEX DESAFILIADO">
      <formula>NOT(ISERROR(SEARCH("PEX DESAFILIADO",C12)))</formula>
    </cfRule>
    <cfRule type="containsText" dxfId="1773" priority="14551" operator="containsText" text="NO INSTALADO">
      <formula>NOT(ISERROR(SEARCH("NO INSTALADO",C12)))</formula>
    </cfRule>
    <cfRule type="containsText" dxfId="1772" priority="14561" operator="containsText" text="PEX BLOQUEADO">
      <formula>NOT(ISERROR(SEARCH("PEX BLOQUEADO",C12)))</formula>
    </cfRule>
    <cfRule type="containsText" dxfId="1771" priority="14562" operator="containsText" text="PEX DESAFILIADO">
      <formula>NOT(ISERROR(SEARCH("PEX DESAFILIADO",C12)))</formula>
    </cfRule>
    <cfRule type="containsText" dxfId="1770" priority="14563" operator="containsText" text="NO INSTALADO">
      <formula>NOT(ISERROR(SEARCH("NO INSTALADO",C12)))</formula>
    </cfRule>
  </conditionalFormatting>
  <conditionalFormatting sqref="C12:C83 C86:C104 C123:C143 C155:C196 C287:C291 C332:C371">
    <cfRule type="containsText" dxfId="1769" priority="14478" operator="containsText" text="PEX DESAFILIADO">
      <formula>NOT(ISERROR(SEARCH("PEX DESAFILIADO",C12)))</formula>
    </cfRule>
    <cfRule type="containsText" dxfId="1768" priority="14479" operator="containsText" text="NO INSTALADO">
      <formula>NOT(ISERROR(SEARCH("NO INSTALADO",C12)))</formula>
    </cfRule>
    <cfRule type="containsText" dxfId="1767" priority="14481" operator="containsText" text="PEX BLOQUEADO">
      <formula>NOT(ISERROR(SEARCH("PEX BLOQUEADO",C12)))</formula>
    </cfRule>
    <cfRule type="containsText" dxfId="1766" priority="14482" operator="containsText" text="PEX DESAFILIADO">
      <formula>NOT(ISERROR(SEARCH("PEX DESAFILIADO",C12)))</formula>
    </cfRule>
    <cfRule type="containsText" dxfId="1765" priority="14483" operator="containsText" text="NO INSTALADO">
      <formula>NOT(ISERROR(SEARCH("NO INSTALADO",C12)))</formula>
    </cfRule>
    <cfRule type="containsText" dxfId="1764" priority="14485" operator="containsText" text="PEX BLOQUEADO">
      <formula>NOT(ISERROR(SEARCH("PEX BLOQUEADO",C12)))</formula>
    </cfRule>
    <cfRule type="containsText" dxfId="1763" priority="14486" operator="containsText" text="PEX DESAFILIADO">
      <formula>NOT(ISERROR(SEARCH("PEX DESAFILIADO",C12)))</formula>
    </cfRule>
    <cfRule type="containsText" dxfId="1762" priority="14487" operator="containsText" text="NO INSTALADO">
      <formula>NOT(ISERROR(SEARCH("NO INSTALADO",C12)))</formula>
    </cfRule>
    <cfRule type="containsText" dxfId="1761" priority="14489" operator="containsText" text="PEX BLOQUEADO">
      <formula>NOT(ISERROR(SEARCH("PEX BLOQUEADO",C12)))</formula>
    </cfRule>
    <cfRule type="containsText" dxfId="1760" priority="14490" operator="containsText" text="PEX DESAFILIADO">
      <formula>NOT(ISERROR(SEARCH("PEX DESAFILIADO",C12)))</formula>
    </cfRule>
    <cfRule type="containsText" dxfId="1759" priority="14491" operator="containsText" text="NO INSTALADO">
      <formula>NOT(ISERROR(SEARCH("NO INSTALADO",C12)))</formula>
    </cfRule>
    <cfRule type="containsText" dxfId="1758" priority="14493" operator="containsText" text="PEX BLOQUEADO">
      <formula>NOT(ISERROR(SEARCH("PEX BLOQUEADO",C12)))</formula>
    </cfRule>
    <cfRule type="containsText" dxfId="1757" priority="14494" operator="containsText" text="PEX DESAFILIADO">
      <formula>NOT(ISERROR(SEARCH("PEX DESAFILIADO",C12)))</formula>
    </cfRule>
    <cfRule type="containsText" dxfId="1756" priority="14495" operator="containsText" text="NO INSTALADO">
      <formula>NOT(ISERROR(SEARCH("NO INSTALADO",C12)))</formula>
    </cfRule>
    <cfRule type="containsText" dxfId="1755" priority="14497" operator="containsText" text="PEX BLOQUEADO">
      <formula>NOT(ISERROR(SEARCH("PEX BLOQUEADO",C12)))</formula>
    </cfRule>
    <cfRule type="containsText" dxfId="1754" priority="14498" operator="containsText" text="PEX DESAFILIADO">
      <formula>NOT(ISERROR(SEARCH("PEX DESAFILIADO",C12)))</formula>
    </cfRule>
    <cfRule type="containsText" dxfId="1753" priority="14499" operator="containsText" text="NO INSTALADO">
      <formula>NOT(ISERROR(SEARCH("NO INSTALADO",C12)))</formula>
    </cfRule>
    <cfRule type="containsText" dxfId="1752" priority="14501" operator="containsText" text="PEX BLOQUEADO">
      <formula>NOT(ISERROR(SEARCH("PEX BLOQUEADO",C12)))</formula>
    </cfRule>
    <cfRule type="containsText" dxfId="1751" priority="14502" operator="containsText" text="PEX DESAFILIADO">
      <formula>NOT(ISERROR(SEARCH("PEX DESAFILIADO",C12)))</formula>
    </cfRule>
    <cfRule type="containsText" dxfId="1750" priority="14503" operator="containsText" text="NO INSTALADO">
      <formula>NOT(ISERROR(SEARCH("NO INSTALADO",C12)))</formula>
    </cfRule>
    <cfRule type="containsText" dxfId="1749" priority="14505" operator="containsText" text="PEX BLOQUEADO">
      <formula>NOT(ISERROR(SEARCH("PEX BLOQUEADO",C12)))</formula>
    </cfRule>
    <cfRule type="containsText" dxfId="1748" priority="14506" operator="containsText" text="PEX DESAFILIADO">
      <formula>NOT(ISERROR(SEARCH("PEX DESAFILIADO",C12)))</formula>
    </cfRule>
    <cfRule type="containsText" dxfId="1747" priority="14507" operator="containsText" text="NO INSTALADO">
      <formula>NOT(ISERROR(SEARCH("NO INSTALADO",C12)))</formula>
    </cfRule>
    <cfRule type="containsText" dxfId="1746" priority="14509" operator="containsText" text="PEX BLOQUEADO">
      <formula>NOT(ISERROR(SEARCH("PEX BLOQUEADO",C12)))</formula>
    </cfRule>
    <cfRule type="containsText" dxfId="1745" priority="14510" operator="containsText" text="PEX DESAFILIADO">
      <formula>NOT(ISERROR(SEARCH("PEX DESAFILIADO",C12)))</formula>
    </cfRule>
    <cfRule type="containsText" dxfId="1744" priority="14511" operator="containsText" text="NO INSTALADO">
      <formula>NOT(ISERROR(SEARCH("NO INSTALADO",C12)))</formula>
    </cfRule>
    <cfRule type="containsText" dxfId="1743" priority="14513" operator="containsText" text="PEX BLOQUEADO">
      <formula>NOT(ISERROR(SEARCH("PEX BLOQUEADO",C12)))</formula>
    </cfRule>
    <cfRule type="containsText" dxfId="1742" priority="14514" operator="containsText" text="PEX DESAFILIADO">
      <formula>NOT(ISERROR(SEARCH("PEX DESAFILIADO",C12)))</formula>
    </cfRule>
    <cfRule type="containsText" dxfId="1741" priority="14515" operator="containsText" text="NO INSTALADO">
      <formula>NOT(ISERROR(SEARCH("NO INSTALADO",C12)))</formula>
    </cfRule>
    <cfRule type="containsText" dxfId="1740" priority="14461" operator="containsText" text="PEX BLOQUEADO">
      <formula>NOT(ISERROR(SEARCH("PEX BLOQUEADO",C12)))</formula>
    </cfRule>
    <cfRule type="containsText" dxfId="1739" priority="14517" operator="containsText" text="PEX BLOQUEADO">
      <formula>NOT(ISERROR(SEARCH("PEX BLOQUEADO",C12)))</formula>
    </cfRule>
    <cfRule type="containsText" dxfId="1738" priority="14459" operator="containsText" text="NO INSTALADO">
      <formula>NOT(ISERROR(SEARCH("NO INSTALADO",C12)))</formula>
    </cfRule>
    <cfRule type="containsText" dxfId="1737" priority="14518" operator="containsText" text="PEX DESAFILIADO">
      <formula>NOT(ISERROR(SEARCH("PEX DESAFILIADO",C12)))</formula>
    </cfRule>
    <cfRule type="containsText" dxfId="1736" priority="14519" operator="containsText" text="NO INSTALADO">
      <formula>NOT(ISERROR(SEARCH("NO INSTALADO",C12)))</formula>
    </cfRule>
    <cfRule type="containsText" dxfId="1735" priority="14462" operator="containsText" text="PEX DESAFILIADO">
      <formula>NOT(ISERROR(SEARCH("PEX DESAFILIADO",C12)))</formula>
    </cfRule>
    <cfRule type="containsText" dxfId="1734" priority="14521" operator="containsText" text="PEX BLOQUEADO">
      <formula>NOT(ISERROR(SEARCH("PEX BLOQUEADO",C12)))</formula>
    </cfRule>
    <cfRule type="containsText" dxfId="1733" priority="14522" operator="containsText" text="PEX DESAFILIADO">
      <formula>NOT(ISERROR(SEARCH("PEX DESAFILIADO",C12)))</formula>
    </cfRule>
    <cfRule type="containsText" dxfId="1732" priority="14523" operator="containsText" text="NO INSTALADO">
      <formula>NOT(ISERROR(SEARCH("NO INSTALADO",C12)))</formula>
    </cfRule>
    <cfRule type="containsText" dxfId="1731" priority="14463" operator="containsText" text="NO INSTALADO">
      <formula>NOT(ISERROR(SEARCH("NO INSTALADO",C12)))</formula>
    </cfRule>
    <cfRule type="containsText" dxfId="1730" priority="14525" operator="containsText" text="PEX BLOQUEADO">
      <formula>NOT(ISERROR(SEARCH("PEX BLOQUEADO",C12)))</formula>
    </cfRule>
    <cfRule type="containsText" dxfId="1729" priority="14526" operator="containsText" text="PEX DESAFILIADO">
      <formula>NOT(ISERROR(SEARCH("PEX DESAFILIADO",C12)))</formula>
    </cfRule>
    <cfRule type="containsText" dxfId="1728" priority="14527" operator="containsText" text="NO INSTALADO">
      <formula>NOT(ISERROR(SEARCH("NO INSTALADO",C12)))</formula>
    </cfRule>
    <cfRule type="containsText" dxfId="1727" priority="14465" operator="containsText" text="PEX BLOQUEADO">
      <formula>NOT(ISERROR(SEARCH("PEX BLOQUEADO",C12)))</formula>
    </cfRule>
    <cfRule type="containsText" dxfId="1726" priority="14529" operator="containsText" text="PEX BLOQUEADO">
      <formula>NOT(ISERROR(SEARCH("PEX BLOQUEADO",C12)))</formula>
    </cfRule>
    <cfRule type="containsText" dxfId="1725" priority="14530" operator="containsText" text="PEX DESAFILIADO">
      <formula>NOT(ISERROR(SEARCH("PEX DESAFILIADO",C12)))</formula>
    </cfRule>
    <cfRule type="containsText" dxfId="1724" priority="14531" operator="containsText" text="NO INSTALADO">
      <formula>NOT(ISERROR(SEARCH("NO INSTALADO",C12)))</formula>
    </cfRule>
    <cfRule type="containsText" dxfId="1723" priority="14466" operator="containsText" text="PEX DESAFILIADO">
      <formula>NOT(ISERROR(SEARCH("PEX DESAFILIADO",C12)))</formula>
    </cfRule>
    <cfRule type="containsText" dxfId="1722" priority="14533" operator="containsText" text="PEX BLOQUEADO">
      <formula>NOT(ISERROR(SEARCH("PEX BLOQUEADO",C12)))</formula>
    </cfRule>
    <cfRule type="containsText" dxfId="1721" priority="14534" operator="containsText" text="PEX DESAFILIADO">
      <formula>NOT(ISERROR(SEARCH("PEX DESAFILIADO",C12)))</formula>
    </cfRule>
    <cfRule type="containsText" dxfId="1720" priority="14535" operator="containsText" text="NO INSTALADO">
      <formula>NOT(ISERROR(SEARCH("NO INSTALADO",C12)))</formula>
    </cfRule>
    <cfRule type="containsText" dxfId="1719" priority="14467" operator="containsText" text="NO INSTALADO">
      <formula>NOT(ISERROR(SEARCH("NO INSTALADO",C12)))</formula>
    </cfRule>
    <cfRule type="containsText" dxfId="1718" priority="14537" operator="containsText" text="PEX BLOQUEADO">
      <formula>NOT(ISERROR(SEARCH("PEX BLOQUEADO",C12)))</formula>
    </cfRule>
    <cfRule type="containsText" dxfId="1717" priority="14538" operator="containsText" text="PEX DESAFILIADO">
      <formula>NOT(ISERROR(SEARCH("PEX DESAFILIADO",C12)))</formula>
    </cfRule>
    <cfRule type="containsText" dxfId="1716" priority="14539" operator="containsText" text="NO INSTALADO">
      <formula>NOT(ISERROR(SEARCH("NO INSTALADO",C12)))</formula>
    </cfRule>
    <cfRule type="containsText" dxfId="1715" priority="14469" operator="containsText" text="PEX BLOQUEADO">
      <formula>NOT(ISERROR(SEARCH("PEX BLOQUEADO",C12)))</formula>
    </cfRule>
    <cfRule type="containsText" dxfId="1714" priority="14541" operator="containsText" text="PEX BLOQUEADO">
      <formula>NOT(ISERROR(SEARCH("PEX BLOQUEADO",C12)))</formula>
    </cfRule>
    <cfRule type="containsText" dxfId="1713" priority="14542" operator="containsText" text="PEX DESAFILIADO">
      <formula>NOT(ISERROR(SEARCH("PEX DESAFILIADO",C12)))</formula>
    </cfRule>
    <cfRule type="containsText" dxfId="1712" priority="14543" operator="containsText" text="NO INSTALADO">
      <formula>NOT(ISERROR(SEARCH("NO INSTALADO",C12)))</formula>
    </cfRule>
    <cfRule type="containsText" dxfId="1711" priority="14470" operator="containsText" text="PEX DESAFILIADO">
      <formula>NOT(ISERROR(SEARCH("PEX DESAFILIADO",C12)))</formula>
    </cfRule>
    <cfRule type="containsText" dxfId="1710" priority="14545" operator="containsText" text="PEX BLOQUEADO">
      <formula>NOT(ISERROR(SEARCH("PEX BLOQUEADO",C12)))</formula>
    </cfRule>
    <cfRule type="containsText" dxfId="1709" priority="14546" operator="containsText" text="PEX DESAFILIADO">
      <formula>NOT(ISERROR(SEARCH("PEX DESAFILIADO",C12)))</formula>
    </cfRule>
    <cfRule type="containsText" dxfId="1708" priority="14547" operator="containsText" text="NO INSTALADO">
      <formula>NOT(ISERROR(SEARCH("NO INSTALADO",C12)))</formula>
    </cfRule>
    <cfRule type="containsText" dxfId="1707" priority="14471" operator="containsText" text="NO INSTALADO">
      <formula>NOT(ISERROR(SEARCH("NO INSTALADO",C12)))</formula>
    </cfRule>
    <cfRule type="containsText" dxfId="1706" priority="14473" operator="containsText" text="PEX BLOQUEADO">
      <formula>NOT(ISERROR(SEARCH("PEX BLOQUEADO",C12)))</formula>
    </cfRule>
    <cfRule type="containsText" dxfId="1705" priority="14474" operator="containsText" text="PEX DESAFILIADO">
      <formula>NOT(ISERROR(SEARCH("PEX DESAFILIADO",C12)))</formula>
    </cfRule>
    <cfRule type="containsText" dxfId="1704" priority="14475" operator="containsText" text="NO INSTALADO">
      <formula>NOT(ISERROR(SEARCH("NO INSTALADO",C12)))</formula>
    </cfRule>
    <cfRule type="containsText" dxfId="1703" priority="14477" operator="containsText" text="PEX BLOQUEADO">
      <formula>NOT(ISERROR(SEARCH("PEX BLOQUEADO",C12)))</formula>
    </cfRule>
    <cfRule type="containsText" dxfId="1702" priority="14389" operator="containsText" text="PEX BLOQUEADO">
      <formula>NOT(ISERROR(SEARCH("PEX BLOQUEADO",C12)))</formula>
    </cfRule>
    <cfRule type="containsText" dxfId="1701" priority="14390" operator="containsText" text="PEX DESAFILIADO">
      <formula>NOT(ISERROR(SEARCH("PEX DESAFILIADO",C12)))</formula>
    </cfRule>
    <cfRule type="containsText" dxfId="1700" priority="14391" operator="containsText" text="NO INSTALADO">
      <formula>NOT(ISERROR(SEARCH("NO INSTALADO",C12)))</formula>
    </cfRule>
    <cfRule type="containsText" dxfId="1699" priority="14393" operator="containsText" text="PEX BLOQUEADO">
      <formula>NOT(ISERROR(SEARCH("PEX BLOQUEADO",C12)))</formula>
    </cfRule>
    <cfRule type="containsText" dxfId="1698" priority="14394" operator="containsText" text="PEX DESAFILIADO">
      <formula>NOT(ISERROR(SEARCH("PEX DESAFILIADO",C12)))</formula>
    </cfRule>
    <cfRule type="containsText" dxfId="1697" priority="14395" operator="containsText" text="NO INSTALADO">
      <formula>NOT(ISERROR(SEARCH("NO INSTALADO",C12)))</formula>
    </cfRule>
    <cfRule type="containsText" dxfId="1696" priority="14397" operator="containsText" text="PEX BLOQUEADO">
      <formula>NOT(ISERROR(SEARCH("PEX BLOQUEADO",C12)))</formula>
    </cfRule>
    <cfRule type="containsText" dxfId="1695" priority="14398" operator="containsText" text="PEX DESAFILIADO">
      <formula>NOT(ISERROR(SEARCH("PEX DESAFILIADO",C12)))</formula>
    </cfRule>
    <cfRule type="containsText" dxfId="1694" priority="14399" operator="containsText" text="NO INSTALADO">
      <formula>NOT(ISERROR(SEARCH("NO INSTALADO",C12)))</formula>
    </cfRule>
    <cfRule type="containsText" dxfId="1693" priority="14401" operator="containsText" text="PEX BLOQUEADO">
      <formula>NOT(ISERROR(SEARCH("PEX BLOQUEADO",C12)))</formula>
    </cfRule>
    <cfRule type="containsText" dxfId="1692" priority="14402" operator="containsText" text="PEX DESAFILIADO">
      <formula>NOT(ISERROR(SEARCH("PEX DESAFILIADO",C12)))</formula>
    </cfRule>
    <cfRule type="containsText" dxfId="1691" priority="14403" operator="containsText" text="NO INSTALADO">
      <formula>NOT(ISERROR(SEARCH("NO INSTALADO",C12)))</formula>
    </cfRule>
    <cfRule type="containsText" dxfId="1690" priority="14405" operator="containsText" text="PEX BLOQUEADO">
      <formula>NOT(ISERROR(SEARCH("PEX BLOQUEADO",C12)))</formula>
    </cfRule>
    <cfRule type="containsText" dxfId="1689" priority="14406" operator="containsText" text="PEX DESAFILIADO">
      <formula>NOT(ISERROR(SEARCH("PEX DESAFILIADO",C12)))</formula>
    </cfRule>
    <cfRule type="containsText" dxfId="1688" priority="14407" operator="containsText" text="NO INSTALADO">
      <formula>NOT(ISERROR(SEARCH("NO INSTALADO",C12)))</formula>
    </cfRule>
    <cfRule type="containsText" dxfId="1687" priority="14409" operator="containsText" text="PEX BLOQUEADO">
      <formula>NOT(ISERROR(SEARCH("PEX BLOQUEADO",C12)))</formula>
    </cfRule>
    <cfRule type="containsText" dxfId="1686" priority="14410" operator="containsText" text="PEX DESAFILIADO">
      <formula>NOT(ISERROR(SEARCH("PEX DESAFILIADO",C12)))</formula>
    </cfRule>
    <cfRule type="containsText" dxfId="1685" priority="14411" operator="containsText" text="NO INSTALADO">
      <formula>NOT(ISERROR(SEARCH("NO INSTALADO",C12)))</formula>
    </cfRule>
    <cfRule type="containsText" dxfId="1684" priority="14413" operator="containsText" text="PEX BLOQUEADO">
      <formula>NOT(ISERROR(SEARCH("PEX BLOQUEADO",C12)))</formula>
    </cfRule>
    <cfRule type="containsText" dxfId="1683" priority="14414" operator="containsText" text="PEX DESAFILIADO">
      <formula>NOT(ISERROR(SEARCH("PEX DESAFILIADO",C12)))</formula>
    </cfRule>
    <cfRule type="containsText" dxfId="1682" priority="14415" operator="containsText" text="NO INSTALADO">
      <formula>NOT(ISERROR(SEARCH("NO INSTALADO",C12)))</formula>
    </cfRule>
    <cfRule type="containsText" dxfId="1681" priority="14417" operator="containsText" text="PEX BLOQUEADO">
      <formula>NOT(ISERROR(SEARCH("PEX BLOQUEADO",C12)))</formula>
    </cfRule>
    <cfRule type="containsText" dxfId="1680" priority="14418" operator="containsText" text="PEX DESAFILIADO">
      <formula>NOT(ISERROR(SEARCH("PEX DESAFILIADO",C12)))</formula>
    </cfRule>
    <cfRule type="containsText" dxfId="1679" priority="14419" operator="containsText" text="NO INSTALADO">
      <formula>NOT(ISERROR(SEARCH("NO INSTALADO",C12)))</formula>
    </cfRule>
    <cfRule type="containsText" dxfId="1678" priority="14421" operator="containsText" text="PEX BLOQUEADO">
      <formula>NOT(ISERROR(SEARCH("PEX BLOQUEADO",C12)))</formula>
    </cfRule>
    <cfRule type="containsText" dxfId="1677" priority="14422" operator="containsText" text="PEX DESAFILIADO">
      <formula>NOT(ISERROR(SEARCH("PEX DESAFILIADO",C12)))</formula>
    </cfRule>
    <cfRule type="containsText" dxfId="1676" priority="14423" operator="containsText" text="NO INSTALADO">
      <formula>NOT(ISERROR(SEARCH("NO INSTALADO",C12)))</formula>
    </cfRule>
    <cfRule type="containsText" dxfId="1675" priority="14425" operator="containsText" text="PEX BLOQUEADO">
      <formula>NOT(ISERROR(SEARCH("PEX BLOQUEADO",C12)))</formula>
    </cfRule>
    <cfRule type="containsText" dxfId="1674" priority="14426" operator="containsText" text="PEX DESAFILIADO">
      <formula>NOT(ISERROR(SEARCH("PEX DESAFILIADO",C12)))</formula>
    </cfRule>
    <cfRule type="containsText" dxfId="1673" priority="14427" operator="containsText" text="NO INSTALADO">
      <formula>NOT(ISERROR(SEARCH("NO INSTALADO",C12)))</formula>
    </cfRule>
    <cfRule type="containsText" dxfId="1672" priority="14429" operator="containsText" text="PEX BLOQUEADO">
      <formula>NOT(ISERROR(SEARCH("PEX BLOQUEADO",C12)))</formula>
    </cfRule>
    <cfRule type="containsText" dxfId="1671" priority="14430" operator="containsText" text="PEX DESAFILIADO">
      <formula>NOT(ISERROR(SEARCH("PEX DESAFILIADO",C12)))</formula>
    </cfRule>
    <cfRule type="containsText" dxfId="1670" priority="14431" operator="containsText" text="NO INSTALADO">
      <formula>NOT(ISERROR(SEARCH("NO INSTALADO",C12)))</formula>
    </cfRule>
    <cfRule type="containsText" dxfId="1669" priority="14433" operator="containsText" text="PEX BLOQUEADO">
      <formula>NOT(ISERROR(SEARCH("PEX BLOQUEADO",C12)))</formula>
    </cfRule>
    <cfRule type="containsText" dxfId="1668" priority="14434" operator="containsText" text="PEX DESAFILIADO">
      <formula>NOT(ISERROR(SEARCH("PEX DESAFILIADO",C12)))</formula>
    </cfRule>
    <cfRule type="containsText" dxfId="1667" priority="14435" operator="containsText" text="NO INSTALADO">
      <formula>NOT(ISERROR(SEARCH("NO INSTALADO",C12)))</formula>
    </cfRule>
    <cfRule type="containsText" dxfId="1666" priority="14437" operator="containsText" text="PEX BLOQUEADO">
      <formula>NOT(ISERROR(SEARCH("PEX BLOQUEADO",C12)))</formula>
    </cfRule>
    <cfRule type="containsText" dxfId="1665" priority="14438" operator="containsText" text="PEX DESAFILIADO">
      <formula>NOT(ISERROR(SEARCH("PEX DESAFILIADO",C12)))</formula>
    </cfRule>
    <cfRule type="containsText" dxfId="1664" priority="14439" operator="containsText" text="NO INSTALADO">
      <formula>NOT(ISERROR(SEARCH("NO INSTALADO",C12)))</formula>
    </cfRule>
    <cfRule type="containsText" dxfId="1663" priority="14441" operator="containsText" text="PEX BLOQUEADO">
      <formula>NOT(ISERROR(SEARCH("PEX BLOQUEADO",C12)))</formula>
    </cfRule>
    <cfRule type="containsText" dxfId="1662" priority="14442" operator="containsText" text="PEX DESAFILIADO">
      <formula>NOT(ISERROR(SEARCH("PEX DESAFILIADO",C12)))</formula>
    </cfRule>
    <cfRule type="containsText" dxfId="1661" priority="14443" operator="containsText" text="NO INSTALADO">
      <formula>NOT(ISERROR(SEARCH("NO INSTALADO",C12)))</formula>
    </cfRule>
    <cfRule type="containsText" dxfId="1660" priority="14445" operator="containsText" text="PEX BLOQUEADO">
      <formula>NOT(ISERROR(SEARCH("PEX BLOQUEADO",C12)))</formula>
    </cfRule>
    <cfRule type="containsText" dxfId="1659" priority="14446" operator="containsText" text="PEX DESAFILIADO">
      <formula>NOT(ISERROR(SEARCH("PEX DESAFILIADO",C12)))</formula>
    </cfRule>
    <cfRule type="containsText" dxfId="1658" priority="14447" operator="containsText" text="NO INSTALADO">
      <formula>NOT(ISERROR(SEARCH("NO INSTALADO",C12)))</formula>
    </cfRule>
    <cfRule type="containsText" dxfId="1657" priority="14449" operator="containsText" text="PEX BLOQUEADO">
      <formula>NOT(ISERROR(SEARCH("PEX BLOQUEADO",C12)))</formula>
    </cfRule>
    <cfRule type="containsText" dxfId="1656" priority="14450" operator="containsText" text="PEX DESAFILIADO">
      <formula>NOT(ISERROR(SEARCH("PEX DESAFILIADO",C12)))</formula>
    </cfRule>
    <cfRule type="containsText" dxfId="1655" priority="14451" operator="containsText" text="NO INSTALADO">
      <formula>NOT(ISERROR(SEARCH("NO INSTALADO",C12)))</formula>
    </cfRule>
    <cfRule type="containsText" dxfId="1654" priority="14453" operator="containsText" text="PEX BLOQUEADO">
      <formula>NOT(ISERROR(SEARCH("PEX BLOQUEADO",C12)))</formula>
    </cfRule>
    <cfRule type="containsText" dxfId="1653" priority="14454" operator="containsText" text="PEX DESAFILIADO">
      <formula>NOT(ISERROR(SEARCH("PEX DESAFILIADO",C12)))</formula>
    </cfRule>
    <cfRule type="containsText" dxfId="1652" priority="14455" operator="containsText" text="NO INSTALADO">
      <formula>NOT(ISERROR(SEARCH("NO INSTALADO",C12)))</formula>
    </cfRule>
    <cfRule type="containsText" dxfId="1651" priority="14457" operator="containsText" text="PEX BLOQUEADO">
      <formula>NOT(ISERROR(SEARCH("PEX BLOQUEADO",C12)))</formula>
    </cfRule>
    <cfRule type="containsText" dxfId="1650" priority="14458" operator="containsText" text="PEX DESAFILIADO">
      <formula>NOT(ISERROR(SEARCH("PEX DESAFILIADO",C12)))</formula>
    </cfRule>
  </conditionalFormatting>
  <conditionalFormatting sqref="C12:C83 C86:C104 C123:C143 C155:C196 C332:C371">
    <cfRule type="containsText" dxfId="1649" priority="14385" operator="containsText" text="PEX BLOQUEADO">
      <formula>NOT(ISERROR(SEARCH("PEX BLOQUEADO",C12)))</formula>
    </cfRule>
    <cfRule type="containsText" dxfId="1648" priority="14387" operator="containsText" text="NO INSTALADO">
      <formula>NOT(ISERROR(SEARCH("NO INSTALADO",C12)))</formula>
    </cfRule>
    <cfRule type="containsText" dxfId="1647" priority="14386" operator="containsText" text="PEX DESAFILIADO">
      <formula>NOT(ISERROR(SEARCH("PEX DESAFILIADO",C12)))</formula>
    </cfRule>
  </conditionalFormatting>
  <conditionalFormatting sqref="C12:C83 C86:C104 C155:C196">
    <cfRule type="containsText" dxfId="1646" priority="14383" operator="containsText" text="NO INSTALADO">
      <formula>NOT(ISERROR(SEARCH("NO INSTALADO",C12)))</formula>
    </cfRule>
    <cfRule type="containsText" dxfId="1645" priority="14382" operator="containsText" text="PEX DESAFILIADO">
      <formula>NOT(ISERROR(SEARCH("PEX DESAFILIADO",C12)))</formula>
    </cfRule>
    <cfRule type="containsText" dxfId="1644" priority="14381" operator="containsText" text="PEX BLOQUEADO">
      <formula>NOT(ISERROR(SEARCH("PEX BLOQUEADO",C12)))</formula>
    </cfRule>
  </conditionalFormatting>
  <conditionalFormatting sqref="C38 C90 C114 C206 C298 C323">
    <cfRule type="containsText" dxfId="1643" priority="14249" operator="containsText" text="PEX BLOQUEADO">
      <formula>NOT(ISERROR(SEARCH("PEX BLOQUEADO",C38)))</formula>
    </cfRule>
    <cfRule type="containsText" dxfId="1642" priority="14346" operator="containsText" text="PEX DESAFILIADO">
      <formula>NOT(ISERROR(SEARCH("PEX DESAFILIADO",C38)))</formula>
    </cfRule>
    <cfRule type="containsText" dxfId="1641" priority="14261" operator="containsText" text="PEX BLOQUEADO">
      <formula>NOT(ISERROR(SEARCH("PEX BLOQUEADO",C38)))</formula>
    </cfRule>
    <cfRule type="containsText" dxfId="1640" priority="14347" operator="containsText" text="NO INSTALADO">
      <formula>NOT(ISERROR(SEARCH("NO INSTALADO",C38)))</formula>
    </cfRule>
    <cfRule type="containsText" dxfId="1639" priority="14349" operator="containsText" text="PEX BLOQUEADO">
      <formula>NOT(ISERROR(SEARCH("PEX BLOQUEADO",C38)))</formula>
    </cfRule>
    <cfRule type="containsText" dxfId="1638" priority="14350" operator="containsText" text="PEX DESAFILIADO">
      <formula>NOT(ISERROR(SEARCH("PEX DESAFILIADO",C38)))</formula>
    </cfRule>
    <cfRule type="containsText" dxfId="1637" priority="14238" operator="containsText" text="PEX DESAFILIADO">
      <formula>NOT(ISERROR(SEARCH("PEX DESAFILIADO",C38)))</formula>
    </cfRule>
    <cfRule type="containsText" dxfId="1636" priority="14351" operator="containsText" text="NO INSTALADO">
      <formula>NOT(ISERROR(SEARCH("NO INSTALADO",C38)))</formula>
    </cfRule>
    <cfRule type="containsText" dxfId="1635" priority="14353" operator="containsText" text="PEX BLOQUEADO">
      <formula>NOT(ISERROR(SEARCH("PEX BLOQUEADO",C38)))</formula>
    </cfRule>
    <cfRule type="containsText" dxfId="1634" priority="14354" operator="containsText" text="PEX DESAFILIADO">
      <formula>NOT(ISERROR(SEARCH("PEX DESAFILIADO",C38)))</formula>
    </cfRule>
    <cfRule type="containsText" dxfId="1633" priority="14259" operator="containsText" text="NO INSTALADO">
      <formula>NOT(ISERROR(SEARCH("NO INSTALADO",C38)))</formula>
    </cfRule>
    <cfRule type="containsText" dxfId="1632" priority="14355" operator="containsText" text="NO INSTALADO">
      <formula>NOT(ISERROR(SEARCH("NO INSTALADO",C38)))</formula>
    </cfRule>
    <cfRule type="containsText" dxfId="1631" priority="14357" operator="containsText" text="PEX BLOQUEADO">
      <formula>NOT(ISERROR(SEARCH("PEX BLOQUEADO",C38)))</formula>
    </cfRule>
    <cfRule type="containsText" dxfId="1630" priority="14359" operator="containsText" text="NO INSTALADO">
      <formula>NOT(ISERROR(SEARCH("NO INSTALADO",C38)))</formula>
    </cfRule>
    <cfRule type="containsText" dxfId="1629" priority="14258" operator="containsText" text="PEX DESAFILIADO">
      <formula>NOT(ISERROR(SEARCH("PEX DESAFILIADO",C38)))</formula>
    </cfRule>
    <cfRule type="containsText" dxfId="1628" priority="14361" operator="containsText" text="PEX BLOQUEADO">
      <formula>NOT(ISERROR(SEARCH("PEX BLOQUEADO",C38)))</formula>
    </cfRule>
    <cfRule type="containsText" dxfId="1627" priority="14362" operator="containsText" text="PEX DESAFILIADO">
      <formula>NOT(ISERROR(SEARCH("PEX DESAFILIADO",C38)))</formula>
    </cfRule>
    <cfRule type="containsText" dxfId="1626" priority="14363" operator="containsText" text="NO INSTALADO">
      <formula>NOT(ISERROR(SEARCH("NO INSTALADO",C38)))</formula>
    </cfRule>
    <cfRule type="containsText" dxfId="1625" priority="14257" operator="containsText" text="PEX BLOQUEADO">
      <formula>NOT(ISERROR(SEARCH("PEX BLOQUEADO",C38)))</formula>
    </cfRule>
    <cfRule type="containsText" dxfId="1624" priority="14365" operator="containsText" text="PEX BLOQUEADO">
      <formula>NOT(ISERROR(SEARCH("PEX BLOQUEADO",C38)))</formula>
    </cfRule>
    <cfRule type="containsText" dxfId="1623" priority="14366" operator="containsText" text="PEX DESAFILIADO">
      <formula>NOT(ISERROR(SEARCH("PEX DESAFILIADO",C38)))</formula>
    </cfRule>
    <cfRule type="containsText" dxfId="1622" priority="14367" operator="containsText" text="NO INSTALADO">
      <formula>NOT(ISERROR(SEARCH("NO INSTALADO",C38)))</formula>
    </cfRule>
    <cfRule type="containsText" dxfId="1621" priority="14239" operator="containsText" text="NO INSTALADO">
      <formula>NOT(ISERROR(SEARCH("NO INSTALADO",C38)))</formula>
    </cfRule>
    <cfRule type="containsText" dxfId="1620" priority="14369" operator="containsText" text="PEX BLOQUEADO">
      <formula>NOT(ISERROR(SEARCH("PEX BLOQUEADO",C38)))</formula>
    </cfRule>
    <cfRule type="containsText" dxfId="1619" priority="14370" operator="containsText" text="PEX DESAFILIADO">
      <formula>NOT(ISERROR(SEARCH("PEX DESAFILIADO",C38)))</formula>
    </cfRule>
    <cfRule type="containsText" dxfId="1618" priority="14371" operator="containsText" text="NO INSTALADO">
      <formula>NOT(ISERROR(SEARCH("NO INSTALADO",C38)))</formula>
    </cfRule>
    <cfRule type="containsText" dxfId="1617" priority="14255" operator="containsText" text="NO INSTALADO">
      <formula>NOT(ISERROR(SEARCH("NO INSTALADO",C38)))</formula>
    </cfRule>
    <cfRule type="containsText" dxfId="1616" priority="14373" operator="containsText" text="PEX BLOQUEADO">
      <formula>NOT(ISERROR(SEARCH("PEX BLOQUEADO",C38)))</formula>
    </cfRule>
    <cfRule type="containsText" dxfId="1615" priority="14374" operator="containsText" text="PEX DESAFILIADO">
      <formula>NOT(ISERROR(SEARCH("PEX DESAFILIADO",C38)))</formula>
    </cfRule>
    <cfRule type="containsText" dxfId="1614" priority="14375" operator="containsText" text="NO INSTALADO">
      <formula>NOT(ISERROR(SEARCH("NO INSTALADO",C38)))</formula>
    </cfRule>
    <cfRule type="containsText" dxfId="1613" priority="14254" operator="containsText" text="PEX DESAFILIADO">
      <formula>NOT(ISERROR(SEARCH("PEX DESAFILIADO",C38)))</formula>
    </cfRule>
    <cfRule type="containsText" dxfId="1612" priority="14377" operator="containsText" text="PEX BLOQUEADO">
      <formula>NOT(ISERROR(SEARCH("PEX BLOQUEADO",C38)))</formula>
    </cfRule>
    <cfRule type="containsText" dxfId="1611" priority="14378" operator="containsText" text="PEX DESAFILIADO">
      <formula>NOT(ISERROR(SEARCH("PEX DESAFILIADO",C38)))</formula>
    </cfRule>
    <cfRule type="containsText" dxfId="1610" priority="14379" operator="containsText" text="NO INSTALADO">
      <formula>NOT(ISERROR(SEARCH("NO INSTALADO",C38)))</formula>
    </cfRule>
    <cfRule type="containsText" dxfId="1609" priority="14253" operator="containsText" text="PEX BLOQUEADO">
      <formula>NOT(ISERROR(SEARCH("PEX BLOQUEADO",C38)))</formula>
    </cfRule>
    <cfRule type="containsText" dxfId="1608" priority="14358" operator="containsText" text="PEX DESAFILIADO">
      <formula>NOT(ISERROR(SEARCH("PEX DESAFILIADO",C38)))</formula>
    </cfRule>
    <cfRule type="containsText" dxfId="1607" priority="14233" operator="containsText" text="PEX BLOQUEADO">
      <formula>NOT(ISERROR(SEARCH("PEX BLOQUEADO",C38)))</formula>
    </cfRule>
    <cfRule type="containsText" dxfId="1606" priority="14267" operator="containsText" text="NO INSTALADO">
      <formula>NOT(ISERROR(SEARCH("NO INSTALADO",C38)))</formula>
    </cfRule>
    <cfRule type="containsText" dxfId="1605" priority="14269" operator="containsText" text="PEX BLOQUEADO">
      <formula>NOT(ISERROR(SEARCH("PEX BLOQUEADO",C38)))</formula>
    </cfRule>
    <cfRule type="containsText" dxfId="1604" priority="14231" operator="containsText" text="NO INSTALADO">
      <formula>NOT(ISERROR(SEARCH("NO INSTALADO",C38)))</formula>
    </cfRule>
    <cfRule type="containsText" dxfId="1603" priority="14230" operator="containsText" text="PEX DESAFILIADO">
      <formula>NOT(ISERROR(SEARCH("PEX DESAFILIADO",C38)))</formula>
    </cfRule>
    <cfRule type="containsText" dxfId="1602" priority="14229" operator="containsText" text="PEX BLOQUEADO">
      <formula>NOT(ISERROR(SEARCH("PEX BLOQUEADO",C38)))</formula>
    </cfRule>
    <cfRule type="containsText" dxfId="1601" priority="14251" operator="containsText" text="NO INSTALADO">
      <formula>NOT(ISERROR(SEARCH("NO INSTALADO",C38)))</formula>
    </cfRule>
    <cfRule type="containsText" dxfId="1600" priority="14266" operator="containsText" text="PEX DESAFILIADO">
      <formula>NOT(ISERROR(SEARCH("PEX DESAFILIADO",C38)))</formula>
    </cfRule>
    <cfRule type="containsText" dxfId="1599" priority="14227" operator="containsText" text="NO INSTALADO">
      <formula>NOT(ISERROR(SEARCH("NO INSTALADO",C38)))</formula>
    </cfRule>
    <cfRule type="containsText" dxfId="1598" priority="14226" operator="containsText" text="PEX DESAFILIADO">
      <formula>NOT(ISERROR(SEARCH("PEX DESAFILIADO",C38)))</formula>
    </cfRule>
    <cfRule type="containsText" dxfId="1597" priority="14250" operator="containsText" text="PEX DESAFILIADO">
      <formula>NOT(ISERROR(SEARCH("PEX DESAFILIADO",C38)))</formula>
    </cfRule>
    <cfRule type="containsText" dxfId="1596" priority="14225" operator="containsText" text="PEX BLOQUEADO">
      <formula>NOT(ISERROR(SEARCH("PEX BLOQUEADO",C38)))</formula>
    </cfRule>
    <cfRule type="containsText" dxfId="1595" priority="14265" operator="containsText" text="PEX BLOQUEADO">
      <formula>NOT(ISERROR(SEARCH("PEX BLOQUEADO",C38)))</formula>
    </cfRule>
    <cfRule type="containsText" dxfId="1594" priority="14223" operator="containsText" text="NO INSTALADO">
      <formula>NOT(ISERROR(SEARCH("NO INSTALADO",C38)))</formula>
    </cfRule>
    <cfRule type="containsText" dxfId="1593" priority="14222" operator="containsText" text="PEX DESAFILIADO">
      <formula>NOT(ISERROR(SEARCH("PEX DESAFILIADO",C38)))</formula>
    </cfRule>
    <cfRule type="containsText" dxfId="1592" priority="14221" operator="containsText" text="PEX BLOQUEADO">
      <formula>NOT(ISERROR(SEARCH("PEX BLOQUEADO",C38)))</formula>
    </cfRule>
    <cfRule type="containsText" dxfId="1591" priority="14219" operator="containsText" text="NO INSTALADO">
      <formula>NOT(ISERROR(SEARCH("NO INSTALADO",C38)))</formula>
    </cfRule>
    <cfRule type="containsText" dxfId="1590" priority="14218" operator="containsText" text="PEX DESAFILIADO">
      <formula>NOT(ISERROR(SEARCH("PEX DESAFILIADO",C38)))</formula>
    </cfRule>
    <cfRule type="containsText" dxfId="1589" priority="14271" operator="containsText" text="NO INSTALADO">
      <formula>NOT(ISERROR(SEARCH("NO INSTALADO",C38)))</formula>
    </cfRule>
    <cfRule type="containsText" dxfId="1588" priority="14217" operator="containsText" text="PEX BLOQUEADO">
      <formula>NOT(ISERROR(SEARCH("PEX BLOQUEADO",C38)))</formula>
    </cfRule>
    <cfRule type="containsText" dxfId="1587" priority="14263" operator="containsText" text="NO INSTALADO">
      <formula>NOT(ISERROR(SEARCH("NO INSTALADO",C38)))</formula>
    </cfRule>
    <cfRule type="containsText" dxfId="1586" priority="14262" operator="containsText" text="PEX DESAFILIADO">
      <formula>NOT(ISERROR(SEARCH("PEX DESAFILIADO",C38)))</formula>
    </cfRule>
    <cfRule type="containsText" dxfId="1585" priority="14247" operator="containsText" text="NO INSTALADO">
      <formula>NOT(ISERROR(SEARCH("NO INSTALADO",C38)))</formula>
    </cfRule>
    <cfRule type="containsText" dxfId="1584" priority="14246" operator="containsText" text="PEX DESAFILIADO">
      <formula>NOT(ISERROR(SEARCH("PEX DESAFILIADO",C38)))</formula>
    </cfRule>
    <cfRule type="containsText" dxfId="1583" priority="14245" operator="containsText" text="PEX BLOQUEADO">
      <formula>NOT(ISERROR(SEARCH("PEX BLOQUEADO",C38)))</formula>
    </cfRule>
    <cfRule type="containsText" dxfId="1582" priority="14241" operator="containsText" text="PEX BLOQUEADO">
      <formula>NOT(ISERROR(SEARCH("PEX BLOQUEADO",C38)))</formula>
    </cfRule>
    <cfRule type="containsText" dxfId="1581" priority="14242" operator="containsText" text="PEX DESAFILIADO">
      <formula>NOT(ISERROR(SEARCH("PEX DESAFILIADO",C38)))</formula>
    </cfRule>
    <cfRule type="containsText" dxfId="1580" priority="14243" operator="containsText" text="NO INSTALADO">
      <formula>NOT(ISERROR(SEARCH("NO INSTALADO",C38)))</formula>
    </cfRule>
    <cfRule type="containsText" dxfId="1579" priority="14270" operator="containsText" text="PEX DESAFILIADO">
      <formula>NOT(ISERROR(SEARCH("PEX DESAFILIADO",C38)))</formula>
    </cfRule>
    <cfRule type="containsText" dxfId="1578" priority="14237" operator="containsText" text="PEX BLOQUEADO">
      <formula>NOT(ISERROR(SEARCH("PEX BLOQUEADO",C38)))</formula>
    </cfRule>
    <cfRule type="containsText" dxfId="1577" priority="14235" operator="containsText" text="NO INSTALADO">
      <formula>NOT(ISERROR(SEARCH("NO INSTALADO",C38)))</formula>
    </cfRule>
    <cfRule type="containsText" dxfId="1576" priority="14234" operator="containsText" text="PEX DESAFILIADO">
      <formula>NOT(ISERROR(SEARCH("PEX DESAFILIADO",C38)))</formula>
    </cfRule>
    <cfRule type="containsText" dxfId="1575" priority="14309" operator="containsText" text="PEX BLOQUEADO">
      <formula>NOT(ISERROR(SEARCH("PEX BLOQUEADO",C38)))</formula>
    </cfRule>
    <cfRule type="containsText" dxfId="1574" priority="14307" operator="containsText" text="NO INSTALADO">
      <formula>NOT(ISERROR(SEARCH("NO INSTALADO",C38)))</formula>
    </cfRule>
    <cfRule type="containsText" dxfId="1573" priority="14306" operator="containsText" text="PEX DESAFILIADO">
      <formula>NOT(ISERROR(SEARCH("PEX DESAFILIADO",C38)))</formula>
    </cfRule>
    <cfRule type="containsText" dxfId="1572" priority="14305" operator="containsText" text="PEX BLOQUEADO">
      <formula>NOT(ISERROR(SEARCH("PEX BLOQUEADO",C38)))</formula>
    </cfRule>
    <cfRule type="containsText" dxfId="1571" priority="14303" operator="containsText" text="NO INSTALADO">
      <formula>NOT(ISERROR(SEARCH("NO INSTALADO",C38)))</formula>
    </cfRule>
    <cfRule type="containsText" dxfId="1570" priority="14302" operator="containsText" text="PEX DESAFILIADO">
      <formula>NOT(ISERROR(SEARCH("PEX DESAFILIADO",C38)))</formula>
    </cfRule>
    <cfRule type="containsText" dxfId="1569" priority="14301" operator="containsText" text="PEX BLOQUEADO">
      <formula>NOT(ISERROR(SEARCH("PEX BLOQUEADO",C38)))</formula>
    </cfRule>
    <cfRule type="containsText" dxfId="1568" priority="14299" operator="containsText" text="NO INSTALADO">
      <formula>NOT(ISERROR(SEARCH("NO INSTALADO",C38)))</formula>
    </cfRule>
    <cfRule type="containsText" dxfId="1567" priority="14298" operator="containsText" text="PEX DESAFILIADO">
      <formula>NOT(ISERROR(SEARCH("PEX DESAFILIADO",C38)))</formula>
    </cfRule>
    <cfRule type="containsText" dxfId="1566" priority="14297" operator="containsText" text="PEX BLOQUEADO">
      <formula>NOT(ISERROR(SEARCH("PEX BLOQUEADO",C38)))</formula>
    </cfRule>
    <cfRule type="containsText" dxfId="1565" priority="14295" operator="containsText" text="NO INSTALADO">
      <formula>NOT(ISERROR(SEARCH("NO INSTALADO",C38)))</formula>
    </cfRule>
    <cfRule type="containsText" dxfId="1564" priority="14294" operator="containsText" text="PEX DESAFILIADO">
      <formula>NOT(ISERROR(SEARCH("PEX DESAFILIADO",C38)))</formula>
    </cfRule>
    <cfRule type="containsText" dxfId="1563" priority="14293" operator="containsText" text="PEX BLOQUEADO">
      <formula>NOT(ISERROR(SEARCH("PEX BLOQUEADO",C38)))</formula>
    </cfRule>
    <cfRule type="containsText" dxfId="1562" priority="14291" operator="containsText" text="NO INSTALADO">
      <formula>NOT(ISERROR(SEARCH("NO INSTALADO",C38)))</formula>
    </cfRule>
    <cfRule type="containsText" dxfId="1561" priority="14290" operator="containsText" text="PEX DESAFILIADO">
      <formula>NOT(ISERROR(SEARCH("PEX DESAFILIADO",C38)))</formula>
    </cfRule>
    <cfRule type="containsText" dxfId="1560" priority="14289" operator="containsText" text="PEX BLOQUEADO">
      <formula>NOT(ISERROR(SEARCH("PEX BLOQUEADO",C38)))</formula>
    </cfRule>
    <cfRule type="containsText" dxfId="1559" priority="14287" operator="containsText" text="NO INSTALADO">
      <formula>NOT(ISERROR(SEARCH("NO INSTALADO",C38)))</formula>
    </cfRule>
    <cfRule type="containsText" dxfId="1558" priority="14286" operator="containsText" text="PEX DESAFILIADO">
      <formula>NOT(ISERROR(SEARCH("PEX DESAFILIADO",C38)))</formula>
    </cfRule>
    <cfRule type="containsText" dxfId="1557" priority="14285" operator="containsText" text="PEX BLOQUEADO">
      <formula>NOT(ISERROR(SEARCH("PEX BLOQUEADO",C38)))</formula>
    </cfRule>
    <cfRule type="containsText" dxfId="1556" priority="14283" operator="containsText" text="NO INSTALADO">
      <formula>NOT(ISERROR(SEARCH("NO INSTALADO",C38)))</formula>
    </cfRule>
    <cfRule type="containsText" dxfId="1555" priority="14282" operator="containsText" text="PEX DESAFILIADO">
      <formula>NOT(ISERROR(SEARCH("PEX DESAFILIADO",C38)))</formula>
    </cfRule>
    <cfRule type="containsText" dxfId="1554" priority="14281" operator="containsText" text="PEX BLOQUEADO">
      <formula>NOT(ISERROR(SEARCH("PEX BLOQUEADO",C38)))</formula>
    </cfRule>
    <cfRule type="containsText" dxfId="1553" priority="14279" operator="containsText" text="NO INSTALADO">
      <formula>NOT(ISERROR(SEARCH("NO INSTALADO",C38)))</formula>
    </cfRule>
    <cfRule type="containsText" dxfId="1552" priority="14278" operator="containsText" text="PEX DESAFILIADO">
      <formula>NOT(ISERROR(SEARCH("PEX DESAFILIADO",C38)))</formula>
    </cfRule>
    <cfRule type="containsText" dxfId="1551" priority="14277" operator="containsText" text="PEX BLOQUEADO">
      <formula>NOT(ISERROR(SEARCH("PEX BLOQUEADO",C38)))</formula>
    </cfRule>
    <cfRule type="containsText" dxfId="1550" priority="14275" operator="containsText" text="NO INSTALADO">
      <formula>NOT(ISERROR(SEARCH("NO INSTALADO",C38)))</formula>
    </cfRule>
    <cfRule type="containsText" dxfId="1549" priority="14274" operator="containsText" text="PEX DESAFILIADO">
      <formula>NOT(ISERROR(SEARCH("PEX DESAFILIADO",C38)))</formula>
    </cfRule>
    <cfRule type="containsText" dxfId="1548" priority="14273" operator="containsText" text="PEX BLOQUEADO">
      <formula>NOT(ISERROR(SEARCH("PEX BLOQUEADO",C38)))</formula>
    </cfRule>
    <cfRule type="containsText" dxfId="1547" priority="14310" operator="containsText" text="PEX DESAFILIADO">
      <formula>NOT(ISERROR(SEARCH("PEX DESAFILIADO",C38)))</formula>
    </cfRule>
    <cfRule type="containsText" dxfId="1546" priority="14311" operator="containsText" text="NO INSTALADO">
      <formula>NOT(ISERROR(SEARCH("NO INSTALADO",C38)))</formula>
    </cfRule>
    <cfRule type="containsText" dxfId="1545" priority="14313" operator="containsText" text="PEX BLOQUEADO">
      <formula>NOT(ISERROR(SEARCH("PEX BLOQUEADO",C38)))</formula>
    </cfRule>
    <cfRule type="containsText" dxfId="1544" priority="14314" operator="containsText" text="PEX DESAFILIADO">
      <formula>NOT(ISERROR(SEARCH("PEX DESAFILIADO",C38)))</formula>
    </cfRule>
    <cfRule type="containsText" dxfId="1543" priority="14315" operator="containsText" text="NO INSTALADO">
      <formula>NOT(ISERROR(SEARCH("NO INSTALADO",C38)))</formula>
    </cfRule>
    <cfRule type="containsText" dxfId="1542" priority="14317" operator="containsText" text="PEX BLOQUEADO">
      <formula>NOT(ISERROR(SEARCH("PEX BLOQUEADO",C38)))</formula>
    </cfRule>
    <cfRule type="containsText" dxfId="1541" priority="14318" operator="containsText" text="PEX DESAFILIADO">
      <formula>NOT(ISERROR(SEARCH("PEX DESAFILIADO",C38)))</formula>
    </cfRule>
    <cfRule type="containsText" dxfId="1540" priority="14319" operator="containsText" text="NO INSTALADO">
      <formula>NOT(ISERROR(SEARCH("NO INSTALADO",C38)))</formula>
    </cfRule>
    <cfRule type="containsText" dxfId="1539" priority="14321" operator="containsText" text="PEX BLOQUEADO">
      <formula>NOT(ISERROR(SEARCH("PEX BLOQUEADO",C38)))</formula>
    </cfRule>
    <cfRule type="containsText" dxfId="1538" priority="14322" operator="containsText" text="PEX DESAFILIADO">
      <formula>NOT(ISERROR(SEARCH("PEX DESAFILIADO",C38)))</formula>
    </cfRule>
    <cfRule type="containsText" dxfId="1537" priority="14323" operator="containsText" text="NO INSTALADO">
      <formula>NOT(ISERROR(SEARCH("NO INSTALADO",C38)))</formula>
    </cfRule>
    <cfRule type="containsText" dxfId="1536" priority="14325" operator="containsText" text="PEX BLOQUEADO">
      <formula>NOT(ISERROR(SEARCH("PEX BLOQUEADO",C38)))</formula>
    </cfRule>
    <cfRule type="containsText" dxfId="1535" priority="14326" operator="containsText" text="PEX DESAFILIADO">
      <formula>NOT(ISERROR(SEARCH("PEX DESAFILIADO",C38)))</formula>
    </cfRule>
    <cfRule type="containsText" dxfId="1534" priority="14327" operator="containsText" text="NO INSTALADO">
      <formula>NOT(ISERROR(SEARCH("NO INSTALADO",C38)))</formula>
    </cfRule>
    <cfRule type="containsText" dxfId="1533" priority="14329" operator="containsText" text="PEX BLOQUEADO">
      <formula>NOT(ISERROR(SEARCH("PEX BLOQUEADO",C38)))</formula>
    </cfRule>
    <cfRule type="containsText" dxfId="1532" priority="14330" operator="containsText" text="PEX DESAFILIADO">
      <formula>NOT(ISERROR(SEARCH("PEX DESAFILIADO",C38)))</formula>
    </cfRule>
    <cfRule type="containsText" dxfId="1531" priority="14331" operator="containsText" text="NO INSTALADO">
      <formula>NOT(ISERROR(SEARCH("NO INSTALADO",C38)))</formula>
    </cfRule>
    <cfRule type="containsText" dxfId="1530" priority="14333" operator="containsText" text="PEX BLOQUEADO">
      <formula>NOT(ISERROR(SEARCH("PEX BLOQUEADO",C38)))</formula>
    </cfRule>
    <cfRule type="containsText" dxfId="1529" priority="14334" operator="containsText" text="PEX DESAFILIADO">
      <formula>NOT(ISERROR(SEARCH("PEX DESAFILIADO",C38)))</formula>
    </cfRule>
    <cfRule type="containsText" dxfId="1528" priority="14335" operator="containsText" text="NO INSTALADO">
      <formula>NOT(ISERROR(SEARCH("NO INSTALADO",C38)))</formula>
    </cfRule>
    <cfRule type="containsText" dxfId="1527" priority="14337" operator="containsText" text="PEX BLOQUEADO">
      <formula>NOT(ISERROR(SEARCH("PEX BLOQUEADO",C38)))</formula>
    </cfRule>
    <cfRule type="containsText" dxfId="1526" priority="14338" operator="containsText" text="PEX DESAFILIADO">
      <formula>NOT(ISERROR(SEARCH("PEX DESAFILIADO",C38)))</formula>
    </cfRule>
    <cfRule type="containsText" dxfId="1525" priority="14339" operator="containsText" text="NO INSTALADO">
      <formula>NOT(ISERROR(SEARCH("NO INSTALADO",C38)))</formula>
    </cfRule>
    <cfRule type="containsText" dxfId="1524" priority="14341" operator="containsText" text="PEX BLOQUEADO">
      <formula>NOT(ISERROR(SEARCH("PEX BLOQUEADO",C38)))</formula>
    </cfRule>
    <cfRule type="containsText" dxfId="1523" priority="14342" operator="containsText" text="PEX DESAFILIADO">
      <formula>NOT(ISERROR(SEARCH("PEX DESAFILIADO",C38)))</formula>
    </cfRule>
    <cfRule type="containsText" dxfId="1522" priority="14343" operator="containsText" text="NO INSTALADO">
      <formula>NOT(ISERROR(SEARCH("NO INSTALADO",C38)))</formula>
    </cfRule>
    <cfRule type="containsText" dxfId="1521" priority="14345" operator="containsText" text="PEX BLOQUEADO">
      <formula>NOT(ISERROR(SEARCH("PEX BLOQUEADO",C38)))</formula>
    </cfRule>
  </conditionalFormatting>
  <conditionalFormatting sqref="C38 C90 C114 C298 C206">
    <cfRule type="containsText" dxfId="1520" priority="14215" operator="containsText" text="NO INSTALADO">
      <formula>NOT(ISERROR(SEARCH("NO INSTALADO",C38)))</formula>
    </cfRule>
    <cfRule type="containsText" dxfId="1519" priority="14214" operator="containsText" text="PEX DESAFILIADO">
      <formula>NOT(ISERROR(SEARCH("PEX DESAFILIADO",C38)))</formula>
    </cfRule>
    <cfRule type="containsText" dxfId="1518" priority="14213" operator="containsText" text="PEX BLOQUEADO">
      <formula>NOT(ISERROR(SEARCH("PEX BLOQUEADO",C38)))</formula>
    </cfRule>
  </conditionalFormatting>
  <conditionalFormatting sqref="C38 C90 C114 C298">
    <cfRule type="containsText" dxfId="1517" priority="14205" operator="containsText" text="PEX BLOQUEADO">
      <formula>NOT(ISERROR(SEARCH("PEX BLOQUEADO",C38)))</formula>
    </cfRule>
    <cfRule type="containsText" dxfId="1516" priority="14203" operator="containsText" text="NO INSTALADO">
      <formula>NOT(ISERROR(SEARCH("NO INSTALADO",C38)))</formula>
    </cfRule>
    <cfRule type="containsText" dxfId="1515" priority="14202" operator="containsText" text="PEX DESAFILIADO">
      <formula>NOT(ISERROR(SEARCH("PEX DESAFILIADO",C38)))</formula>
    </cfRule>
    <cfRule type="containsText" dxfId="1514" priority="14201" operator="containsText" text="PEX BLOQUEADO">
      <formula>NOT(ISERROR(SEARCH("PEX BLOQUEADO",C38)))</formula>
    </cfRule>
    <cfRule type="containsText" dxfId="1513" priority="14199" operator="containsText" text="NO INSTALADO">
      <formula>NOT(ISERROR(SEARCH("NO INSTALADO",C38)))</formula>
    </cfRule>
    <cfRule type="containsText" dxfId="1512" priority="14198" operator="containsText" text="PEX DESAFILIADO">
      <formula>NOT(ISERROR(SEARCH("PEX DESAFILIADO",C38)))</formula>
    </cfRule>
    <cfRule type="containsText" dxfId="1511" priority="14197" operator="containsText" text="PEX BLOQUEADO">
      <formula>NOT(ISERROR(SEARCH("PEX BLOQUEADO",C38)))</formula>
    </cfRule>
    <cfRule type="containsText" dxfId="1510" priority="14195" operator="containsText" text="NO INSTALADO">
      <formula>NOT(ISERROR(SEARCH("NO INSTALADO",C38)))</formula>
    </cfRule>
    <cfRule type="containsText" dxfId="1509" priority="14194" operator="containsText" text="PEX DESAFILIADO">
      <formula>NOT(ISERROR(SEARCH("PEX DESAFILIADO",C38)))</formula>
    </cfRule>
    <cfRule type="containsText" dxfId="1508" priority="14193" operator="containsText" text="PEX BLOQUEADO">
      <formula>NOT(ISERROR(SEARCH("PEX BLOQUEADO",C38)))</formula>
    </cfRule>
    <cfRule type="containsText" dxfId="1507" priority="14191" operator="containsText" text="NO INSTALADO">
      <formula>NOT(ISERROR(SEARCH("NO INSTALADO",C38)))</formula>
    </cfRule>
    <cfRule type="containsText" dxfId="1506" priority="14190" operator="containsText" text="PEX DESAFILIADO">
      <formula>NOT(ISERROR(SEARCH("PEX DESAFILIADO",C38)))</formula>
    </cfRule>
    <cfRule type="containsText" dxfId="1505" priority="14189" operator="containsText" text="PEX BLOQUEADO">
      <formula>NOT(ISERROR(SEARCH("PEX BLOQUEADO",C38)))</formula>
    </cfRule>
    <cfRule type="containsText" dxfId="1504" priority="14187" operator="containsText" text="NO INSTALADO">
      <formula>NOT(ISERROR(SEARCH("NO INSTALADO",C38)))</formula>
    </cfRule>
    <cfRule type="containsText" dxfId="1503" priority="14186" operator="containsText" text="PEX DESAFILIADO">
      <formula>NOT(ISERROR(SEARCH("PEX DESAFILIADO",C38)))</formula>
    </cfRule>
    <cfRule type="containsText" dxfId="1502" priority="14185" operator="containsText" text="PEX BLOQUEADO">
      <formula>NOT(ISERROR(SEARCH("PEX BLOQUEADO",C38)))</formula>
    </cfRule>
    <cfRule type="containsText" dxfId="1501" priority="14183" operator="containsText" text="NO INSTALADO">
      <formula>NOT(ISERROR(SEARCH("NO INSTALADO",C38)))</formula>
    </cfRule>
    <cfRule type="containsText" dxfId="1500" priority="14182" operator="containsText" text="PEX DESAFILIADO">
      <formula>NOT(ISERROR(SEARCH("PEX DESAFILIADO",C38)))</formula>
    </cfRule>
    <cfRule type="containsText" dxfId="1499" priority="14181" operator="containsText" text="PEX BLOQUEADO">
      <formula>NOT(ISERROR(SEARCH("PEX BLOQUEADO",C38)))</formula>
    </cfRule>
    <cfRule type="containsText" dxfId="1498" priority="14179" operator="containsText" text="NO INSTALADO">
      <formula>NOT(ISERROR(SEARCH("NO INSTALADO",C38)))</formula>
    </cfRule>
    <cfRule type="containsText" dxfId="1497" priority="14178" operator="containsText" text="PEX DESAFILIADO">
      <formula>NOT(ISERROR(SEARCH("PEX DESAFILIADO",C38)))</formula>
    </cfRule>
    <cfRule type="containsText" dxfId="1496" priority="14177" operator="containsText" text="PEX BLOQUEADO">
      <formula>NOT(ISERROR(SEARCH("PEX BLOQUEADO",C38)))</formula>
    </cfRule>
    <cfRule type="containsText" dxfId="1495" priority="14175" operator="containsText" text="NO INSTALADO">
      <formula>NOT(ISERROR(SEARCH("NO INSTALADO",C38)))</formula>
    </cfRule>
    <cfRule type="containsText" dxfId="1494" priority="14174" operator="containsText" text="PEX DESAFILIADO">
      <formula>NOT(ISERROR(SEARCH("PEX DESAFILIADO",C38)))</formula>
    </cfRule>
    <cfRule type="containsText" dxfId="1493" priority="14173" operator="containsText" text="PEX BLOQUEADO">
      <formula>NOT(ISERROR(SEARCH("PEX BLOQUEADO",C38)))</formula>
    </cfRule>
    <cfRule type="containsText" dxfId="1492" priority="14171" operator="containsText" text="NO INSTALADO">
      <formula>NOT(ISERROR(SEARCH("NO INSTALADO",C38)))</formula>
    </cfRule>
    <cfRule type="containsText" dxfId="1491" priority="14170" operator="containsText" text="PEX DESAFILIADO">
      <formula>NOT(ISERROR(SEARCH("PEX DESAFILIADO",C38)))</formula>
    </cfRule>
    <cfRule type="containsText" dxfId="1490" priority="14169" operator="containsText" text="PEX BLOQUEADO">
      <formula>NOT(ISERROR(SEARCH("PEX BLOQUEADO",C38)))</formula>
    </cfRule>
    <cfRule type="containsText" dxfId="1489" priority="14167" operator="containsText" text="NO INSTALADO">
      <formula>NOT(ISERROR(SEARCH("NO INSTALADO",C38)))</formula>
    </cfRule>
    <cfRule type="containsText" dxfId="1488" priority="14166" operator="containsText" text="PEX DESAFILIADO">
      <formula>NOT(ISERROR(SEARCH("PEX DESAFILIADO",C38)))</formula>
    </cfRule>
    <cfRule type="containsText" dxfId="1487" priority="14165" operator="containsText" text="PEX BLOQUEADO">
      <formula>NOT(ISERROR(SEARCH("PEX BLOQUEADO",C38)))</formula>
    </cfRule>
    <cfRule type="containsText" dxfId="1486" priority="14163" operator="containsText" text="NO INSTALADO">
      <formula>NOT(ISERROR(SEARCH("NO INSTALADO",C38)))</formula>
    </cfRule>
    <cfRule type="containsText" dxfId="1485" priority="14162" operator="containsText" text="PEX DESAFILIADO">
      <formula>NOT(ISERROR(SEARCH("PEX DESAFILIADO",C38)))</formula>
    </cfRule>
    <cfRule type="containsText" dxfId="1484" priority="14161" operator="containsText" text="PEX BLOQUEADO">
      <formula>NOT(ISERROR(SEARCH("PEX BLOQUEADO",C38)))</formula>
    </cfRule>
    <cfRule type="containsText" dxfId="1483" priority="14210" operator="containsText" text="PEX DESAFILIADO">
      <formula>NOT(ISERROR(SEARCH("PEX DESAFILIADO",C38)))</formula>
    </cfRule>
    <cfRule type="containsText" dxfId="1482" priority="14159" operator="containsText" text="NO INSTALADO">
      <formula>NOT(ISERROR(SEARCH("NO INSTALADO",C38)))</formula>
    </cfRule>
    <cfRule type="containsText" dxfId="1481" priority="14158" operator="containsText" text="PEX DESAFILIADO">
      <formula>NOT(ISERROR(SEARCH("PEX DESAFILIADO",C38)))</formula>
    </cfRule>
    <cfRule type="containsText" dxfId="1480" priority="14157" operator="containsText" text="PEX BLOQUEADO">
      <formula>NOT(ISERROR(SEARCH("PEX BLOQUEADO",C38)))</formula>
    </cfRule>
    <cfRule type="containsText" dxfId="1479" priority="14155" operator="containsText" text="NO INSTALADO">
      <formula>NOT(ISERROR(SEARCH("NO INSTALADO",C38)))</formula>
    </cfRule>
    <cfRule type="containsText" dxfId="1478" priority="14154" operator="containsText" text="PEX DESAFILIADO">
      <formula>NOT(ISERROR(SEARCH("PEX DESAFILIADO",C38)))</formula>
    </cfRule>
    <cfRule type="containsText" dxfId="1477" priority="14153" operator="containsText" text="PEX BLOQUEADO">
      <formula>NOT(ISERROR(SEARCH("PEX BLOQUEADO",C38)))</formula>
    </cfRule>
    <cfRule type="containsText" dxfId="1476" priority="14146" operator="containsText" text="PEX DESAFILIADO">
      <formula>NOT(ISERROR(SEARCH("PEX DESAFILIADO",C38)))</formula>
    </cfRule>
    <cfRule type="containsText" dxfId="1475" priority="14147" operator="containsText" text="NO INSTALADO">
      <formula>NOT(ISERROR(SEARCH("NO INSTALADO",C38)))</formula>
    </cfRule>
    <cfRule type="containsText" dxfId="1474" priority="14149" operator="containsText" text="PEX BLOQUEADO">
      <formula>NOT(ISERROR(SEARCH("PEX BLOQUEADO",C38)))</formula>
    </cfRule>
    <cfRule type="containsText" dxfId="1473" priority="14150" operator="containsText" text="PEX DESAFILIADO">
      <formula>NOT(ISERROR(SEARCH("PEX DESAFILIADO",C38)))</formula>
    </cfRule>
    <cfRule type="containsText" dxfId="1472" priority="14151" operator="containsText" text="NO INSTALADO">
      <formula>NOT(ISERROR(SEARCH("NO INSTALADO",C38)))</formula>
    </cfRule>
    <cfRule type="containsText" dxfId="1471" priority="14209" operator="containsText" text="PEX BLOQUEADO">
      <formula>NOT(ISERROR(SEARCH("PEX BLOQUEADO",C38)))</formula>
    </cfRule>
    <cfRule type="containsText" dxfId="1470" priority="14207" operator="containsText" text="NO INSTALADO">
      <formula>NOT(ISERROR(SEARCH("NO INSTALADO",C38)))</formula>
    </cfRule>
    <cfRule type="containsText" dxfId="1469" priority="14206" operator="containsText" text="PEX DESAFILIADO">
      <formula>NOT(ISERROR(SEARCH("PEX DESAFILIADO",C38)))</formula>
    </cfRule>
    <cfRule type="containsText" dxfId="1468" priority="14145" operator="containsText" text="PEX BLOQUEADO">
      <formula>NOT(ISERROR(SEARCH("PEX BLOQUEADO",C38)))</formula>
    </cfRule>
    <cfRule type="containsText" dxfId="1467" priority="14211" operator="containsText" text="NO INSTALADO">
      <formula>NOT(ISERROR(SEARCH("NO INSTALADO",C38)))</formula>
    </cfRule>
  </conditionalFormatting>
  <conditionalFormatting sqref="C38">
    <cfRule type="containsText" dxfId="1466" priority="14028" operator="containsText" text="NO INSTALADO">
      <formula>NOT(ISERROR(SEARCH("NO INSTALADO",C38)))</formula>
    </cfRule>
    <cfRule type="containsText" dxfId="1465" priority="14027" operator="containsText" text="PEX DESAFILIADO">
      <formula>NOT(ISERROR(SEARCH("PEX DESAFILIADO",C38)))</formula>
    </cfRule>
    <cfRule type="containsText" dxfId="1464" priority="14026" operator="containsText" text="PEX BLOQUEADO">
      <formula>NOT(ISERROR(SEARCH("PEX BLOQUEADO",C38)))</formula>
    </cfRule>
    <cfRule type="cellIs" dxfId="1463" priority="14025" operator="equal">
      <formula>"NO"</formula>
    </cfRule>
    <cfRule type="containsText" dxfId="1462" priority="14024" operator="containsText" text="NO INSTALADO">
      <formula>NOT(ISERROR(SEARCH("NO INSTALADO",C38)))</formula>
    </cfRule>
    <cfRule type="containsText" dxfId="1461" priority="14023" operator="containsText" text="PEX DESAFILIADO">
      <formula>NOT(ISERROR(SEARCH("PEX DESAFILIADO",C38)))</formula>
    </cfRule>
    <cfRule type="containsText" dxfId="1460" priority="14022" operator="containsText" text="PEX BLOQUEADO">
      <formula>NOT(ISERROR(SEARCH("PEX BLOQUEADO",C38)))</formula>
    </cfRule>
    <cfRule type="cellIs" dxfId="1459" priority="14021" operator="equal">
      <formula>"NO"</formula>
    </cfRule>
    <cfRule type="containsText" dxfId="1458" priority="14020" operator="containsText" text="NO INSTALADO">
      <formula>NOT(ISERROR(SEARCH("NO INSTALADO",C38)))</formula>
    </cfRule>
    <cfRule type="containsText" dxfId="1457" priority="14019" operator="containsText" text="PEX DESAFILIADO">
      <formula>NOT(ISERROR(SEARCH("PEX DESAFILIADO",C38)))</formula>
    </cfRule>
    <cfRule type="containsText" dxfId="1456" priority="14018" operator="containsText" text="PEX BLOQUEADO">
      <formula>NOT(ISERROR(SEARCH("PEX BLOQUEADO",C38)))</formula>
    </cfRule>
    <cfRule type="cellIs" dxfId="1455" priority="14017" operator="equal">
      <formula>"NO"</formula>
    </cfRule>
    <cfRule type="containsText" dxfId="1454" priority="14016" operator="containsText" text="NO INSTALADO">
      <formula>NOT(ISERROR(SEARCH("NO INSTALADO",C38)))</formula>
    </cfRule>
    <cfRule type="containsText" dxfId="1453" priority="14015" operator="containsText" text="PEX DESAFILIADO">
      <formula>NOT(ISERROR(SEARCH("PEX DESAFILIADO",C38)))</formula>
    </cfRule>
    <cfRule type="containsText" dxfId="1452" priority="14014" operator="containsText" text="PEX BLOQUEADO">
      <formula>NOT(ISERROR(SEARCH("PEX BLOQUEADO",C38)))</formula>
    </cfRule>
    <cfRule type="cellIs" dxfId="1451" priority="14013" operator="equal">
      <formula>"NO"</formula>
    </cfRule>
    <cfRule type="containsText" dxfId="1450" priority="14012" operator="containsText" text="NO INSTALADO">
      <formula>NOT(ISERROR(SEARCH("NO INSTALADO",C38)))</formula>
    </cfRule>
    <cfRule type="containsText" dxfId="1449" priority="14011" operator="containsText" text="PEX DESAFILIADO">
      <formula>NOT(ISERROR(SEARCH("PEX DESAFILIADO",C38)))</formula>
    </cfRule>
    <cfRule type="containsText" dxfId="1448" priority="14010" operator="containsText" text="PEX BLOQUEADO">
      <formula>NOT(ISERROR(SEARCH("PEX BLOQUEADO",C38)))</formula>
    </cfRule>
    <cfRule type="cellIs" dxfId="1447" priority="14009" operator="equal">
      <formula>"NO"</formula>
    </cfRule>
    <cfRule type="containsText" dxfId="1446" priority="14008" operator="containsText" text="NO INSTALADO">
      <formula>NOT(ISERROR(SEARCH("NO INSTALADO",C38)))</formula>
    </cfRule>
    <cfRule type="containsText" dxfId="1445" priority="14007" operator="containsText" text="PEX DESAFILIADO">
      <formula>NOT(ISERROR(SEARCH("PEX DESAFILIADO",C38)))</formula>
    </cfRule>
    <cfRule type="containsText" dxfId="1444" priority="14006" operator="containsText" text="PEX BLOQUEADO">
      <formula>NOT(ISERROR(SEARCH("PEX BLOQUEADO",C38)))</formula>
    </cfRule>
    <cfRule type="cellIs" dxfId="1443" priority="14005" operator="equal">
      <formula>"NO"</formula>
    </cfRule>
    <cfRule type="containsText" dxfId="1442" priority="14004" operator="containsText" text="NO INSTALADO">
      <formula>NOT(ISERROR(SEARCH("NO INSTALADO",C38)))</formula>
    </cfRule>
    <cfRule type="containsText" dxfId="1441" priority="14003" operator="containsText" text="PEX DESAFILIADO">
      <formula>NOT(ISERROR(SEARCH("PEX DESAFILIADO",C38)))</formula>
    </cfRule>
    <cfRule type="containsText" dxfId="1440" priority="14002" operator="containsText" text="PEX BLOQUEADO">
      <formula>NOT(ISERROR(SEARCH("PEX BLOQUEADO",C38)))</formula>
    </cfRule>
    <cfRule type="cellIs" dxfId="1439" priority="14001" operator="equal">
      <formula>"NO"</formula>
    </cfRule>
    <cfRule type="containsText" dxfId="1438" priority="14000" operator="containsText" text="NO INSTALADO">
      <formula>NOT(ISERROR(SEARCH("NO INSTALADO",C38)))</formula>
    </cfRule>
    <cfRule type="containsText" dxfId="1437" priority="13999" operator="containsText" text="PEX DESAFILIADO">
      <formula>NOT(ISERROR(SEARCH("PEX DESAFILIADO",C38)))</formula>
    </cfRule>
    <cfRule type="containsText" dxfId="1436" priority="13998" operator="containsText" text="PEX BLOQUEADO">
      <formula>NOT(ISERROR(SEARCH("PEX BLOQUEADO",C38)))</formula>
    </cfRule>
    <cfRule type="cellIs" dxfId="1435" priority="13997" operator="equal">
      <formula>"NO"</formula>
    </cfRule>
    <cfRule type="containsText" dxfId="1434" priority="13996" operator="containsText" text="NO INSTALADO">
      <formula>NOT(ISERROR(SEARCH("NO INSTALADO",C38)))</formula>
    </cfRule>
    <cfRule type="containsText" dxfId="1433" priority="13995" operator="containsText" text="PEX DESAFILIADO">
      <formula>NOT(ISERROR(SEARCH("PEX DESAFILIADO",C38)))</formula>
    </cfRule>
    <cfRule type="containsText" dxfId="1432" priority="13994" operator="containsText" text="PEX BLOQUEADO">
      <formula>NOT(ISERROR(SEARCH("PEX BLOQUEADO",C38)))</formula>
    </cfRule>
    <cfRule type="cellIs" dxfId="1431" priority="13993" operator="equal">
      <formula>"NO"</formula>
    </cfRule>
    <cfRule type="containsText" dxfId="1430" priority="13992" operator="containsText" text="NO INSTALADO">
      <formula>NOT(ISERROR(SEARCH("NO INSTALADO",C38)))</formula>
    </cfRule>
    <cfRule type="containsText" dxfId="1429" priority="13991" operator="containsText" text="PEX DESAFILIADO">
      <formula>NOT(ISERROR(SEARCH("PEX DESAFILIADO",C38)))</formula>
    </cfRule>
    <cfRule type="containsText" dxfId="1428" priority="13990" operator="containsText" text="PEX BLOQUEADO">
      <formula>NOT(ISERROR(SEARCH("PEX BLOQUEADO",C38)))</formula>
    </cfRule>
    <cfRule type="cellIs" dxfId="1427" priority="13989" operator="equal">
      <formula>"NO"</formula>
    </cfRule>
    <cfRule type="containsText" dxfId="1426" priority="13988" operator="containsText" text="NO INSTALADO">
      <formula>NOT(ISERROR(SEARCH("NO INSTALADO",C38)))</formula>
    </cfRule>
    <cfRule type="containsText" dxfId="1425" priority="13987" operator="containsText" text="PEX DESAFILIADO">
      <formula>NOT(ISERROR(SEARCH("PEX DESAFILIADO",C38)))</formula>
    </cfRule>
    <cfRule type="containsText" dxfId="1424" priority="13986" operator="containsText" text="PEX BLOQUEADO">
      <formula>NOT(ISERROR(SEARCH("PEX BLOQUEADO",C38)))</formula>
    </cfRule>
    <cfRule type="containsText" dxfId="1423" priority="14140" operator="containsText" text="NO INSTALADO">
      <formula>NOT(ISERROR(SEARCH("NO INSTALADO",C38)))</formula>
    </cfRule>
    <cfRule type="containsText" dxfId="1422" priority="14139" operator="containsText" text="PEX DESAFILIADO">
      <formula>NOT(ISERROR(SEARCH("PEX DESAFILIADO",C38)))</formula>
    </cfRule>
    <cfRule type="containsText" dxfId="1421" priority="14138" operator="containsText" text="PEX BLOQUEADO">
      <formula>NOT(ISERROR(SEARCH("PEX BLOQUEADO",C38)))</formula>
    </cfRule>
    <cfRule type="cellIs" dxfId="1420" priority="14137" operator="equal">
      <formula>"NO"</formula>
    </cfRule>
    <cfRule type="containsText" dxfId="1419" priority="14136" operator="containsText" text="NO INSTALADO">
      <formula>NOT(ISERROR(SEARCH("NO INSTALADO",C38)))</formula>
    </cfRule>
    <cfRule type="containsText" dxfId="1418" priority="14135" operator="containsText" text="PEX DESAFILIADO">
      <formula>NOT(ISERROR(SEARCH("PEX DESAFILIADO",C38)))</formula>
    </cfRule>
    <cfRule type="containsText" dxfId="1417" priority="14134" operator="containsText" text="PEX BLOQUEADO">
      <formula>NOT(ISERROR(SEARCH("PEX BLOQUEADO",C38)))</formula>
    </cfRule>
    <cfRule type="cellIs" dxfId="1416" priority="14133" operator="equal">
      <formula>"NO"</formula>
    </cfRule>
    <cfRule type="containsText" dxfId="1415" priority="14132" operator="containsText" text="NO INSTALADO">
      <formula>NOT(ISERROR(SEARCH("NO INSTALADO",C38)))</formula>
    </cfRule>
    <cfRule type="containsText" dxfId="1414" priority="14131" operator="containsText" text="PEX DESAFILIADO">
      <formula>NOT(ISERROR(SEARCH("PEX DESAFILIADO",C38)))</formula>
    </cfRule>
    <cfRule type="containsText" dxfId="1413" priority="14130" operator="containsText" text="PEX BLOQUEADO">
      <formula>NOT(ISERROR(SEARCH("PEX BLOQUEADO",C38)))</formula>
    </cfRule>
    <cfRule type="cellIs" dxfId="1412" priority="14129" operator="equal">
      <formula>"NO"</formula>
    </cfRule>
    <cfRule type="containsText" dxfId="1411" priority="14128" operator="containsText" text="NO INSTALADO">
      <formula>NOT(ISERROR(SEARCH("NO INSTALADO",C38)))</formula>
    </cfRule>
    <cfRule type="containsText" dxfId="1410" priority="14127" operator="containsText" text="PEX DESAFILIADO">
      <formula>NOT(ISERROR(SEARCH("PEX DESAFILIADO",C38)))</formula>
    </cfRule>
    <cfRule type="containsText" dxfId="1409" priority="14126" operator="containsText" text="PEX BLOQUEADO">
      <formula>NOT(ISERROR(SEARCH("PEX BLOQUEADO",C38)))</formula>
    </cfRule>
    <cfRule type="cellIs" dxfId="1408" priority="14125" operator="equal">
      <formula>"NO"</formula>
    </cfRule>
    <cfRule type="containsText" dxfId="1407" priority="14124" operator="containsText" text="NO INSTALADO">
      <formula>NOT(ISERROR(SEARCH("NO INSTALADO",C38)))</formula>
    </cfRule>
    <cfRule type="containsText" dxfId="1406" priority="14123" operator="containsText" text="PEX DESAFILIADO">
      <formula>NOT(ISERROR(SEARCH("PEX DESAFILIADO",C38)))</formula>
    </cfRule>
    <cfRule type="containsText" dxfId="1405" priority="14122" operator="containsText" text="PEX BLOQUEADO">
      <formula>NOT(ISERROR(SEARCH("PEX BLOQUEADO",C38)))</formula>
    </cfRule>
    <cfRule type="cellIs" dxfId="1404" priority="14121" operator="equal">
      <formula>"NO"</formula>
    </cfRule>
    <cfRule type="containsText" dxfId="1403" priority="14120" operator="containsText" text="NO INSTALADO">
      <formula>NOT(ISERROR(SEARCH("NO INSTALADO",C38)))</formula>
    </cfRule>
    <cfRule type="containsText" dxfId="1402" priority="14119" operator="containsText" text="PEX DESAFILIADO">
      <formula>NOT(ISERROR(SEARCH("PEX DESAFILIADO",C38)))</formula>
    </cfRule>
    <cfRule type="containsText" dxfId="1401" priority="14118" operator="containsText" text="PEX BLOQUEADO">
      <formula>NOT(ISERROR(SEARCH("PEX BLOQUEADO",C38)))</formula>
    </cfRule>
    <cfRule type="cellIs" dxfId="1400" priority="14117" operator="equal">
      <formula>"NO"</formula>
    </cfRule>
    <cfRule type="containsText" dxfId="1399" priority="14116" operator="containsText" text="NO INSTALADO">
      <formula>NOT(ISERROR(SEARCH("NO INSTALADO",C38)))</formula>
    </cfRule>
    <cfRule type="containsText" dxfId="1398" priority="14115" operator="containsText" text="PEX DESAFILIADO">
      <formula>NOT(ISERROR(SEARCH("PEX DESAFILIADO",C38)))</formula>
    </cfRule>
    <cfRule type="containsText" dxfId="1397" priority="14114" operator="containsText" text="PEX BLOQUEADO">
      <formula>NOT(ISERROR(SEARCH("PEX BLOQUEADO",C38)))</formula>
    </cfRule>
    <cfRule type="cellIs" dxfId="1396" priority="14113" operator="equal">
      <formula>"NO"</formula>
    </cfRule>
    <cfRule type="containsText" dxfId="1395" priority="14112" operator="containsText" text="NO INSTALADO">
      <formula>NOT(ISERROR(SEARCH("NO INSTALADO",C38)))</formula>
    </cfRule>
    <cfRule type="containsText" dxfId="1394" priority="14111" operator="containsText" text="PEX DESAFILIADO">
      <formula>NOT(ISERROR(SEARCH("PEX DESAFILIADO",C38)))</formula>
    </cfRule>
    <cfRule type="containsText" dxfId="1393" priority="14110" operator="containsText" text="PEX BLOQUEADO">
      <formula>NOT(ISERROR(SEARCH("PEX BLOQUEADO",C38)))</formula>
    </cfRule>
    <cfRule type="cellIs" dxfId="1392" priority="14109" operator="equal">
      <formula>"NO"</formula>
    </cfRule>
    <cfRule type="containsText" dxfId="1391" priority="14108" operator="containsText" text="NO INSTALADO">
      <formula>NOT(ISERROR(SEARCH("NO INSTALADO",C38)))</formula>
    </cfRule>
    <cfRule type="containsText" dxfId="1390" priority="14107" operator="containsText" text="PEX DESAFILIADO">
      <formula>NOT(ISERROR(SEARCH("PEX DESAFILIADO",C38)))</formula>
    </cfRule>
    <cfRule type="containsText" dxfId="1389" priority="14106" operator="containsText" text="PEX BLOQUEADO">
      <formula>NOT(ISERROR(SEARCH("PEX BLOQUEADO",C38)))</formula>
    </cfRule>
    <cfRule type="cellIs" dxfId="1388" priority="14105" operator="equal">
      <formula>"NO"</formula>
    </cfRule>
    <cfRule type="containsText" dxfId="1387" priority="14104" operator="containsText" text="NO INSTALADO">
      <formula>NOT(ISERROR(SEARCH("NO INSTALADO",C38)))</formula>
    </cfRule>
    <cfRule type="containsText" dxfId="1386" priority="14103" operator="containsText" text="PEX DESAFILIADO">
      <formula>NOT(ISERROR(SEARCH("PEX DESAFILIADO",C38)))</formula>
    </cfRule>
    <cfRule type="containsText" dxfId="1385" priority="14102" operator="containsText" text="PEX BLOQUEADO">
      <formula>NOT(ISERROR(SEARCH("PEX BLOQUEADO",C38)))</formula>
    </cfRule>
    <cfRule type="cellIs" dxfId="1384" priority="14101" operator="equal">
      <formula>"NO"</formula>
    </cfRule>
    <cfRule type="containsText" dxfId="1383" priority="14100" operator="containsText" text="NO INSTALADO">
      <formula>NOT(ISERROR(SEARCH("NO INSTALADO",C38)))</formula>
    </cfRule>
    <cfRule type="containsText" dxfId="1382" priority="14099" operator="containsText" text="PEX DESAFILIADO">
      <formula>NOT(ISERROR(SEARCH("PEX DESAFILIADO",C38)))</formula>
    </cfRule>
    <cfRule type="containsText" dxfId="1381" priority="14098" operator="containsText" text="PEX BLOQUEADO">
      <formula>NOT(ISERROR(SEARCH("PEX BLOQUEADO",C38)))</formula>
    </cfRule>
    <cfRule type="cellIs" dxfId="1380" priority="14097" operator="equal">
      <formula>"NO"</formula>
    </cfRule>
    <cfRule type="containsText" dxfId="1379" priority="14096" operator="containsText" text="NO INSTALADO">
      <formula>NOT(ISERROR(SEARCH("NO INSTALADO",C38)))</formula>
    </cfRule>
    <cfRule type="containsText" dxfId="1378" priority="14095" operator="containsText" text="PEX DESAFILIADO">
      <formula>NOT(ISERROR(SEARCH("PEX DESAFILIADO",C38)))</formula>
    </cfRule>
    <cfRule type="containsText" dxfId="1377" priority="14094" operator="containsText" text="PEX BLOQUEADO">
      <formula>NOT(ISERROR(SEARCH("PEX BLOQUEADO",C38)))</formula>
    </cfRule>
    <cfRule type="cellIs" dxfId="1376" priority="14093" operator="equal">
      <formula>"NO"</formula>
    </cfRule>
    <cfRule type="containsText" dxfId="1375" priority="14092" operator="containsText" text="NO INSTALADO">
      <formula>NOT(ISERROR(SEARCH("NO INSTALADO",C38)))</formula>
    </cfRule>
    <cfRule type="containsText" dxfId="1374" priority="14091" operator="containsText" text="PEX DESAFILIADO">
      <formula>NOT(ISERROR(SEARCH("PEX DESAFILIADO",C38)))</formula>
    </cfRule>
    <cfRule type="containsText" dxfId="1373" priority="14090" operator="containsText" text="PEX BLOQUEADO">
      <formula>NOT(ISERROR(SEARCH("PEX BLOQUEADO",C38)))</formula>
    </cfRule>
    <cfRule type="cellIs" dxfId="1372" priority="14089" operator="equal">
      <formula>"NO"</formula>
    </cfRule>
    <cfRule type="containsText" dxfId="1371" priority="14088" operator="containsText" text="NO INSTALADO">
      <formula>NOT(ISERROR(SEARCH("NO INSTALADO",C38)))</formula>
    </cfRule>
    <cfRule type="containsText" dxfId="1370" priority="14087" operator="containsText" text="PEX DESAFILIADO">
      <formula>NOT(ISERROR(SEARCH("PEX DESAFILIADO",C38)))</formula>
    </cfRule>
    <cfRule type="containsText" dxfId="1369" priority="14086" operator="containsText" text="PEX BLOQUEADO">
      <formula>NOT(ISERROR(SEARCH("PEX BLOQUEADO",C38)))</formula>
    </cfRule>
    <cfRule type="cellIs" dxfId="1368" priority="14085" operator="equal">
      <formula>"NO"</formula>
    </cfRule>
    <cfRule type="containsText" dxfId="1367" priority="14084" operator="containsText" text="NO INSTALADO">
      <formula>NOT(ISERROR(SEARCH("NO INSTALADO",C38)))</formula>
    </cfRule>
    <cfRule type="containsText" dxfId="1366" priority="14083" operator="containsText" text="PEX DESAFILIADO">
      <formula>NOT(ISERROR(SEARCH("PEX DESAFILIADO",C38)))</formula>
    </cfRule>
    <cfRule type="containsText" dxfId="1365" priority="14082" operator="containsText" text="PEX BLOQUEADO">
      <formula>NOT(ISERROR(SEARCH("PEX BLOQUEADO",C38)))</formula>
    </cfRule>
    <cfRule type="cellIs" dxfId="1364" priority="14081" operator="equal">
      <formula>"NO"</formula>
    </cfRule>
    <cfRule type="containsText" dxfId="1363" priority="14080" operator="containsText" text="NO INSTALADO">
      <formula>NOT(ISERROR(SEARCH("NO INSTALADO",C38)))</formula>
    </cfRule>
    <cfRule type="containsText" dxfId="1362" priority="14079" operator="containsText" text="PEX DESAFILIADO">
      <formula>NOT(ISERROR(SEARCH("PEX DESAFILIADO",C38)))</formula>
    </cfRule>
    <cfRule type="containsText" dxfId="1361" priority="14078" operator="containsText" text="PEX BLOQUEADO">
      <formula>NOT(ISERROR(SEARCH("PEX BLOQUEADO",C38)))</formula>
    </cfRule>
    <cfRule type="cellIs" dxfId="1360" priority="14077" operator="equal">
      <formula>"NO"</formula>
    </cfRule>
    <cfRule type="containsText" dxfId="1359" priority="14076" operator="containsText" text="NO INSTALADO">
      <formula>NOT(ISERROR(SEARCH("NO INSTALADO",C38)))</formula>
    </cfRule>
    <cfRule type="containsText" dxfId="1358" priority="14075" operator="containsText" text="PEX DESAFILIADO">
      <formula>NOT(ISERROR(SEARCH("PEX DESAFILIADO",C38)))</formula>
    </cfRule>
    <cfRule type="containsText" dxfId="1357" priority="14074" operator="containsText" text="PEX BLOQUEADO">
      <formula>NOT(ISERROR(SEARCH("PEX BLOQUEADO",C38)))</formula>
    </cfRule>
    <cfRule type="cellIs" dxfId="1356" priority="14073" operator="equal">
      <formula>"NO"</formula>
    </cfRule>
    <cfRule type="containsText" dxfId="1355" priority="14072" operator="containsText" text="NO INSTALADO">
      <formula>NOT(ISERROR(SEARCH("NO INSTALADO",C38)))</formula>
    </cfRule>
    <cfRule type="containsText" dxfId="1354" priority="14071" operator="containsText" text="PEX DESAFILIADO">
      <formula>NOT(ISERROR(SEARCH("PEX DESAFILIADO",C38)))</formula>
    </cfRule>
    <cfRule type="containsText" dxfId="1353" priority="14070" operator="containsText" text="PEX BLOQUEADO">
      <formula>NOT(ISERROR(SEARCH("PEX BLOQUEADO",C38)))</formula>
    </cfRule>
    <cfRule type="cellIs" dxfId="1352" priority="14069" operator="equal">
      <formula>"NO"</formula>
    </cfRule>
    <cfRule type="containsText" dxfId="1351" priority="14068" operator="containsText" text="NO INSTALADO">
      <formula>NOT(ISERROR(SEARCH("NO INSTALADO",C38)))</formula>
    </cfRule>
    <cfRule type="containsText" dxfId="1350" priority="14067" operator="containsText" text="PEX DESAFILIADO">
      <formula>NOT(ISERROR(SEARCH("PEX DESAFILIADO",C38)))</formula>
    </cfRule>
    <cfRule type="containsText" dxfId="1349" priority="14066" operator="containsText" text="PEX BLOQUEADO">
      <formula>NOT(ISERROR(SEARCH("PEX BLOQUEADO",C38)))</formula>
    </cfRule>
    <cfRule type="cellIs" dxfId="1348" priority="14065" operator="equal">
      <formula>"NO"</formula>
    </cfRule>
    <cfRule type="containsText" dxfId="1347" priority="14064" operator="containsText" text="NO INSTALADO">
      <formula>NOT(ISERROR(SEARCH("NO INSTALADO",C38)))</formula>
    </cfRule>
    <cfRule type="containsText" dxfId="1346" priority="14063" operator="containsText" text="PEX DESAFILIADO">
      <formula>NOT(ISERROR(SEARCH("PEX DESAFILIADO",C38)))</formula>
    </cfRule>
    <cfRule type="containsText" dxfId="1345" priority="14062" operator="containsText" text="PEX BLOQUEADO">
      <formula>NOT(ISERROR(SEARCH("PEX BLOQUEADO",C38)))</formula>
    </cfRule>
    <cfRule type="cellIs" dxfId="1344" priority="14061" operator="equal">
      <formula>"NO"</formula>
    </cfRule>
    <cfRule type="containsText" dxfId="1343" priority="14060" operator="containsText" text="NO INSTALADO">
      <formula>NOT(ISERROR(SEARCH("NO INSTALADO",C38)))</formula>
    </cfRule>
    <cfRule type="containsText" dxfId="1342" priority="14059" operator="containsText" text="PEX DESAFILIADO">
      <formula>NOT(ISERROR(SEARCH("PEX DESAFILIADO",C38)))</formula>
    </cfRule>
    <cfRule type="containsText" dxfId="1341" priority="14058" operator="containsText" text="PEX BLOQUEADO">
      <formula>NOT(ISERROR(SEARCH("PEX BLOQUEADO",C38)))</formula>
    </cfRule>
    <cfRule type="cellIs" dxfId="1340" priority="14057" operator="equal">
      <formula>"NO"</formula>
    </cfRule>
    <cfRule type="containsText" dxfId="1339" priority="14056" operator="containsText" text="NO INSTALADO">
      <formula>NOT(ISERROR(SEARCH("NO INSTALADO",C38)))</formula>
    </cfRule>
    <cfRule type="containsText" dxfId="1338" priority="14055" operator="containsText" text="PEX DESAFILIADO">
      <formula>NOT(ISERROR(SEARCH("PEX DESAFILIADO",C38)))</formula>
    </cfRule>
    <cfRule type="containsText" dxfId="1337" priority="14054" operator="containsText" text="PEX BLOQUEADO">
      <formula>NOT(ISERROR(SEARCH("PEX BLOQUEADO",C38)))</formula>
    </cfRule>
    <cfRule type="cellIs" dxfId="1336" priority="14053" operator="equal">
      <formula>"NO"</formula>
    </cfRule>
    <cfRule type="containsText" dxfId="1335" priority="14052" operator="containsText" text="NO INSTALADO">
      <formula>NOT(ISERROR(SEARCH("NO INSTALADO",C38)))</formula>
    </cfRule>
    <cfRule type="containsText" dxfId="1334" priority="14051" operator="containsText" text="PEX DESAFILIADO">
      <formula>NOT(ISERROR(SEARCH("PEX DESAFILIADO",C38)))</formula>
    </cfRule>
    <cfRule type="containsText" dxfId="1333" priority="14050" operator="containsText" text="PEX BLOQUEADO">
      <formula>NOT(ISERROR(SEARCH("PEX BLOQUEADO",C38)))</formula>
    </cfRule>
    <cfRule type="cellIs" dxfId="1332" priority="14049" operator="equal">
      <formula>"NO"</formula>
    </cfRule>
    <cfRule type="containsText" dxfId="1331" priority="14048" operator="containsText" text="NO INSTALADO">
      <formula>NOT(ISERROR(SEARCH("NO INSTALADO",C38)))</formula>
    </cfRule>
    <cfRule type="containsText" dxfId="1330" priority="14047" operator="containsText" text="PEX DESAFILIADO">
      <formula>NOT(ISERROR(SEARCH("PEX DESAFILIADO",C38)))</formula>
    </cfRule>
    <cfRule type="containsText" dxfId="1329" priority="14046" operator="containsText" text="PEX BLOQUEADO">
      <formula>NOT(ISERROR(SEARCH("PEX BLOQUEADO",C38)))</formula>
    </cfRule>
    <cfRule type="cellIs" dxfId="1328" priority="14045" operator="equal">
      <formula>"NO"</formula>
    </cfRule>
    <cfRule type="containsText" dxfId="1327" priority="14044" operator="containsText" text="NO INSTALADO">
      <formula>NOT(ISERROR(SEARCH("NO INSTALADO",C38)))</formula>
    </cfRule>
    <cfRule type="containsText" dxfId="1326" priority="14043" operator="containsText" text="PEX DESAFILIADO">
      <formula>NOT(ISERROR(SEARCH("PEX DESAFILIADO",C38)))</formula>
    </cfRule>
    <cfRule type="containsText" dxfId="1325" priority="14042" operator="containsText" text="PEX BLOQUEADO">
      <formula>NOT(ISERROR(SEARCH("PEX BLOQUEADO",C38)))</formula>
    </cfRule>
    <cfRule type="cellIs" dxfId="1324" priority="14041" operator="equal">
      <formula>"NO"</formula>
    </cfRule>
    <cfRule type="containsText" dxfId="1323" priority="14040" operator="containsText" text="NO INSTALADO">
      <formula>NOT(ISERROR(SEARCH("NO INSTALADO",C38)))</formula>
    </cfRule>
    <cfRule type="containsText" dxfId="1322" priority="14039" operator="containsText" text="PEX DESAFILIADO">
      <formula>NOT(ISERROR(SEARCH("PEX DESAFILIADO",C38)))</formula>
    </cfRule>
    <cfRule type="containsText" dxfId="1321" priority="14038" operator="containsText" text="PEX BLOQUEADO">
      <formula>NOT(ISERROR(SEARCH("PEX BLOQUEADO",C38)))</formula>
    </cfRule>
    <cfRule type="cellIs" dxfId="1320" priority="14037" operator="equal">
      <formula>"NO"</formula>
    </cfRule>
    <cfRule type="containsText" dxfId="1319" priority="14036" operator="containsText" text="NO INSTALADO">
      <formula>NOT(ISERROR(SEARCH("NO INSTALADO",C38)))</formula>
    </cfRule>
    <cfRule type="containsText" dxfId="1318" priority="14035" operator="containsText" text="PEX DESAFILIADO">
      <formula>NOT(ISERROR(SEARCH("PEX DESAFILIADO",C38)))</formula>
    </cfRule>
    <cfRule type="containsText" dxfId="1317" priority="14034" operator="containsText" text="PEX BLOQUEADO">
      <formula>NOT(ISERROR(SEARCH("PEX BLOQUEADO",C38)))</formula>
    </cfRule>
    <cfRule type="cellIs" dxfId="1316" priority="14033" operator="equal">
      <formula>"NO"</formula>
    </cfRule>
    <cfRule type="containsText" dxfId="1315" priority="14032" operator="containsText" text="NO INSTALADO">
      <formula>NOT(ISERROR(SEARCH("NO INSTALADO",C38)))</formula>
    </cfRule>
    <cfRule type="containsText" dxfId="1314" priority="14031" operator="containsText" text="PEX DESAFILIADO">
      <formula>NOT(ISERROR(SEARCH("PEX DESAFILIADO",C38)))</formula>
    </cfRule>
    <cfRule type="containsText" dxfId="1313" priority="14030" operator="containsText" text="PEX BLOQUEADO">
      <formula>NOT(ISERROR(SEARCH("PEX BLOQUEADO",C38)))</formula>
    </cfRule>
    <cfRule type="cellIs" dxfId="1312" priority="14029" operator="equal">
      <formula>"NO"</formula>
    </cfRule>
  </conditionalFormatting>
  <conditionalFormatting sqref="C90 C114 C298">
    <cfRule type="containsText" dxfId="1311" priority="14141" operator="containsText" text="PEX BLOQUEADO">
      <formula>NOT(ISERROR(SEARCH("PEX BLOQUEADO",C90)))</formula>
    </cfRule>
    <cfRule type="containsText" dxfId="1310" priority="14143" operator="containsText" text="NO INSTALADO">
      <formula>NOT(ISERROR(SEARCH("NO INSTALADO",C90)))</formula>
    </cfRule>
    <cfRule type="containsText" dxfId="1309" priority="14142" operator="containsText" text="PEX DESAFILIADO">
      <formula>NOT(ISERROR(SEARCH("PEX DESAFILIADO",C90)))</formula>
    </cfRule>
  </conditionalFormatting>
  <conditionalFormatting sqref="C90">
    <cfRule type="containsText" dxfId="1308" priority="13984" operator="containsText" text="NO INSTALADO">
      <formula>NOT(ISERROR(SEARCH("NO INSTALADO",C90)))</formula>
    </cfRule>
    <cfRule type="containsText" dxfId="1307" priority="13983" operator="containsText" text="PEX DESAFILIADO">
      <formula>NOT(ISERROR(SEARCH("PEX DESAFILIADO",C90)))</formula>
    </cfRule>
    <cfRule type="containsText" dxfId="1306" priority="13982" operator="containsText" text="PEX BLOQUEADO">
      <formula>NOT(ISERROR(SEARCH("PEX BLOQUEADO",C90)))</formula>
    </cfRule>
  </conditionalFormatting>
  <conditionalFormatting sqref="C130:C135 C144:C154 C197:C231 C272:C291 C2:C11 C123">
    <cfRule type="cellIs" dxfId="1305" priority="15260" operator="equal">
      <formula>"NO"</formula>
    </cfRule>
  </conditionalFormatting>
  <conditionalFormatting sqref="C130:C135 C144:C154 C197:C231 C272:C291">
    <cfRule type="containsText" dxfId="1304" priority="15259" operator="containsText" text="NO INSTALADO">
      <formula>NOT(ISERROR(SEARCH("NO INSTALADO",C130)))</formula>
    </cfRule>
    <cfRule type="containsText" dxfId="1303" priority="15258" operator="containsText" text="PEX DESAFILIADO">
      <formula>NOT(ISERROR(SEARCH("PEX DESAFILIADO",C130)))</formula>
    </cfRule>
    <cfRule type="containsText" dxfId="1302" priority="15257" operator="containsText" text="PEX BLOQUEADO">
      <formula>NOT(ISERROR(SEARCH("PEX BLOQUEADO",C130)))</formula>
    </cfRule>
  </conditionalFormatting>
  <conditionalFormatting sqref="C130:C135 C144:C154 C197:C231">
    <cfRule type="cellIs" dxfId="1301" priority="15177" operator="equal">
      <formula>"NO"</formula>
    </cfRule>
  </conditionalFormatting>
  <conditionalFormatting sqref="C167 C206 C272 C296 C409">
    <cfRule type="containsText" dxfId="1300" priority="13963" operator="containsText" text="PEX DESAFILIADO">
      <formula>NOT(ISERROR(SEARCH("PEX DESAFILIADO",C167)))</formula>
    </cfRule>
    <cfRule type="containsText" dxfId="1299" priority="13962" operator="containsText" text="PEX BLOQUEADO">
      <formula>NOT(ISERROR(SEARCH("PEX BLOQUEADO",C167)))</formula>
    </cfRule>
    <cfRule type="containsText" dxfId="1298" priority="13948" operator="containsText" text="NO INSTALADO">
      <formula>NOT(ISERROR(SEARCH("NO INSTALADO",C167)))</formula>
    </cfRule>
    <cfRule type="containsText" dxfId="1297" priority="13947" operator="containsText" text="PEX DESAFILIADO">
      <formula>NOT(ISERROR(SEARCH("PEX DESAFILIADO",C167)))</formula>
    </cfRule>
    <cfRule type="containsText" dxfId="1296" priority="13946" operator="containsText" text="PEX BLOQUEADO">
      <formula>NOT(ISERROR(SEARCH("PEX BLOQUEADO",C167)))</formula>
    </cfRule>
    <cfRule type="containsText" dxfId="1295" priority="13960" operator="containsText" text="NO INSTALADO">
      <formula>NOT(ISERROR(SEARCH("NO INSTALADO",C167)))</formula>
    </cfRule>
    <cfRule type="containsText" dxfId="1294" priority="13944" operator="containsText" text="NO INSTALADO">
      <formula>NOT(ISERROR(SEARCH("NO INSTALADO",C167)))</formula>
    </cfRule>
    <cfRule type="containsText" dxfId="1293" priority="13943" operator="containsText" text="PEX DESAFILIADO">
      <formula>NOT(ISERROR(SEARCH("PEX DESAFILIADO",C167)))</formula>
    </cfRule>
    <cfRule type="containsText" dxfId="1292" priority="13942" operator="containsText" text="PEX BLOQUEADO">
      <formula>NOT(ISERROR(SEARCH("PEX BLOQUEADO",C167)))</formula>
    </cfRule>
    <cfRule type="containsText" dxfId="1291" priority="13959" operator="containsText" text="PEX DESAFILIADO">
      <formula>NOT(ISERROR(SEARCH("PEX DESAFILIADO",C167)))</formula>
    </cfRule>
    <cfRule type="containsText" dxfId="1290" priority="13940" operator="containsText" text="NO INSTALADO">
      <formula>NOT(ISERROR(SEARCH("NO INSTALADO",C167)))</formula>
    </cfRule>
    <cfRule type="containsText" dxfId="1289" priority="13939" operator="containsText" text="PEX DESAFILIADO">
      <formula>NOT(ISERROR(SEARCH("PEX DESAFILIADO",C167)))</formula>
    </cfRule>
    <cfRule type="containsText" dxfId="1288" priority="13938" operator="containsText" text="PEX BLOQUEADO">
      <formula>NOT(ISERROR(SEARCH("PEX BLOQUEADO",C167)))</formula>
    </cfRule>
    <cfRule type="containsText" dxfId="1287" priority="13958" operator="containsText" text="PEX BLOQUEADO">
      <formula>NOT(ISERROR(SEARCH("PEX BLOQUEADO",C167)))</formula>
    </cfRule>
    <cfRule type="containsText" dxfId="1286" priority="13936" operator="containsText" text="NO INSTALADO">
      <formula>NOT(ISERROR(SEARCH("NO INSTALADO",C167)))</formula>
    </cfRule>
    <cfRule type="containsText" dxfId="1285" priority="13935" operator="containsText" text="PEX DESAFILIADO">
      <formula>NOT(ISERROR(SEARCH("PEX DESAFILIADO",C167)))</formula>
    </cfRule>
    <cfRule type="containsText" dxfId="1284" priority="13934" operator="containsText" text="PEX BLOQUEADO">
      <formula>NOT(ISERROR(SEARCH("PEX BLOQUEADO",C167)))</formula>
    </cfRule>
    <cfRule type="containsText" dxfId="1283" priority="13932" operator="containsText" text="NO INSTALADO">
      <formula>NOT(ISERROR(SEARCH("NO INSTALADO",C167)))</formula>
    </cfRule>
    <cfRule type="containsText" dxfId="1282" priority="13931" operator="containsText" text="PEX DESAFILIADO">
      <formula>NOT(ISERROR(SEARCH("PEX DESAFILIADO",C167)))</formula>
    </cfRule>
    <cfRule type="containsText" dxfId="1281" priority="13930" operator="containsText" text="PEX BLOQUEADO">
      <formula>NOT(ISERROR(SEARCH("PEX BLOQUEADO",C167)))</formula>
    </cfRule>
    <cfRule type="containsText" dxfId="1280" priority="13956" operator="containsText" text="NO INSTALADO">
      <formula>NOT(ISERROR(SEARCH("NO INSTALADO",C167)))</formula>
    </cfRule>
    <cfRule type="containsText" dxfId="1279" priority="13928" operator="containsText" text="NO INSTALADO">
      <formula>NOT(ISERROR(SEARCH("NO INSTALADO",C167)))</formula>
    </cfRule>
    <cfRule type="containsText" dxfId="1278" priority="13927" operator="containsText" text="PEX DESAFILIADO">
      <formula>NOT(ISERROR(SEARCH("PEX DESAFILIADO",C167)))</formula>
    </cfRule>
    <cfRule type="containsText" dxfId="1277" priority="13926" operator="containsText" text="PEX BLOQUEADO">
      <formula>NOT(ISERROR(SEARCH("PEX BLOQUEADO",C167)))</formula>
    </cfRule>
    <cfRule type="containsText" dxfId="1276" priority="13955" operator="containsText" text="PEX DESAFILIADO">
      <formula>NOT(ISERROR(SEARCH("PEX DESAFILIADO",C167)))</formula>
    </cfRule>
    <cfRule type="containsText" dxfId="1275" priority="13924" operator="containsText" text="NO INSTALADO">
      <formula>NOT(ISERROR(SEARCH("NO INSTALADO",C167)))</formula>
    </cfRule>
    <cfRule type="containsText" dxfId="1274" priority="13923" operator="containsText" text="PEX DESAFILIADO">
      <formula>NOT(ISERROR(SEARCH("PEX DESAFILIADO",C167)))</formula>
    </cfRule>
    <cfRule type="containsText" dxfId="1273" priority="13922" operator="containsText" text="PEX BLOQUEADO">
      <formula>NOT(ISERROR(SEARCH("PEX BLOQUEADO",C167)))</formula>
    </cfRule>
    <cfRule type="containsText" dxfId="1272" priority="13954" operator="containsText" text="PEX BLOQUEADO">
      <formula>NOT(ISERROR(SEARCH("PEX BLOQUEADO",C167)))</formula>
    </cfRule>
    <cfRule type="containsText" dxfId="1271" priority="13920" operator="containsText" text="NO INSTALADO">
      <formula>NOT(ISERROR(SEARCH("NO INSTALADO",C167)))</formula>
    </cfRule>
    <cfRule type="containsText" dxfId="1270" priority="13919" operator="containsText" text="PEX DESAFILIADO">
      <formula>NOT(ISERROR(SEARCH("PEX DESAFILIADO",C167)))</formula>
    </cfRule>
    <cfRule type="containsText" dxfId="1269" priority="13918" operator="containsText" text="PEX BLOQUEADO">
      <formula>NOT(ISERROR(SEARCH("PEX BLOQUEADO",C167)))</formula>
    </cfRule>
    <cfRule type="containsText" dxfId="1268" priority="13972" operator="containsText" text="NO INSTALADO">
      <formula>NOT(ISERROR(SEARCH("NO INSTALADO",C167)))</formula>
    </cfRule>
    <cfRule type="containsText" dxfId="1267" priority="13916" operator="containsText" text="NO INSTALADO">
      <formula>NOT(ISERROR(SEARCH("NO INSTALADO",C167)))</formula>
    </cfRule>
    <cfRule type="containsText" dxfId="1266" priority="13915" operator="containsText" text="PEX DESAFILIADO">
      <formula>NOT(ISERROR(SEARCH("PEX DESAFILIADO",C167)))</formula>
    </cfRule>
    <cfRule type="containsText" dxfId="1265" priority="13914" operator="containsText" text="PEX BLOQUEADO">
      <formula>NOT(ISERROR(SEARCH("PEX BLOQUEADO",C167)))</formula>
    </cfRule>
    <cfRule type="containsText" dxfId="1264" priority="13952" operator="containsText" text="NO INSTALADO">
      <formula>NOT(ISERROR(SEARCH("NO INSTALADO",C167)))</formula>
    </cfRule>
    <cfRule type="containsText" dxfId="1263" priority="13971" operator="containsText" text="PEX DESAFILIADO">
      <formula>NOT(ISERROR(SEARCH("PEX DESAFILIADO",C167)))</formula>
    </cfRule>
    <cfRule type="containsText" dxfId="1262" priority="13911" operator="containsText" text="PEX DESAFILIADO">
      <formula>NOT(ISERROR(SEARCH("PEX DESAFILIADO",C167)))</formula>
    </cfRule>
    <cfRule type="containsText" dxfId="1261" priority="13910" operator="containsText" text="PEX BLOQUEADO">
      <formula>NOT(ISERROR(SEARCH("PEX BLOQUEADO",C167)))</formula>
    </cfRule>
    <cfRule type="containsText" dxfId="1260" priority="13951" operator="containsText" text="PEX DESAFILIADO">
      <formula>NOT(ISERROR(SEARCH("PEX DESAFILIADO",C167)))</formula>
    </cfRule>
    <cfRule type="containsText" dxfId="1259" priority="13950" operator="containsText" text="PEX BLOQUEADO">
      <formula>NOT(ISERROR(SEARCH("PEX BLOQUEADO",C167)))</formula>
    </cfRule>
    <cfRule type="containsText" dxfId="1258" priority="13970" operator="containsText" text="PEX BLOQUEADO">
      <formula>NOT(ISERROR(SEARCH("PEX BLOQUEADO",C167)))</formula>
    </cfRule>
    <cfRule type="containsText" dxfId="1257" priority="13968" operator="containsText" text="NO INSTALADO">
      <formula>NOT(ISERROR(SEARCH("NO INSTALADO",C167)))</formula>
    </cfRule>
    <cfRule type="containsText" dxfId="1256" priority="13967" operator="containsText" text="PEX DESAFILIADO">
      <formula>NOT(ISERROR(SEARCH("PEX DESAFILIADO",C167)))</formula>
    </cfRule>
    <cfRule type="containsText" dxfId="1255" priority="13912" operator="containsText" text="NO INSTALADO">
      <formula>NOT(ISERROR(SEARCH("NO INSTALADO",C167)))</formula>
    </cfRule>
    <cfRule type="containsText" dxfId="1254" priority="13979" operator="containsText" text="PEX DESAFILIADO">
      <formula>NOT(ISERROR(SEARCH("PEX DESAFILIADO",C167)))</formula>
    </cfRule>
    <cfRule type="containsText" dxfId="1253" priority="13978" operator="containsText" text="PEX BLOQUEADO">
      <formula>NOT(ISERROR(SEARCH("PEX BLOQUEADO",C167)))</formula>
    </cfRule>
    <cfRule type="containsText" dxfId="1252" priority="13966" operator="containsText" text="PEX BLOQUEADO">
      <formula>NOT(ISERROR(SEARCH("PEX BLOQUEADO",C167)))</formula>
    </cfRule>
    <cfRule type="containsText" dxfId="1251" priority="13976" operator="containsText" text="NO INSTALADO">
      <formula>NOT(ISERROR(SEARCH("NO INSTALADO",C167)))</formula>
    </cfRule>
    <cfRule type="containsText" dxfId="1250" priority="13975" operator="containsText" text="PEX DESAFILIADO">
      <formula>NOT(ISERROR(SEARCH("PEX DESAFILIADO",C167)))</formula>
    </cfRule>
    <cfRule type="containsText" dxfId="1249" priority="13974" operator="containsText" text="PEX BLOQUEADO">
      <formula>NOT(ISERROR(SEARCH("PEX BLOQUEADO",C167)))</formula>
    </cfRule>
    <cfRule type="containsText" dxfId="1248" priority="13964" operator="containsText" text="NO INSTALADO">
      <formula>NOT(ISERROR(SEARCH("NO INSTALADO",C167)))</formula>
    </cfRule>
    <cfRule type="containsText" dxfId="1247" priority="13980" operator="containsText" text="NO INSTALADO">
      <formula>NOT(ISERROR(SEARCH("NO INSTALADO",C167)))</formula>
    </cfRule>
  </conditionalFormatting>
  <conditionalFormatting sqref="C167 C272 C296 C409">
    <cfRule type="containsText" dxfId="1246" priority="13880" operator="containsText" text="NO INSTALADO">
      <formula>NOT(ISERROR(SEARCH("NO INSTALADO",C167)))</formula>
    </cfRule>
    <cfRule type="containsText" dxfId="1245" priority="13879" operator="containsText" text="PEX DESAFILIADO">
      <formula>NOT(ISERROR(SEARCH("PEX DESAFILIADO",C167)))</formula>
    </cfRule>
    <cfRule type="containsText" dxfId="1244" priority="13878" operator="containsText" text="PEX BLOQUEADO">
      <formula>NOT(ISERROR(SEARCH("PEX BLOQUEADO",C167)))</formula>
    </cfRule>
    <cfRule type="containsText" dxfId="1243" priority="13876" operator="containsText" text="NO INSTALADO">
      <formula>NOT(ISERROR(SEARCH("NO INSTALADO",C167)))</formula>
    </cfRule>
    <cfRule type="containsText" dxfId="1242" priority="13875" operator="containsText" text="PEX DESAFILIADO">
      <formula>NOT(ISERROR(SEARCH("PEX DESAFILIADO",C167)))</formula>
    </cfRule>
    <cfRule type="containsText" dxfId="1241" priority="13874" operator="containsText" text="PEX BLOQUEADO">
      <formula>NOT(ISERROR(SEARCH("PEX BLOQUEADO",C167)))</formula>
    </cfRule>
    <cfRule type="containsText" dxfId="1240" priority="13872" operator="containsText" text="NO INSTALADO">
      <formula>NOT(ISERROR(SEARCH("NO INSTALADO",C167)))</formula>
    </cfRule>
    <cfRule type="containsText" dxfId="1239" priority="13871" operator="containsText" text="PEX DESAFILIADO">
      <formula>NOT(ISERROR(SEARCH("PEX DESAFILIADO",C167)))</formula>
    </cfRule>
    <cfRule type="containsText" dxfId="1238" priority="13870" operator="containsText" text="PEX BLOQUEADO">
      <formula>NOT(ISERROR(SEARCH("PEX BLOQUEADO",C167)))</formula>
    </cfRule>
    <cfRule type="containsText" dxfId="1237" priority="13868" operator="containsText" text="NO INSTALADO">
      <formula>NOT(ISERROR(SEARCH("NO INSTALADO",C167)))</formula>
    </cfRule>
    <cfRule type="containsText" dxfId="1236" priority="13867" operator="containsText" text="PEX DESAFILIADO">
      <formula>NOT(ISERROR(SEARCH("PEX DESAFILIADO",C167)))</formula>
    </cfRule>
    <cfRule type="containsText" dxfId="1235" priority="13866" operator="containsText" text="PEX BLOQUEADO">
      <formula>NOT(ISERROR(SEARCH("PEX BLOQUEADO",C167)))</formula>
    </cfRule>
    <cfRule type="containsText" dxfId="1234" priority="13864" operator="containsText" text="NO INSTALADO">
      <formula>NOT(ISERROR(SEARCH("NO INSTALADO",C167)))</formula>
    </cfRule>
    <cfRule type="containsText" dxfId="1233" priority="13863" operator="containsText" text="PEX DESAFILIADO">
      <formula>NOT(ISERROR(SEARCH("PEX DESAFILIADO",C167)))</formula>
    </cfRule>
    <cfRule type="containsText" dxfId="1232" priority="13862" operator="containsText" text="PEX BLOQUEADO">
      <formula>NOT(ISERROR(SEARCH("PEX BLOQUEADO",C167)))</formula>
    </cfRule>
    <cfRule type="containsText" dxfId="1231" priority="13860" operator="containsText" text="NO INSTALADO">
      <formula>NOT(ISERROR(SEARCH("NO INSTALADO",C167)))</formula>
    </cfRule>
    <cfRule type="containsText" dxfId="1230" priority="13859" operator="containsText" text="PEX DESAFILIADO">
      <formula>NOT(ISERROR(SEARCH("PEX DESAFILIADO",C167)))</formula>
    </cfRule>
    <cfRule type="containsText" dxfId="1229" priority="13858" operator="containsText" text="PEX BLOQUEADO">
      <formula>NOT(ISERROR(SEARCH("PEX BLOQUEADO",C167)))</formula>
    </cfRule>
    <cfRule type="containsText" dxfId="1228" priority="13856" operator="containsText" text="NO INSTALADO">
      <formula>NOT(ISERROR(SEARCH("NO INSTALADO",C167)))</formula>
    </cfRule>
    <cfRule type="containsText" dxfId="1227" priority="13855" operator="containsText" text="PEX DESAFILIADO">
      <formula>NOT(ISERROR(SEARCH("PEX DESAFILIADO",C167)))</formula>
    </cfRule>
    <cfRule type="containsText" dxfId="1226" priority="13854" operator="containsText" text="PEX BLOQUEADO">
      <formula>NOT(ISERROR(SEARCH("PEX BLOQUEADO",C167)))</formula>
    </cfRule>
    <cfRule type="containsText" dxfId="1225" priority="13852" operator="containsText" text="NO INSTALADO">
      <formula>NOT(ISERROR(SEARCH("NO INSTALADO",C167)))</formula>
    </cfRule>
    <cfRule type="containsText" dxfId="1224" priority="13851" operator="containsText" text="PEX DESAFILIADO">
      <formula>NOT(ISERROR(SEARCH("PEX DESAFILIADO",C167)))</formula>
    </cfRule>
    <cfRule type="containsText" dxfId="1223" priority="13850" operator="containsText" text="PEX BLOQUEADO">
      <formula>NOT(ISERROR(SEARCH("PEX BLOQUEADO",C167)))</formula>
    </cfRule>
    <cfRule type="containsText" dxfId="1222" priority="13847" operator="containsText" text="PEX DESAFILIADO">
      <formula>NOT(ISERROR(SEARCH("PEX DESAFILIADO",C167)))</formula>
    </cfRule>
    <cfRule type="containsText" dxfId="1221" priority="13846" operator="containsText" text="PEX BLOQUEADO">
      <formula>NOT(ISERROR(SEARCH("PEX BLOQUEADO",C167)))</formula>
    </cfRule>
    <cfRule type="containsText" dxfId="1220" priority="13844" operator="containsText" text="NO INSTALADO">
      <formula>NOT(ISERROR(SEARCH("NO INSTALADO",C167)))</formula>
    </cfRule>
    <cfRule type="containsText" dxfId="1219" priority="13843" operator="containsText" text="PEX DESAFILIADO">
      <formula>NOT(ISERROR(SEARCH("PEX DESAFILIADO",C167)))</formula>
    </cfRule>
    <cfRule type="containsText" dxfId="1218" priority="13842" operator="containsText" text="PEX BLOQUEADO">
      <formula>NOT(ISERROR(SEARCH("PEX BLOQUEADO",C167)))</formula>
    </cfRule>
    <cfRule type="containsText" dxfId="1217" priority="13840" operator="containsText" text="NO INSTALADO">
      <formula>NOT(ISERROR(SEARCH("NO INSTALADO",C167)))</formula>
    </cfRule>
    <cfRule type="containsText" dxfId="1216" priority="13839" operator="containsText" text="PEX DESAFILIADO">
      <formula>NOT(ISERROR(SEARCH("PEX DESAFILIADO",C167)))</formula>
    </cfRule>
    <cfRule type="containsText" dxfId="1215" priority="13838" operator="containsText" text="PEX BLOQUEADO">
      <formula>NOT(ISERROR(SEARCH("PEX BLOQUEADO",C167)))</formula>
    </cfRule>
    <cfRule type="containsText" dxfId="1214" priority="13836" operator="containsText" text="NO INSTALADO">
      <formula>NOT(ISERROR(SEARCH("NO INSTALADO",C167)))</formula>
    </cfRule>
    <cfRule type="containsText" dxfId="1213" priority="13835" operator="containsText" text="PEX DESAFILIADO">
      <formula>NOT(ISERROR(SEARCH("PEX DESAFILIADO",C167)))</formula>
    </cfRule>
    <cfRule type="containsText" dxfId="1212" priority="13834" operator="containsText" text="PEX BLOQUEADO">
      <formula>NOT(ISERROR(SEARCH("PEX BLOQUEADO",C167)))</formula>
    </cfRule>
    <cfRule type="containsText" dxfId="1211" priority="13832" operator="containsText" text="NO INSTALADO">
      <formula>NOT(ISERROR(SEARCH("NO INSTALADO",C167)))</formula>
    </cfRule>
    <cfRule type="containsText" dxfId="1210" priority="13831" operator="containsText" text="PEX DESAFILIADO">
      <formula>NOT(ISERROR(SEARCH("PEX DESAFILIADO",C167)))</formula>
    </cfRule>
    <cfRule type="containsText" dxfId="1209" priority="13830" operator="containsText" text="PEX BLOQUEADO">
      <formula>NOT(ISERROR(SEARCH("PEX BLOQUEADO",C167)))</formula>
    </cfRule>
    <cfRule type="containsText" dxfId="1208" priority="13828" operator="containsText" text="NO INSTALADO">
      <formula>NOT(ISERROR(SEARCH("NO INSTALADO",C167)))</formula>
    </cfRule>
    <cfRule type="containsText" dxfId="1207" priority="13827" operator="containsText" text="PEX DESAFILIADO">
      <formula>NOT(ISERROR(SEARCH("PEX DESAFILIADO",C167)))</formula>
    </cfRule>
    <cfRule type="containsText" dxfId="1206" priority="13826" operator="containsText" text="PEX BLOQUEADO">
      <formula>NOT(ISERROR(SEARCH("PEX BLOQUEADO",C167)))</formula>
    </cfRule>
    <cfRule type="containsText" dxfId="1205" priority="13824" operator="containsText" text="NO INSTALADO">
      <formula>NOT(ISERROR(SEARCH("NO INSTALADO",C167)))</formula>
    </cfRule>
    <cfRule type="containsText" dxfId="1204" priority="13823" operator="containsText" text="PEX DESAFILIADO">
      <formula>NOT(ISERROR(SEARCH("PEX DESAFILIADO",C167)))</formula>
    </cfRule>
    <cfRule type="containsText" dxfId="1203" priority="13822" operator="containsText" text="PEX BLOQUEADO">
      <formula>NOT(ISERROR(SEARCH("PEX BLOQUEADO",C167)))</formula>
    </cfRule>
    <cfRule type="containsText" dxfId="1202" priority="13820" operator="containsText" text="NO INSTALADO">
      <formula>NOT(ISERROR(SEARCH("NO INSTALADO",C167)))</formula>
    </cfRule>
    <cfRule type="containsText" dxfId="1201" priority="13819" operator="containsText" text="PEX DESAFILIADO">
      <formula>NOT(ISERROR(SEARCH("PEX DESAFILIADO",C167)))</formula>
    </cfRule>
    <cfRule type="containsText" dxfId="1200" priority="13818" operator="containsText" text="PEX BLOQUEADO">
      <formula>NOT(ISERROR(SEARCH("PEX BLOQUEADO",C167)))</formula>
    </cfRule>
    <cfRule type="containsText" dxfId="1199" priority="13816" operator="containsText" text="NO INSTALADO">
      <formula>NOT(ISERROR(SEARCH("NO INSTALADO",C167)))</formula>
    </cfRule>
    <cfRule type="containsText" dxfId="1198" priority="13815" operator="containsText" text="PEX DESAFILIADO">
      <formula>NOT(ISERROR(SEARCH("PEX DESAFILIADO",C167)))</formula>
    </cfRule>
    <cfRule type="containsText" dxfId="1197" priority="13814" operator="containsText" text="PEX BLOQUEADO">
      <formula>NOT(ISERROR(SEARCH("PEX BLOQUEADO",C167)))</formula>
    </cfRule>
    <cfRule type="containsText" dxfId="1196" priority="13812" operator="containsText" text="NO INSTALADO">
      <formula>NOT(ISERROR(SEARCH("NO INSTALADO",C167)))</formula>
    </cfRule>
    <cfRule type="containsText" dxfId="1195" priority="13811" operator="containsText" text="PEX DESAFILIADO">
      <formula>NOT(ISERROR(SEARCH("PEX DESAFILIADO",C167)))</formula>
    </cfRule>
    <cfRule type="containsText" dxfId="1194" priority="13810" operator="containsText" text="PEX BLOQUEADO">
      <formula>NOT(ISERROR(SEARCH("PEX BLOQUEADO",C167)))</formula>
    </cfRule>
    <cfRule type="containsText" dxfId="1193" priority="13808" operator="containsText" text="NO INSTALADO">
      <formula>NOT(ISERROR(SEARCH("NO INSTALADO",C167)))</formula>
    </cfRule>
    <cfRule type="containsText" dxfId="1192" priority="13807" operator="containsText" text="PEX DESAFILIADO">
      <formula>NOT(ISERROR(SEARCH("PEX DESAFILIADO",C167)))</formula>
    </cfRule>
    <cfRule type="containsText" dxfId="1191" priority="13806" operator="containsText" text="PEX BLOQUEADO">
      <formula>NOT(ISERROR(SEARCH("PEX BLOQUEADO",C167)))</formula>
    </cfRule>
    <cfRule type="containsText" dxfId="1190" priority="13804" operator="containsText" text="NO INSTALADO">
      <formula>NOT(ISERROR(SEARCH("NO INSTALADO",C167)))</formula>
    </cfRule>
    <cfRule type="containsText" dxfId="1189" priority="13803" operator="containsText" text="PEX DESAFILIADO">
      <formula>NOT(ISERROR(SEARCH("PEX DESAFILIADO",C167)))</formula>
    </cfRule>
    <cfRule type="containsText" dxfId="1188" priority="13802" operator="containsText" text="PEX BLOQUEADO">
      <formula>NOT(ISERROR(SEARCH("PEX BLOQUEADO",C167)))</formula>
    </cfRule>
    <cfRule type="containsText" dxfId="1187" priority="13800" operator="containsText" text="NO INSTALADO">
      <formula>NOT(ISERROR(SEARCH("NO INSTALADO",C167)))</formula>
    </cfRule>
    <cfRule type="containsText" dxfId="1186" priority="13799" operator="containsText" text="PEX DESAFILIADO">
      <formula>NOT(ISERROR(SEARCH("PEX DESAFILIADO",C167)))</formula>
    </cfRule>
    <cfRule type="containsText" dxfId="1185" priority="13798" operator="containsText" text="PEX BLOQUEADO">
      <formula>NOT(ISERROR(SEARCH("PEX BLOQUEADO",C167)))</formula>
    </cfRule>
    <cfRule type="containsText" dxfId="1184" priority="13796" operator="containsText" text="NO INSTALADO">
      <formula>NOT(ISERROR(SEARCH("NO INSTALADO",C167)))</formula>
    </cfRule>
    <cfRule type="containsText" dxfId="1183" priority="13795" operator="containsText" text="PEX DESAFILIADO">
      <formula>NOT(ISERROR(SEARCH("PEX DESAFILIADO",C167)))</formula>
    </cfRule>
    <cfRule type="containsText" dxfId="1182" priority="13794" operator="containsText" text="PEX BLOQUEADO">
      <formula>NOT(ISERROR(SEARCH("PEX BLOQUEADO",C167)))</formula>
    </cfRule>
    <cfRule type="containsText" dxfId="1181" priority="13792" operator="containsText" text="NO INSTALADO">
      <formula>NOT(ISERROR(SEARCH("NO INSTALADO",C167)))</formula>
    </cfRule>
    <cfRule type="containsText" dxfId="1180" priority="13791" operator="containsText" text="PEX DESAFILIADO">
      <formula>NOT(ISERROR(SEARCH("PEX DESAFILIADO",C167)))</formula>
    </cfRule>
    <cfRule type="containsText" dxfId="1179" priority="13790" operator="containsText" text="PEX BLOQUEADO">
      <formula>NOT(ISERROR(SEARCH("PEX BLOQUEADO",C167)))</formula>
    </cfRule>
    <cfRule type="containsText" dxfId="1178" priority="13788" operator="containsText" text="NO INSTALADO">
      <formula>NOT(ISERROR(SEARCH("NO INSTALADO",C167)))</formula>
    </cfRule>
    <cfRule type="containsText" dxfId="1177" priority="13787" operator="containsText" text="PEX DESAFILIADO">
      <formula>NOT(ISERROR(SEARCH("PEX DESAFILIADO",C167)))</formula>
    </cfRule>
    <cfRule type="containsText" dxfId="1176" priority="13786" operator="containsText" text="PEX BLOQUEADO">
      <formula>NOT(ISERROR(SEARCH("PEX BLOQUEADO",C167)))</formula>
    </cfRule>
    <cfRule type="containsText" dxfId="1175" priority="13784" operator="containsText" text="NO INSTALADO">
      <formula>NOT(ISERROR(SEARCH("NO INSTALADO",C167)))</formula>
    </cfRule>
    <cfRule type="containsText" dxfId="1174" priority="13783" operator="containsText" text="PEX DESAFILIADO">
      <formula>NOT(ISERROR(SEARCH("PEX DESAFILIADO",C167)))</formula>
    </cfRule>
    <cfRule type="containsText" dxfId="1173" priority="13782" operator="containsText" text="PEX BLOQUEADO">
      <formula>NOT(ISERROR(SEARCH("PEX BLOQUEADO",C167)))</formula>
    </cfRule>
    <cfRule type="containsText" dxfId="1172" priority="13780" operator="containsText" text="NO INSTALADO">
      <formula>NOT(ISERROR(SEARCH("NO INSTALADO",C167)))</formula>
    </cfRule>
    <cfRule type="containsText" dxfId="1171" priority="13779" operator="containsText" text="PEX DESAFILIADO">
      <formula>NOT(ISERROR(SEARCH("PEX DESAFILIADO",C167)))</formula>
    </cfRule>
    <cfRule type="containsText" dxfId="1170" priority="13778" operator="containsText" text="PEX BLOQUEADO">
      <formula>NOT(ISERROR(SEARCH("PEX BLOQUEADO",C167)))</formula>
    </cfRule>
    <cfRule type="containsText" dxfId="1169" priority="13776" operator="containsText" text="NO INSTALADO">
      <formula>NOT(ISERROR(SEARCH("NO INSTALADO",C167)))</formula>
    </cfRule>
    <cfRule type="containsText" dxfId="1168" priority="13775" operator="containsText" text="PEX DESAFILIADO">
      <formula>NOT(ISERROR(SEARCH("PEX DESAFILIADO",C167)))</formula>
    </cfRule>
    <cfRule type="containsText" dxfId="1167" priority="13774" operator="containsText" text="PEX BLOQUEADO">
      <formula>NOT(ISERROR(SEARCH("PEX BLOQUEADO",C167)))</formula>
    </cfRule>
    <cfRule type="containsText" dxfId="1166" priority="13772" operator="containsText" text="NO INSTALADO">
      <formula>NOT(ISERROR(SEARCH("NO INSTALADO",C167)))</formula>
    </cfRule>
    <cfRule type="containsText" dxfId="1165" priority="13771" operator="containsText" text="PEX DESAFILIADO">
      <formula>NOT(ISERROR(SEARCH("PEX DESAFILIADO",C167)))</formula>
    </cfRule>
    <cfRule type="containsText" dxfId="1164" priority="13770" operator="containsText" text="PEX BLOQUEADO">
      <formula>NOT(ISERROR(SEARCH("PEX BLOQUEADO",C167)))</formula>
    </cfRule>
    <cfRule type="containsText" dxfId="1163" priority="13768" operator="containsText" text="NO INSTALADO">
      <formula>NOT(ISERROR(SEARCH("NO INSTALADO",C167)))</formula>
    </cfRule>
    <cfRule type="containsText" dxfId="1162" priority="13767" operator="containsText" text="PEX DESAFILIADO">
      <formula>NOT(ISERROR(SEARCH("PEX DESAFILIADO",C167)))</formula>
    </cfRule>
    <cfRule type="containsText" dxfId="1161" priority="13766" operator="containsText" text="PEX BLOQUEADO">
      <formula>NOT(ISERROR(SEARCH("PEX BLOQUEADO",C167)))</formula>
    </cfRule>
    <cfRule type="containsText" dxfId="1160" priority="13764" operator="containsText" text="NO INSTALADO">
      <formula>NOT(ISERROR(SEARCH("NO INSTALADO",C167)))</formula>
    </cfRule>
    <cfRule type="containsText" dxfId="1159" priority="13763" operator="containsText" text="PEX DESAFILIADO">
      <formula>NOT(ISERROR(SEARCH("PEX DESAFILIADO",C167)))</formula>
    </cfRule>
    <cfRule type="containsText" dxfId="1158" priority="13762" operator="containsText" text="PEX BLOQUEADO">
      <formula>NOT(ISERROR(SEARCH("PEX BLOQUEADO",C167)))</formula>
    </cfRule>
    <cfRule type="containsText" dxfId="1157" priority="13760" operator="containsText" text="NO INSTALADO">
      <formula>NOT(ISERROR(SEARCH("NO INSTALADO",C167)))</formula>
    </cfRule>
    <cfRule type="containsText" dxfId="1156" priority="13759" operator="containsText" text="PEX DESAFILIADO">
      <formula>NOT(ISERROR(SEARCH("PEX DESAFILIADO",C167)))</formula>
    </cfRule>
    <cfRule type="containsText" dxfId="1155" priority="13758" operator="containsText" text="PEX BLOQUEADO">
      <formula>NOT(ISERROR(SEARCH("PEX BLOQUEADO",C167)))</formula>
    </cfRule>
    <cfRule type="containsText" dxfId="1154" priority="13756" operator="containsText" text="NO INSTALADO">
      <formula>NOT(ISERROR(SEARCH("NO INSTALADO",C167)))</formula>
    </cfRule>
    <cfRule type="containsText" dxfId="1153" priority="13755" operator="containsText" text="PEX DESAFILIADO">
      <formula>NOT(ISERROR(SEARCH("PEX DESAFILIADO",C167)))</formula>
    </cfRule>
    <cfRule type="containsText" dxfId="1152" priority="13754" operator="containsText" text="PEX BLOQUEADO">
      <formula>NOT(ISERROR(SEARCH("PEX BLOQUEADO",C167)))</formula>
    </cfRule>
    <cfRule type="containsText" dxfId="1151" priority="13752" operator="containsText" text="NO INSTALADO">
      <formula>NOT(ISERROR(SEARCH("NO INSTALADO",C167)))</formula>
    </cfRule>
    <cfRule type="containsText" dxfId="1150" priority="13751" operator="containsText" text="PEX DESAFILIADO">
      <formula>NOT(ISERROR(SEARCH("PEX DESAFILIADO",C167)))</formula>
    </cfRule>
    <cfRule type="containsText" dxfId="1149" priority="13750" operator="containsText" text="PEX BLOQUEADO">
      <formula>NOT(ISERROR(SEARCH("PEX BLOQUEADO",C167)))</formula>
    </cfRule>
    <cfRule type="containsText" dxfId="1148" priority="13748" operator="containsText" text="NO INSTALADO">
      <formula>NOT(ISERROR(SEARCH("NO INSTALADO",C167)))</formula>
    </cfRule>
    <cfRule type="containsText" dxfId="1147" priority="13747" operator="containsText" text="PEX DESAFILIADO">
      <formula>NOT(ISERROR(SEARCH("PEX DESAFILIADO",C167)))</formula>
    </cfRule>
    <cfRule type="containsText" dxfId="1146" priority="13746" operator="containsText" text="PEX BLOQUEADO">
      <formula>NOT(ISERROR(SEARCH("PEX BLOQUEADO",C167)))</formula>
    </cfRule>
    <cfRule type="containsText" dxfId="1145" priority="13744" operator="containsText" text="NO INSTALADO">
      <formula>NOT(ISERROR(SEARCH("NO INSTALADO",C167)))</formula>
    </cfRule>
    <cfRule type="containsText" dxfId="1144" priority="13743" operator="containsText" text="PEX DESAFILIADO">
      <formula>NOT(ISERROR(SEARCH("PEX DESAFILIADO",C167)))</formula>
    </cfRule>
    <cfRule type="containsText" dxfId="1143" priority="13742" operator="containsText" text="PEX BLOQUEADO">
      <formula>NOT(ISERROR(SEARCH("PEX BLOQUEADO",C167)))</formula>
    </cfRule>
    <cfRule type="containsText" dxfId="1142" priority="13848" operator="containsText" text="NO INSTALADO">
      <formula>NOT(ISERROR(SEARCH("NO INSTALADO",C167)))</formula>
    </cfRule>
    <cfRule type="containsText" dxfId="1141" priority="13908" operator="containsText" text="NO INSTALADO">
      <formula>NOT(ISERROR(SEARCH("NO INSTALADO",C167)))</formula>
    </cfRule>
    <cfRule type="containsText" dxfId="1140" priority="13907" operator="containsText" text="PEX DESAFILIADO">
      <formula>NOT(ISERROR(SEARCH("PEX DESAFILIADO",C167)))</formula>
    </cfRule>
    <cfRule type="containsText" dxfId="1139" priority="13906" operator="containsText" text="PEX BLOQUEADO">
      <formula>NOT(ISERROR(SEARCH("PEX BLOQUEADO",C167)))</formula>
    </cfRule>
    <cfRule type="containsText" dxfId="1138" priority="13904" operator="containsText" text="NO INSTALADO">
      <formula>NOT(ISERROR(SEARCH("NO INSTALADO",C167)))</formula>
    </cfRule>
    <cfRule type="containsText" dxfId="1137" priority="13903" operator="containsText" text="PEX DESAFILIADO">
      <formula>NOT(ISERROR(SEARCH("PEX DESAFILIADO",C167)))</formula>
    </cfRule>
    <cfRule type="containsText" dxfId="1136" priority="13902" operator="containsText" text="PEX BLOQUEADO">
      <formula>NOT(ISERROR(SEARCH("PEX BLOQUEADO",C167)))</formula>
    </cfRule>
    <cfRule type="containsText" dxfId="1135" priority="13900" operator="containsText" text="NO INSTALADO">
      <formula>NOT(ISERROR(SEARCH("NO INSTALADO",C167)))</formula>
    </cfRule>
    <cfRule type="containsText" dxfId="1134" priority="13899" operator="containsText" text="PEX DESAFILIADO">
      <formula>NOT(ISERROR(SEARCH("PEX DESAFILIADO",C167)))</formula>
    </cfRule>
    <cfRule type="containsText" dxfId="1133" priority="13898" operator="containsText" text="PEX BLOQUEADO">
      <formula>NOT(ISERROR(SEARCH("PEX BLOQUEADO",C167)))</formula>
    </cfRule>
    <cfRule type="containsText" dxfId="1132" priority="13896" operator="containsText" text="NO INSTALADO">
      <formula>NOT(ISERROR(SEARCH("NO INSTALADO",C167)))</formula>
    </cfRule>
    <cfRule type="containsText" dxfId="1131" priority="13895" operator="containsText" text="PEX DESAFILIADO">
      <formula>NOT(ISERROR(SEARCH("PEX DESAFILIADO",C167)))</formula>
    </cfRule>
    <cfRule type="containsText" dxfId="1130" priority="13894" operator="containsText" text="PEX BLOQUEADO">
      <formula>NOT(ISERROR(SEARCH("PEX BLOQUEADO",C167)))</formula>
    </cfRule>
    <cfRule type="containsText" dxfId="1129" priority="13892" operator="containsText" text="NO INSTALADO">
      <formula>NOT(ISERROR(SEARCH("NO INSTALADO",C167)))</formula>
    </cfRule>
    <cfRule type="containsText" dxfId="1128" priority="13891" operator="containsText" text="PEX DESAFILIADO">
      <formula>NOT(ISERROR(SEARCH("PEX DESAFILIADO",C167)))</formula>
    </cfRule>
    <cfRule type="containsText" dxfId="1127" priority="13890" operator="containsText" text="PEX BLOQUEADO">
      <formula>NOT(ISERROR(SEARCH("PEX BLOQUEADO",C167)))</formula>
    </cfRule>
    <cfRule type="containsText" dxfId="1126" priority="13888" operator="containsText" text="NO INSTALADO">
      <formula>NOT(ISERROR(SEARCH("NO INSTALADO",C167)))</formula>
    </cfRule>
    <cfRule type="containsText" dxfId="1125" priority="13887" operator="containsText" text="PEX DESAFILIADO">
      <formula>NOT(ISERROR(SEARCH("PEX DESAFILIADO",C167)))</formula>
    </cfRule>
    <cfRule type="containsText" dxfId="1124" priority="13886" operator="containsText" text="PEX BLOQUEADO">
      <formula>NOT(ISERROR(SEARCH("PEX BLOQUEADO",C167)))</formula>
    </cfRule>
    <cfRule type="containsText" dxfId="1123" priority="13884" operator="containsText" text="NO INSTALADO">
      <formula>NOT(ISERROR(SEARCH("NO INSTALADO",C167)))</formula>
    </cfRule>
    <cfRule type="containsText" dxfId="1122" priority="13883" operator="containsText" text="PEX DESAFILIADO">
      <formula>NOT(ISERROR(SEARCH("PEX DESAFILIADO",C167)))</formula>
    </cfRule>
    <cfRule type="containsText" dxfId="1121" priority="13882" operator="containsText" text="PEX BLOQUEADO">
      <formula>NOT(ISERROR(SEARCH("PEX BLOQUEADO",C167)))</formula>
    </cfRule>
  </conditionalFormatting>
  <conditionalFormatting sqref="C167 C296 C409">
    <cfRule type="containsText" dxfId="1120" priority="13370" operator="containsText" text="PEX BLOQUEADO">
      <formula>NOT(ISERROR(SEARCH("PEX BLOQUEADO",C167)))</formula>
    </cfRule>
    <cfRule type="containsText" dxfId="1119" priority="13611" operator="containsText" text="PEX DESAFILIADO">
      <formula>NOT(ISERROR(SEARCH("PEX DESAFILIADO",C167)))</formula>
    </cfRule>
    <cfRule type="containsText" dxfId="1118" priority="13368" operator="containsText" text="NO INSTALADO">
      <formula>NOT(ISERROR(SEARCH("NO INSTALADO",C167)))</formula>
    </cfRule>
    <cfRule type="containsText" dxfId="1117" priority="13367" operator="containsText" text="PEX DESAFILIADO">
      <formula>NOT(ISERROR(SEARCH("PEX DESAFILIADO",C167)))</formula>
    </cfRule>
    <cfRule type="containsText" dxfId="1116" priority="13366" operator="containsText" text="PEX BLOQUEADO">
      <formula>NOT(ISERROR(SEARCH("PEX BLOQUEADO",C167)))</formula>
    </cfRule>
    <cfRule type="containsText" dxfId="1115" priority="13610" operator="containsText" text="PEX BLOQUEADO">
      <formula>NOT(ISERROR(SEARCH("PEX BLOQUEADO",C167)))</formula>
    </cfRule>
    <cfRule type="containsText" dxfId="1114" priority="13364" operator="containsText" text="NO INSTALADO">
      <formula>NOT(ISERROR(SEARCH("NO INSTALADO",C167)))</formula>
    </cfRule>
    <cfRule type="containsText" dxfId="1113" priority="13363" operator="containsText" text="PEX DESAFILIADO">
      <formula>NOT(ISERROR(SEARCH("PEX DESAFILIADO",C167)))</formula>
    </cfRule>
    <cfRule type="containsText" dxfId="1112" priority="13362" operator="containsText" text="PEX BLOQUEADO">
      <formula>NOT(ISERROR(SEARCH("PEX BLOQUEADO",C167)))</formula>
    </cfRule>
    <cfRule type="containsText" dxfId="1111" priority="13608" operator="containsText" text="NO INSTALADO">
      <formula>NOT(ISERROR(SEARCH("NO INSTALADO",C167)))</formula>
    </cfRule>
    <cfRule type="containsText" dxfId="1110" priority="13360" operator="containsText" text="NO INSTALADO">
      <formula>NOT(ISERROR(SEARCH("NO INSTALADO",C167)))</formula>
    </cfRule>
    <cfRule type="containsText" dxfId="1109" priority="13359" operator="containsText" text="PEX DESAFILIADO">
      <formula>NOT(ISERROR(SEARCH("PEX DESAFILIADO",C167)))</formula>
    </cfRule>
    <cfRule type="containsText" dxfId="1108" priority="13358" operator="containsText" text="PEX BLOQUEADO">
      <formula>NOT(ISERROR(SEARCH("PEX BLOQUEADO",C167)))</formula>
    </cfRule>
    <cfRule type="containsText" dxfId="1107" priority="13607" operator="containsText" text="PEX DESAFILIADO">
      <formula>NOT(ISERROR(SEARCH("PEX DESAFILIADO",C167)))</formula>
    </cfRule>
    <cfRule type="containsText" dxfId="1106" priority="13356" operator="containsText" text="NO INSTALADO">
      <formula>NOT(ISERROR(SEARCH("NO INSTALADO",C167)))</formula>
    </cfRule>
    <cfRule type="containsText" dxfId="1105" priority="13355" operator="containsText" text="PEX DESAFILIADO">
      <formula>NOT(ISERROR(SEARCH("PEX DESAFILIADO",C167)))</formula>
    </cfRule>
    <cfRule type="containsText" dxfId="1104" priority="13354" operator="containsText" text="PEX BLOQUEADO">
      <formula>NOT(ISERROR(SEARCH("PEX BLOQUEADO",C167)))</formula>
    </cfRule>
    <cfRule type="containsText" dxfId="1103" priority="13606" operator="containsText" text="PEX BLOQUEADO">
      <formula>NOT(ISERROR(SEARCH("PEX BLOQUEADO",C167)))</formula>
    </cfRule>
    <cfRule type="containsText" dxfId="1102" priority="13352" operator="containsText" text="NO INSTALADO">
      <formula>NOT(ISERROR(SEARCH("NO INSTALADO",C167)))</formula>
    </cfRule>
    <cfRule type="containsText" dxfId="1101" priority="13351" operator="containsText" text="PEX DESAFILIADO">
      <formula>NOT(ISERROR(SEARCH("PEX DESAFILIADO",C167)))</formula>
    </cfRule>
    <cfRule type="containsText" dxfId="1100" priority="13350" operator="containsText" text="PEX BLOQUEADO">
      <formula>NOT(ISERROR(SEARCH("PEX BLOQUEADO",C167)))</formula>
    </cfRule>
    <cfRule type="containsText" dxfId="1099" priority="13604" operator="containsText" text="NO INSTALADO">
      <formula>NOT(ISERROR(SEARCH("NO INSTALADO",C167)))</formula>
    </cfRule>
    <cfRule type="containsText" dxfId="1098" priority="13348" operator="containsText" text="NO INSTALADO">
      <formula>NOT(ISERROR(SEARCH("NO INSTALADO",C167)))</formula>
    </cfRule>
    <cfRule type="containsText" dxfId="1097" priority="13347" operator="containsText" text="PEX DESAFILIADO">
      <formula>NOT(ISERROR(SEARCH("PEX DESAFILIADO",C167)))</formula>
    </cfRule>
    <cfRule type="containsText" dxfId="1096" priority="13346" operator="containsText" text="PEX BLOQUEADO">
      <formula>NOT(ISERROR(SEARCH("PEX BLOQUEADO",C167)))</formula>
    </cfRule>
    <cfRule type="containsText" dxfId="1095" priority="13603" operator="containsText" text="PEX DESAFILIADO">
      <formula>NOT(ISERROR(SEARCH("PEX DESAFILIADO",C167)))</formula>
    </cfRule>
    <cfRule type="containsText" dxfId="1094" priority="13344" operator="containsText" text="NO INSTALADO">
      <formula>NOT(ISERROR(SEARCH("NO INSTALADO",C167)))</formula>
    </cfRule>
    <cfRule type="containsText" dxfId="1093" priority="13343" operator="containsText" text="PEX DESAFILIADO">
      <formula>NOT(ISERROR(SEARCH("PEX DESAFILIADO",C167)))</formula>
    </cfRule>
    <cfRule type="containsText" dxfId="1092" priority="13342" operator="containsText" text="PEX BLOQUEADO">
      <formula>NOT(ISERROR(SEARCH("PEX BLOQUEADO",C167)))</formula>
    </cfRule>
    <cfRule type="containsText" dxfId="1091" priority="13602" operator="containsText" text="PEX BLOQUEADO">
      <formula>NOT(ISERROR(SEARCH("PEX BLOQUEADO",C167)))</formula>
    </cfRule>
    <cfRule type="containsText" dxfId="1090" priority="13340" operator="containsText" text="NO INSTALADO">
      <formula>NOT(ISERROR(SEARCH("NO INSTALADO",C167)))</formula>
    </cfRule>
    <cfRule type="containsText" dxfId="1089" priority="13339" operator="containsText" text="PEX DESAFILIADO">
      <formula>NOT(ISERROR(SEARCH("PEX DESAFILIADO",C167)))</formula>
    </cfRule>
    <cfRule type="containsText" dxfId="1088" priority="13338" operator="containsText" text="PEX BLOQUEADO">
      <formula>NOT(ISERROR(SEARCH("PEX BLOQUEADO",C167)))</formula>
    </cfRule>
    <cfRule type="containsText" dxfId="1087" priority="13600" operator="containsText" text="NO INSTALADO">
      <formula>NOT(ISERROR(SEARCH("NO INSTALADO",C167)))</formula>
    </cfRule>
    <cfRule type="containsText" dxfId="1086" priority="13336" operator="containsText" text="NO INSTALADO">
      <formula>NOT(ISERROR(SEARCH("NO INSTALADO",C167)))</formula>
    </cfRule>
    <cfRule type="containsText" dxfId="1085" priority="13335" operator="containsText" text="PEX DESAFILIADO">
      <formula>NOT(ISERROR(SEARCH("PEX DESAFILIADO",C167)))</formula>
    </cfRule>
    <cfRule type="containsText" dxfId="1084" priority="13334" operator="containsText" text="PEX BLOQUEADO">
      <formula>NOT(ISERROR(SEARCH("PEX BLOQUEADO",C167)))</formula>
    </cfRule>
    <cfRule type="containsText" dxfId="1083" priority="13599" operator="containsText" text="PEX DESAFILIADO">
      <formula>NOT(ISERROR(SEARCH("PEX DESAFILIADO",C167)))</formula>
    </cfRule>
    <cfRule type="containsText" dxfId="1082" priority="13332" operator="containsText" text="NO INSTALADO">
      <formula>NOT(ISERROR(SEARCH("NO INSTALADO",C167)))</formula>
    </cfRule>
    <cfRule type="containsText" dxfId="1081" priority="13331" operator="containsText" text="PEX DESAFILIADO">
      <formula>NOT(ISERROR(SEARCH("PEX DESAFILIADO",C167)))</formula>
    </cfRule>
    <cfRule type="containsText" dxfId="1080" priority="13330" operator="containsText" text="PEX BLOQUEADO">
      <formula>NOT(ISERROR(SEARCH("PEX BLOQUEADO",C167)))</formula>
    </cfRule>
    <cfRule type="containsText" dxfId="1079" priority="13598" operator="containsText" text="PEX BLOQUEADO">
      <formula>NOT(ISERROR(SEARCH("PEX BLOQUEADO",C167)))</formula>
    </cfRule>
    <cfRule type="containsText" dxfId="1078" priority="13596" operator="containsText" text="NO INSTALADO">
      <formula>NOT(ISERROR(SEARCH("NO INSTALADO",C167)))</formula>
    </cfRule>
    <cfRule type="containsText" dxfId="1077" priority="13595" operator="containsText" text="PEX DESAFILIADO">
      <formula>NOT(ISERROR(SEARCH("PEX DESAFILIADO",C167)))</formula>
    </cfRule>
    <cfRule type="containsText" dxfId="1076" priority="13594" operator="containsText" text="PEX BLOQUEADO">
      <formula>NOT(ISERROR(SEARCH("PEX BLOQUEADO",C167)))</formula>
    </cfRule>
    <cfRule type="containsText" dxfId="1075" priority="13592" operator="containsText" text="NO INSTALADO">
      <formula>NOT(ISERROR(SEARCH("NO INSTALADO",C167)))</formula>
    </cfRule>
    <cfRule type="containsText" dxfId="1074" priority="13591" operator="containsText" text="PEX DESAFILIADO">
      <formula>NOT(ISERROR(SEARCH("PEX DESAFILIADO",C167)))</formula>
    </cfRule>
    <cfRule type="containsText" dxfId="1073" priority="13590" operator="containsText" text="PEX BLOQUEADO">
      <formula>NOT(ISERROR(SEARCH("PEX BLOQUEADO",C167)))</formula>
    </cfRule>
    <cfRule type="containsText" dxfId="1072" priority="13506" operator="containsText" text="PEX BLOQUEADO">
      <formula>NOT(ISERROR(SEARCH("PEX BLOQUEADO",C167)))</formula>
    </cfRule>
    <cfRule type="containsText" dxfId="1071" priority="13588" operator="containsText" text="NO INSTALADO">
      <formula>NOT(ISERROR(SEARCH("NO INSTALADO",C167)))</formula>
    </cfRule>
    <cfRule type="containsText" dxfId="1070" priority="13587" operator="containsText" text="PEX DESAFILIADO">
      <formula>NOT(ISERROR(SEARCH("PEX DESAFILIADO",C167)))</formula>
    </cfRule>
    <cfRule type="containsText" dxfId="1069" priority="13586" operator="containsText" text="PEX BLOQUEADO">
      <formula>NOT(ISERROR(SEARCH("PEX BLOQUEADO",C167)))</formula>
    </cfRule>
    <cfRule type="containsText" dxfId="1068" priority="13584" operator="containsText" text="NO INSTALADO">
      <formula>NOT(ISERROR(SEARCH("NO INSTALADO",C167)))</formula>
    </cfRule>
    <cfRule type="containsText" dxfId="1067" priority="13507" operator="containsText" text="PEX DESAFILIADO">
      <formula>NOT(ISERROR(SEARCH("PEX DESAFILIADO",C167)))</formula>
    </cfRule>
    <cfRule type="containsText" dxfId="1066" priority="13583" operator="containsText" text="PEX DESAFILIADO">
      <formula>NOT(ISERROR(SEARCH("PEX DESAFILIADO",C167)))</formula>
    </cfRule>
    <cfRule type="containsText" dxfId="1065" priority="13580" operator="containsText" text="NO INSTALADO">
      <formula>NOT(ISERROR(SEARCH("NO INSTALADO",C167)))</formula>
    </cfRule>
    <cfRule type="containsText" dxfId="1064" priority="13579" operator="containsText" text="PEX DESAFILIADO">
      <formula>NOT(ISERROR(SEARCH("PEX DESAFILIADO",C167)))</formula>
    </cfRule>
    <cfRule type="containsText" dxfId="1063" priority="13578" operator="containsText" text="PEX BLOQUEADO">
      <formula>NOT(ISERROR(SEARCH("PEX BLOQUEADO",C167)))</formula>
    </cfRule>
    <cfRule type="containsText" dxfId="1062" priority="13576" operator="containsText" text="NO INSTALADO">
      <formula>NOT(ISERROR(SEARCH("NO INSTALADO",C167)))</formula>
    </cfRule>
    <cfRule type="containsText" dxfId="1061" priority="13575" operator="containsText" text="PEX DESAFILIADO">
      <formula>NOT(ISERROR(SEARCH("PEX DESAFILIADO",C167)))</formula>
    </cfRule>
    <cfRule type="containsText" dxfId="1060" priority="13574" operator="containsText" text="PEX BLOQUEADO">
      <formula>NOT(ISERROR(SEARCH("PEX BLOQUEADO",C167)))</formula>
    </cfRule>
    <cfRule type="containsText" dxfId="1059" priority="13572" operator="containsText" text="NO INSTALADO">
      <formula>NOT(ISERROR(SEARCH("NO INSTALADO",C167)))</formula>
    </cfRule>
    <cfRule type="containsText" dxfId="1058" priority="13571" operator="containsText" text="PEX DESAFILIADO">
      <formula>NOT(ISERROR(SEARCH("PEX DESAFILIADO",C167)))</formula>
    </cfRule>
    <cfRule type="containsText" dxfId="1057" priority="13570" operator="containsText" text="PEX BLOQUEADO">
      <formula>NOT(ISERROR(SEARCH("PEX BLOQUEADO",C167)))</formula>
    </cfRule>
    <cfRule type="containsText" dxfId="1056" priority="13568" operator="containsText" text="NO INSTALADO">
      <formula>NOT(ISERROR(SEARCH("NO INSTALADO",C167)))</formula>
    </cfRule>
    <cfRule type="containsText" dxfId="1055" priority="13567" operator="containsText" text="PEX DESAFILIADO">
      <formula>NOT(ISERROR(SEARCH("PEX DESAFILIADO",C167)))</formula>
    </cfRule>
    <cfRule type="containsText" dxfId="1054" priority="13566" operator="containsText" text="PEX BLOQUEADO">
      <formula>NOT(ISERROR(SEARCH("PEX BLOQUEADO",C167)))</formula>
    </cfRule>
    <cfRule type="containsText" dxfId="1053" priority="13564" operator="containsText" text="NO INSTALADO">
      <formula>NOT(ISERROR(SEARCH("NO INSTALADO",C167)))</formula>
    </cfRule>
    <cfRule type="containsText" dxfId="1052" priority="13563" operator="containsText" text="PEX DESAFILIADO">
      <formula>NOT(ISERROR(SEARCH("PEX DESAFILIADO",C167)))</formula>
    </cfRule>
    <cfRule type="containsText" dxfId="1051" priority="13562" operator="containsText" text="PEX BLOQUEADO">
      <formula>NOT(ISERROR(SEARCH("PEX BLOQUEADO",C167)))</formula>
    </cfRule>
    <cfRule type="containsText" dxfId="1050" priority="13560" operator="containsText" text="NO INSTALADO">
      <formula>NOT(ISERROR(SEARCH("NO INSTALADO",C167)))</formula>
    </cfRule>
    <cfRule type="containsText" dxfId="1049" priority="13559" operator="containsText" text="PEX DESAFILIADO">
      <formula>NOT(ISERROR(SEARCH("PEX DESAFILIADO",C167)))</formula>
    </cfRule>
    <cfRule type="containsText" dxfId="1048" priority="13558" operator="containsText" text="PEX BLOQUEADO">
      <formula>NOT(ISERROR(SEARCH("PEX BLOQUEADO",C167)))</formula>
    </cfRule>
    <cfRule type="containsText" dxfId="1047" priority="13556" operator="containsText" text="NO INSTALADO">
      <formula>NOT(ISERROR(SEARCH("NO INSTALADO",C167)))</formula>
    </cfRule>
    <cfRule type="containsText" dxfId="1046" priority="13555" operator="containsText" text="PEX DESAFILIADO">
      <formula>NOT(ISERROR(SEARCH("PEX DESAFILIADO",C167)))</formula>
    </cfRule>
    <cfRule type="containsText" dxfId="1045" priority="13554" operator="containsText" text="PEX BLOQUEADO">
      <formula>NOT(ISERROR(SEARCH("PEX BLOQUEADO",C167)))</formula>
    </cfRule>
    <cfRule type="containsText" dxfId="1044" priority="13552" operator="containsText" text="NO INSTALADO">
      <formula>NOT(ISERROR(SEARCH("NO INSTALADO",C167)))</formula>
    </cfRule>
    <cfRule type="containsText" dxfId="1043" priority="13534" operator="containsText" text="PEX BLOQUEADO">
      <formula>NOT(ISERROR(SEARCH("PEX BLOQUEADO",C167)))</formula>
    </cfRule>
    <cfRule type="containsText" dxfId="1042" priority="13551" operator="containsText" text="PEX DESAFILIADO">
      <formula>NOT(ISERROR(SEARCH("PEX DESAFILIADO",C167)))</formula>
    </cfRule>
    <cfRule type="containsText" dxfId="1041" priority="13550" operator="containsText" text="PEX BLOQUEADO">
      <formula>NOT(ISERROR(SEARCH("PEX BLOQUEADO",C167)))</formula>
    </cfRule>
    <cfRule type="containsText" dxfId="1040" priority="13548" operator="containsText" text="NO INSTALADO">
      <formula>NOT(ISERROR(SEARCH("NO INSTALADO",C167)))</formula>
    </cfRule>
    <cfRule type="containsText" dxfId="1039" priority="13547" operator="containsText" text="PEX DESAFILIADO">
      <formula>NOT(ISERROR(SEARCH("PEX DESAFILIADO",C167)))</formula>
    </cfRule>
    <cfRule type="containsText" dxfId="1038" priority="13546" operator="containsText" text="PEX BLOQUEADO">
      <formula>NOT(ISERROR(SEARCH("PEX BLOQUEADO",C167)))</formula>
    </cfRule>
    <cfRule type="containsText" dxfId="1037" priority="13544" operator="containsText" text="NO INSTALADO">
      <formula>NOT(ISERROR(SEARCH("NO INSTALADO",C167)))</formula>
    </cfRule>
    <cfRule type="containsText" dxfId="1036" priority="13543" operator="containsText" text="PEX DESAFILIADO">
      <formula>NOT(ISERROR(SEARCH("PEX DESAFILIADO",C167)))</formula>
    </cfRule>
    <cfRule type="containsText" dxfId="1035" priority="13542" operator="containsText" text="PEX BLOQUEADO">
      <formula>NOT(ISERROR(SEARCH("PEX BLOQUEADO",C167)))</formula>
    </cfRule>
    <cfRule type="containsText" dxfId="1034" priority="13540" operator="containsText" text="NO INSTALADO">
      <formula>NOT(ISERROR(SEARCH("NO INSTALADO",C167)))</formula>
    </cfRule>
    <cfRule type="containsText" dxfId="1033" priority="13539" operator="containsText" text="PEX DESAFILIADO">
      <formula>NOT(ISERROR(SEARCH("PEX DESAFILIADO",C167)))</formula>
    </cfRule>
    <cfRule type="containsText" dxfId="1032" priority="13538" operator="containsText" text="PEX BLOQUEADO">
      <formula>NOT(ISERROR(SEARCH("PEX BLOQUEADO",C167)))</formula>
    </cfRule>
    <cfRule type="containsText" dxfId="1031" priority="13536" operator="containsText" text="NO INSTALADO">
      <formula>NOT(ISERROR(SEARCH("NO INSTALADO",C167)))</formula>
    </cfRule>
    <cfRule type="containsText" dxfId="1030" priority="13535" operator="containsText" text="PEX DESAFILIADO">
      <formula>NOT(ISERROR(SEARCH("PEX DESAFILIADO",C167)))</formula>
    </cfRule>
    <cfRule type="containsText" dxfId="1029" priority="13532" operator="containsText" text="NO INSTALADO">
      <formula>NOT(ISERROR(SEARCH("NO INSTALADO",C167)))</formula>
    </cfRule>
    <cfRule type="containsText" dxfId="1028" priority="13531" operator="containsText" text="PEX DESAFILIADO">
      <formula>NOT(ISERROR(SEARCH("PEX DESAFILIADO",C167)))</formula>
    </cfRule>
    <cfRule type="containsText" dxfId="1027" priority="13530" operator="containsText" text="PEX BLOQUEADO">
      <formula>NOT(ISERROR(SEARCH("PEX BLOQUEADO",C167)))</formula>
    </cfRule>
    <cfRule type="containsText" dxfId="1026" priority="13528" operator="containsText" text="NO INSTALADO">
      <formula>NOT(ISERROR(SEARCH("NO INSTALADO",C167)))</formula>
    </cfRule>
    <cfRule type="containsText" dxfId="1025" priority="13527" operator="containsText" text="PEX DESAFILIADO">
      <formula>NOT(ISERROR(SEARCH("PEX DESAFILIADO",C167)))</formula>
    </cfRule>
    <cfRule type="containsText" dxfId="1024" priority="13526" operator="containsText" text="PEX BLOQUEADO">
      <formula>NOT(ISERROR(SEARCH("PEX BLOQUEADO",C167)))</formula>
    </cfRule>
    <cfRule type="containsText" dxfId="1023" priority="13524" operator="containsText" text="NO INSTALADO">
      <formula>NOT(ISERROR(SEARCH("NO INSTALADO",C167)))</formula>
    </cfRule>
    <cfRule type="containsText" dxfId="1022" priority="13523" operator="containsText" text="PEX DESAFILIADO">
      <formula>NOT(ISERROR(SEARCH("PEX DESAFILIADO",C167)))</formula>
    </cfRule>
    <cfRule type="containsText" dxfId="1021" priority="13522" operator="containsText" text="PEX BLOQUEADO">
      <formula>NOT(ISERROR(SEARCH("PEX BLOQUEADO",C167)))</formula>
    </cfRule>
    <cfRule type="containsText" dxfId="1020" priority="13520" operator="containsText" text="NO INSTALADO">
      <formula>NOT(ISERROR(SEARCH("NO INSTALADO",C167)))</formula>
    </cfRule>
    <cfRule type="containsText" dxfId="1019" priority="13519" operator="containsText" text="PEX DESAFILIADO">
      <formula>NOT(ISERROR(SEARCH("PEX DESAFILIADO",C167)))</formula>
    </cfRule>
    <cfRule type="containsText" dxfId="1018" priority="13518" operator="containsText" text="PEX BLOQUEADO">
      <formula>NOT(ISERROR(SEARCH("PEX BLOQUEADO",C167)))</formula>
    </cfRule>
    <cfRule type="containsText" dxfId="1017" priority="13516" operator="containsText" text="NO INSTALADO">
      <formula>NOT(ISERROR(SEARCH("NO INSTALADO",C167)))</formula>
    </cfRule>
    <cfRule type="containsText" dxfId="1016" priority="13515" operator="containsText" text="PEX DESAFILIADO">
      <formula>NOT(ISERROR(SEARCH("PEX DESAFILIADO",C167)))</formula>
    </cfRule>
    <cfRule type="containsText" dxfId="1015" priority="13514" operator="containsText" text="PEX BLOQUEADO">
      <formula>NOT(ISERROR(SEARCH("PEX BLOQUEADO",C167)))</formula>
    </cfRule>
    <cfRule type="containsText" dxfId="1014" priority="13512" operator="containsText" text="NO INSTALADO">
      <formula>NOT(ISERROR(SEARCH("NO INSTALADO",C167)))</formula>
    </cfRule>
    <cfRule type="containsText" dxfId="1013" priority="13511" operator="containsText" text="PEX DESAFILIADO">
      <formula>NOT(ISERROR(SEARCH("PEX DESAFILIADO",C167)))</formula>
    </cfRule>
    <cfRule type="containsText" dxfId="1012" priority="13510" operator="containsText" text="PEX BLOQUEADO">
      <formula>NOT(ISERROR(SEARCH("PEX BLOQUEADO",C167)))</formula>
    </cfRule>
    <cfRule type="containsText" dxfId="1011" priority="13508" operator="containsText" text="NO INSTALADO">
      <formula>NOT(ISERROR(SEARCH("NO INSTALADO",C167)))</formula>
    </cfRule>
    <cfRule type="containsText" dxfId="1010" priority="13504" operator="containsText" text="NO INSTALADO">
      <formula>NOT(ISERROR(SEARCH("NO INSTALADO",C167)))</formula>
    </cfRule>
    <cfRule type="containsText" dxfId="1009" priority="13503" operator="containsText" text="PEX DESAFILIADO">
      <formula>NOT(ISERROR(SEARCH("PEX DESAFILIADO",C167)))</formula>
    </cfRule>
    <cfRule type="containsText" dxfId="1008" priority="13502" operator="containsText" text="PEX BLOQUEADO">
      <formula>NOT(ISERROR(SEARCH("PEX BLOQUEADO",C167)))</formula>
    </cfRule>
    <cfRule type="containsText" dxfId="1007" priority="13500" operator="containsText" text="NO INSTALADO">
      <formula>NOT(ISERROR(SEARCH("NO INSTALADO",C167)))</formula>
    </cfRule>
    <cfRule type="containsText" dxfId="1006" priority="13499" operator="containsText" text="PEX DESAFILIADO">
      <formula>NOT(ISERROR(SEARCH("PEX DESAFILIADO",C167)))</formula>
    </cfRule>
    <cfRule type="containsText" dxfId="1005" priority="13498" operator="containsText" text="PEX BLOQUEADO">
      <formula>NOT(ISERROR(SEARCH("PEX BLOQUEADO",C167)))</formula>
    </cfRule>
    <cfRule type="containsText" dxfId="1004" priority="13496" operator="containsText" text="NO INSTALADO">
      <formula>NOT(ISERROR(SEARCH("NO INSTALADO",C167)))</formula>
    </cfRule>
    <cfRule type="containsText" dxfId="1003" priority="13495" operator="containsText" text="PEX DESAFILIADO">
      <formula>NOT(ISERROR(SEARCH("PEX DESAFILIADO",C167)))</formula>
    </cfRule>
    <cfRule type="containsText" dxfId="1002" priority="13494" operator="containsText" text="PEX BLOQUEADO">
      <formula>NOT(ISERROR(SEARCH("PEX BLOQUEADO",C167)))</formula>
    </cfRule>
    <cfRule type="containsText" dxfId="1001" priority="13492" operator="containsText" text="NO INSTALADO">
      <formula>NOT(ISERROR(SEARCH("NO INSTALADO",C167)))</formula>
    </cfRule>
    <cfRule type="containsText" dxfId="1000" priority="13491" operator="containsText" text="PEX DESAFILIADO">
      <formula>NOT(ISERROR(SEARCH("PEX DESAFILIADO",C167)))</formula>
    </cfRule>
    <cfRule type="containsText" dxfId="999" priority="13490" operator="containsText" text="PEX BLOQUEADO">
      <formula>NOT(ISERROR(SEARCH("PEX BLOQUEADO",C167)))</formula>
    </cfRule>
    <cfRule type="containsText" dxfId="998" priority="13488" operator="containsText" text="NO INSTALADO">
      <formula>NOT(ISERROR(SEARCH("NO INSTALADO",C167)))</formula>
    </cfRule>
    <cfRule type="containsText" dxfId="997" priority="13487" operator="containsText" text="PEX DESAFILIADO">
      <formula>NOT(ISERROR(SEARCH("PEX DESAFILIADO",C167)))</formula>
    </cfRule>
    <cfRule type="containsText" dxfId="996" priority="13486" operator="containsText" text="PEX BLOQUEADO">
      <formula>NOT(ISERROR(SEARCH("PEX BLOQUEADO",C167)))</formula>
    </cfRule>
    <cfRule type="containsText" dxfId="995" priority="13484" operator="containsText" text="NO INSTALADO">
      <formula>NOT(ISERROR(SEARCH("NO INSTALADO",C167)))</formula>
    </cfRule>
    <cfRule type="containsText" dxfId="994" priority="13483" operator="containsText" text="PEX DESAFILIADO">
      <formula>NOT(ISERROR(SEARCH("PEX DESAFILIADO",C167)))</formula>
    </cfRule>
    <cfRule type="containsText" dxfId="993" priority="13482" operator="containsText" text="PEX BLOQUEADO">
      <formula>NOT(ISERROR(SEARCH("PEX BLOQUEADO",C167)))</formula>
    </cfRule>
    <cfRule type="containsText" dxfId="992" priority="13480" operator="containsText" text="NO INSTALADO">
      <formula>NOT(ISERROR(SEARCH("NO INSTALADO",C167)))</formula>
    </cfRule>
    <cfRule type="containsText" dxfId="991" priority="13479" operator="containsText" text="PEX DESAFILIADO">
      <formula>NOT(ISERROR(SEARCH("PEX DESAFILIADO",C167)))</formula>
    </cfRule>
    <cfRule type="containsText" dxfId="990" priority="13478" operator="containsText" text="PEX BLOQUEADO">
      <formula>NOT(ISERROR(SEARCH("PEX BLOQUEADO",C167)))</formula>
    </cfRule>
    <cfRule type="containsText" dxfId="989" priority="13476" operator="containsText" text="NO INSTALADO">
      <formula>NOT(ISERROR(SEARCH("NO INSTALADO",C167)))</formula>
    </cfRule>
    <cfRule type="containsText" dxfId="988" priority="13475" operator="containsText" text="PEX DESAFILIADO">
      <formula>NOT(ISERROR(SEARCH("PEX DESAFILIADO",C167)))</formula>
    </cfRule>
    <cfRule type="containsText" dxfId="987" priority="13474" operator="containsText" text="PEX BLOQUEADO">
      <formula>NOT(ISERROR(SEARCH("PEX BLOQUEADO",C167)))</formula>
    </cfRule>
    <cfRule type="containsText" dxfId="986" priority="13472" operator="containsText" text="NO INSTALADO">
      <formula>NOT(ISERROR(SEARCH("NO INSTALADO",C167)))</formula>
    </cfRule>
    <cfRule type="containsText" dxfId="985" priority="13471" operator="containsText" text="PEX DESAFILIADO">
      <formula>NOT(ISERROR(SEARCH("PEX DESAFILIADO",C167)))</formula>
    </cfRule>
    <cfRule type="containsText" dxfId="984" priority="13470" operator="containsText" text="PEX BLOQUEADO">
      <formula>NOT(ISERROR(SEARCH("PEX BLOQUEADO",C167)))</formula>
    </cfRule>
    <cfRule type="containsText" dxfId="983" priority="13468" operator="containsText" text="NO INSTALADO">
      <formula>NOT(ISERROR(SEARCH("NO INSTALADO",C167)))</formula>
    </cfRule>
    <cfRule type="containsText" dxfId="982" priority="13467" operator="containsText" text="PEX DESAFILIADO">
      <formula>NOT(ISERROR(SEARCH("PEX DESAFILIADO",C167)))</formula>
    </cfRule>
    <cfRule type="containsText" dxfId="981" priority="13466" operator="containsText" text="PEX BLOQUEADO">
      <formula>NOT(ISERROR(SEARCH("PEX BLOQUEADO",C167)))</formula>
    </cfRule>
    <cfRule type="containsText" dxfId="980" priority="13640" operator="containsText" text="NO INSTALADO">
      <formula>NOT(ISERROR(SEARCH("NO INSTALADO",C167)))</formula>
    </cfRule>
    <cfRule type="containsText" dxfId="979" priority="13464" operator="containsText" text="NO INSTALADO">
      <formula>NOT(ISERROR(SEARCH("NO INSTALADO",C167)))</formula>
    </cfRule>
    <cfRule type="containsText" dxfId="978" priority="13463" operator="containsText" text="PEX DESAFILIADO">
      <formula>NOT(ISERROR(SEARCH("PEX DESAFILIADO",C167)))</formula>
    </cfRule>
    <cfRule type="containsText" dxfId="977" priority="13462" operator="containsText" text="PEX BLOQUEADO">
      <formula>NOT(ISERROR(SEARCH("PEX BLOQUEADO",C167)))</formula>
    </cfRule>
    <cfRule type="containsText" dxfId="976" priority="13460" operator="containsText" text="NO INSTALADO">
      <formula>NOT(ISERROR(SEARCH("NO INSTALADO",C167)))</formula>
    </cfRule>
    <cfRule type="containsText" dxfId="975" priority="13459" operator="containsText" text="PEX DESAFILIADO">
      <formula>NOT(ISERROR(SEARCH("PEX DESAFILIADO",C167)))</formula>
    </cfRule>
    <cfRule type="containsText" dxfId="974" priority="13458" operator="containsText" text="PEX BLOQUEADO">
      <formula>NOT(ISERROR(SEARCH("PEX BLOQUEADO",C167)))</formula>
    </cfRule>
    <cfRule type="containsText" dxfId="973" priority="13456" operator="containsText" text="NO INSTALADO">
      <formula>NOT(ISERROR(SEARCH("NO INSTALADO",C167)))</formula>
    </cfRule>
    <cfRule type="containsText" dxfId="972" priority="13455" operator="containsText" text="PEX DESAFILIADO">
      <formula>NOT(ISERROR(SEARCH("PEX DESAFILIADO",C167)))</formula>
    </cfRule>
    <cfRule type="containsText" dxfId="971" priority="13454" operator="containsText" text="PEX BLOQUEADO">
      <formula>NOT(ISERROR(SEARCH("PEX BLOQUEADO",C167)))</formula>
    </cfRule>
    <cfRule type="containsText" dxfId="970" priority="13452" operator="containsText" text="NO INSTALADO">
      <formula>NOT(ISERROR(SEARCH("NO INSTALADO",C167)))</formula>
    </cfRule>
    <cfRule type="containsText" dxfId="969" priority="13451" operator="containsText" text="PEX DESAFILIADO">
      <formula>NOT(ISERROR(SEARCH("PEX DESAFILIADO",C167)))</formula>
    </cfRule>
    <cfRule type="containsText" dxfId="968" priority="13450" operator="containsText" text="PEX BLOQUEADO">
      <formula>NOT(ISERROR(SEARCH("PEX BLOQUEADO",C167)))</formula>
    </cfRule>
    <cfRule type="containsText" dxfId="967" priority="13448" operator="containsText" text="NO INSTALADO">
      <formula>NOT(ISERROR(SEARCH("NO INSTALADO",C167)))</formula>
    </cfRule>
    <cfRule type="containsText" dxfId="966" priority="13447" operator="containsText" text="PEX DESAFILIADO">
      <formula>NOT(ISERROR(SEARCH("PEX DESAFILIADO",C167)))</formula>
    </cfRule>
    <cfRule type="containsText" dxfId="965" priority="13446" operator="containsText" text="PEX BLOQUEADO">
      <formula>NOT(ISERROR(SEARCH("PEX BLOQUEADO",C167)))</formula>
    </cfRule>
    <cfRule type="containsText" dxfId="964" priority="13444" operator="containsText" text="NO INSTALADO">
      <formula>NOT(ISERROR(SEARCH("NO INSTALADO",C167)))</formula>
    </cfRule>
    <cfRule type="containsText" dxfId="963" priority="13443" operator="containsText" text="PEX DESAFILIADO">
      <formula>NOT(ISERROR(SEARCH("PEX DESAFILIADO",C167)))</formula>
    </cfRule>
    <cfRule type="containsText" dxfId="962" priority="13442" operator="containsText" text="PEX BLOQUEADO">
      <formula>NOT(ISERROR(SEARCH("PEX BLOQUEADO",C167)))</formula>
    </cfRule>
    <cfRule type="containsText" dxfId="961" priority="13440" operator="containsText" text="NO INSTALADO">
      <formula>NOT(ISERROR(SEARCH("NO INSTALADO",C167)))</formula>
    </cfRule>
    <cfRule type="containsText" dxfId="960" priority="13439" operator="containsText" text="PEX DESAFILIADO">
      <formula>NOT(ISERROR(SEARCH("PEX DESAFILIADO",C167)))</formula>
    </cfRule>
    <cfRule type="containsText" dxfId="959" priority="13438" operator="containsText" text="PEX BLOQUEADO">
      <formula>NOT(ISERROR(SEARCH("PEX BLOQUEADO",C167)))</formula>
    </cfRule>
    <cfRule type="containsText" dxfId="958" priority="13436" operator="containsText" text="NO INSTALADO">
      <formula>NOT(ISERROR(SEARCH("NO INSTALADO",C167)))</formula>
    </cfRule>
    <cfRule type="containsText" dxfId="957" priority="13435" operator="containsText" text="PEX DESAFILIADO">
      <formula>NOT(ISERROR(SEARCH("PEX DESAFILIADO",C167)))</formula>
    </cfRule>
    <cfRule type="containsText" dxfId="956" priority="13434" operator="containsText" text="PEX BLOQUEADO">
      <formula>NOT(ISERROR(SEARCH("PEX BLOQUEADO",C167)))</formula>
    </cfRule>
    <cfRule type="containsText" dxfId="955" priority="13432" operator="containsText" text="NO INSTALADO">
      <formula>NOT(ISERROR(SEARCH("NO INSTALADO",C167)))</formula>
    </cfRule>
    <cfRule type="containsText" dxfId="954" priority="13431" operator="containsText" text="PEX DESAFILIADO">
      <formula>NOT(ISERROR(SEARCH("PEX DESAFILIADO",C167)))</formula>
    </cfRule>
    <cfRule type="containsText" dxfId="953" priority="13430" operator="containsText" text="PEX BLOQUEADO">
      <formula>NOT(ISERROR(SEARCH("PEX BLOQUEADO",C167)))</formula>
    </cfRule>
    <cfRule type="containsText" dxfId="952" priority="13427" operator="containsText" text="PEX DESAFILIADO">
      <formula>NOT(ISERROR(SEARCH("PEX DESAFILIADO",C167)))</formula>
    </cfRule>
    <cfRule type="containsText" dxfId="951" priority="13426" operator="containsText" text="PEX BLOQUEADO">
      <formula>NOT(ISERROR(SEARCH("PEX BLOQUEADO",C167)))</formula>
    </cfRule>
    <cfRule type="containsText" dxfId="950" priority="13424" operator="containsText" text="NO INSTALADO">
      <formula>NOT(ISERROR(SEARCH("NO INSTALADO",C167)))</formula>
    </cfRule>
    <cfRule type="containsText" dxfId="949" priority="13423" operator="containsText" text="PEX DESAFILIADO">
      <formula>NOT(ISERROR(SEARCH("PEX DESAFILIADO",C167)))</formula>
    </cfRule>
    <cfRule type="containsText" dxfId="948" priority="13422" operator="containsText" text="PEX BLOQUEADO">
      <formula>NOT(ISERROR(SEARCH("PEX BLOQUEADO",C167)))</formula>
    </cfRule>
    <cfRule type="containsText" dxfId="947" priority="13420" operator="containsText" text="NO INSTALADO">
      <formula>NOT(ISERROR(SEARCH("NO INSTALADO",C167)))</formula>
    </cfRule>
    <cfRule type="containsText" dxfId="946" priority="13419" operator="containsText" text="PEX DESAFILIADO">
      <formula>NOT(ISERROR(SEARCH("PEX DESAFILIADO",C167)))</formula>
    </cfRule>
    <cfRule type="containsText" dxfId="945" priority="13418" operator="containsText" text="PEX BLOQUEADO">
      <formula>NOT(ISERROR(SEARCH("PEX BLOQUEADO",C167)))</formula>
    </cfRule>
    <cfRule type="containsText" dxfId="944" priority="13416" operator="containsText" text="NO INSTALADO">
      <formula>NOT(ISERROR(SEARCH("NO INSTALADO",C167)))</formula>
    </cfRule>
    <cfRule type="containsText" dxfId="943" priority="13415" operator="containsText" text="PEX DESAFILIADO">
      <formula>NOT(ISERROR(SEARCH("PEX DESAFILIADO",C167)))</formula>
    </cfRule>
    <cfRule type="containsText" dxfId="942" priority="13414" operator="containsText" text="PEX BLOQUEADO">
      <formula>NOT(ISERROR(SEARCH("PEX BLOQUEADO",C167)))</formula>
    </cfRule>
    <cfRule type="containsText" dxfId="941" priority="13412" operator="containsText" text="NO INSTALADO">
      <formula>NOT(ISERROR(SEARCH("NO INSTALADO",C167)))</formula>
    </cfRule>
    <cfRule type="containsText" dxfId="940" priority="13740" operator="containsText" text="NO INSTALADO">
      <formula>NOT(ISERROR(SEARCH("NO INSTALADO",C167)))</formula>
    </cfRule>
    <cfRule type="containsText" dxfId="939" priority="13739" operator="containsText" text="PEX DESAFILIADO">
      <formula>NOT(ISERROR(SEARCH("PEX DESAFILIADO",C167)))</formula>
    </cfRule>
    <cfRule type="containsText" dxfId="938" priority="13738" operator="containsText" text="PEX BLOQUEADO">
      <formula>NOT(ISERROR(SEARCH("PEX BLOQUEADO",C167)))</formula>
    </cfRule>
    <cfRule type="containsText" dxfId="937" priority="13411" operator="containsText" text="PEX DESAFILIADO">
      <formula>NOT(ISERROR(SEARCH("PEX DESAFILIADO",C167)))</formula>
    </cfRule>
    <cfRule type="containsText" dxfId="936" priority="13736" operator="containsText" text="NO INSTALADO">
      <formula>NOT(ISERROR(SEARCH("NO INSTALADO",C167)))</formula>
    </cfRule>
    <cfRule type="containsText" dxfId="935" priority="13735" operator="containsText" text="PEX DESAFILIADO">
      <formula>NOT(ISERROR(SEARCH("PEX DESAFILIADO",C167)))</formula>
    </cfRule>
    <cfRule type="containsText" dxfId="934" priority="13734" operator="containsText" text="PEX BLOQUEADO">
      <formula>NOT(ISERROR(SEARCH("PEX BLOQUEADO",C167)))</formula>
    </cfRule>
    <cfRule type="containsText" dxfId="933" priority="13410" operator="containsText" text="PEX BLOQUEADO">
      <formula>NOT(ISERROR(SEARCH("PEX BLOQUEADO",C167)))</formula>
    </cfRule>
    <cfRule type="containsText" dxfId="932" priority="13732" operator="containsText" text="NO INSTALADO">
      <formula>NOT(ISERROR(SEARCH("NO INSTALADO",C167)))</formula>
    </cfRule>
    <cfRule type="containsText" dxfId="931" priority="13731" operator="containsText" text="PEX DESAFILIADO">
      <formula>NOT(ISERROR(SEARCH("PEX DESAFILIADO",C167)))</formula>
    </cfRule>
    <cfRule type="containsText" dxfId="930" priority="13730" operator="containsText" text="PEX BLOQUEADO">
      <formula>NOT(ISERROR(SEARCH("PEX BLOQUEADO",C167)))</formula>
    </cfRule>
    <cfRule type="containsText" dxfId="929" priority="13408" operator="containsText" text="NO INSTALADO">
      <formula>NOT(ISERROR(SEARCH("NO INSTALADO",C167)))</formula>
    </cfRule>
    <cfRule type="containsText" dxfId="928" priority="13728" operator="containsText" text="NO INSTALADO">
      <formula>NOT(ISERROR(SEARCH("NO INSTALADO",C167)))</formula>
    </cfRule>
    <cfRule type="containsText" dxfId="927" priority="13727" operator="containsText" text="PEX DESAFILIADO">
      <formula>NOT(ISERROR(SEARCH("PEX DESAFILIADO",C167)))</formula>
    </cfRule>
    <cfRule type="containsText" dxfId="926" priority="13726" operator="containsText" text="PEX BLOQUEADO">
      <formula>NOT(ISERROR(SEARCH("PEX BLOQUEADO",C167)))</formula>
    </cfRule>
    <cfRule type="containsText" dxfId="925" priority="13407" operator="containsText" text="PEX DESAFILIADO">
      <formula>NOT(ISERROR(SEARCH("PEX DESAFILIADO",C167)))</formula>
    </cfRule>
    <cfRule type="containsText" dxfId="924" priority="13724" operator="containsText" text="NO INSTALADO">
      <formula>NOT(ISERROR(SEARCH("NO INSTALADO",C167)))</formula>
    </cfRule>
    <cfRule type="containsText" dxfId="923" priority="13723" operator="containsText" text="PEX DESAFILIADO">
      <formula>NOT(ISERROR(SEARCH("PEX DESAFILIADO",C167)))</formula>
    </cfRule>
    <cfRule type="containsText" dxfId="922" priority="13722" operator="containsText" text="PEX BLOQUEADO">
      <formula>NOT(ISERROR(SEARCH("PEX BLOQUEADO",C167)))</formula>
    </cfRule>
    <cfRule type="containsText" dxfId="921" priority="13406" operator="containsText" text="PEX BLOQUEADO">
      <formula>NOT(ISERROR(SEARCH("PEX BLOQUEADO",C167)))</formula>
    </cfRule>
    <cfRule type="containsText" dxfId="920" priority="13720" operator="containsText" text="NO INSTALADO">
      <formula>NOT(ISERROR(SEARCH("NO INSTALADO",C167)))</formula>
    </cfRule>
    <cfRule type="containsText" dxfId="919" priority="13719" operator="containsText" text="PEX DESAFILIADO">
      <formula>NOT(ISERROR(SEARCH("PEX DESAFILIADO",C167)))</formula>
    </cfRule>
    <cfRule type="containsText" dxfId="918" priority="13718" operator="containsText" text="PEX BLOQUEADO">
      <formula>NOT(ISERROR(SEARCH("PEX BLOQUEADO",C167)))</formula>
    </cfRule>
    <cfRule type="containsText" dxfId="917" priority="13404" operator="containsText" text="NO INSTALADO">
      <formula>NOT(ISERROR(SEARCH("NO INSTALADO",C167)))</formula>
    </cfRule>
    <cfRule type="containsText" dxfId="916" priority="13716" operator="containsText" text="NO INSTALADO">
      <formula>NOT(ISERROR(SEARCH("NO INSTALADO",C167)))</formula>
    </cfRule>
    <cfRule type="containsText" dxfId="915" priority="13715" operator="containsText" text="PEX DESAFILIADO">
      <formula>NOT(ISERROR(SEARCH("PEX DESAFILIADO",C167)))</formula>
    </cfRule>
    <cfRule type="containsText" dxfId="914" priority="13714" operator="containsText" text="PEX BLOQUEADO">
      <formula>NOT(ISERROR(SEARCH("PEX BLOQUEADO",C167)))</formula>
    </cfRule>
    <cfRule type="containsText" dxfId="913" priority="13403" operator="containsText" text="PEX DESAFILIADO">
      <formula>NOT(ISERROR(SEARCH("PEX DESAFILIADO",C167)))</formula>
    </cfRule>
    <cfRule type="containsText" dxfId="912" priority="13712" operator="containsText" text="NO INSTALADO">
      <formula>NOT(ISERROR(SEARCH("NO INSTALADO",C167)))</formula>
    </cfRule>
    <cfRule type="containsText" dxfId="911" priority="13711" operator="containsText" text="PEX DESAFILIADO">
      <formula>NOT(ISERROR(SEARCH("PEX DESAFILIADO",C167)))</formula>
    </cfRule>
    <cfRule type="containsText" dxfId="910" priority="13710" operator="containsText" text="PEX BLOQUEADO">
      <formula>NOT(ISERROR(SEARCH("PEX BLOQUEADO",C167)))</formula>
    </cfRule>
    <cfRule type="containsText" dxfId="909" priority="13402" operator="containsText" text="PEX BLOQUEADO">
      <formula>NOT(ISERROR(SEARCH("PEX BLOQUEADO",C167)))</formula>
    </cfRule>
    <cfRule type="containsText" dxfId="908" priority="13708" operator="containsText" text="NO INSTALADO">
      <formula>NOT(ISERROR(SEARCH("NO INSTALADO",C167)))</formula>
    </cfRule>
    <cfRule type="containsText" dxfId="907" priority="13707" operator="containsText" text="PEX DESAFILIADO">
      <formula>NOT(ISERROR(SEARCH("PEX DESAFILIADO",C167)))</formula>
    </cfRule>
    <cfRule type="containsText" dxfId="906" priority="13706" operator="containsText" text="PEX BLOQUEADO">
      <formula>NOT(ISERROR(SEARCH("PEX BLOQUEADO",C167)))</formula>
    </cfRule>
    <cfRule type="containsText" dxfId="905" priority="13400" operator="containsText" text="NO INSTALADO">
      <formula>NOT(ISERROR(SEARCH("NO INSTALADO",C167)))</formula>
    </cfRule>
    <cfRule type="containsText" dxfId="904" priority="13704" operator="containsText" text="NO INSTALADO">
      <formula>NOT(ISERROR(SEARCH("NO INSTALADO",C167)))</formula>
    </cfRule>
    <cfRule type="containsText" dxfId="903" priority="13703" operator="containsText" text="PEX DESAFILIADO">
      <formula>NOT(ISERROR(SEARCH("PEX DESAFILIADO",C167)))</formula>
    </cfRule>
    <cfRule type="containsText" dxfId="902" priority="13702" operator="containsText" text="PEX BLOQUEADO">
      <formula>NOT(ISERROR(SEARCH("PEX BLOQUEADO",C167)))</formula>
    </cfRule>
    <cfRule type="containsText" dxfId="901" priority="13399" operator="containsText" text="PEX DESAFILIADO">
      <formula>NOT(ISERROR(SEARCH("PEX DESAFILIADO",C167)))</formula>
    </cfRule>
    <cfRule type="containsText" dxfId="900" priority="13700" operator="containsText" text="NO INSTALADO">
      <formula>NOT(ISERROR(SEARCH("NO INSTALADO",C167)))</formula>
    </cfRule>
    <cfRule type="containsText" dxfId="899" priority="13699" operator="containsText" text="PEX DESAFILIADO">
      <formula>NOT(ISERROR(SEARCH("PEX DESAFILIADO",C167)))</formula>
    </cfRule>
    <cfRule type="containsText" dxfId="898" priority="13698" operator="containsText" text="PEX BLOQUEADO">
      <formula>NOT(ISERROR(SEARCH("PEX BLOQUEADO",C167)))</formula>
    </cfRule>
    <cfRule type="containsText" dxfId="897" priority="13398" operator="containsText" text="PEX BLOQUEADO">
      <formula>NOT(ISERROR(SEARCH("PEX BLOQUEADO",C167)))</formula>
    </cfRule>
    <cfRule type="containsText" dxfId="896" priority="13696" operator="containsText" text="NO INSTALADO">
      <formula>NOT(ISERROR(SEARCH("NO INSTALADO",C167)))</formula>
    </cfRule>
    <cfRule type="containsText" dxfId="895" priority="13695" operator="containsText" text="PEX DESAFILIADO">
      <formula>NOT(ISERROR(SEARCH("PEX DESAFILIADO",C167)))</formula>
    </cfRule>
    <cfRule type="containsText" dxfId="894" priority="13694" operator="containsText" text="PEX BLOQUEADO">
      <formula>NOT(ISERROR(SEARCH("PEX BLOQUEADO",C167)))</formula>
    </cfRule>
    <cfRule type="containsText" dxfId="893" priority="13582" operator="containsText" text="PEX BLOQUEADO">
      <formula>NOT(ISERROR(SEARCH("PEX BLOQUEADO",C167)))</formula>
    </cfRule>
    <cfRule type="containsText" dxfId="892" priority="13692" operator="containsText" text="NO INSTALADO">
      <formula>NOT(ISERROR(SEARCH("NO INSTALADO",C167)))</formula>
    </cfRule>
    <cfRule type="containsText" dxfId="891" priority="13691" operator="containsText" text="PEX DESAFILIADO">
      <formula>NOT(ISERROR(SEARCH("PEX DESAFILIADO",C167)))</formula>
    </cfRule>
    <cfRule type="containsText" dxfId="890" priority="13690" operator="containsText" text="PEX BLOQUEADO">
      <formula>NOT(ISERROR(SEARCH("PEX BLOQUEADO",C167)))</formula>
    </cfRule>
    <cfRule type="containsText" dxfId="889" priority="13612" operator="containsText" text="NO INSTALADO">
      <formula>NOT(ISERROR(SEARCH("NO INSTALADO",C167)))</formula>
    </cfRule>
    <cfRule type="containsText" dxfId="888" priority="13688" operator="containsText" text="NO INSTALADO">
      <formula>NOT(ISERROR(SEARCH("NO INSTALADO",C167)))</formula>
    </cfRule>
    <cfRule type="containsText" dxfId="887" priority="13687" operator="containsText" text="PEX DESAFILIADO">
      <formula>NOT(ISERROR(SEARCH("PEX DESAFILIADO",C167)))</formula>
    </cfRule>
    <cfRule type="containsText" dxfId="886" priority="13686" operator="containsText" text="PEX BLOQUEADO">
      <formula>NOT(ISERROR(SEARCH("PEX BLOQUEADO",C167)))</formula>
    </cfRule>
    <cfRule type="containsText" dxfId="885" priority="13396" operator="containsText" text="NO INSTALADO">
      <formula>NOT(ISERROR(SEARCH("NO INSTALADO",C167)))</formula>
    </cfRule>
    <cfRule type="containsText" dxfId="884" priority="13684" operator="containsText" text="NO INSTALADO">
      <formula>NOT(ISERROR(SEARCH("NO INSTALADO",C167)))</formula>
    </cfRule>
    <cfRule type="containsText" dxfId="883" priority="13683" operator="containsText" text="PEX DESAFILIADO">
      <formula>NOT(ISERROR(SEARCH("PEX DESAFILIADO",C167)))</formula>
    </cfRule>
    <cfRule type="containsText" dxfId="882" priority="13682" operator="containsText" text="PEX BLOQUEADO">
      <formula>NOT(ISERROR(SEARCH("PEX BLOQUEADO",C167)))</formula>
    </cfRule>
    <cfRule type="containsText" dxfId="881" priority="13395" operator="containsText" text="PEX DESAFILIADO">
      <formula>NOT(ISERROR(SEARCH("PEX DESAFILIADO",C167)))</formula>
    </cfRule>
    <cfRule type="containsText" dxfId="880" priority="13680" operator="containsText" text="NO INSTALADO">
      <formula>NOT(ISERROR(SEARCH("NO INSTALADO",C167)))</formula>
    </cfRule>
    <cfRule type="containsText" dxfId="879" priority="13679" operator="containsText" text="PEX DESAFILIADO">
      <formula>NOT(ISERROR(SEARCH("PEX DESAFILIADO",C167)))</formula>
    </cfRule>
    <cfRule type="containsText" dxfId="878" priority="13678" operator="containsText" text="PEX BLOQUEADO">
      <formula>NOT(ISERROR(SEARCH("PEX BLOQUEADO",C167)))</formula>
    </cfRule>
    <cfRule type="containsText" dxfId="877" priority="13394" operator="containsText" text="PEX BLOQUEADO">
      <formula>NOT(ISERROR(SEARCH("PEX BLOQUEADO",C167)))</formula>
    </cfRule>
    <cfRule type="containsText" dxfId="876" priority="13676" operator="containsText" text="NO INSTALADO">
      <formula>NOT(ISERROR(SEARCH("NO INSTALADO",C167)))</formula>
    </cfRule>
    <cfRule type="containsText" dxfId="875" priority="13675" operator="containsText" text="PEX DESAFILIADO">
      <formula>NOT(ISERROR(SEARCH("PEX DESAFILIADO",C167)))</formula>
    </cfRule>
    <cfRule type="containsText" dxfId="874" priority="13674" operator="containsText" text="PEX BLOQUEADO">
      <formula>NOT(ISERROR(SEARCH("PEX BLOQUEADO",C167)))</formula>
    </cfRule>
    <cfRule type="containsText" dxfId="873" priority="13392" operator="containsText" text="NO INSTALADO">
      <formula>NOT(ISERROR(SEARCH("NO INSTALADO",C167)))</formula>
    </cfRule>
    <cfRule type="containsText" dxfId="872" priority="13672" operator="containsText" text="NO INSTALADO">
      <formula>NOT(ISERROR(SEARCH("NO INSTALADO",C167)))</formula>
    </cfRule>
    <cfRule type="containsText" dxfId="871" priority="13671" operator="containsText" text="PEX DESAFILIADO">
      <formula>NOT(ISERROR(SEARCH("PEX DESAFILIADO",C167)))</formula>
    </cfRule>
    <cfRule type="containsText" dxfId="870" priority="13670" operator="containsText" text="PEX BLOQUEADO">
      <formula>NOT(ISERROR(SEARCH("PEX BLOQUEADO",C167)))</formula>
    </cfRule>
    <cfRule type="containsText" dxfId="869" priority="13391" operator="containsText" text="PEX DESAFILIADO">
      <formula>NOT(ISERROR(SEARCH("PEX DESAFILIADO",C167)))</formula>
    </cfRule>
    <cfRule type="containsText" dxfId="868" priority="13668" operator="containsText" text="NO INSTALADO">
      <formula>NOT(ISERROR(SEARCH("NO INSTALADO",C167)))</formula>
    </cfRule>
    <cfRule type="containsText" dxfId="867" priority="13667" operator="containsText" text="PEX DESAFILIADO">
      <formula>NOT(ISERROR(SEARCH("PEX DESAFILIADO",C167)))</formula>
    </cfRule>
    <cfRule type="containsText" dxfId="866" priority="13666" operator="containsText" text="PEX BLOQUEADO">
      <formula>NOT(ISERROR(SEARCH("PEX BLOQUEADO",C167)))</formula>
    </cfRule>
    <cfRule type="containsText" dxfId="865" priority="13390" operator="containsText" text="PEX BLOQUEADO">
      <formula>NOT(ISERROR(SEARCH("PEX BLOQUEADO",C167)))</formula>
    </cfRule>
    <cfRule type="containsText" dxfId="864" priority="13664" operator="containsText" text="NO INSTALADO">
      <formula>NOT(ISERROR(SEARCH("NO INSTALADO",C167)))</formula>
    </cfRule>
    <cfRule type="containsText" dxfId="863" priority="13663" operator="containsText" text="PEX DESAFILIADO">
      <formula>NOT(ISERROR(SEARCH("PEX DESAFILIADO",C167)))</formula>
    </cfRule>
    <cfRule type="containsText" dxfId="862" priority="13662" operator="containsText" text="PEX BLOQUEADO">
      <formula>NOT(ISERROR(SEARCH("PEX BLOQUEADO",C167)))</formula>
    </cfRule>
    <cfRule type="containsText" dxfId="861" priority="13388" operator="containsText" text="NO INSTALADO">
      <formula>NOT(ISERROR(SEARCH("NO INSTALADO",C167)))</formula>
    </cfRule>
    <cfRule type="containsText" dxfId="860" priority="13660" operator="containsText" text="NO INSTALADO">
      <formula>NOT(ISERROR(SEARCH("NO INSTALADO",C167)))</formula>
    </cfRule>
    <cfRule type="containsText" dxfId="859" priority="13659" operator="containsText" text="PEX DESAFILIADO">
      <formula>NOT(ISERROR(SEARCH("PEX DESAFILIADO",C167)))</formula>
    </cfRule>
    <cfRule type="containsText" dxfId="858" priority="13658" operator="containsText" text="PEX BLOQUEADO">
      <formula>NOT(ISERROR(SEARCH("PEX BLOQUEADO",C167)))</formula>
    </cfRule>
    <cfRule type="containsText" dxfId="857" priority="13387" operator="containsText" text="PEX DESAFILIADO">
      <formula>NOT(ISERROR(SEARCH("PEX DESAFILIADO",C167)))</formula>
    </cfRule>
    <cfRule type="containsText" dxfId="856" priority="13656" operator="containsText" text="NO INSTALADO">
      <formula>NOT(ISERROR(SEARCH("NO INSTALADO",C167)))</formula>
    </cfRule>
    <cfRule type="containsText" dxfId="855" priority="13655" operator="containsText" text="PEX DESAFILIADO">
      <formula>NOT(ISERROR(SEARCH("PEX DESAFILIADO",C167)))</formula>
    </cfRule>
    <cfRule type="containsText" dxfId="854" priority="13654" operator="containsText" text="PEX BLOQUEADO">
      <formula>NOT(ISERROR(SEARCH("PEX BLOQUEADO",C167)))</formula>
    </cfRule>
    <cfRule type="containsText" dxfId="853" priority="13386" operator="containsText" text="PEX BLOQUEADO">
      <formula>NOT(ISERROR(SEARCH("PEX BLOQUEADO",C167)))</formula>
    </cfRule>
    <cfRule type="containsText" dxfId="852" priority="13652" operator="containsText" text="NO INSTALADO">
      <formula>NOT(ISERROR(SEARCH("NO INSTALADO",C167)))</formula>
    </cfRule>
    <cfRule type="containsText" dxfId="851" priority="13651" operator="containsText" text="PEX DESAFILIADO">
      <formula>NOT(ISERROR(SEARCH("PEX DESAFILIADO",C167)))</formula>
    </cfRule>
    <cfRule type="containsText" dxfId="850" priority="13650" operator="containsText" text="PEX BLOQUEADO">
      <formula>NOT(ISERROR(SEARCH("PEX BLOQUEADO",C167)))</formula>
    </cfRule>
    <cfRule type="containsText" dxfId="849" priority="13384" operator="containsText" text="NO INSTALADO">
      <formula>NOT(ISERROR(SEARCH("NO INSTALADO",C167)))</formula>
    </cfRule>
    <cfRule type="containsText" dxfId="848" priority="13648" operator="containsText" text="NO INSTALADO">
      <formula>NOT(ISERROR(SEARCH("NO INSTALADO",C167)))</formula>
    </cfRule>
    <cfRule type="containsText" dxfId="847" priority="13647" operator="containsText" text="PEX DESAFILIADO">
      <formula>NOT(ISERROR(SEARCH("PEX DESAFILIADO",C167)))</formula>
    </cfRule>
    <cfRule type="containsText" dxfId="846" priority="13646" operator="containsText" text="PEX BLOQUEADO">
      <formula>NOT(ISERROR(SEARCH("PEX BLOQUEADO",C167)))</formula>
    </cfRule>
    <cfRule type="containsText" dxfId="845" priority="13383" operator="containsText" text="PEX DESAFILIADO">
      <formula>NOT(ISERROR(SEARCH("PEX DESAFILIADO",C167)))</formula>
    </cfRule>
    <cfRule type="containsText" dxfId="844" priority="13644" operator="containsText" text="NO INSTALADO">
      <formula>NOT(ISERROR(SEARCH("NO INSTALADO",C167)))</formula>
    </cfRule>
    <cfRule type="containsText" dxfId="843" priority="13643" operator="containsText" text="PEX DESAFILIADO">
      <formula>NOT(ISERROR(SEARCH("PEX DESAFILIADO",C167)))</formula>
    </cfRule>
    <cfRule type="containsText" dxfId="842" priority="13642" operator="containsText" text="PEX BLOQUEADO">
      <formula>NOT(ISERROR(SEARCH("PEX BLOQUEADO",C167)))</formula>
    </cfRule>
    <cfRule type="containsText" dxfId="841" priority="13382" operator="containsText" text="PEX BLOQUEADO">
      <formula>NOT(ISERROR(SEARCH("PEX BLOQUEADO",C167)))</formula>
    </cfRule>
    <cfRule type="containsText" dxfId="840" priority="13380" operator="containsText" text="NO INSTALADO">
      <formula>NOT(ISERROR(SEARCH("NO INSTALADO",C167)))</formula>
    </cfRule>
    <cfRule type="containsText" dxfId="839" priority="13639" operator="containsText" text="PEX DESAFILIADO">
      <formula>NOT(ISERROR(SEARCH("PEX DESAFILIADO",C167)))</formula>
    </cfRule>
    <cfRule type="containsText" dxfId="838" priority="13638" operator="containsText" text="PEX BLOQUEADO">
      <formula>NOT(ISERROR(SEARCH("PEX BLOQUEADO",C167)))</formula>
    </cfRule>
    <cfRule type="containsText" dxfId="837" priority="13379" operator="containsText" text="PEX DESAFILIADO">
      <formula>NOT(ISERROR(SEARCH("PEX DESAFILIADO",C167)))</formula>
    </cfRule>
    <cfRule type="containsText" dxfId="836" priority="13636" operator="containsText" text="NO INSTALADO">
      <formula>NOT(ISERROR(SEARCH("NO INSTALADO",C167)))</formula>
    </cfRule>
    <cfRule type="containsText" dxfId="835" priority="13635" operator="containsText" text="PEX DESAFILIADO">
      <formula>NOT(ISERROR(SEARCH("PEX DESAFILIADO",C167)))</formula>
    </cfRule>
    <cfRule type="containsText" dxfId="834" priority="13634" operator="containsText" text="PEX BLOQUEADO">
      <formula>NOT(ISERROR(SEARCH("PEX BLOQUEADO",C167)))</formula>
    </cfRule>
    <cfRule type="containsText" dxfId="833" priority="13378" operator="containsText" text="PEX BLOQUEADO">
      <formula>NOT(ISERROR(SEARCH("PEX BLOQUEADO",C167)))</formula>
    </cfRule>
    <cfRule type="containsText" dxfId="832" priority="13632" operator="containsText" text="NO INSTALADO">
      <formula>NOT(ISERROR(SEARCH("NO INSTALADO",C167)))</formula>
    </cfRule>
    <cfRule type="containsText" dxfId="831" priority="13631" operator="containsText" text="PEX DESAFILIADO">
      <formula>NOT(ISERROR(SEARCH("PEX DESAFILIADO",C167)))</formula>
    </cfRule>
    <cfRule type="containsText" dxfId="830" priority="13630" operator="containsText" text="PEX BLOQUEADO">
      <formula>NOT(ISERROR(SEARCH("PEX BLOQUEADO",C167)))</formula>
    </cfRule>
    <cfRule type="containsText" dxfId="829" priority="13376" operator="containsText" text="NO INSTALADO">
      <formula>NOT(ISERROR(SEARCH("NO INSTALADO",C167)))</formula>
    </cfRule>
    <cfRule type="containsText" dxfId="828" priority="13628" operator="containsText" text="NO INSTALADO">
      <formula>NOT(ISERROR(SEARCH("NO INSTALADO",C167)))</formula>
    </cfRule>
    <cfRule type="containsText" dxfId="827" priority="13627" operator="containsText" text="PEX DESAFILIADO">
      <formula>NOT(ISERROR(SEARCH("PEX DESAFILIADO",C167)))</formula>
    </cfRule>
    <cfRule type="containsText" dxfId="826" priority="13626" operator="containsText" text="PEX BLOQUEADO">
      <formula>NOT(ISERROR(SEARCH("PEX BLOQUEADO",C167)))</formula>
    </cfRule>
    <cfRule type="containsText" dxfId="825" priority="13375" operator="containsText" text="PEX DESAFILIADO">
      <formula>NOT(ISERROR(SEARCH("PEX DESAFILIADO",C167)))</formula>
    </cfRule>
    <cfRule type="containsText" dxfId="824" priority="13624" operator="containsText" text="NO INSTALADO">
      <formula>NOT(ISERROR(SEARCH("NO INSTALADO",C167)))</formula>
    </cfRule>
    <cfRule type="containsText" dxfId="823" priority="13623" operator="containsText" text="PEX DESAFILIADO">
      <formula>NOT(ISERROR(SEARCH("PEX DESAFILIADO",C167)))</formula>
    </cfRule>
    <cfRule type="containsText" dxfId="822" priority="13622" operator="containsText" text="PEX BLOQUEADO">
      <formula>NOT(ISERROR(SEARCH("PEX BLOQUEADO",C167)))</formula>
    </cfRule>
    <cfRule type="containsText" dxfId="821" priority="13374" operator="containsText" text="PEX BLOQUEADO">
      <formula>NOT(ISERROR(SEARCH("PEX BLOQUEADO",C167)))</formula>
    </cfRule>
    <cfRule type="containsText" dxfId="820" priority="13620" operator="containsText" text="NO INSTALADO">
      <formula>NOT(ISERROR(SEARCH("NO INSTALADO",C167)))</formula>
    </cfRule>
    <cfRule type="containsText" dxfId="819" priority="13619" operator="containsText" text="PEX DESAFILIADO">
      <formula>NOT(ISERROR(SEARCH("PEX DESAFILIADO",C167)))</formula>
    </cfRule>
    <cfRule type="containsText" dxfId="818" priority="13618" operator="containsText" text="PEX BLOQUEADO">
      <formula>NOT(ISERROR(SEARCH("PEX BLOQUEADO",C167)))</formula>
    </cfRule>
    <cfRule type="containsText" dxfId="817" priority="13372" operator="containsText" text="NO INSTALADO">
      <formula>NOT(ISERROR(SEARCH("NO INSTALADO",C167)))</formula>
    </cfRule>
    <cfRule type="containsText" dxfId="816" priority="13616" operator="containsText" text="NO INSTALADO">
      <formula>NOT(ISERROR(SEARCH("NO INSTALADO",C167)))</formula>
    </cfRule>
    <cfRule type="containsText" dxfId="815" priority="13615" operator="containsText" text="PEX DESAFILIADO">
      <formula>NOT(ISERROR(SEARCH("PEX DESAFILIADO",C167)))</formula>
    </cfRule>
    <cfRule type="containsText" dxfId="814" priority="13614" operator="containsText" text="PEX BLOQUEADO">
      <formula>NOT(ISERROR(SEARCH("PEX BLOQUEADO",C167)))</formula>
    </cfRule>
    <cfRule type="containsText" dxfId="813" priority="13371" operator="containsText" text="PEX DESAFILIADO">
      <formula>NOT(ISERROR(SEARCH("PEX DESAFILIADO",C167)))</formula>
    </cfRule>
    <cfRule type="containsText" dxfId="812" priority="13428" operator="containsText" text="NO INSTALADO">
      <formula>NOT(ISERROR(SEARCH("NO INSTALADO",C167)))</formula>
    </cfRule>
  </conditionalFormatting>
  <conditionalFormatting sqref="C167">
    <cfRule type="containsText" dxfId="811" priority="13328" operator="containsText" text="NO INSTALADO">
      <formula>NOT(ISERROR(SEARCH("NO INSTALADO",C167)))</formula>
    </cfRule>
    <cfRule type="containsText" dxfId="810" priority="13327" operator="containsText" text="PEX DESAFILIADO">
      <formula>NOT(ISERROR(SEARCH("PEX DESAFILIADO",C167)))</formula>
    </cfRule>
    <cfRule type="containsText" dxfId="809" priority="13326" operator="containsText" text="PEX BLOQUEADO">
      <formula>NOT(ISERROR(SEARCH("PEX BLOQUEADO",C167)))</formula>
    </cfRule>
  </conditionalFormatting>
  <conditionalFormatting sqref="C197:C440 C2:C11 C105:C143">
    <cfRule type="containsText" dxfId="808" priority="13324" operator="containsText" text="PEX DESAFILIADO">
      <formula>NOT(ISERROR(SEARCH("PEX DESAFILIADO",C2)))</formula>
    </cfRule>
    <cfRule type="containsText" dxfId="807" priority="13325" operator="containsText" text="NO INSTALADO">
      <formula>NOT(ISERROR(SEARCH("NO INSTALADO",C2)))</formula>
    </cfRule>
    <cfRule type="containsText" dxfId="806" priority="13323" operator="containsText" text="PEX BLOQUEADO">
      <formula>NOT(ISERROR(SEARCH("PEX BLOQUEADO",C2)))</formula>
    </cfRule>
  </conditionalFormatting>
  <conditionalFormatting sqref="C247:C286 C292:C331">
    <cfRule type="containsText" dxfId="805" priority="8806" operator="containsText" text="PEX DESAFILIADO">
      <formula>NOT(ISERROR(SEARCH("PEX DESAFILIADO",C247)))</formula>
    </cfRule>
    <cfRule type="containsText" dxfId="804" priority="8805" operator="containsText" text="PEX BLOQUEADO">
      <formula>NOT(ISERROR(SEARCH("PEX BLOQUEADO",C247)))</formula>
    </cfRule>
    <cfRule type="containsText" dxfId="803" priority="8807" operator="containsText" text="NO INSTALADO">
      <formula>NOT(ISERROR(SEARCH("NO INSTALADO",C247)))</formula>
    </cfRule>
  </conditionalFormatting>
  <conditionalFormatting sqref="C287:C291 C332:C371 C12:C83 C86:C104 C123:C143 C155:C196">
    <cfRule type="cellIs" dxfId="802" priority="14392" operator="equal">
      <formula>"NO"</formula>
    </cfRule>
    <cfRule type="cellIs" dxfId="801" priority="14452" operator="equal">
      <formula>"NO"</formula>
    </cfRule>
    <cfRule type="cellIs" dxfId="800" priority="14388" operator="equal">
      <formula>"NO"</formula>
    </cfRule>
    <cfRule type="cellIs" dxfId="799" priority="14496" operator="equal">
      <formula>"NO"</formula>
    </cfRule>
    <cfRule type="cellIs" dxfId="798" priority="14488" operator="equal">
      <formula>"NO"</formula>
    </cfRule>
    <cfRule type="cellIs" dxfId="797" priority="14448" operator="equal">
      <formula>"NO"</formula>
    </cfRule>
    <cfRule type="cellIs" dxfId="796" priority="14444" operator="equal">
      <formula>"NO"</formula>
    </cfRule>
    <cfRule type="cellIs" dxfId="795" priority="14404" operator="equal">
      <formula>"NO"</formula>
    </cfRule>
    <cfRule type="cellIs" dxfId="794" priority="14440" operator="equal">
      <formula>"NO"</formula>
    </cfRule>
    <cfRule type="cellIs" dxfId="793" priority="14484" operator="equal">
      <formula>"NO"</formula>
    </cfRule>
    <cfRule type="cellIs" dxfId="792" priority="14396" operator="equal">
      <formula>"NO"</formula>
    </cfRule>
    <cfRule type="cellIs" dxfId="791" priority="14436" operator="equal">
      <formula>"NO"</formula>
    </cfRule>
    <cfRule type="cellIs" dxfId="790" priority="14432" operator="equal">
      <formula>"NO"</formula>
    </cfRule>
    <cfRule type="cellIs" dxfId="789" priority="14480" operator="equal">
      <formula>"NO"</formula>
    </cfRule>
    <cfRule type="cellIs" dxfId="788" priority="14428" operator="equal">
      <formula>"NO"</formula>
    </cfRule>
    <cfRule type="cellIs" dxfId="787" priority="14476" operator="equal">
      <formula>"NO"</formula>
    </cfRule>
    <cfRule type="cellIs" dxfId="786" priority="14424" operator="equal">
      <formula>"NO"</formula>
    </cfRule>
    <cfRule type="cellIs" dxfId="785" priority="14420" operator="equal">
      <formula>"NO"</formula>
    </cfRule>
    <cfRule type="cellIs" dxfId="784" priority="14472" operator="equal">
      <formula>"NO"</formula>
    </cfRule>
    <cfRule type="cellIs" dxfId="783" priority="14416" operator="equal">
      <formula>"NO"</formula>
    </cfRule>
    <cfRule type="cellIs" dxfId="782" priority="14412" operator="equal">
      <formula>"NO"</formula>
    </cfRule>
    <cfRule type="cellIs" dxfId="781" priority="14468" operator="equal">
      <formula>"NO"</formula>
    </cfRule>
    <cfRule type="cellIs" dxfId="780" priority="14512" operator="equal">
      <formula>"NO"</formula>
    </cfRule>
    <cfRule type="cellIs" dxfId="779" priority="14408" operator="equal">
      <formula>"NO"</formula>
    </cfRule>
    <cfRule type="cellIs" dxfId="778" priority="14456" operator="equal">
      <formula>"NO"</formula>
    </cfRule>
    <cfRule type="cellIs" dxfId="777" priority="14464" operator="equal">
      <formula>"NO"</formula>
    </cfRule>
    <cfRule type="cellIs" dxfId="776" priority="14460" operator="equal">
      <formula>"NO"</formula>
    </cfRule>
    <cfRule type="cellIs" dxfId="775" priority="14492" operator="equal">
      <formula>"NO"</formula>
    </cfRule>
    <cfRule type="cellIs" dxfId="774" priority="14400" operator="equal">
      <formula>"NO"</formula>
    </cfRule>
    <cfRule type="cellIs" dxfId="773" priority="14516" operator="equal">
      <formula>"NO"</formula>
    </cfRule>
    <cfRule type="cellIs" dxfId="772" priority="14548" operator="equal">
      <formula>"NO"</formula>
    </cfRule>
    <cfRule type="cellIs" dxfId="771" priority="14544" operator="equal">
      <formula>"NO"</formula>
    </cfRule>
    <cfRule type="cellIs" dxfId="770" priority="14540" operator="equal">
      <formula>"NO"</formula>
    </cfRule>
    <cfRule type="cellIs" dxfId="769" priority="14536" operator="equal">
      <formula>"NO"</formula>
    </cfRule>
    <cfRule type="cellIs" dxfId="768" priority="14532" operator="equal">
      <formula>"NO"</formula>
    </cfRule>
    <cfRule type="cellIs" dxfId="767" priority="14528" operator="equal">
      <formula>"NO"</formula>
    </cfRule>
    <cfRule type="cellIs" dxfId="766" priority="14524" operator="equal">
      <formula>"NO"</formula>
    </cfRule>
    <cfRule type="cellIs" dxfId="765" priority="14520" operator="equal">
      <formula>"NO"</formula>
    </cfRule>
    <cfRule type="cellIs" dxfId="764" priority="14508" operator="equal">
      <formula>"NO"</formula>
    </cfRule>
    <cfRule type="cellIs" dxfId="763" priority="14504" operator="equal">
      <formula>"NO"</formula>
    </cfRule>
    <cfRule type="cellIs" dxfId="762" priority="14500" operator="equal">
      <formula>"NO"</formula>
    </cfRule>
  </conditionalFormatting>
  <conditionalFormatting sqref="C287:C291">
    <cfRule type="containsText" dxfId="761" priority="2033" operator="containsText" text="PEX BLOQUEADO">
      <formula>NOT(ISERROR(SEARCH("PEX BLOQUEADO",C287)))</formula>
    </cfRule>
    <cfRule type="containsText" dxfId="760" priority="2034" operator="containsText" text="PEX DESAFILIADO">
      <formula>NOT(ISERROR(SEARCH("PEX DESAFILIADO",C287)))</formula>
    </cfRule>
    <cfRule type="cellIs" dxfId="759" priority="2036" operator="equal">
      <formula>"NO"</formula>
    </cfRule>
    <cfRule type="containsText" dxfId="758" priority="2035" operator="containsText" text="NO INSTALADO">
      <formula>NOT(ISERROR(SEARCH("NO INSTALADO",C287)))</formula>
    </cfRule>
  </conditionalFormatting>
  <conditionalFormatting sqref="C298 C38 C90 C114">
    <cfRule type="cellIs" dxfId="757" priority="14164" operator="equal">
      <formula>"NO"</formula>
    </cfRule>
    <cfRule type="cellIs" dxfId="756" priority="14156" operator="equal">
      <formula>"NO"</formula>
    </cfRule>
    <cfRule type="cellIs" dxfId="755" priority="14144" operator="equal">
      <formula>"NO"</formula>
    </cfRule>
    <cfRule type="cellIs" dxfId="754" priority="14160" operator="equal">
      <formula>"NO"</formula>
    </cfRule>
    <cfRule type="cellIs" dxfId="753" priority="14148" operator="equal">
      <formula>"NO"</formula>
    </cfRule>
    <cfRule type="cellIs" dxfId="752" priority="14152" operator="equal">
      <formula>"NO"</formula>
    </cfRule>
    <cfRule type="cellIs" dxfId="751" priority="14168" operator="equal">
      <formula>"NO"</formula>
    </cfRule>
    <cfRule type="cellIs" dxfId="750" priority="14172" operator="equal">
      <formula>"NO"</formula>
    </cfRule>
    <cfRule type="cellIs" dxfId="749" priority="14184" operator="equal">
      <formula>"NO"</formula>
    </cfRule>
    <cfRule type="cellIs" dxfId="748" priority="14176" operator="equal">
      <formula>"NO"</formula>
    </cfRule>
    <cfRule type="cellIs" dxfId="747" priority="14188" operator="equal">
      <formula>"NO"</formula>
    </cfRule>
    <cfRule type="cellIs" dxfId="746" priority="14192" operator="equal">
      <formula>"NO"</formula>
    </cfRule>
    <cfRule type="cellIs" dxfId="745" priority="14196" operator="equal">
      <formula>"NO"</formula>
    </cfRule>
    <cfRule type="cellIs" dxfId="744" priority="14200" operator="equal">
      <formula>"NO"</formula>
    </cfRule>
    <cfRule type="cellIs" dxfId="743" priority="14204" operator="equal">
      <formula>"NO"</formula>
    </cfRule>
    <cfRule type="cellIs" dxfId="742" priority="14208" operator="equal">
      <formula>"NO"</formula>
    </cfRule>
    <cfRule type="cellIs" dxfId="741" priority="14212" operator="equal">
      <formula>"NO"</formula>
    </cfRule>
    <cfRule type="cellIs" dxfId="740" priority="14180" operator="equal">
      <formula>"NO"</formula>
    </cfRule>
  </conditionalFormatting>
  <conditionalFormatting sqref="C298 C90 C114 C38">
    <cfRule type="cellIs" dxfId="739" priority="13985" operator="equal">
      <formula>"NO"</formula>
    </cfRule>
  </conditionalFormatting>
  <conditionalFormatting sqref="C298 C323 C38 C90 C114 C206">
    <cfRule type="cellIs" dxfId="738" priority="14216" operator="equal">
      <formula>"NO"</formula>
    </cfRule>
    <cfRule type="cellIs" dxfId="737" priority="14220" operator="equal">
      <formula>"NO"</formula>
    </cfRule>
    <cfRule type="cellIs" dxfId="736" priority="14356" operator="equal">
      <formula>"NO"</formula>
    </cfRule>
    <cfRule type="cellIs" dxfId="735" priority="14228" operator="equal">
      <formula>"NO"</formula>
    </cfRule>
    <cfRule type="cellIs" dxfId="734" priority="14232" operator="equal">
      <formula>"NO"</formula>
    </cfRule>
    <cfRule type="cellIs" dxfId="733" priority="14236" operator="equal">
      <formula>"NO"</formula>
    </cfRule>
    <cfRule type="cellIs" dxfId="732" priority="14240" operator="equal">
      <formula>"NO"</formula>
    </cfRule>
    <cfRule type="cellIs" dxfId="731" priority="14244" operator="equal">
      <formula>"NO"</formula>
    </cfRule>
    <cfRule type="cellIs" dxfId="730" priority="14248" operator="equal">
      <formula>"NO"</formula>
    </cfRule>
    <cfRule type="cellIs" dxfId="729" priority="14252" operator="equal">
      <formula>"NO"</formula>
    </cfRule>
    <cfRule type="cellIs" dxfId="728" priority="14256" operator="equal">
      <formula>"NO"</formula>
    </cfRule>
    <cfRule type="cellIs" dxfId="727" priority="14260" operator="equal">
      <formula>"NO"</formula>
    </cfRule>
    <cfRule type="cellIs" dxfId="726" priority="14264" operator="equal">
      <formula>"NO"</formula>
    </cfRule>
    <cfRule type="cellIs" dxfId="725" priority="14268" operator="equal">
      <formula>"NO"</formula>
    </cfRule>
    <cfRule type="cellIs" dxfId="724" priority="14352" operator="equal">
      <formula>"NO"</formula>
    </cfRule>
    <cfRule type="cellIs" dxfId="723" priority="14348" operator="equal">
      <formula>"NO"</formula>
    </cfRule>
    <cfRule type="cellIs" dxfId="722" priority="14340" operator="equal">
      <formula>"NO"</formula>
    </cfRule>
    <cfRule type="cellIs" dxfId="721" priority="14336" operator="equal">
      <formula>"NO"</formula>
    </cfRule>
    <cfRule type="cellIs" dxfId="720" priority="14332" operator="equal">
      <formula>"NO"</formula>
    </cfRule>
    <cfRule type="cellIs" dxfId="719" priority="14328" operator="equal">
      <formula>"NO"</formula>
    </cfRule>
    <cfRule type="cellIs" dxfId="718" priority="14324" operator="equal">
      <formula>"NO"</formula>
    </cfRule>
    <cfRule type="cellIs" dxfId="717" priority="14344" operator="equal">
      <formula>"NO"</formula>
    </cfRule>
    <cfRule type="cellIs" dxfId="716" priority="14316" operator="equal">
      <formula>"NO"</formula>
    </cfRule>
    <cfRule type="cellIs" dxfId="715" priority="14312" operator="equal">
      <formula>"NO"</formula>
    </cfRule>
    <cfRule type="cellIs" dxfId="714" priority="14276" operator="equal">
      <formula>"NO"</formula>
    </cfRule>
    <cfRule type="cellIs" dxfId="713" priority="14280" operator="equal">
      <formula>"NO"</formula>
    </cfRule>
    <cfRule type="cellIs" dxfId="712" priority="14272" operator="equal">
      <formula>"NO"</formula>
    </cfRule>
    <cfRule type="cellIs" dxfId="711" priority="14284" operator="equal">
      <formula>"NO"</formula>
    </cfRule>
    <cfRule type="cellIs" dxfId="710" priority="14224" operator="equal">
      <formula>"NO"</formula>
    </cfRule>
    <cfRule type="cellIs" dxfId="709" priority="14292" operator="equal">
      <formula>"NO"</formula>
    </cfRule>
    <cfRule type="cellIs" dxfId="708" priority="14296" operator="equal">
      <formula>"NO"</formula>
    </cfRule>
    <cfRule type="cellIs" dxfId="707" priority="14380" operator="equal">
      <formula>"NO"</formula>
    </cfRule>
    <cfRule type="cellIs" dxfId="706" priority="14376" operator="equal">
      <formula>"NO"</formula>
    </cfRule>
    <cfRule type="cellIs" dxfId="705" priority="14300" operator="equal">
      <formula>"NO"</formula>
    </cfRule>
    <cfRule type="cellIs" dxfId="704" priority="14372" operator="equal">
      <formula>"NO"</formula>
    </cfRule>
    <cfRule type="cellIs" dxfId="703" priority="14368" operator="equal">
      <formula>"NO"</formula>
    </cfRule>
    <cfRule type="cellIs" dxfId="702" priority="14320" operator="equal">
      <formula>"NO"</formula>
    </cfRule>
    <cfRule type="cellIs" dxfId="701" priority="14304" operator="equal">
      <formula>"NO"</formula>
    </cfRule>
    <cfRule type="cellIs" dxfId="700" priority="14364" operator="equal">
      <formula>"NO"</formula>
    </cfRule>
    <cfRule type="cellIs" dxfId="699" priority="14308" operator="equal">
      <formula>"NO"</formula>
    </cfRule>
    <cfRule type="cellIs" dxfId="698" priority="14288" operator="equal">
      <formula>"NO"</formula>
    </cfRule>
    <cfRule type="cellIs" dxfId="697" priority="14360" operator="equal">
      <formula>"NO"</formula>
    </cfRule>
  </conditionalFormatting>
  <conditionalFormatting sqref="C313:C314 C332:C409 C12:C83 C86:C104 C123:C129 C136:C143 C155:C178 C180:C196">
    <cfRule type="cellIs" dxfId="696" priority="14568" operator="equal">
      <formula>"NO"</formula>
    </cfRule>
  </conditionalFormatting>
  <conditionalFormatting sqref="C332:C371 C12:C83 C86:C104 C123:C143 C155:C196">
    <cfRule type="cellIs" dxfId="695" priority="14384" operator="equal">
      <formula>"NO"</formula>
    </cfRule>
  </conditionalFormatting>
  <conditionalFormatting sqref="C332:C371 C247:C291 C12:C83 C86:C104 C123:C143 C155:C196">
    <cfRule type="cellIs" dxfId="694" priority="14564" operator="equal">
      <formula>"NO"</formula>
    </cfRule>
    <cfRule type="cellIs" dxfId="693" priority="14560" operator="equal">
      <formula>"NO"</formula>
    </cfRule>
    <cfRule type="cellIs" dxfId="692" priority="14556" operator="equal">
      <formula>"NO"</formula>
    </cfRule>
  </conditionalFormatting>
  <conditionalFormatting sqref="C332:C371 C247:C298 C12:C83 C86:C104 C123:C143 C155:C196">
    <cfRule type="cellIs" dxfId="691" priority="14552" operator="equal">
      <formula>"NO"</formula>
    </cfRule>
  </conditionalFormatting>
  <conditionalFormatting sqref="C409 C296 C167">
    <cfRule type="cellIs" dxfId="690" priority="13365" operator="equal">
      <formula>"NO"</formula>
    </cfRule>
    <cfRule type="cellIs" dxfId="689" priority="13361" operator="equal">
      <formula>"NO"</formula>
    </cfRule>
    <cfRule type="cellIs" dxfId="688" priority="13357" operator="equal">
      <formula>"NO"</formula>
    </cfRule>
    <cfRule type="cellIs" dxfId="687" priority="13353" operator="equal">
      <formula>"NO"</formula>
    </cfRule>
    <cfRule type="cellIs" dxfId="686" priority="13349" operator="equal">
      <formula>"NO"</formula>
    </cfRule>
    <cfRule type="cellIs" dxfId="685" priority="13345" operator="equal">
      <formula>"NO"</formula>
    </cfRule>
    <cfRule type="cellIs" dxfId="684" priority="13341" operator="equal">
      <formula>"NO"</formula>
    </cfRule>
    <cfRule type="cellIs" dxfId="683" priority="13337" operator="equal">
      <formula>"NO"</formula>
    </cfRule>
    <cfRule type="cellIs" dxfId="682" priority="13333" operator="equal">
      <formula>"NO"</formula>
    </cfRule>
    <cfRule type="cellIs" dxfId="681" priority="13329" operator="equal">
      <formula>"NO"</formula>
    </cfRule>
    <cfRule type="cellIs" dxfId="680" priority="13513" operator="equal">
      <formula>"NO"</formula>
    </cfRule>
    <cfRule type="cellIs" dxfId="679" priority="13589" operator="equal">
      <formula>"NO"</formula>
    </cfRule>
    <cfRule type="cellIs" dxfId="678" priority="13389" operator="equal">
      <formula>"NO"</formula>
    </cfRule>
    <cfRule type="cellIs" dxfId="677" priority="13537" operator="equal">
      <formula>"NO"</formula>
    </cfRule>
    <cfRule type="cellIs" dxfId="676" priority="13473" operator="equal">
      <formula>"NO"</formula>
    </cfRule>
    <cfRule type="cellIs" dxfId="675" priority="13385" operator="equal">
      <formula>"NO"</formula>
    </cfRule>
    <cfRule type="cellIs" dxfId="674" priority="13569" operator="equal">
      <formula>"NO"</formula>
    </cfRule>
    <cfRule type="cellIs" dxfId="673" priority="13509" operator="equal">
      <formula>"NO"</formula>
    </cfRule>
    <cfRule type="cellIs" dxfId="672" priority="13601" operator="equal">
      <formula>"NO"</formula>
    </cfRule>
    <cfRule type="cellIs" dxfId="671" priority="13381" operator="equal">
      <formula>"NO"</formula>
    </cfRule>
    <cfRule type="cellIs" dxfId="670" priority="13469" operator="equal">
      <formula>"NO"</formula>
    </cfRule>
    <cfRule type="cellIs" dxfId="669" priority="13377" operator="equal">
      <formula>"NO"</formula>
    </cfRule>
    <cfRule type="cellIs" dxfId="668" priority="13465" operator="equal">
      <formula>"NO"</formula>
    </cfRule>
    <cfRule type="cellIs" dxfId="667" priority="13373" operator="equal">
      <formula>"NO"</formula>
    </cfRule>
    <cfRule type="cellIs" dxfId="666" priority="13737" operator="equal">
      <formula>"NO"</formula>
    </cfRule>
    <cfRule type="cellIs" dxfId="665" priority="13733" operator="equal">
      <formula>"NO"</formula>
    </cfRule>
    <cfRule type="cellIs" dxfId="664" priority="13729" operator="equal">
      <formula>"NO"</formula>
    </cfRule>
    <cfRule type="cellIs" dxfId="663" priority="13725" operator="equal">
      <formula>"NO"</formula>
    </cfRule>
    <cfRule type="cellIs" dxfId="662" priority="13721" operator="equal">
      <formula>"NO"</formula>
    </cfRule>
    <cfRule type="cellIs" dxfId="661" priority="13717" operator="equal">
      <formula>"NO"</formula>
    </cfRule>
    <cfRule type="cellIs" dxfId="660" priority="13713" operator="equal">
      <formula>"NO"</formula>
    </cfRule>
    <cfRule type="cellIs" dxfId="659" priority="13709" operator="equal">
      <formula>"NO"</formula>
    </cfRule>
    <cfRule type="cellIs" dxfId="658" priority="13369" operator="equal">
      <formula>"NO"</formula>
    </cfRule>
    <cfRule type="cellIs" dxfId="657" priority="13701" operator="equal">
      <formula>"NO"</formula>
    </cfRule>
    <cfRule type="cellIs" dxfId="656" priority="13697" operator="equal">
      <formula>"NO"</formula>
    </cfRule>
    <cfRule type="cellIs" dxfId="655" priority="13693" operator="equal">
      <formula>"NO"</formula>
    </cfRule>
    <cfRule type="cellIs" dxfId="654" priority="13685" operator="equal">
      <formula>"NO"</formula>
    </cfRule>
    <cfRule type="cellIs" dxfId="653" priority="13681" operator="equal">
      <formula>"NO"</formula>
    </cfRule>
    <cfRule type="cellIs" dxfId="652" priority="13677" operator="equal">
      <formula>"NO"</formula>
    </cfRule>
    <cfRule type="cellIs" dxfId="651" priority="13673" operator="equal">
      <formula>"NO"</formula>
    </cfRule>
    <cfRule type="cellIs" dxfId="650" priority="13669" operator="equal">
      <formula>"NO"</formula>
    </cfRule>
    <cfRule type="cellIs" dxfId="649" priority="13665" operator="equal">
      <formula>"NO"</formula>
    </cfRule>
    <cfRule type="cellIs" dxfId="648" priority="13661" operator="equal">
      <formula>"NO"</formula>
    </cfRule>
    <cfRule type="cellIs" dxfId="647" priority="13657" operator="equal">
      <formula>"NO"</formula>
    </cfRule>
    <cfRule type="cellIs" dxfId="646" priority="13653" operator="equal">
      <formula>"NO"</formula>
    </cfRule>
    <cfRule type="cellIs" dxfId="645" priority="13649" operator="equal">
      <formula>"NO"</formula>
    </cfRule>
    <cfRule type="cellIs" dxfId="644" priority="13645" operator="equal">
      <formula>"NO"</formula>
    </cfRule>
    <cfRule type="cellIs" dxfId="643" priority="13641" operator="equal">
      <formula>"NO"</formula>
    </cfRule>
    <cfRule type="cellIs" dxfId="642" priority="13637" operator="equal">
      <formula>"NO"</formula>
    </cfRule>
    <cfRule type="cellIs" dxfId="641" priority="13633" operator="equal">
      <formula>"NO"</formula>
    </cfRule>
    <cfRule type="cellIs" dxfId="640" priority="13629" operator="equal">
      <formula>"NO"</formula>
    </cfRule>
    <cfRule type="cellIs" dxfId="639" priority="13625" operator="equal">
      <formula>"NO"</formula>
    </cfRule>
    <cfRule type="cellIs" dxfId="638" priority="13621" operator="equal">
      <formula>"NO"</formula>
    </cfRule>
    <cfRule type="cellIs" dxfId="637" priority="13617" operator="equal">
      <formula>"NO"</formula>
    </cfRule>
    <cfRule type="cellIs" dxfId="636" priority="13613" operator="equal">
      <formula>"NO"</formula>
    </cfRule>
    <cfRule type="cellIs" dxfId="635" priority="13461" operator="equal">
      <formula>"NO"</formula>
    </cfRule>
    <cfRule type="cellIs" dxfId="634" priority="13457" operator="equal">
      <formula>"NO"</formula>
    </cfRule>
    <cfRule type="cellIs" dxfId="633" priority="13453" operator="equal">
      <formula>"NO"</formula>
    </cfRule>
    <cfRule type="cellIs" dxfId="632" priority="13705" operator="equal">
      <formula>"NO"</formula>
    </cfRule>
    <cfRule type="cellIs" dxfId="631" priority="13449" operator="equal">
      <formula>"NO"</formula>
    </cfRule>
    <cfRule type="cellIs" dxfId="630" priority="13445" operator="equal">
      <formula>"NO"</formula>
    </cfRule>
    <cfRule type="cellIs" dxfId="629" priority="13505" operator="equal">
      <formula>"NO"</formula>
    </cfRule>
    <cfRule type="cellIs" dxfId="628" priority="13689" operator="equal">
      <formula>"NO"</formula>
    </cfRule>
    <cfRule type="cellIs" dxfId="627" priority="13441" operator="equal">
      <formula>"NO"</formula>
    </cfRule>
    <cfRule type="cellIs" dxfId="626" priority="13533" operator="equal">
      <formula>"NO"</formula>
    </cfRule>
    <cfRule type="cellIs" dxfId="625" priority="13553" operator="equal">
      <formula>"NO"</formula>
    </cfRule>
    <cfRule type="cellIs" dxfId="624" priority="13437" operator="equal">
      <formula>"NO"</formula>
    </cfRule>
    <cfRule type="cellIs" dxfId="623" priority="13501" operator="equal">
      <formula>"NO"</formula>
    </cfRule>
    <cfRule type="cellIs" dxfId="622" priority="13593" operator="equal">
      <formula>"NO"</formula>
    </cfRule>
    <cfRule type="cellIs" dxfId="621" priority="13433" operator="equal">
      <formula>"NO"</formula>
    </cfRule>
    <cfRule type="cellIs" dxfId="620" priority="13577" operator="equal">
      <formula>"NO"</formula>
    </cfRule>
    <cfRule type="cellIs" dxfId="619" priority="13529" operator="equal">
      <formula>"NO"</formula>
    </cfRule>
    <cfRule type="cellIs" dxfId="618" priority="13497" operator="equal">
      <formula>"NO"</formula>
    </cfRule>
    <cfRule type="cellIs" dxfId="617" priority="13429" operator="equal">
      <formula>"NO"</formula>
    </cfRule>
    <cfRule type="cellIs" dxfId="616" priority="13565" operator="equal">
      <formula>"NO"</formula>
    </cfRule>
    <cfRule type="cellIs" dxfId="615" priority="13425" operator="equal">
      <formula>"NO"</formula>
    </cfRule>
    <cfRule type="cellIs" dxfId="614" priority="13549" operator="equal">
      <formula>"NO"</formula>
    </cfRule>
    <cfRule type="cellIs" dxfId="613" priority="13597" operator="equal">
      <formula>"NO"</formula>
    </cfRule>
    <cfRule type="cellIs" dxfId="612" priority="13421" operator="equal">
      <formula>"NO"</formula>
    </cfRule>
    <cfRule type="cellIs" dxfId="611" priority="13493" operator="equal">
      <formula>"NO"</formula>
    </cfRule>
    <cfRule type="cellIs" dxfId="610" priority="13525" operator="equal">
      <formula>"NO"</formula>
    </cfRule>
    <cfRule type="cellIs" dxfId="609" priority="13585" operator="equal">
      <formula>"NO"</formula>
    </cfRule>
    <cfRule type="cellIs" dxfId="608" priority="13417" operator="equal">
      <formula>"NO"</formula>
    </cfRule>
    <cfRule type="cellIs" dxfId="607" priority="13605" operator="equal">
      <formula>"NO"</formula>
    </cfRule>
    <cfRule type="cellIs" dxfId="606" priority="13489" operator="equal">
      <formula>"NO"</formula>
    </cfRule>
    <cfRule type="cellIs" dxfId="605" priority="13413" operator="equal">
      <formula>"NO"</formula>
    </cfRule>
    <cfRule type="cellIs" dxfId="604" priority="13545" operator="equal">
      <formula>"NO"</formula>
    </cfRule>
    <cfRule type="cellIs" dxfId="603" priority="13521" operator="equal">
      <formula>"NO"</formula>
    </cfRule>
    <cfRule type="cellIs" dxfId="602" priority="13409" operator="equal">
      <formula>"NO"</formula>
    </cfRule>
    <cfRule type="cellIs" dxfId="601" priority="13561" operator="equal">
      <formula>"NO"</formula>
    </cfRule>
    <cfRule type="cellIs" dxfId="600" priority="13485" operator="equal">
      <formula>"NO"</formula>
    </cfRule>
    <cfRule type="cellIs" dxfId="599" priority="13405" operator="equal">
      <formula>"NO"</formula>
    </cfRule>
    <cfRule type="cellIs" dxfId="598" priority="13573" operator="equal">
      <formula>"NO"</formula>
    </cfRule>
    <cfRule type="cellIs" dxfId="597" priority="13609" operator="equal">
      <formula>"NO"</formula>
    </cfRule>
    <cfRule type="cellIs" dxfId="596" priority="13517" operator="equal">
      <formula>"NO"</formula>
    </cfRule>
    <cfRule type="cellIs" dxfId="595" priority="13401" operator="equal">
      <formula>"NO"</formula>
    </cfRule>
    <cfRule type="cellIs" dxfId="594" priority="13481" operator="equal">
      <formula>"NO"</formula>
    </cfRule>
    <cfRule type="cellIs" dxfId="593" priority="13541" operator="equal">
      <formula>"NO"</formula>
    </cfRule>
    <cfRule type="cellIs" dxfId="592" priority="13581" operator="equal">
      <formula>"NO"</formula>
    </cfRule>
    <cfRule type="cellIs" dxfId="591" priority="13397" operator="equal">
      <formula>"NO"</formula>
    </cfRule>
    <cfRule type="cellIs" dxfId="590" priority="13557" operator="equal">
      <formula>"NO"</formula>
    </cfRule>
    <cfRule type="cellIs" dxfId="589" priority="13477" operator="equal">
      <formula>"NO"</formula>
    </cfRule>
    <cfRule type="cellIs" dxfId="588" priority="13393" operator="equal">
      <formula>"NO"</formula>
    </cfRule>
  </conditionalFormatting>
  <conditionalFormatting sqref="C409 C296 C272 C167 C206">
    <cfRule type="cellIs" dxfId="587" priority="13929" operator="equal">
      <formula>"NO"</formula>
    </cfRule>
    <cfRule type="cellIs" dxfId="586" priority="13917" operator="equal">
      <formula>"NO"</formula>
    </cfRule>
    <cfRule type="cellIs" dxfId="585" priority="13921" operator="equal">
      <formula>"NO"</formula>
    </cfRule>
    <cfRule type="cellIs" dxfId="584" priority="13949" operator="equal">
      <formula>"NO"</formula>
    </cfRule>
    <cfRule type="cellIs" dxfId="583" priority="13973" operator="equal">
      <formula>"NO"</formula>
    </cfRule>
    <cfRule type="cellIs" dxfId="582" priority="13933" operator="equal">
      <formula>"NO"</formula>
    </cfRule>
    <cfRule type="cellIs" dxfId="581" priority="13957" operator="equal">
      <formula>"NO"</formula>
    </cfRule>
    <cfRule type="cellIs" dxfId="580" priority="13961" operator="equal">
      <formula>"NO"</formula>
    </cfRule>
    <cfRule type="cellIs" dxfId="579" priority="13913" operator="equal">
      <formula>"NO"</formula>
    </cfRule>
    <cfRule type="cellIs" dxfId="578" priority="13969" operator="equal">
      <formula>"NO"</formula>
    </cfRule>
    <cfRule type="cellIs" dxfId="577" priority="13941" operator="equal">
      <formula>"NO"</formula>
    </cfRule>
    <cfRule type="cellIs" dxfId="576" priority="13945" operator="equal">
      <formula>"NO"</formula>
    </cfRule>
    <cfRule type="cellIs" dxfId="575" priority="13965" operator="equal">
      <formula>"NO"</formula>
    </cfRule>
    <cfRule type="cellIs" dxfId="574" priority="13981" operator="equal">
      <formula>"NO"</formula>
    </cfRule>
    <cfRule type="cellIs" dxfId="573" priority="13977" operator="equal">
      <formula>"NO"</formula>
    </cfRule>
    <cfRule type="cellIs" dxfId="572" priority="13953" operator="equal">
      <formula>"NO"</formula>
    </cfRule>
    <cfRule type="cellIs" dxfId="571" priority="13925" operator="equal">
      <formula>"NO"</formula>
    </cfRule>
    <cfRule type="cellIs" dxfId="570" priority="13937" operator="equal">
      <formula>"NO"</formula>
    </cfRule>
    <cfRule type="cellIs" dxfId="569" priority="13909" operator="equal">
      <formula>"NO"</formula>
    </cfRule>
  </conditionalFormatting>
  <conditionalFormatting sqref="C409 C296 C272 C167">
    <cfRule type="cellIs" dxfId="568" priority="13849" operator="equal">
      <formula>"NO"</formula>
    </cfRule>
    <cfRule type="cellIs" dxfId="567" priority="13853" operator="equal">
      <formula>"NO"</formula>
    </cfRule>
    <cfRule type="cellIs" dxfId="566" priority="13857" operator="equal">
      <formula>"NO"</formula>
    </cfRule>
    <cfRule type="cellIs" dxfId="565" priority="13861" operator="equal">
      <formula>"NO"</formula>
    </cfRule>
    <cfRule type="cellIs" dxfId="564" priority="13865" operator="equal">
      <formula>"NO"</formula>
    </cfRule>
    <cfRule type="cellIs" dxfId="563" priority="13869" operator="equal">
      <formula>"NO"</formula>
    </cfRule>
    <cfRule type="cellIs" dxfId="562" priority="13877" operator="equal">
      <formula>"NO"</formula>
    </cfRule>
    <cfRule type="cellIs" dxfId="561" priority="13881" operator="equal">
      <formula>"NO"</formula>
    </cfRule>
    <cfRule type="cellIs" dxfId="560" priority="13885" operator="equal">
      <formula>"NO"</formula>
    </cfRule>
    <cfRule type="cellIs" dxfId="559" priority="13833" operator="equal">
      <formula>"NO"</formula>
    </cfRule>
    <cfRule type="cellIs" dxfId="558" priority="13829" operator="equal">
      <formula>"NO"</formula>
    </cfRule>
    <cfRule type="cellIs" dxfId="557" priority="13789" operator="equal">
      <formula>"NO"</formula>
    </cfRule>
    <cfRule type="cellIs" dxfId="556" priority="13765" operator="equal">
      <formula>"NO"</formula>
    </cfRule>
    <cfRule type="cellIs" dxfId="555" priority="13785" operator="equal">
      <formula>"NO"</formula>
    </cfRule>
    <cfRule type="cellIs" dxfId="554" priority="13749" operator="equal">
      <formula>"NO"</formula>
    </cfRule>
    <cfRule type="cellIs" dxfId="553" priority="13773" operator="equal">
      <formula>"NO"</formula>
    </cfRule>
    <cfRule type="cellIs" dxfId="552" priority="13821" operator="equal">
      <formula>"NO"</formula>
    </cfRule>
    <cfRule type="cellIs" dxfId="551" priority="13805" operator="equal">
      <formula>"NO"</formula>
    </cfRule>
    <cfRule type="cellIs" dxfId="550" priority="13801" operator="equal">
      <formula>"NO"</formula>
    </cfRule>
    <cfRule type="cellIs" dxfId="549" priority="13753" operator="equal">
      <formula>"NO"</formula>
    </cfRule>
    <cfRule type="cellIs" dxfId="548" priority="13793" operator="equal">
      <formula>"NO"</formula>
    </cfRule>
    <cfRule type="cellIs" dxfId="547" priority="13777" operator="equal">
      <formula>"NO"</formula>
    </cfRule>
    <cfRule type="cellIs" dxfId="546" priority="13813" operator="equal">
      <formula>"NO"</formula>
    </cfRule>
    <cfRule type="cellIs" dxfId="545" priority="13769" operator="equal">
      <formula>"NO"</formula>
    </cfRule>
    <cfRule type="cellIs" dxfId="544" priority="13841" operator="equal">
      <formula>"NO"</formula>
    </cfRule>
    <cfRule type="cellIs" dxfId="543" priority="13757" operator="equal">
      <formula>"NO"</formula>
    </cfRule>
    <cfRule type="cellIs" dxfId="542" priority="13837" operator="equal">
      <formula>"NO"</formula>
    </cfRule>
    <cfRule type="cellIs" dxfId="541" priority="13825" operator="equal">
      <formula>"NO"</formula>
    </cfRule>
    <cfRule type="cellIs" dxfId="540" priority="13817" operator="equal">
      <formula>"NO"</formula>
    </cfRule>
    <cfRule type="cellIs" dxfId="539" priority="13873" operator="equal">
      <formula>"NO"</formula>
    </cfRule>
    <cfRule type="cellIs" dxfId="538" priority="13781" operator="equal">
      <formula>"NO"</formula>
    </cfRule>
    <cfRule type="cellIs" dxfId="537" priority="13761" operator="equal">
      <formula>"NO"</formula>
    </cfRule>
    <cfRule type="cellIs" dxfId="536" priority="13845" operator="equal">
      <formula>"NO"</formula>
    </cfRule>
    <cfRule type="cellIs" dxfId="535" priority="13745" operator="equal">
      <formula>"NO"</formula>
    </cfRule>
    <cfRule type="cellIs" dxfId="534" priority="13741" operator="equal">
      <formula>"NO"</formula>
    </cfRule>
    <cfRule type="cellIs" dxfId="533" priority="13905" operator="equal">
      <formula>"NO"</formula>
    </cfRule>
    <cfRule type="cellIs" dxfId="532" priority="13901" operator="equal">
      <formula>"NO"</formula>
    </cfRule>
    <cfRule type="cellIs" dxfId="531" priority="13797" operator="equal">
      <formula>"NO"</formula>
    </cfRule>
    <cfRule type="cellIs" dxfId="530" priority="13897" operator="equal">
      <formula>"NO"</formula>
    </cfRule>
    <cfRule type="cellIs" dxfId="529" priority="13893" operator="equal">
      <formula>"NO"</formula>
    </cfRule>
    <cfRule type="cellIs" dxfId="528" priority="13809" operator="equal">
      <formula>"NO"</formula>
    </cfRule>
    <cfRule type="cellIs" dxfId="527" priority="13889" operator="equal">
      <formula>"NO"</formula>
    </cfRule>
  </conditionalFormatting>
  <conditionalFormatting sqref="C434:C440 C292:C331 C247:C286">
    <cfRule type="cellIs" dxfId="526" priority="8808" operator="equal">
      <formula>"NO"</formula>
    </cfRule>
  </conditionalFormatting>
  <conditionalFormatting sqref="C434:C440">
    <cfRule type="containsText" dxfId="525" priority="714" operator="containsText" text="NO INSTALADO">
      <formula>NOT(ISERROR(SEARCH("NO INSTALADO",C434)))</formula>
    </cfRule>
    <cfRule type="containsText" dxfId="524" priority="713" operator="containsText" text="PEX DESAFILIADO">
      <formula>NOT(ISERROR(SEARCH("PEX DESAFILIADO",C434)))</formula>
    </cfRule>
    <cfRule type="containsText" dxfId="523" priority="712" operator="containsText" text="PEX BLOQUEADO">
      <formula>NOT(ISERROR(SEARCH("PEX BLOQUEADO",C434)))</formula>
    </cfRule>
  </conditionalFormatting>
  <conditionalFormatting sqref="C434:C442">
    <cfRule type="containsText" dxfId="522" priority="503" operator="containsText" text="PEX BLOQUEADO">
      <formula>NOT(ISERROR(SEARCH("PEX BLOQUEADO",C434)))</formula>
    </cfRule>
    <cfRule type="containsText" dxfId="521" priority="504" operator="containsText" text="PEX DESAFILIADO">
      <formula>NOT(ISERROR(SEARCH("PEX DESAFILIADO",C434)))</formula>
    </cfRule>
    <cfRule type="containsText" dxfId="520" priority="512" operator="containsText" text="PEX BLOQUEADO">
      <formula>NOT(ISERROR(SEARCH("PEX BLOQUEADO",C434)))</formula>
    </cfRule>
    <cfRule type="containsText" dxfId="519" priority="519" operator="containsText" text="NO INSTALADO">
      <formula>NOT(ISERROR(SEARCH("NO INSTALADO",C434)))</formula>
    </cfRule>
    <cfRule type="containsText" dxfId="518" priority="514" operator="containsText" text="NO INSTALADO">
      <formula>NOT(ISERROR(SEARCH("NO INSTALADO",C434)))</formula>
    </cfRule>
    <cfRule type="containsText" dxfId="517" priority="518" operator="containsText" text="PEX DESAFILIADO">
      <formula>NOT(ISERROR(SEARCH("PEX DESAFILIADO",C434)))</formula>
    </cfRule>
    <cfRule type="containsText" dxfId="516" priority="513" operator="containsText" text="PEX DESAFILIADO">
      <formula>NOT(ISERROR(SEARCH("PEX DESAFILIADO",C434)))</formula>
    </cfRule>
    <cfRule type="containsText" dxfId="515" priority="508" operator="containsText" text="PEX BLOQUEADO">
      <formula>NOT(ISERROR(SEARCH("PEX BLOQUEADO",C434)))</formula>
    </cfRule>
    <cfRule type="containsText" dxfId="514" priority="505" operator="containsText" text="NO INSTALADO">
      <formula>NOT(ISERROR(SEARCH("NO INSTALADO",C434)))</formula>
    </cfRule>
    <cfRule type="containsText" dxfId="513" priority="509" operator="containsText" text="PEX DESAFILIADO">
      <formula>NOT(ISERROR(SEARCH("PEX DESAFILIADO",C434)))</formula>
    </cfRule>
    <cfRule type="containsText" dxfId="512" priority="517" operator="containsText" text="PEX BLOQUEADO">
      <formula>NOT(ISERROR(SEARCH("PEX BLOQUEADO",C434)))</formula>
    </cfRule>
    <cfRule type="cellIs" dxfId="511" priority="515" operator="equal">
      <formula>"NO"</formula>
    </cfRule>
    <cfRule type="cellIs" dxfId="510" priority="511" operator="equal">
      <formula>"NO"</formula>
    </cfRule>
    <cfRule type="cellIs" dxfId="509" priority="507" operator="equal">
      <formula>"NO"</formula>
    </cfRule>
    <cfRule type="containsText" dxfId="508" priority="510" operator="containsText" text="NO INSTALADO">
      <formula>NOT(ISERROR(SEARCH("NO INSTALADO",C434)))</formula>
    </cfRule>
    <cfRule type="cellIs" dxfId="507" priority="506" operator="equal">
      <formula>"NO"</formula>
    </cfRule>
    <cfRule type="cellIs" dxfId="506" priority="516" operator="equal">
      <formula>"NO"</formula>
    </cfRule>
    <cfRule type="cellIs" dxfId="505" priority="520" operator="equal">
      <formula>"NO"</formula>
    </cfRule>
  </conditionalFormatting>
  <conditionalFormatting sqref="C443:C466">
    <cfRule type="cellIs" dxfId="504" priority="319" operator="equal">
      <formula>"NO"</formula>
    </cfRule>
    <cfRule type="containsText" dxfId="503" priority="318" operator="containsText" text="NO INSTALADO">
      <formula>NOT(ISERROR(SEARCH("NO INSTALADO",C443)))</formula>
    </cfRule>
    <cfRule type="containsText" dxfId="502" priority="317" operator="containsText" text="PEX DESAFILIADO">
      <formula>NOT(ISERROR(SEARCH("PEX DESAFILIADO",C443)))</formula>
    </cfRule>
    <cfRule type="containsText" dxfId="501" priority="316" operator="containsText" text="PEX BLOQUEADO">
      <formula>NOT(ISERROR(SEARCH("PEX BLOQUEADO",C443)))</formula>
    </cfRule>
    <cfRule type="cellIs" dxfId="500" priority="315" operator="equal">
      <formula>"NO"</formula>
    </cfRule>
    <cfRule type="containsText" dxfId="499" priority="314" operator="containsText" text="NO INSTALADO">
      <formula>NOT(ISERROR(SEARCH("NO INSTALADO",C443)))</formula>
    </cfRule>
    <cfRule type="containsText" dxfId="498" priority="313" operator="containsText" text="PEX DESAFILIADO">
      <formula>NOT(ISERROR(SEARCH("PEX DESAFILIADO",C443)))</formula>
    </cfRule>
    <cfRule type="containsText" dxfId="497" priority="312" operator="containsText" text="PEX BLOQUEADO">
      <formula>NOT(ISERROR(SEARCH("PEX BLOQUEADO",C443)))</formula>
    </cfRule>
    <cfRule type="cellIs" dxfId="496" priority="311" operator="equal">
      <formula>"NO"</formula>
    </cfRule>
    <cfRule type="containsText" dxfId="495" priority="310" operator="containsText" text="NO INSTALADO">
      <formula>NOT(ISERROR(SEARCH("NO INSTALADO",C443)))</formula>
    </cfRule>
    <cfRule type="containsText" dxfId="494" priority="309" operator="containsText" text="PEX DESAFILIADO">
      <formula>NOT(ISERROR(SEARCH("PEX DESAFILIADO",C443)))</formula>
    </cfRule>
    <cfRule type="containsText" dxfId="493" priority="308" operator="containsText" text="PEX BLOQUEADO">
      <formula>NOT(ISERROR(SEARCH("PEX BLOQUEADO",C443)))</formula>
    </cfRule>
    <cfRule type="cellIs" dxfId="492" priority="307" operator="equal">
      <formula>"NO"</formula>
    </cfRule>
    <cfRule type="containsText" dxfId="491" priority="306" operator="containsText" text="NO INSTALADO">
      <formula>NOT(ISERROR(SEARCH("NO INSTALADO",C443)))</formula>
    </cfRule>
    <cfRule type="containsText" dxfId="490" priority="305" operator="containsText" text="PEX DESAFILIADO">
      <formula>NOT(ISERROR(SEARCH("PEX DESAFILIADO",C443)))</formula>
    </cfRule>
    <cfRule type="containsText" dxfId="489" priority="304" operator="containsText" text="PEX BLOQUEADO">
      <formula>NOT(ISERROR(SEARCH("PEX BLOQUEADO",C443)))</formula>
    </cfRule>
    <cfRule type="cellIs" dxfId="488" priority="303" operator="equal">
      <formula>"NO"</formula>
    </cfRule>
    <cfRule type="containsText" dxfId="487" priority="302" operator="containsText" text="NO INSTALADO">
      <formula>NOT(ISERROR(SEARCH("NO INSTALADO",C443)))</formula>
    </cfRule>
    <cfRule type="containsText" dxfId="486" priority="301" operator="containsText" text="PEX DESAFILIADO">
      <formula>NOT(ISERROR(SEARCH("PEX DESAFILIADO",C443)))</formula>
    </cfRule>
    <cfRule type="containsText" dxfId="485" priority="300" operator="containsText" text="PEX BLOQUEADO">
      <formula>NOT(ISERROR(SEARCH("PEX BLOQUEADO",C443)))</formula>
    </cfRule>
    <cfRule type="cellIs" dxfId="484" priority="299" operator="equal">
      <formula>"NO"</formula>
    </cfRule>
    <cfRule type="containsText" dxfId="483" priority="298" operator="containsText" text="NO INSTALADO">
      <formula>NOT(ISERROR(SEARCH("NO INSTALADO",C443)))</formula>
    </cfRule>
    <cfRule type="containsText" dxfId="482" priority="297" operator="containsText" text="PEX DESAFILIADO">
      <formula>NOT(ISERROR(SEARCH("PEX DESAFILIADO",C443)))</formula>
    </cfRule>
    <cfRule type="containsText" dxfId="481" priority="296" operator="containsText" text="PEX BLOQUEADO">
      <formula>NOT(ISERROR(SEARCH("PEX BLOQUEADO",C443)))</formula>
    </cfRule>
    <cfRule type="cellIs" dxfId="480" priority="295" operator="equal">
      <formula>"NO"</formula>
    </cfRule>
    <cfRule type="containsText" dxfId="479" priority="294" operator="containsText" text="NO INSTALADO">
      <formula>NOT(ISERROR(SEARCH("NO INSTALADO",C443)))</formula>
    </cfRule>
    <cfRule type="containsText" dxfId="478" priority="293" operator="containsText" text="PEX DESAFILIADO">
      <formula>NOT(ISERROR(SEARCH("PEX DESAFILIADO",C443)))</formula>
    </cfRule>
    <cfRule type="containsText" dxfId="477" priority="292" operator="containsText" text="PEX BLOQUEADO">
      <formula>NOT(ISERROR(SEARCH("PEX BLOQUEADO",C443)))</formula>
    </cfRule>
    <cfRule type="cellIs" dxfId="476" priority="291" operator="equal">
      <formula>"NO"</formula>
    </cfRule>
    <cfRule type="containsText" dxfId="475" priority="290" operator="containsText" text="NO INSTALADO">
      <formula>NOT(ISERROR(SEARCH("NO INSTALADO",C443)))</formula>
    </cfRule>
    <cfRule type="containsText" dxfId="474" priority="289" operator="containsText" text="PEX DESAFILIADO">
      <formula>NOT(ISERROR(SEARCH("PEX DESAFILIADO",C443)))</formula>
    </cfRule>
    <cfRule type="containsText" dxfId="473" priority="288" operator="containsText" text="PEX BLOQUEADO">
      <formula>NOT(ISERROR(SEARCH("PEX BLOQUEADO",C443)))</formula>
    </cfRule>
    <cfRule type="cellIs" dxfId="472" priority="287" operator="equal">
      <formula>"NO"</formula>
    </cfRule>
    <cfRule type="containsText" dxfId="471" priority="286" operator="containsText" text="NO INSTALADO">
      <formula>NOT(ISERROR(SEARCH("NO INSTALADO",C443)))</formula>
    </cfRule>
    <cfRule type="containsText" dxfId="470" priority="285" operator="containsText" text="PEX DESAFILIADO">
      <formula>NOT(ISERROR(SEARCH("PEX DESAFILIADO",C443)))</formula>
    </cfRule>
    <cfRule type="containsText" dxfId="469" priority="284" operator="containsText" text="PEX BLOQUEADO">
      <formula>NOT(ISERROR(SEARCH("PEX BLOQUEADO",C443)))</formula>
    </cfRule>
    <cfRule type="cellIs" dxfId="468" priority="283" operator="equal">
      <formula>"NO"</formula>
    </cfRule>
    <cfRule type="containsText" dxfId="467" priority="282" operator="containsText" text="NO INSTALADO">
      <formula>NOT(ISERROR(SEARCH("NO INSTALADO",C443)))</formula>
    </cfRule>
    <cfRule type="containsText" dxfId="466" priority="281" operator="containsText" text="PEX DESAFILIADO">
      <formula>NOT(ISERROR(SEARCH("PEX DESAFILIADO",C443)))</formula>
    </cfRule>
    <cfRule type="containsText" dxfId="465" priority="280" operator="containsText" text="PEX BLOQUEADO">
      <formula>NOT(ISERROR(SEARCH("PEX BLOQUEADO",C443)))</formula>
    </cfRule>
    <cfRule type="cellIs" dxfId="464" priority="279" operator="equal">
      <formula>"NO"</formula>
    </cfRule>
    <cfRule type="containsText" dxfId="463" priority="278" operator="containsText" text="NO INSTALADO">
      <formula>NOT(ISERROR(SEARCH("NO INSTALADO",C443)))</formula>
    </cfRule>
    <cfRule type="containsText" dxfId="462" priority="277" operator="containsText" text="PEX DESAFILIADO">
      <formula>NOT(ISERROR(SEARCH("PEX DESAFILIADO",C443)))</formula>
    </cfRule>
    <cfRule type="containsText" dxfId="461" priority="276" operator="containsText" text="PEX BLOQUEADO">
      <formula>NOT(ISERROR(SEARCH("PEX BLOQUEADO",C443)))</formula>
    </cfRule>
    <cfRule type="cellIs" dxfId="460" priority="275" operator="equal">
      <formula>"NO"</formula>
    </cfRule>
    <cfRule type="containsText" dxfId="459" priority="274" operator="containsText" text="NO INSTALADO">
      <formula>NOT(ISERROR(SEARCH("NO INSTALADO",C443)))</formula>
    </cfRule>
    <cfRule type="containsText" dxfId="458" priority="273" operator="containsText" text="PEX DESAFILIADO">
      <formula>NOT(ISERROR(SEARCH("PEX DESAFILIADO",C443)))</formula>
    </cfRule>
    <cfRule type="containsText" dxfId="457" priority="272" operator="containsText" text="PEX BLOQUEADO">
      <formula>NOT(ISERROR(SEARCH("PEX BLOQUEADO",C443)))</formula>
    </cfRule>
    <cfRule type="cellIs" dxfId="456" priority="271" operator="equal">
      <formula>"NO"</formula>
    </cfRule>
    <cfRule type="containsText" dxfId="455" priority="270" operator="containsText" text="NO INSTALADO">
      <formula>NOT(ISERROR(SEARCH("NO INSTALADO",C443)))</formula>
    </cfRule>
    <cfRule type="containsText" dxfId="454" priority="269" operator="containsText" text="PEX DESAFILIADO">
      <formula>NOT(ISERROR(SEARCH("PEX DESAFILIADO",C443)))</formula>
    </cfRule>
    <cfRule type="containsText" dxfId="453" priority="268" operator="containsText" text="PEX BLOQUEADO">
      <formula>NOT(ISERROR(SEARCH("PEX BLOQUEADO",C443)))</formula>
    </cfRule>
    <cfRule type="cellIs" dxfId="452" priority="267" operator="equal">
      <formula>"NO"</formula>
    </cfRule>
    <cfRule type="containsText" dxfId="451" priority="266" operator="containsText" text="NO INSTALADO">
      <formula>NOT(ISERROR(SEARCH("NO INSTALADO",C443)))</formula>
    </cfRule>
    <cfRule type="containsText" dxfId="450" priority="265" operator="containsText" text="PEX DESAFILIADO">
      <formula>NOT(ISERROR(SEARCH("PEX DESAFILIADO",C443)))</formula>
    </cfRule>
    <cfRule type="containsText" dxfId="449" priority="264" operator="containsText" text="PEX BLOQUEADO">
      <formula>NOT(ISERROR(SEARCH("PEX BLOQUEADO",C443)))</formula>
    </cfRule>
    <cfRule type="cellIs" dxfId="448" priority="263" operator="equal">
      <formula>"NO"</formula>
    </cfRule>
    <cfRule type="containsText" dxfId="447" priority="262" operator="containsText" text="NO INSTALADO">
      <formula>NOT(ISERROR(SEARCH("NO INSTALADO",C443)))</formula>
    </cfRule>
    <cfRule type="containsText" dxfId="446" priority="261" operator="containsText" text="PEX DESAFILIADO">
      <formula>NOT(ISERROR(SEARCH("PEX DESAFILIADO",C443)))</formula>
    </cfRule>
    <cfRule type="containsText" dxfId="445" priority="260" operator="containsText" text="PEX BLOQUEADO">
      <formula>NOT(ISERROR(SEARCH("PEX BLOQUEADO",C443)))</formula>
    </cfRule>
    <cfRule type="cellIs" dxfId="444" priority="259" operator="equal">
      <formula>"NO"</formula>
    </cfRule>
    <cfRule type="containsText" dxfId="443" priority="258" operator="containsText" text="NO INSTALADO">
      <formula>NOT(ISERROR(SEARCH("NO INSTALADO",C443)))</formula>
    </cfRule>
    <cfRule type="containsText" dxfId="442" priority="257" operator="containsText" text="PEX DESAFILIADO">
      <formula>NOT(ISERROR(SEARCH("PEX DESAFILIADO",C443)))</formula>
    </cfRule>
    <cfRule type="containsText" dxfId="441" priority="256" operator="containsText" text="PEX BLOQUEADO">
      <formula>NOT(ISERROR(SEARCH("PEX BLOQUEADO",C443)))</formula>
    </cfRule>
    <cfRule type="cellIs" dxfId="440" priority="255" operator="equal">
      <formula>"NO"</formula>
    </cfRule>
    <cfRule type="containsText" dxfId="439" priority="254" operator="containsText" text="NO INSTALADO">
      <formula>NOT(ISERROR(SEARCH("NO INSTALADO",C443)))</formula>
    </cfRule>
    <cfRule type="containsText" dxfId="438" priority="253" operator="containsText" text="PEX DESAFILIADO">
      <formula>NOT(ISERROR(SEARCH("PEX DESAFILIADO",C443)))</formula>
    </cfRule>
    <cfRule type="containsText" dxfId="437" priority="252" operator="containsText" text="PEX BLOQUEADO">
      <formula>NOT(ISERROR(SEARCH("PEX BLOQUEADO",C443)))</formula>
    </cfRule>
    <cfRule type="cellIs" dxfId="436" priority="251" operator="equal">
      <formula>"NO"</formula>
    </cfRule>
    <cfRule type="containsText" dxfId="435" priority="250" operator="containsText" text="NO INSTALADO">
      <formula>NOT(ISERROR(SEARCH("NO INSTALADO",C443)))</formula>
    </cfRule>
    <cfRule type="containsText" dxfId="434" priority="249" operator="containsText" text="PEX DESAFILIADO">
      <formula>NOT(ISERROR(SEARCH("PEX DESAFILIADO",C443)))</formula>
    </cfRule>
    <cfRule type="containsText" dxfId="433" priority="248" operator="containsText" text="PEX BLOQUEADO">
      <formula>NOT(ISERROR(SEARCH("PEX BLOQUEADO",C443)))</formula>
    </cfRule>
    <cfRule type="cellIs" dxfId="432" priority="247" operator="equal">
      <formula>"NO"</formula>
    </cfRule>
    <cfRule type="containsText" dxfId="431" priority="246" operator="containsText" text="NO INSTALADO">
      <formula>NOT(ISERROR(SEARCH("NO INSTALADO",C443)))</formula>
    </cfRule>
    <cfRule type="containsText" dxfId="430" priority="245" operator="containsText" text="PEX DESAFILIADO">
      <formula>NOT(ISERROR(SEARCH("PEX DESAFILIADO",C443)))</formula>
    </cfRule>
    <cfRule type="containsText" dxfId="429" priority="244" operator="containsText" text="PEX BLOQUEADO">
      <formula>NOT(ISERROR(SEARCH("PEX BLOQUEADO",C443)))</formula>
    </cfRule>
    <cfRule type="cellIs" dxfId="428" priority="243" operator="equal">
      <formula>"NO"</formula>
    </cfRule>
    <cfRule type="containsText" dxfId="427" priority="242" operator="containsText" text="NO INSTALADO">
      <formula>NOT(ISERROR(SEARCH("NO INSTALADO",C443)))</formula>
    </cfRule>
    <cfRule type="containsText" dxfId="426" priority="241" operator="containsText" text="PEX DESAFILIADO">
      <formula>NOT(ISERROR(SEARCH("PEX DESAFILIADO",C443)))</formula>
    </cfRule>
    <cfRule type="containsText" dxfId="425" priority="240" operator="containsText" text="PEX BLOQUEADO">
      <formula>NOT(ISERROR(SEARCH("PEX BLOQUEADO",C443)))</formula>
    </cfRule>
    <cfRule type="cellIs" dxfId="424" priority="239" operator="equal">
      <formula>"NO"</formula>
    </cfRule>
    <cfRule type="containsText" dxfId="423" priority="238" operator="containsText" text="NO INSTALADO">
      <formula>NOT(ISERROR(SEARCH("NO INSTALADO",C443)))</formula>
    </cfRule>
    <cfRule type="containsText" dxfId="422" priority="237" operator="containsText" text="PEX DESAFILIADO">
      <formula>NOT(ISERROR(SEARCH("PEX DESAFILIADO",C443)))</formula>
    </cfRule>
    <cfRule type="containsText" dxfId="421" priority="236" operator="containsText" text="PEX BLOQUEADO">
      <formula>NOT(ISERROR(SEARCH("PEX BLOQUEADO",C443)))</formula>
    </cfRule>
    <cfRule type="cellIs" dxfId="420" priority="235" operator="equal">
      <formula>"NO"</formula>
    </cfRule>
    <cfRule type="containsText" dxfId="419" priority="234" operator="containsText" text="NO INSTALADO">
      <formula>NOT(ISERROR(SEARCH("NO INSTALADO",C443)))</formula>
    </cfRule>
    <cfRule type="containsText" dxfId="418" priority="233" operator="containsText" text="PEX DESAFILIADO">
      <formula>NOT(ISERROR(SEARCH("PEX DESAFILIADO",C443)))</formula>
    </cfRule>
    <cfRule type="containsText" dxfId="417" priority="232" operator="containsText" text="PEX BLOQUEADO">
      <formula>NOT(ISERROR(SEARCH("PEX BLOQUEADO",C443)))</formula>
    </cfRule>
    <cfRule type="cellIs" dxfId="416" priority="231" operator="equal">
      <formula>"NO"</formula>
    </cfRule>
    <cfRule type="containsText" dxfId="415" priority="230" operator="containsText" text="NO INSTALADO">
      <formula>NOT(ISERROR(SEARCH("NO INSTALADO",C443)))</formula>
    </cfRule>
    <cfRule type="containsText" dxfId="414" priority="229" operator="containsText" text="PEX DESAFILIADO">
      <formula>NOT(ISERROR(SEARCH("PEX DESAFILIADO",C443)))</formula>
    </cfRule>
    <cfRule type="containsText" dxfId="413" priority="228" operator="containsText" text="PEX BLOQUEADO">
      <formula>NOT(ISERROR(SEARCH("PEX BLOQUEADO",C443)))</formula>
    </cfRule>
    <cfRule type="cellIs" dxfId="412" priority="227" operator="equal">
      <formula>"NO"</formula>
    </cfRule>
    <cfRule type="containsText" dxfId="411" priority="226" operator="containsText" text="NO INSTALADO">
      <formula>NOT(ISERROR(SEARCH("NO INSTALADO",C443)))</formula>
    </cfRule>
    <cfRule type="containsText" dxfId="410" priority="225" operator="containsText" text="PEX DESAFILIADO">
      <formula>NOT(ISERROR(SEARCH("PEX DESAFILIADO",C443)))</formula>
    </cfRule>
    <cfRule type="containsText" dxfId="409" priority="224" operator="containsText" text="PEX BLOQUEADO">
      <formula>NOT(ISERROR(SEARCH("PEX BLOQUEADO",C443)))</formula>
    </cfRule>
    <cfRule type="cellIs" dxfId="408" priority="223" operator="equal">
      <formula>"NO"</formula>
    </cfRule>
    <cfRule type="containsText" dxfId="407" priority="222" operator="containsText" text="NO INSTALADO">
      <formula>NOT(ISERROR(SEARCH("NO INSTALADO",C443)))</formula>
    </cfRule>
    <cfRule type="containsText" dxfId="406" priority="221" operator="containsText" text="PEX DESAFILIADO">
      <formula>NOT(ISERROR(SEARCH("PEX DESAFILIADO",C443)))</formula>
    </cfRule>
    <cfRule type="containsText" dxfId="405" priority="220" operator="containsText" text="PEX BLOQUEADO">
      <formula>NOT(ISERROR(SEARCH("PEX BLOQUEADO",C443)))</formula>
    </cfRule>
    <cfRule type="cellIs" dxfId="404" priority="219" operator="equal">
      <formula>"NO"</formula>
    </cfRule>
    <cfRule type="containsText" dxfId="403" priority="218" operator="containsText" text="NO INSTALADO">
      <formula>NOT(ISERROR(SEARCH("NO INSTALADO",C443)))</formula>
    </cfRule>
    <cfRule type="containsText" dxfId="402" priority="217" operator="containsText" text="PEX DESAFILIADO">
      <formula>NOT(ISERROR(SEARCH("PEX DESAFILIADO",C443)))</formula>
    </cfRule>
    <cfRule type="containsText" dxfId="401" priority="216" operator="containsText" text="PEX BLOQUEADO">
      <formula>NOT(ISERROR(SEARCH("PEX BLOQUEADO",C443)))</formula>
    </cfRule>
    <cfRule type="cellIs" dxfId="400" priority="215" operator="equal">
      <formula>"NO"</formula>
    </cfRule>
    <cfRule type="containsText" dxfId="399" priority="214" operator="containsText" text="NO INSTALADO">
      <formula>NOT(ISERROR(SEARCH("NO INSTALADO",C443)))</formula>
    </cfRule>
    <cfRule type="containsText" dxfId="398" priority="213" operator="containsText" text="PEX DESAFILIADO">
      <formula>NOT(ISERROR(SEARCH("PEX DESAFILIADO",C443)))</formula>
    </cfRule>
    <cfRule type="containsText" dxfId="397" priority="212" operator="containsText" text="PEX BLOQUEADO">
      <formula>NOT(ISERROR(SEARCH("PEX BLOQUEADO",C443)))</formula>
    </cfRule>
    <cfRule type="cellIs" dxfId="396" priority="211" operator="equal">
      <formula>"NO"</formula>
    </cfRule>
    <cfRule type="containsText" dxfId="395" priority="210" operator="containsText" text="NO INSTALADO">
      <formula>NOT(ISERROR(SEARCH("NO INSTALADO",C443)))</formula>
    </cfRule>
    <cfRule type="containsText" dxfId="394" priority="209" operator="containsText" text="PEX DESAFILIADO">
      <formula>NOT(ISERROR(SEARCH("PEX DESAFILIADO",C443)))</formula>
    </cfRule>
    <cfRule type="containsText" dxfId="393" priority="208" operator="containsText" text="PEX BLOQUEADO">
      <formula>NOT(ISERROR(SEARCH("PEX BLOQUEADO",C443)))</formula>
    </cfRule>
    <cfRule type="cellIs" dxfId="392" priority="207" operator="equal">
      <formula>"NO"</formula>
    </cfRule>
    <cfRule type="containsText" dxfId="391" priority="206" operator="containsText" text="NO INSTALADO">
      <formula>NOT(ISERROR(SEARCH("NO INSTALADO",C443)))</formula>
    </cfRule>
    <cfRule type="containsText" dxfId="390" priority="205" operator="containsText" text="PEX DESAFILIADO">
      <formula>NOT(ISERROR(SEARCH("PEX DESAFILIADO",C443)))</formula>
    </cfRule>
    <cfRule type="containsText" dxfId="389" priority="204" operator="containsText" text="PEX BLOQUEADO">
      <formula>NOT(ISERROR(SEARCH("PEX BLOQUEADO",C443)))</formula>
    </cfRule>
    <cfRule type="cellIs" dxfId="388" priority="203" operator="equal">
      <formula>"NO"</formula>
    </cfRule>
    <cfRule type="containsText" dxfId="387" priority="202" operator="containsText" text="NO INSTALADO">
      <formula>NOT(ISERROR(SEARCH("NO INSTALADO",C443)))</formula>
    </cfRule>
    <cfRule type="containsText" dxfId="386" priority="201" operator="containsText" text="PEX DESAFILIADO">
      <formula>NOT(ISERROR(SEARCH("PEX DESAFILIADO",C443)))</formula>
    </cfRule>
    <cfRule type="containsText" dxfId="385" priority="200" operator="containsText" text="PEX BLOQUEADO">
      <formula>NOT(ISERROR(SEARCH("PEX BLOQUEADO",C443)))</formula>
    </cfRule>
    <cfRule type="cellIs" dxfId="384" priority="199" operator="equal">
      <formula>"NO"</formula>
    </cfRule>
    <cfRule type="containsText" dxfId="383" priority="198" operator="containsText" text="NO INSTALADO">
      <formula>NOT(ISERROR(SEARCH("NO INSTALADO",C443)))</formula>
    </cfRule>
    <cfRule type="containsText" dxfId="382" priority="197" operator="containsText" text="PEX DESAFILIADO">
      <formula>NOT(ISERROR(SEARCH("PEX DESAFILIADO",C443)))</formula>
    </cfRule>
    <cfRule type="containsText" dxfId="381" priority="196" operator="containsText" text="PEX BLOQUEADO">
      <formula>NOT(ISERROR(SEARCH("PEX BLOQUEADO",C443)))</formula>
    </cfRule>
    <cfRule type="cellIs" dxfId="380" priority="195" operator="equal">
      <formula>"NO"</formula>
    </cfRule>
    <cfRule type="containsText" dxfId="379" priority="194" operator="containsText" text="NO INSTALADO">
      <formula>NOT(ISERROR(SEARCH("NO INSTALADO",C443)))</formula>
    </cfRule>
    <cfRule type="containsText" dxfId="378" priority="193" operator="containsText" text="PEX DESAFILIADO">
      <formula>NOT(ISERROR(SEARCH("PEX DESAFILIADO",C443)))</formula>
    </cfRule>
    <cfRule type="containsText" dxfId="377" priority="192" operator="containsText" text="PEX BLOQUEADO">
      <formula>NOT(ISERROR(SEARCH("PEX BLOQUEADO",C443)))</formula>
    </cfRule>
    <cfRule type="cellIs" dxfId="376" priority="191" operator="equal">
      <formula>"NO"</formula>
    </cfRule>
    <cfRule type="containsText" dxfId="375" priority="190" operator="containsText" text="NO INSTALADO">
      <formula>NOT(ISERROR(SEARCH("NO INSTALADO",C443)))</formula>
    </cfRule>
    <cfRule type="containsText" dxfId="374" priority="189" operator="containsText" text="PEX DESAFILIADO">
      <formula>NOT(ISERROR(SEARCH("PEX DESAFILIADO",C443)))</formula>
    </cfRule>
    <cfRule type="containsText" dxfId="373" priority="188" operator="containsText" text="PEX BLOQUEADO">
      <formula>NOT(ISERROR(SEARCH("PEX BLOQUEADO",C443)))</formula>
    </cfRule>
    <cfRule type="cellIs" dxfId="372" priority="187" operator="equal">
      <formula>"NO"</formula>
    </cfRule>
    <cfRule type="containsText" dxfId="371" priority="186" operator="containsText" text="NO INSTALADO">
      <formula>NOT(ISERROR(SEARCH("NO INSTALADO",C443)))</formula>
    </cfRule>
    <cfRule type="containsText" dxfId="370" priority="185" operator="containsText" text="PEX DESAFILIADO">
      <formula>NOT(ISERROR(SEARCH("PEX DESAFILIADO",C443)))</formula>
    </cfRule>
    <cfRule type="containsText" dxfId="369" priority="184" operator="containsText" text="PEX BLOQUEADO">
      <formula>NOT(ISERROR(SEARCH("PEX BLOQUEADO",C443)))</formula>
    </cfRule>
    <cfRule type="cellIs" dxfId="368" priority="183" operator="equal">
      <formula>"NO"</formula>
    </cfRule>
    <cfRule type="containsText" dxfId="367" priority="182" operator="containsText" text="NO INSTALADO">
      <formula>NOT(ISERROR(SEARCH("NO INSTALADO",C443)))</formula>
    </cfRule>
    <cfRule type="containsText" dxfId="366" priority="181" operator="containsText" text="PEX DESAFILIADO">
      <formula>NOT(ISERROR(SEARCH("PEX DESAFILIADO",C443)))</formula>
    </cfRule>
    <cfRule type="containsText" dxfId="365" priority="180" operator="containsText" text="PEX BLOQUEADO">
      <formula>NOT(ISERROR(SEARCH("PEX BLOQUEADO",C443)))</formula>
    </cfRule>
    <cfRule type="cellIs" dxfId="364" priority="179" operator="equal">
      <formula>"NO"</formula>
    </cfRule>
    <cfRule type="containsText" dxfId="363" priority="178" operator="containsText" text="NO INSTALADO">
      <formula>NOT(ISERROR(SEARCH("NO INSTALADO",C443)))</formula>
    </cfRule>
    <cfRule type="containsText" dxfId="362" priority="177" operator="containsText" text="PEX DESAFILIADO">
      <formula>NOT(ISERROR(SEARCH("PEX DESAFILIADO",C443)))</formula>
    </cfRule>
    <cfRule type="containsText" dxfId="361" priority="176" operator="containsText" text="PEX BLOQUEADO">
      <formula>NOT(ISERROR(SEARCH("PEX BLOQUEADO",C443)))</formula>
    </cfRule>
    <cfRule type="cellIs" dxfId="360" priority="175" operator="equal">
      <formula>"NO"</formula>
    </cfRule>
    <cfRule type="containsText" dxfId="359" priority="174" operator="containsText" text="NO INSTALADO">
      <formula>NOT(ISERROR(SEARCH("NO INSTALADO",C443)))</formula>
    </cfRule>
    <cfRule type="containsText" dxfId="358" priority="173" operator="containsText" text="PEX DESAFILIADO">
      <formula>NOT(ISERROR(SEARCH("PEX DESAFILIADO",C443)))</formula>
    </cfRule>
    <cfRule type="containsText" dxfId="357" priority="172" operator="containsText" text="PEX BLOQUEADO">
      <formula>NOT(ISERROR(SEARCH("PEX BLOQUEADO",C443)))</formula>
    </cfRule>
    <cfRule type="cellIs" dxfId="356" priority="171" operator="equal">
      <formula>"NO"</formula>
    </cfRule>
    <cfRule type="containsText" dxfId="355" priority="170" operator="containsText" text="NO INSTALADO">
      <formula>NOT(ISERROR(SEARCH("NO INSTALADO",C443)))</formula>
    </cfRule>
    <cfRule type="containsText" dxfId="354" priority="169" operator="containsText" text="PEX DESAFILIADO">
      <formula>NOT(ISERROR(SEARCH("PEX DESAFILIADO",C443)))</formula>
    </cfRule>
    <cfRule type="containsText" dxfId="353" priority="168" operator="containsText" text="PEX BLOQUEADO">
      <formula>NOT(ISERROR(SEARCH("PEX BLOQUEADO",C443)))</formula>
    </cfRule>
    <cfRule type="cellIs" dxfId="352" priority="167" operator="equal">
      <formula>"NO"</formula>
    </cfRule>
    <cfRule type="containsText" dxfId="351" priority="166" operator="containsText" text="NO INSTALADO">
      <formula>NOT(ISERROR(SEARCH("NO INSTALADO",C443)))</formula>
    </cfRule>
    <cfRule type="containsText" dxfId="350" priority="165" operator="containsText" text="PEX DESAFILIADO">
      <formula>NOT(ISERROR(SEARCH("PEX DESAFILIADO",C443)))</formula>
    </cfRule>
    <cfRule type="containsText" dxfId="349" priority="164" operator="containsText" text="PEX BLOQUEADO">
      <formula>NOT(ISERROR(SEARCH("PEX BLOQUEADO",C443)))</formula>
    </cfRule>
    <cfRule type="cellIs" dxfId="348" priority="163" operator="equal">
      <formula>"NO"</formula>
    </cfRule>
    <cfRule type="containsText" dxfId="347" priority="162" operator="containsText" text="NO INSTALADO">
      <formula>NOT(ISERROR(SEARCH("NO INSTALADO",C443)))</formula>
    </cfRule>
    <cfRule type="containsText" dxfId="346" priority="161" operator="containsText" text="PEX DESAFILIADO">
      <formula>NOT(ISERROR(SEARCH("PEX DESAFILIADO",C443)))</formula>
    </cfRule>
    <cfRule type="containsText" dxfId="345" priority="160" operator="containsText" text="PEX BLOQUEADO">
      <formula>NOT(ISERROR(SEARCH("PEX BLOQUEADO",C443)))</formula>
    </cfRule>
    <cfRule type="cellIs" dxfId="344" priority="159" operator="equal">
      <formula>"NO"</formula>
    </cfRule>
    <cfRule type="containsText" dxfId="343" priority="158" operator="containsText" text="NO INSTALADO">
      <formula>NOT(ISERROR(SEARCH("NO INSTALADO",C443)))</formula>
    </cfRule>
    <cfRule type="containsText" dxfId="342" priority="157" operator="containsText" text="PEX DESAFILIADO">
      <formula>NOT(ISERROR(SEARCH("PEX DESAFILIADO",C443)))</formula>
    </cfRule>
    <cfRule type="containsText" dxfId="341" priority="156" operator="containsText" text="PEX BLOQUEADO">
      <formula>NOT(ISERROR(SEARCH("PEX BLOQUEADO",C443)))</formula>
    </cfRule>
    <cfRule type="cellIs" dxfId="340" priority="155" operator="equal">
      <formula>"NO"</formula>
    </cfRule>
    <cfRule type="containsText" dxfId="339" priority="154" operator="containsText" text="NO INSTALADO">
      <formula>NOT(ISERROR(SEARCH("NO INSTALADO",C443)))</formula>
    </cfRule>
    <cfRule type="containsText" dxfId="338" priority="153" operator="containsText" text="PEX DESAFILIADO">
      <formula>NOT(ISERROR(SEARCH("PEX DESAFILIADO",C443)))</formula>
    </cfRule>
    <cfRule type="containsText" dxfId="337" priority="152" operator="containsText" text="PEX BLOQUEADO">
      <formula>NOT(ISERROR(SEARCH("PEX BLOQUEADO",C443)))</formula>
    </cfRule>
    <cfRule type="cellIs" dxfId="336" priority="151" operator="equal">
      <formula>"NO"</formula>
    </cfRule>
    <cfRule type="containsText" dxfId="335" priority="150" operator="containsText" text="NO INSTALADO">
      <formula>NOT(ISERROR(SEARCH("NO INSTALADO",C443)))</formula>
    </cfRule>
    <cfRule type="containsText" dxfId="334" priority="149" operator="containsText" text="PEX DESAFILIADO">
      <formula>NOT(ISERROR(SEARCH("PEX DESAFILIADO",C443)))</formula>
    </cfRule>
    <cfRule type="containsText" dxfId="333" priority="148" operator="containsText" text="PEX BLOQUEADO">
      <formula>NOT(ISERROR(SEARCH("PEX BLOQUEADO",C443)))</formula>
    </cfRule>
    <cfRule type="cellIs" dxfId="332" priority="147" operator="equal">
      <formula>"NO"</formula>
    </cfRule>
    <cfRule type="containsText" dxfId="331" priority="146" operator="containsText" text="NO INSTALADO">
      <formula>NOT(ISERROR(SEARCH("NO INSTALADO",C443)))</formula>
    </cfRule>
    <cfRule type="containsText" dxfId="330" priority="145" operator="containsText" text="PEX DESAFILIADO">
      <formula>NOT(ISERROR(SEARCH("PEX DESAFILIADO",C443)))</formula>
    </cfRule>
    <cfRule type="containsText" dxfId="329" priority="144" operator="containsText" text="PEX BLOQUEADO">
      <formula>NOT(ISERROR(SEARCH("PEX BLOQUEADO",C443)))</formula>
    </cfRule>
    <cfRule type="cellIs" dxfId="328" priority="143" operator="equal">
      <formula>"NO"</formula>
    </cfRule>
    <cfRule type="containsText" dxfId="327" priority="142" operator="containsText" text="NO INSTALADO">
      <formula>NOT(ISERROR(SEARCH("NO INSTALADO",C443)))</formula>
    </cfRule>
    <cfRule type="containsText" dxfId="326" priority="141" operator="containsText" text="PEX DESAFILIADO">
      <formula>NOT(ISERROR(SEARCH("PEX DESAFILIADO",C443)))</formula>
    </cfRule>
    <cfRule type="containsText" dxfId="325" priority="140" operator="containsText" text="PEX BLOQUEADO">
      <formula>NOT(ISERROR(SEARCH("PEX BLOQUEADO",C443)))</formula>
    </cfRule>
    <cfRule type="cellIs" dxfId="324" priority="139" operator="equal">
      <formula>"NO"</formula>
    </cfRule>
    <cfRule type="containsText" dxfId="323" priority="138" operator="containsText" text="NO INSTALADO">
      <formula>NOT(ISERROR(SEARCH("NO INSTALADO",C443)))</formula>
    </cfRule>
    <cfRule type="containsText" dxfId="322" priority="137" operator="containsText" text="PEX DESAFILIADO">
      <formula>NOT(ISERROR(SEARCH("PEX DESAFILIADO",C443)))</formula>
    </cfRule>
    <cfRule type="containsText" dxfId="321" priority="136" operator="containsText" text="PEX BLOQUEADO">
      <formula>NOT(ISERROR(SEARCH("PEX BLOQUEADO",C443)))</formula>
    </cfRule>
    <cfRule type="cellIs" dxfId="320" priority="135" operator="equal">
      <formula>"NO"</formula>
    </cfRule>
    <cfRule type="containsText" dxfId="319" priority="134" operator="containsText" text="NO INSTALADO">
      <formula>NOT(ISERROR(SEARCH("NO INSTALADO",C443)))</formula>
    </cfRule>
    <cfRule type="containsText" dxfId="318" priority="133" operator="containsText" text="PEX DESAFILIADO">
      <formula>NOT(ISERROR(SEARCH("PEX DESAFILIADO",C443)))</formula>
    </cfRule>
    <cfRule type="containsText" dxfId="317" priority="132" operator="containsText" text="PEX BLOQUEADO">
      <formula>NOT(ISERROR(SEARCH("PEX BLOQUEADO",C443)))</formula>
    </cfRule>
    <cfRule type="cellIs" dxfId="316" priority="131" operator="equal">
      <formula>"NO"</formula>
    </cfRule>
    <cfRule type="containsText" dxfId="315" priority="130" operator="containsText" text="NO INSTALADO">
      <formula>NOT(ISERROR(SEARCH("NO INSTALADO",C443)))</formula>
    </cfRule>
    <cfRule type="containsText" dxfId="314" priority="129" operator="containsText" text="PEX DESAFILIADO">
      <formula>NOT(ISERROR(SEARCH("PEX DESAFILIADO",C443)))</formula>
    </cfRule>
    <cfRule type="containsText" dxfId="313" priority="128" operator="containsText" text="PEX BLOQUEADO">
      <formula>NOT(ISERROR(SEARCH("PEX BLOQUEADO",C443)))</formula>
    </cfRule>
    <cfRule type="cellIs" dxfId="312" priority="127" operator="equal">
      <formula>"NO"</formula>
    </cfRule>
    <cfRule type="containsText" dxfId="311" priority="126" operator="containsText" text="NO INSTALADO">
      <formula>NOT(ISERROR(SEARCH("NO INSTALADO",C443)))</formula>
    </cfRule>
    <cfRule type="containsText" dxfId="310" priority="125" operator="containsText" text="PEX DESAFILIADO">
      <formula>NOT(ISERROR(SEARCH("PEX DESAFILIADO",C443)))</formula>
    </cfRule>
    <cfRule type="containsText" dxfId="309" priority="124" operator="containsText" text="PEX BLOQUEADO">
      <formula>NOT(ISERROR(SEARCH("PEX BLOQUEADO",C443)))</formula>
    </cfRule>
    <cfRule type="cellIs" dxfId="308" priority="123" operator="equal">
      <formula>"NO"</formula>
    </cfRule>
    <cfRule type="containsText" dxfId="307" priority="122" operator="containsText" text="NO INSTALADO">
      <formula>NOT(ISERROR(SEARCH("NO INSTALADO",C443)))</formula>
    </cfRule>
    <cfRule type="containsText" dxfId="306" priority="121" operator="containsText" text="PEX DESAFILIADO">
      <formula>NOT(ISERROR(SEARCH("PEX DESAFILIADO",C443)))</formula>
    </cfRule>
    <cfRule type="containsText" dxfId="305" priority="120" operator="containsText" text="PEX BLOQUEADO">
      <formula>NOT(ISERROR(SEARCH("PEX BLOQUEADO",C443)))</formula>
    </cfRule>
    <cfRule type="cellIs" dxfId="304" priority="119" operator="equal">
      <formula>"NO"</formula>
    </cfRule>
    <cfRule type="containsText" dxfId="303" priority="118" operator="containsText" text="NO INSTALADO">
      <formula>NOT(ISERROR(SEARCH("NO INSTALADO",C443)))</formula>
    </cfRule>
    <cfRule type="containsText" dxfId="302" priority="117" operator="containsText" text="PEX DESAFILIADO">
      <formula>NOT(ISERROR(SEARCH("PEX DESAFILIADO",C443)))</formula>
    </cfRule>
    <cfRule type="containsText" dxfId="301" priority="116" operator="containsText" text="PEX BLOQUEADO">
      <formula>NOT(ISERROR(SEARCH("PEX BLOQUEADO",C443)))</formula>
    </cfRule>
    <cfRule type="cellIs" dxfId="300" priority="115" operator="equal">
      <formula>"NO"</formula>
    </cfRule>
    <cfRule type="containsText" dxfId="299" priority="114" operator="containsText" text="NO INSTALADO">
      <formula>NOT(ISERROR(SEARCH("NO INSTALADO",C443)))</formula>
    </cfRule>
    <cfRule type="containsText" dxfId="298" priority="113" operator="containsText" text="PEX DESAFILIADO">
      <formula>NOT(ISERROR(SEARCH("PEX DESAFILIADO",C443)))</formula>
    </cfRule>
    <cfRule type="containsText" dxfId="297" priority="112" operator="containsText" text="PEX BLOQUEADO">
      <formula>NOT(ISERROR(SEARCH("PEX BLOQUEADO",C443)))</formula>
    </cfRule>
    <cfRule type="cellIs" dxfId="296" priority="111" operator="equal">
      <formula>"NO"</formula>
    </cfRule>
    <cfRule type="containsText" dxfId="295" priority="110" operator="containsText" text="NO INSTALADO">
      <formula>NOT(ISERROR(SEARCH("NO INSTALADO",C443)))</formula>
    </cfRule>
    <cfRule type="containsText" dxfId="294" priority="109" operator="containsText" text="PEX DESAFILIADO">
      <formula>NOT(ISERROR(SEARCH("PEX DESAFILIADO",C443)))</formula>
    </cfRule>
    <cfRule type="containsText" dxfId="293" priority="108" operator="containsText" text="PEX BLOQUEADO">
      <formula>NOT(ISERROR(SEARCH("PEX BLOQUEADO",C443)))</formula>
    </cfRule>
    <cfRule type="cellIs" dxfId="292" priority="107" operator="equal">
      <formula>"NO"</formula>
    </cfRule>
    <cfRule type="containsText" dxfId="291" priority="106" operator="containsText" text="NO INSTALADO">
      <formula>NOT(ISERROR(SEARCH("NO INSTALADO",C443)))</formula>
    </cfRule>
    <cfRule type="containsText" dxfId="290" priority="105" operator="containsText" text="PEX DESAFILIADO">
      <formula>NOT(ISERROR(SEARCH("PEX DESAFILIADO",C443)))</formula>
    </cfRule>
    <cfRule type="containsText" dxfId="289" priority="104" operator="containsText" text="PEX BLOQUEADO">
      <formula>NOT(ISERROR(SEARCH("PEX BLOQUEADO",C443)))</formula>
    </cfRule>
    <cfRule type="cellIs" dxfId="288" priority="103" operator="equal">
      <formula>"NO"</formula>
    </cfRule>
    <cfRule type="containsText" dxfId="287" priority="102" operator="containsText" text="NO INSTALADO">
      <formula>NOT(ISERROR(SEARCH("NO INSTALADO",C443)))</formula>
    </cfRule>
    <cfRule type="containsText" dxfId="286" priority="101" operator="containsText" text="PEX DESAFILIADO">
      <formula>NOT(ISERROR(SEARCH("PEX DESAFILIADO",C443)))</formula>
    </cfRule>
    <cfRule type="containsText" dxfId="285" priority="100" operator="containsText" text="PEX BLOQUEADO">
      <formula>NOT(ISERROR(SEARCH("PEX BLOQUEADO",C443)))</formula>
    </cfRule>
    <cfRule type="cellIs" dxfId="284" priority="99" operator="equal">
      <formula>"NO"</formula>
    </cfRule>
    <cfRule type="containsText" dxfId="283" priority="98" operator="containsText" text="NO INSTALADO">
      <formula>NOT(ISERROR(SEARCH("NO INSTALADO",C443)))</formula>
    </cfRule>
    <cfRule type="containsText" dxfId="282" priority="97" operator="containsText" text="PEX DESAFILIADO">
      <formula>NOT(ISERROR(SEARCH("PEX DESAFILIADO",C443)))</formula>
    </cfRule>
    <cfRule type="cellIs" dxfId="281" priority="95" operator="equal">
      <formula>"NO"</formula>
    </cfRule>
    <cfRule type="containsText" dxfId="280" priority="94" operator="containsText" text="NO INSTALADO">
      <formula>NOT(ISERROR(SEARCH("NO INSTALADO",C443)))</formula>
    </cfRule>
    <cfRule type="containsText" dxfId="279" priority="93" operator="containsText" text="PEX DESAFILIADO">
      <formula>NOT(ISERROR(SEARCH("PEX DESAFILIADO",C443)))</formula>
    </cfRule>
    <cfRule type="containsText" dxfId="278" priority="92" operator="containsText" text="PEX BLOQUEADO">
      <formula>NOT(ISERROR(SEARCH("PEX BLOQUEADO",C443)))</formula>
    </cfRule>
    <cfRule type="cellIs" dxfId="277" priority="91" operator="equal">
      <formula>"NO"</formula>
    </cfRule>
    <cfRule type="containsText" dxfId="276" priority="90" operator="containsText" text="NO INSTALADO">
      <formula>NOT(ISERROR(SEARCH("NO INSTALADO",C443)))</formula>
    </cfRule>
    <cfRule type="containsText" dxfId="275" priority="89" operator="containsText" text="PEX DESAFILIADO">
      <formula>NOT(ISERROR(SEARCH("PEX DESAFILIADO",C443)))</formula>
    </cfRule>
    <cfRule type="containsText" dxfId="274" priority="88" operator="containsText" text="PEX BLOQUEADO">
      <formula>NOT(ISERROR(SEARCH("PEX BLOQUEADO",C443)))</formula>
    </cfRule>
    <cfRule type="cellIs" dxfId="273" priority="87" operator="equal">
      <formula>"NO"</formula>
    </cfRule>
    <cfRule type="containsText" dxfId="272" priority="86" operator="containsText" text="NO INSTALADO">
      <formula>NOT(ISERROR(SEARCH("NO INSTALADO",C443)))</formula>
    </cfRule>
    <cfRule type="containsText" dxfId="271" priority="85" operator="containsText" text="PEX DESAFILIADO">
      <formula>NOT(ISERROR(SEARCH("PEX DESAFILIADO",C443)))</formula>
    </cfRule>
    <cfRule type="containsText" dxfId="270" priority="84" operator="containsText" text="PEX BLOQUEADO">
      <formula>NOT(ISERROR(SEARCH("PEX BLOQUEADO",C443)))</formula>
    </cfRule>
    <cfRule type="cellIs" dxfId="269" priority="83" operator="equal">
      <formula>"NO"</formula>
    </cfRule>
    <cfRule type="containsText" dxfId="268" priority="82" operator="containsText" text="NO INSTALADO">
      <formula>NOT(ISERROR(SEARCH("NO INSTALADO",C443)))</formula>
    </cfRule>
    <cfRule type="containsText" dxfId="267" priority="81" operator="containsText" text="PEX DESAFILIADO">
      <formula>NOT(ISERROR(SEARCH("PEX DESAFILIADO",C443)))</formula>
    </cfRule>
    <cfRule type="containsText" dxfId="266" priority="80" operator="containsText" text="PEX BLOQUEADO">
      <formula>NOT(ISERROR(SEARCH("PEX BLOQUEADO",C443)))</formula>
    </cfRule>
    <cfRule type="cellIs" dxfId="265" priority="79" operator="equal">
      <formula>"NO"</formula>
    </cfRule>
    <cfRule type="containsText" dxfId="264" priority="78" operator="containsText" text="NO INSTALADO">
      <formula>NOT(ISERROR(SEARCH("NO INSTALADO",C443)))</formula>
    </cfRule>
    <cfRule type="containsText" dxfId="263" priority="77" operator="containsText" text="PEX DESAFILIADO">
      <formula>NOT(ISERROR(SEARCH("PEX DESAFILIADO",C443)))</formula>
    </cfRule>
    <cfRule type="containsText" dxfId="262" priority="76" operator="containsText" text="PEX BLOQUEADO">
      <formula>NOT(ISERROR(SEARCH("PEX BLOQUEADO",C443)))</formula>
    </cfRule>
    <cfRule type="cellIs" dxfId="261" priority="75" operator="equal">
      <formula>"NO"</formula>
    </cfRule>
    <cfRule type="containsText" dxfId="260" priority="74" operator="containsText" text="NO INSTALADO">
      <formula>NOT(ISERROR(SEARCH("NO INSTALADO",C443)))</formula>
    </cfRule>
    <cfRule type="containsText" dxfId="259" priority="73" operator="containsText" text="PEX DESAFILIADO">
      <formula>NOT(ISERROR(SEARCH("PEX DESAFILIADO",C443)))</formula>
    </cfRule>
    <cfRule type="containsText" dxfId="258" priority="72" operator="containsText" text="PEX BLOQUEADO">
      <formula>NOT(ISERROR(SEARCH("PEX BLOQUEADO",C443)))</formula>
    </cfRule>
    <cfRule type="cellIs" dxfId="257" priority="71" operator="equal">
      <formula>"NO"</formula>
    </cfRule>
    <cfRule type="containsText" dxfId="256" priority="70" operator="containsText" text="NO INSTALADO">
      <formula>NOT(ISERROR(SEARCH("NO INSTALADO",C443)))</formula>
    </cfRule>
    <cfRule type="containsText" dxfId="255" priority="69" operator="containsText" text="PEX DESAFILIADO">
      <formula>NOT(ISERROR(SEARCH("PEX DESAFILIADO",C443)))</formula>
    </cfRule>
    <cfRule type="containsText" dxfId="254" priority="68" operator="containsText" text="PEX BLOQUEADO">
      <formula>NOT(ISERROR(SEARCH("PEX BLOQUEADO",C443)))</formula>
    </cfRule>
    <cfRule type="cellIs" dxfId="253" priority="67" operator="equal">
      <formula>"NO"</formula>
    </cfRule>
    <cfRule type="containsText" dxfId="252" priority="66" operator="containsText" text="NO INSTALADO">
      <formula>NOT(ISERROR(SEARCH("NO INSTALADO",C443)))</formula>
    </cfRule>
    <cfRule type="containsText" dxfId="251" priority="65" operator="containsText" text="PEX DESAFILIADO">
      <formula>NOT(ISERROR(SEARCH("PEX DESAFILIADO",C443)))</formula>
    </cfRule>
    <cfRule type="containsText" dxfId="250" priority="64" operator="containsText" text="PEX BLOQUEADO">
      <formula>NOT(ISERROR(SEARCH("PEX BLOQUEADO",C443)))</formula>
    </cfRule>
    <cfRule type="cellIs" dxfId="249" priority="63" operator="equal">
      <formula>"NO"</formula>
    </cfRule>
    <cfRule type="containsText" dxfId="248" priority="62" operator="containsText" text="NO INSTALADO">
      <formula>NOT(ISERROR(SEARCH("NO INSTALADO",C443)))</formula>
    </cfRule>
    <cfRule type="containsText" dxfId="247" priority="61" operator="containsText" text="PEX DESAFILIADO">
      <formula>NOT(ISERROR(SEARCH("PEX DESAFILIADO",C443)))</formula>
    </cfRule>
    <cfRule type="containsText" dxfId="246" priority="60" operator="containsText" text="PEX BLOQUEADO">
      <formula>NOT(ISERROR(SEARCH("PEX BLOQUEADO",C443)))</formula>
    </cfRule>
    <cfRule type="cellIs" dxfId="245" priority="59" operator="equal">
      <formula>"NO"</formula>
    </cfRule>
    <cfRule type="containsText" dxfId="244" priority="58" operator="containsText" text="NO INSTALADO">
      <formula>NOT(ISERROR(SEARCH("NO INSTALADO",C443)))</formula>
    </cfRule>
    <cfRule type="containsText" dxfId="243" priority="57" operator="containsText" text="PEX DESAFILIADO">
      <formula>NOT(ISERROR(SEARCH("PEX DESAFILIADO",C443)))</formula>
    </cfRule>
    <cfRule type="containsText" dxfId="242" priority="56" operator="containsText" text="PEX BLOQUEADO">
      <formula>NOT(ISERROR(SEARCH("PEX BLOQUEADO",C443)))</formula>
    </cfRule>
    <cfRule type="cellIs" dxfId="241" priority="55" operator="equal">
      <formula>"NO"</formula>
    </cfRule>
    <cfRule type="containsText" dxfId="240" priority="54" operator="containsText" text="NO INSTALADO">
      <formula>NOT(ISERROR(SEARCH("NO INSTALADO",C443)))</formula>
    </cfRule>
    <cfRule type="containsText" dxfId="239" priority="53" operator="containsText" text="PEX DESAFILIADO">
      <formula>NOT(ISERROR(SEARCH("PEX DESAFILIADO",C443)))</formula>
    </cfRule>
    <cfRule type="containsText" dxfId="238" priority="52" operator="containsText" text="PEX BLOQUEADO">
      <formula>NOT(ISERROR(SEARCH("PEX BLOQUEADO",C443)))</formula>
    </cfRule>
    <cfRule type="cellIs" dxfId="237" priority="51" operator="equal">
      <formula>"NO"</formula>
    </cfRule>
    <cfRule type="containsText" dxfId="236" priority="50" operator="containsText" text="NO INSTALADO">
      <formula>NOT(ISERROR(SEARCH("NO INSTALADO",C443)))</formula>
    </cfRule>
    <cfRule type="containsText" dxfId="235" priority="49" operator="containsText" text="PEX DESAFILIADO">
      <formula>NOT(ISERROR(SEARCH("PEX DESAFILIADO",C443)))</formula>
    </cfRule>
    <cfRule type="containsText" dxfId="234" priority="48" operator="containsText" text="PEX BLOQUEADO">
      <formula>NOT(ISERROR(SEARCH("PEX BLOQUEADO",C443)))</formula>
    </cfRule>
    <cfRule type="cellIs" dxfId="233" priority="47" operator="equal">
      <formula>"NO"</formula>
    </cfRule>
    <cfRule type="containsText" dxfId="232" priority="46" operator="containsText" text="NO INSTALADO">
      <formula>NOT(ISERROR(SEARCH("NO INSTALADO",C443)))</formula>
    </cfRule>
    <cfRule type="containsText" dxfId="231" priority="45" operator="containsText" text="PEX DESAFILIADO">
      <formula>NOT(ISERROR(SEARCH("PEX DESAFILIADO",C443)))</formula>
    </cfRule>
    <cfRule type="containsText" dxfId="230" priority="44" operator="containsText" text="PEX BLOQUEADO">
      <formula>NOT(ISERROR(SEARCH("PEX BLOQUEADO",C443)))</formula>
    </cfRule>
    <cfRule type="cellIs" dxfId="229" priority="43" operator="equal">
      <formula>"NO"</formula>
    </cfRule>
    <cfRule type="containsText" dxfId="228" priority="42" operator="containsText" text="NO INSTALADO">
      <formula>NOT(ISERROR(SEARCH("NO INSTALADO",C443)))</formula>
    </cfRule>
    <cfRule type="containsText" dxfId="227" priority="41" operator="containsText" text="PEX DESAFILIADO">
      <formula>NOT(ISERROR(SEARCH("PEX DESAFILIADO",C443)))</formula>
    </cfRule>
    <cfRule type="containsText" dxfId="226" priority="40" operator="containsText" text="PEX BLOQUEADO">
      <formula>NOT(ISERROR(SEARCH("PEX BLOQUEADO",C443)))</formula>
    </cfRule>
    <cfRule type="cellIs" dxfId="225" priority="39" operator="equal">
      <formula>"NO"</formula>
    </cfRule>
    <cfRule type="containsText" dxfId="224" priority="38" operator="containsText" text="NO INSTALADO">
      <formula>NOT(ISERROR(SEARCH("NO INSTALADO",C443)))</formula>
    </cfRule>
    <cfRule type="containsText" dxfId="223" priority="37" operator="containsText" text="PEX DESAFILIADO">
      <formula>NOT(ISERROR(SEARCH("PEX DESAFILIADO",C443)))</formula>
    </cfRule>
    <cfRule type="containsText" dxfId="222" priority="36" operator="containsText" text="PEX BLOQUEADO">
      <formula>NOT(ISERROR(SEARCH("PEX BLOQUEADO",C443)))</formula>
    </cfRule>
    <cfRule type="cellIs" dxfId="221" priority="35" operator="equal">
      <formula>"NO"</formula>
    </cfRule>
    <cfRule type="containsText" dxfId="220" priority="34" operator="containsText" text="NO INSTALADO">
      <formula>NOT(ISERROR(SEARCH("NO INSTALADO",C443)))</formula>
    </cfRule>
    <cfRule type="containsText" dxfId="219" priority="33" operator="containsText" text="PEX DESAFILIADO">
      <formula>NOT(ISERROR(SEARCH("PEX DESAFILIADO",C443)))</formula>
    </cfRule>
    <cfRule type="containsText" dxfId="218" priority="32" operator="containsText" text="PEX BLOQUEADO">
      <formula>NOT(ISERROR(SEARCH("PEX BLOQUEADO",C443)))</formula>
    </cfRule>
    <cfRule type="cellIs" dxfId="217" priority="31" operator="equal">
      <formula>"NO"</formula>
    </cfRule>
    <cfRule type="containsText" dxfId="216" priority="30" operator="containsText" text="NO INSTALADO">
      <formula>NOT(ISERROR(SEARCH("NO INSTALADO",C443)))</formula>
    </cfRule>
    <cfRule type="containsText" dxfId="215" priority="29" operator="containsText" text="PEX DESAFILIADO">
      <formula>NOT(ISERROR(SEARCH("PEX DESAFILIADO",C443)))</formula>
    </cfRule>
    <cfRule type="containsText" dxfId="214" priority="28" operator="containsText" text="PEX BLOQUEADO">
      <formula>NOT(ISERROR(SEARCH("PEX BLOQUEADO",C443)))</formula>
    </cfRule>
    <cfRule type="cellIs" dxfId="213" priority="27" operator="equal">
      <formula>"NO"</formula>
    </cfRule>
    <cfRule type="containsText" dxfId="212" priority="26" operator="containsText" text="NO INSTALADO">
      <formula>NOT(ISERROR(SEARCH("NO INSTALADO",C443)))</formula>
    </cfRule>
    <cfRule type="containsText" dxfId="211" priority="25" operator="containsText" text="PEX DESAFILIADO">
      <formula>NOT(ISERROR(SEARCH("PEX DESAFILIADO",C443)))</formula>
    </cfRule>
    <cfRule type="containsText" dxfId="210" priority="24" operator="containsText" text="PEX BLOQUEADO">
      <formula>NOT(ISERROR(SEARCH("PEX BLOQUEADO",C443)))</formula>
    </cfRule>
    <cfRule type="cellIs" dxfId="209" priority="23" operator="equal">
      <formula>"NO"</formula>
    </cfRule>
    <cfRule type="containsText" dxfId="208" priority="22" operator="containsText" text="NO INSTALADO">
      <formula>NOT(ISERROR(SEARCH("NO INSTALADO",C443)))</formula>
    </cfRule>
    <cfRule type="containsText" dxfId="207" priority="21" operator="containsText" text="PEX DESAFILIADO">
      <formula>NOT(ISERROR(SEARCH("PEX DESAFILIADO",C443)))</formula>
    </cfRule>
    <cfRule type="containsText" dxfId="206" priority="20" operator="containsText" text="PEX BLOQUEADO">
      <formula>NOT(ISERROR(SEARCH("PEX BLOQUEADO",C443)))</formula>
    </cfRule>
    <cfRule type="cellIs" dxfId="205" priority="19" operator="equal">
      <formula>"NO"</formula>
    </cfRule>
    <cfRule type="containsText" dxfId="204" priority="18" operator="containsText" text="NO INSTALADO">
      <formula>NOT(ISERROR(SEARCH("NO INSTALADO",C443)))</formula>
    </cfRule>
    <cfRule type="containsText" dxfId="203" priority="17" operator="containsText" text="PEX DESAFILIADO">
      <formula>NOT(ISERROR(SEARCH("PEX DESAFILIADO",C443)))</formula>
    </cfRule>
    <cfRule type="containsText" dxfId="202" priority="16" operator="containsText" text="PEX BLOQUEADO">
      <formula>NOT(ISERROR(SEARCH("PEX BLOQUEADO",C443)))</formula>
    </cfRule>
    <cfRule type="cellIs" dxfId="201" priority="15" operator="equal">
      <formula>"NO"</formula>
    </cfRule>
    <cfRule type="containsText" dxfId="200" priority="14" operator="containsText" text="NO INSTALADO">
      <formula>NOT(ISERROR(SEARCH("NO INSTALADO",C443)))</formula>
    </cfRule>
    <cfRule type="containsText" dxfId="199" priority="13" operator="containsText" text="PEX DESAFILIADO">
      <formula>NOT(ISERROR(SEARCH("PEX DESAFILIADO",C443)))</formula>
    </cfRule>
    <cfRule type="containsText" dxfId="198" priority="12" operator="containsText" text="PEX BLOQUEADO">
      <formula>NOT(ISERROR(SEARCH("PEX BLOQUEADO",C443)))</formula>
    </cfRule>
    <cfRule type="cellIs" dxfId="197" priority="11" operator="equal">
      <formula>"NO"</formula>
    </cfRule>
    <cfRule type="containsText" dxfId="196" priority="10" operator="containsText" text="NO INSTALADO">
      <formula>NOT(ISERROR(SEARCH("NO INSTALADO",C443)))</formula>
    </cfRule>
    <cfRule type="containsText" dxfId="195" priority="9" operator="containsText" text="PEX DESAFILIADO">
      <formula>NOT(ISERROR(SEARCH("PEX DESAFILIADO",C443)))</formula>
    </cfRule>
    <cfRule type="containsText" dxfId="194" priority="8" operator="containsText" text="PEX BLOQUEADO">
      <formula>NOT(ISERROR(SEARCH("PEX BLOQUEADO",C443)))</formula>
    </cfRule>
    <cfRule type="cellIs" dxfId="193" priority="7" operator="equal">
      <formula>"NO"</formula>
    </cfRule>
    <cfRule type="containsText" dxfId="192" priority="6" operator="containsText" text="NO INSTALADO">
      <formula>NOT(ISERROR(SEARCH("NO INSTALADO",C443)))</formula>
    </cfRule>
    <cfRule type="containsText" dxfId="191" priority="5" operator="containsText" text="PEX DESAFILIADO">
      <formula>NOT(ISERROR(SEARCH("PEX DESAFILIADO",C443)))</formula>
    </cfRule>
    <cfRule type="containsText" dxfId="190" priority="1" operator="containsText" text="PEX BLOQUEADO">
      <formula>NOT(ISERROR(SEARCH("PEX BLOQUEADO",C443)))</formula>
    </cfRule>
    <cfRule type="containsText" dxfId="189" priority="2" operator="containsText" text="PEX DESAFILIADO">
      <formula>NOT(ISERROR(SEARCH("PEX DESAFILIADO",C443)))</formula>
    </cfRule>
    <cfRule type="containsText" dxfId="188" priority="3" operator="containsText" text="NO INSTALADO">
      <formula>NOT(ISERROR(SEARCH("NO INSTALADO",C443)))</formula>
    </cfRule>
    <cfRule type="containsText" dxfId="187" priority="4" operator="containsText" text="PEX BLOQUEADO">
      <formula>NOT(ISERROR(SEARCH("PEX BLOQUEADO",C443)))</formula>
    </cfRule>
    <cfRule type="containsText" dxfId="186" priority="502" operator="containsText" text="NO INSTALADO">
      <formula>NOT(ISERROR(SEARCH("NO INSTALADO",C443)))</formula>
    </cfRule>
    <cfRule type="containsText" dxfId="185" priority="501" operator="containsText" text="PEX DESAFILIADO">
      <formula>NOT(ISERROR(SEARCH("PEX DESAFILIADO",C443)))</formula>
    </cfRule>
    <cfRule type="containsText" dxfId="184" priority="500" operator="containsText" text="PEX BLOQUEADO">
      <formula>NOT(ISERROR(SEARCH("PEX BLOQUEADO",C443)))</formula>
    </cfRule>
    <cfRule type="cellIs" dxfId="183" priority="499" operator="equal">
      <formula>"NO"</formula>
    </cfRule>
    <cfRule type="containsText" dxfId="182" priority="498" operator="containsText" text="NO INSTALADO">
      <formula>NOT(ISERROR(SEARCH("NO INSTALADO",C443)))</formula>
    </cfRule>
    <cfRule type="containsText" dxfId="181" priority="497" operator="containsText" text="PEX DESAFILIADO">
      <formula>NOT(ISERROR(SEARCH("PEX DESAFILIADO",C443)))</formula>
    </cfRule>
    <cfRule type="containsText" dxfId="180" priority="496" operator="containsText" text="PEX BLOQUEADO">
      <formula>NOT(ISERROR(SEARCH("PEX BLOQUEADO",C443)))</formula>
    </cfRule>
    <cfRule type="cellIs" dxfId="179" priority="495" operator="equal">
      <formula>"NO"</formula>
    </cfRule>
    <cfRule type="containsText" dxfId="178" priority="494" operator="containsText" text="NO INSTALADO">
      <formula>NOT(ISERROR(SEARCH("NO INSTALADO",C443)))</formula>
    </cfRule>
    <cfRule type="containsText" dxfId="177" priority="493" operator="containsText" text="PEX DESAFILIADO">
      <formula>NOT(ISERROR(SEARCH("PEX DESAFILIADO",C443)))</formula>
    </cfRule>
    <cfRule type="containsText" dxfId="176" priority="492" operator="containsText" text="PEX BLOQUEADO">
      <formula>NOT(ISERROR(SEARCH("PEX BLOQUEADO",C443)))</formula>
    </cfRule>
    <cfRule type="cellIs" dxfId="175" priority="491" operator="equal">
      <formula>"NO"</formula>
    </cfRule>
    <cfRule type="containsText" dxfId="174" priority="490" operator="containsText" text="NO INSTALADO">
      <formula>NOT(ISERROR(SEARCH("NO INSTALADO",C443)))</formula>
    </cfRule>
    <cfRule type="containsText" dxfId="173" priority="489" operator="containsText" text="PEX DESAFILIADO">
      <formula>NOT(ISERROR(SEARCH("PEX DESAFILIADO",C443)))</formula>
    </cfRule>
    <cfRule type="containsText" dxfId="172" priority="488" operator="containsText" text="PEX BLOQUEADO">
      <formula>NOT(ISERROR(SEARCH("PEX BLOQUEADO",C443)))</formula>
    </cfRule>
    <cfRule type="cellIs" dxfId="171" priority="487" operator="equal">
      <formula>"NO"</formula>
    </cfRule>
    <cfRule type="containsText" dxfId="170" priority="486" operator="containsText" text="NO INSTALADO">
      <formula>NOT(ISERROR(SEARCH("NO INSTALADO",C443)))</formula>
    </cfRule>
    <cfRule type="containsText" dxfId="169" priority="485" operator="containsText" text="PEX DESAFILIADO">
      <formula>NOT(ISERROR(SEARCH("PEX DESAFILIADO",C443)))</formula>
    </cfRule>
    <cfRule type="containsText" dxfId="168" priority="484" operator="containsText" text="PEX BLOQUEADO">
      <formula>NOT(ISERROR(SEARCH("PEX BLOQUEADO",C443)))</formula>
    </cfRule>
    <cfRule type="cellIs" dxfId="167" priority="483" operator="equal">
      <formula>"NO"</formula>
    </cfRule>
    <cfRule type="containsText" dxfId="166" priority="482" operator="containsText" text="NO INSTALADO">
      <formula>NOT(ISERROR(SEARCH("NO INSTALADO",C443)))</formula>
    </cfRule>
    <cfRule type="containsText" dxfId="165" priority="481" operator="containsText" text="PEX DESAFILIADO">
      <formula>NOT(ISERROR(SEARCH("PEX DESAFILIADO",C443)))</formula>
    </cfRule>
    <cfRule type="containsText" dxfId="164" priority="480" operator="containsText" text="PEX BLOQUEADO">
      <formula>NOT(ISERROR(SEARCH("PEX BLOQUEADO",C443)))</formula>
    </cfRule>
    <cfRule type="cellIs" dxfId="163" priority="479" operator="equal">
      <formula>"NO"</formula>
    </cfRule>
    <cfRule type="containsText" dxfId="162" priority="478" operator="containsText" text="NO INSTALADO">
      <formula>NOT(ISERROR(SEARCH("NO INSTALADO",C443)))</formula>
    </cfRule>
    <cfRule type="containsText" dxfId="161" priority="477" operator="containsText" text="PEX DESAFILIADO">
      <formula>NOT(ISERROR(SEARCH("PEX DESAFILIADO",C443)))</formula>
    </cfRule>
    <cfRule type="containsText" dxfId="160" priority="476" operator="containsText" text="PEX BLOQUEADO">
      <formula>NOT(ISERROR(SEARCH("PEX BLOQUEADO",C443)))</formula>
    </cfRule>
    <cfRule type="cellIs" dxfId="159" priority="475" operator="equal">
      <formula>"NO"</formula>
    </cfRule>
    <cfRule type="containsText" dxfId="158" priority="474" operator="containsText" text="NO INSTALADO">
      <formula>NOT(ISERROR(SEARCH("NO INSTALADO",C443)))</formula>
    </cfRule>
    <cfRule type="containsText" dxfId="157" priority="473" operator="containsText" text="PEX DESAFILIADO">
      <formula>NOT(ISERROR(SEARCH("PEX DESAFILIADO",C443)))</formula>
    </cfRule>
    <cfRule type="containsText" dxfId="156" priority="472" operator="containsText" text="PEX BLOQUEADO">
      <formula>NOT(ISERROR(SEARCH("PEX BLOQUEADO",C443)))</formula>
    </cfRule>
    <cfRule type="cellIs" dxfId="155" priority="471" operator="equal">
      <formula>"NO"</formula>
    </cfRule>
    <cfRule type="containsText" dxfId="154" priority="470" operator="containsText" text="NO INSTALADO">
      <formula>NOT(ISERROR(SEARCH("NO INSTALADO",C443)))</formula>
    </cfRule>
    <cfRule type="containsText" dxfId="153" priority="469" operator="containsText" text="PEX DESAFILIADO">
      <formula>NOT(ISERROR(SEARCH("PEX DESAFILIADO",C443)))</formula>
    </cfRule>
    <cfRule type="containsText" dxfId="152" priority="468" operator="containsText" text="PEX BLOQUEADO">
      <formula>NOT(ISERROR(SEARCH("PEX BLOQUEADO",C443)))</formula>
    </cfRule>
    <cfRule type="cellIs" dxfId="151" priority="467" operator="equal">
      <formula>"NO"</formula>
    </cfRule>
    <cfRule type="containsText" dxfId="150" priority="466" operator="containsText" text="NO INSTALADO">
      <formula>NOT(ISERROR(SEARCH("NO INSTALADO",C443)))</formula>
    </cfRule>
    <cfRule type="containsText" dxfId="149" priority="465" operator="containsText" text="PEX DESAFILIADO">
      <formula>NOT(ISERROR(SEARCH("PEX DESAFILIADO",C443)))</formula>
    </cfRule>
    <cfRule type="containsText" dxfId="148" priority="464" operator="containsText" text="PEX BLOQUEADO">
      <formula>NOT(ISERROR(SEARCH("PEX BLOQUEADO",C443)))</formula>
    </cfRule>
    <cfRule type="cellIs" dxfId="147" priority="463" operator="equal">
      <formula>"NO"</formula>
    </cfRule>
    <cfRule type="containsText" dxfId="146" priority="462" operator="containsText" text="NO INSTALADO">
      <formula>NOT(ISERROR(SEARCH("NO INSTALADO",C443)))</formula>
    </cfRule>
    <cfRule type="containsText" dxfId="145" priority="461" operator="containsText" text="PEX DESAFILIADO">
      <formula>NOT(ISERROR(SEARCH("PEX DESAFILIADO",C443)))</formula>
    </cfRule>
    <cfRule type="containsText" dxfId="144" priority="460" operator="containsText" text="PEX BLOQUEADO">
      <formula>NOT(ISERROR(SEARCH("PEX BLOQUEADO",C443)))</formula>
    </cfRule>
    <cfRule type="containsText" dxfId="143" priority="96" operator="containsText" text="PEX BLOQUEADO">
      <formula>NOT(ISERROR(SEARCH("PEX BLOQUEADO",C443)))</formula>
    </cfRule>
    <cfRule type="cellIs" dxfId="142" priority="459" operator="equal">
      <formula>"NO"</formula>
    </cfRule>
    <cfRule type="containsText" dxfId="141" priority="458" operator="containsText" text="NO INSTALADO">
      <formula>NOT(ISERROR(SEARCH("NO INSTALADO",C443)))</formula>
    </cfRule>
    <cfRule type="containsText" dxfId="140" priority="457" operator="containsText" text="PEX DESAFILIADO">
      <formula>NOT(ISERROR(SEARCH("PEX DESAFILIADO",C443)))</formula>
    </cfRule>
    <cfRule type="containsText" dxfId="139" priority="456" operator="containsText" text="PEX BLOQUEADO">
      <formula>NOT(ISERROR(SEARCH("PEX BLOQUEADO",C443)))</formula>
    </cfRule>
    <cfRule type="cellIs" dxfId="138" priority="455" operator="equal">
      <formula>"NO"</formula>
    </cfRule>
    <cfRule type="containsText" dxfId="137" priority="454" operator="containsText" text="NO INSTALADO">
      <formula>NOT(ISERROR(SEARCH("NO INSTALADO",C443)))</formula>
    </cfRule>
    <cfRule type="containsText" dxfId="136" priority="453" operator="containsText" text="PEX DESAFILIADO">
      <formula>NOT(ISERROR(SEARCH("PEX DESAFILIADO",C443)))</formula>
    </cfRule>
    <cfRule type="containsText" dxfId="135" priority="452" operator="containsText" text="PEX BLOQUEADO">
      <formula>NOT(ISERROR(SEARCH("PEX BLOQUEADO",C443)))</formula>
    </cfRule>
    <cfRule type="cellIs" dxfId="134" priority="451" operator="equal">
      <formula>"NO"</formula>
    </cfRule>
    <cfRule type="containsText" dxfId="133" priority="450" operator="containsText" text="NO INSTALADO">
      <formula>NOT(ISERROR(SEARCH("NO INSTALADO",C443)))</formula>
    </cfRule>
    <cfRule type="containsText" dxfId="132" priority="449" operator="containsText" text="PEX DESAFILIADO">
      <formula>NOT(ISERROR(SEARCH("PEX DESAFILIADO",C443)))</formula>
    </cfRule>
    <cfRule type="containsText" dxfId="131" priority="448" operator="containsText" text="PEX BLOQUEADO">
      <formula>NOT(ISERROR(SEARCH("PEX BLOQUEADO",C443)))</formula>
    </cfRule>
    <cfRule type="cellIs" dxfId="130" priority="447" operator="equal">
      <formula>"NO"</formula>
    </cfRule>
    <cfRule type="containsText" dxfId="129" priority="446" operator="containsText" text="NO INSTALADO">
      <formula>NOT(ISERROR(SEARCH("NO INSTALADO",C443)))</formula>
    </cfRule>
    <cfRule type="containsText" dxfId="128" priority="445" operator="containsText" text="PEX DESAFILIADO">
      <formula>NOT(ISERROR(SEARCH("PEX DESAFILIADO",C443)))</formula>
    </cfRule>
    <cfRule type="containsText" dxfId="127" priority="444" operator="containsText" text="PEX BLOQUEADO">
      <formula>NOT(ISERROR(SEARCH("PEX BLOQUEADO",C443)))</formula>
    </cfRule>
    <cfRule type="cellIs" dxfId="126" priority="443" operator="equal">
      <formula>"NO"</formula>
    </cfRule>
    <cfRule type="containsText" dxfId="125" priority="442" operator="containsText" text="NO INSTALADO">
      <formula>NOT(ISERROR(SEARCH("NO INSTALADO",C443)))</formula>
    </cfRule>
    <cfRule type="containsText" dxfId="124" priority="441" operator="containsText" text="PEX DESAFILIADO">
      <formula>NOT(ISERROR(SEARCH("PEX DESAFILIADO",C443)))</formula>
    </cfRule>
    <cfRule type="containsText" dxfId="123" priority="440" operator="containsText" text="PEX BLOQUEADO">
      <formula>NOT(ISERROR(SEARCH("PEX BLOQUEADO",C443)))</formula>
    </cfRule>
    <cfRule type="cellIs" dxfId="122" priority="439" operator="equal">
      <formula>"NO"</formula>
    </cfRule>
    <cfRule type="containsText" dxfId="121" priority="438" operator="containsText" text="NO INSTALADO">
      <formula>NOT(ISERROR(SEARCH("NO INSTALADO",C443)))</formula>
    </cfRule>
    <cfRule type="containsText" dxfId="120" priority="437" operator="containsText" text="PEX DESAFILIADO">
      <formula>NOT(ISERROR(SEARCH("PEX DESAFILIADO",C443)))</formula>
    </cfRule>
    <cfRule type="containsText" dxfId="119" priority="436" operator="containsText" text="PEX BLOQUEADO">
      <formula>NOT(ISERROR(SEARCH("PEX BLOQUEADO",C443)))</formula>
    </cfRule>
    <cfRule type="cellIs" dxfId="118" priority="435" operator="equal">
      <formula>"NO"</formula>
    </cfRule>
    <cfRule type="containsText" dxfId="117" priority="434" operator="containsText" text="NO INSTALADO">
      <formula>NOT(ISERROR(SEARCH("NO INSTALADO",C443)))</formula>
    </cfRule>
    <cfRule type="containsText" dxfId="116" priority="433" operator="containsText" text="PEX DESAFILIADO">
      <formula>NOT(ISERROR(SEARCH("PEX DESAFILIADO",C443)))</formula>
    </cfRule>
    <cfRule type="containsText" dxfId="115" priority="432" operator="containsText" text="PEX BLOQUEADO">
      <formula>NOT(ISERROR(SEARCH("PEX BLOQUEADO",C443)))</formula>
    </cfRule>
    <cfRule type="cellIs" dxfId="114" priority="431" operator="equal">
      <formula>"NO"</formula>
    </cfRule>
    <cfRule type="containsText" dxfId="113" priority="430" operator="containsText" text="NO INSTALADO">
      <formula>NOT(ISERROR(SEARCH("NO INSTALADO",C443)))</formula>
    </cfRule>
    <cfRule type="containsText" dxfId="112" priority="429" operator="containsText" text="PEX DESAFILIADO">
      <formula>NOT(ISERROR(SEARCH("PEX DESAFILIADO",C443)))</formula>
    </cfRule>
    <cfRule type="containsText" dxfId="111" priority="428" operator="containsText" text="PEX BLOQUEADO">
      <formula>NOT(ISERROR(SEARCH("PEX BLOQUEADO",C443)))</formula>
    </cfRule>
    <cfRule type="containsText" dxfId="110" priority="426" operator="containsText" text="NO INSTALADO">
      <formula>NOT(ISERROR(SEARCH("NO INSTALADO",C443)))</formula>
    </cfRule>
    <cfRule type="containsText" dxfId="109" priority="425" operator="containsText" text="PEX DESAFILIADO">
      <formula>NOT(ISERROR(SEARCH("PEX DESAFILIADO",C443)))</formula>
    </cfRule>
    <cfRule type="containsText" dxfId="108" priority="424" operator="containsText" text="PEX BLOQUEADO">
      <formula>NOT(ISERROR(SEARCH("PEX BLOQUEADO",C443)))</formula>
    </cfRule>
    <cfRule type="cellIs" dxfId="107" priority="423" operator="equal">
      <formula>"NO"</formula>
    </cfRule>
    <cfRule type="containsText" dxfId="106" priority="422" operator="containsText" text="NO INSTALADO">
      <formula>NOT(ISERROR(SEARCH("NO INSTALADO",C443)))</formula>
    </cfRule>
    <cfRule type="containsText" dxfId="105" priority="421" operator="containsText" text="PEX DESAFILIADO">
      <formula>NOT(ISERROR(SEARCH("PEX DESAFILIADO",C443)))</formula>
    </cfRule>
    <cfRule type="containsText" dxfId="104" priority="420" operator="containsText" text="PEX BLOQUEADO">
      <formula>NOT(ISERROR(SEARCH("PEX BLOQUEADO",C443)))</formula>
    </cfRule>
    <cfRule type="cellIs" dxfId="103" priority="419" operator="equal">
      <formula>"NO"</formula>
    </cfRule>
    <cfRule type="containsText" dxfId="102" priority="418" operator="containsText" text="NO INSTALADO">
      <formula>NOT(ISERROR(SEARCH("NO INSTALADO",C443)))</formula>
    </cfRule>
    <cfRule type="containsText" dxfId="101" priority="417" operator="containsText" text="PEX DESAFILIADO">
      <formula>NOT(ISERROR(SEARCH("PEX DESAFILIADO",C443)))</formula>
    </cfRule>
    <cfRule type="containsText" dxfId="100" priority="416" operator="containsText" text="PEX BLOQUEADO">
      <formula>NOT(ISERROR(SEARCH("PEX BLOQUEADO",C443)))</formula>
    </cfRule>
    <cfRule type="cellIs" dxfId="99" priority="415" operator="equal">
      <formula>"NO"</formula>
    </cfRule>
    <cfRule type="containsText" dxfId="98" priority="414" operator="containsText" text="NO INSTALADO">
      <formula>NOT(ISERROR(SEARCH("NO INSTALADO",C443)))</formula>
    </cfRule>
    <cfRule type="containsText" dxfId="97" priority="413" operator="containsText" text="PEX DESAFILIADO">
      <formula>NOT(ISERROR(SEARCH("PEX DESAFILIADO",C443)))</formula>
    </cfRule>
    <cfRule type="containsText" dxfId="96" priority="412" operator="containsText" text="PEX BLOQUEADO">
      <formula>NOT(ISERROR(SEARCH("PEX BLOQUEADO",C443)))</formula>
    </cfRule>
    <cfRule type="cellIs" dxfId="95" priority="411" operator="equal">
      <formula>"NO"</formula>
    </cfRule>
    <cfRule type="containsText" dxfId="94" priority="410" operator="containsText" text="NO INSTALADO">
      <formula>NOT(ISERROR(SEARCH("NO INSTALADO",C443)))</formula>
    </cfRule>
    <cfRule type="containsText" dxfId="93" priority="409" operator="containsText" text="PEX DESAFILIADO">
      <formula>NOT(ISERROR(SEARCH("PEX DESAFILIADO",C443)))</formula>
    </cfRule>
    <cfRule type="containsText" dxfId="92" priority="408" operator="containsText" text="PEX BLOQUEADO">
      <formula>NOT(ISERROR(SEARCH("PEX BLOQUEADO",C443)))</formula>
    </cfRule>
    <cfRule type="cellIs" dxfId="91" priority="407" operator="equal">
      <formula>"NO"</formula>
    </cfRule>
    <cfRule type="containsText" dxfId="90" priority="406" operator="containsText" text="NO INSTALADO">
      <formula>NOT(ISERROR(SEARCH("NO INSTALADO",C443)))</formula>
    </cfRule>
    <cfRule type="containsText" dxfId="89" priority="405" operator="containsText" text="PEX DESAFILIADO">
      <formula>NOT(ISERROR(SEARCH("PEX DESAFILIADO",C443)))</formula>
    </cfRule>
    <cfRule type="containsText" dxfId="88" priority="404" operator="containsText" text="PEX BLOQUEADO">
      <formula>NOT(ISERROR(SEARCH("PEX BLOQUEADO",C443)))</formula>
    </cfRule>
    <cfRule type="cellIs" dxfId="87" priority="403" operator="equal">
      <formula>"NO"</formula>
    </cfRule>
    <cfRule type="containsText" dxfId="86" priority="402" operator="containsText" text="NO INSTALADO">
      <formula>NOT(ISERROR(SEARCH("NO INSTALADO",C443)))</formula>
    </cfRule>
    <cfRule type="containsText" dxfId="85" priority="401" operator="containsText" text="PEX DESAFILIADO">
      <formula>NOT(ISERROR(SEARCH("PEX DESAFILIADO",C443)))</formula>
    </cfRule>
    <cfRule type="containsText" dxfId="84" priority="400" operator="containsText" text="PEX BLOQUEADO">
      <formula>NOT(ISERROR(SEARCH("PEX BLOQUEADO",C443)))</formula>
    </cfRule>
    <cfRule type="cellIs" dxfId="83" priority="399" operator="equal">
      <formula>"NO"</formula>
    </cfRule>
    <cfRule type="containsText" dxfId="82" priority="398" operator="containsText" text="NO INSTALADO">
      <formula>NOT(ISERROR(SEARCH("NO INSTALADO",C443)))</formula>
    </cfRule>
    <cfRule type="containsText" dxfId="81" priority="397" operator="containsText" text="PEX DESAFILIADO">
      <formula>NOT(ISERROR(SEARCH("PEX DESAFILIADO",C443)))</formula>
    </cfRule>
    <cfRule type="containsText" dxfId="80" priority="396" operator="containsText" text="PEX BLOQUEADO">
      <formula>NOT(ISERROR(SEARCH("PEX BLOQUEADO",C443)))</formula>
    </cfRule>
    <cfRule type="cellIs" dxfId="79" priority="395" operator="equal">
      <formula>"NO"</formula>
    </cfRule>
    <cfRule type="containsText" dxfId="78" priority="394" operator="containsText" text="NO INSTALADO">
      <formula>NOT(ISERROR(SEARCH("NO INSTALADO",C443)))</formula>
    </cfRule>
    <cfRule type="containsText" dxfId="77" priority="393" operator="containsText" text="PEX DESAFILIADO">
      <formula>NOT(ISERROR(SEARCH("PEX DESAFILIADO",C443)))</formula>
    </cfRule>
    <cfRule type="containsText" dxfId="76" priority="392" operator="containsText" text="PEX BLOQUEADO">
      <formula>NOT(ISERROR(SEARCH("PEX BLOQUEADO",C443)))</formula>
    </cfRule>
    <cfRule type="cellIs" dxfId="75" priority="391" operator="equal">
      <formula>"NO"</formula>
    </cfRule>
    <cfRule type="containsText" dxfId="74" priority="390" operator="containsText" text="NO INSTALADO">
      <formula>NOT(ISERROR(SEARCH("NO INSTALADO",C443)))</formula>
    </cfRule>
    <cfRule type="containsText" dxfId="73" priority="389" operator="containsText" text="PEX DESAFILIADO">
      <formula>NOT(ISERROR(SEARCH("PEX DESAFILIADO",C443)))</formula>
    </cfRule>
    <cfRule type="containsText" dxfId="72" priority="388" operator="containsText" text="PEX BLOQUEADO">
      <formula>NOT(ISERROR(SEARCH("PEX BLOQUEADO",C443)))</formula>
    </cfRule>
    <cfRule type="cellIs" dxfId="71" priority="387" operator="equal">
      <formula>"NO"</formula>
    </cfRule>
    <cfRule type="containsText" dxfId="70" priority="386" operator="containsText" text="NO INSTALADO">
      <formula>NOT(ISERROR(SEARCH("NO INSTALADO",C443)))</formula>
    </cfRule>
    <cfRule type="containsText" dxfId="69" priority="385" operator="containsText" text="PEX DESAFILIADO">
      <formula>NOT(ISERROR(SEARCH("PEX DESAFILIADO",C443)))</formula>
    </cfRule>
    <cfRule type="containsText" dxfId="68" priority="384" operator="containsText" text="PEX BLOQUEADO">
      <formula>NOT(ISERROR(SEARCH("PEX BLOQUEADO",C443)))</formula>
    </cfRule>
    <cfRule type="cellIs" dxfId="67" priority="383" operator="equal">
      <formula>"NO"</formula>
    </cfRule>
    <cfRule type="containsText" dxfId="66" priority="382" operator="containsText" text="NO INSTALADO">
      <formula>NOT(ISERROR(SEARCH("NO INSTALADO",C443)))</formula>
    </cfRule>
    <cfRule type="containsText" dxfId="65" priority="381" operator="containsText" text="PEX DESAFILIADO">
      <formula>NOT(ISERROR(SEARCH("PEX DESAFILIADO",C443)))</formula>
    </cfRule>
    <cfRule type="containsText" dxfId="64" priority="380" operator="containsText" text="PEX BLOQUEADO">
      <formula>NOT(ISERROR(SEARCH("PEX BLOQUEADO",C443)))</formula>
    </cfRule>
    <cfRule type="cellIs" dxfId="63" priority="379" operator="equal">
      <formula>"NO"</formula>
    </cfRule>
    <cfRule type="containsText" dxfId="62" priority="378" operator="containsText" text="NO INSTALADO">
      <formula>NOT(ISERROR(SEARCH("NO INSTALADO",C443)))</formula>
    </cfRule>
    <cfRule type="containsText" dxfId="61" priority="377" operator="containsText" text="PEX DESAFILIADO">
      <formula>NOT(ISERROR(SEARCH("PEX DESAFILIADO",C443)))</formula>
    </cfRule>
    <cfRule type="containsText" dxfId="60" priority="376" operator="containsText" text="PEX BLOQUEADO">
      <formula>NOT(ISERROR(SEARCH("PEX BLOQUEADO",C443)))</formula>
    </cfRule>
    <cfRule type="cellIs" dxfId="59" priority="375" operator="equal">
      <formula>"NO"</formula>
    </cfRule>
    <cfRule type="containsText" dxfId="58" priority="374" operator="containsText" text="NO INSTALADO">
      <formula>NOT(ISERROR(SEARCH("NO INSTALADO",C443)))</formula>
    </cfRule>
    <cfRule type="containsText" dxfId="57" priority="373" operator="containsText" text="PEX DESAFILIADO">
      <formula>NOT(ISERROR(SEARCH("PEX DESAFILIADO",C443)))</formula>
    </cfRule>
    <cfRule type="containsText" dxfId="56" priority="372" operator="containsText" text="PEX BLOQUEADO">
      <formula>NOT(ISERROR(SEARCH("PEX BLOQUEADO",C443)))</formula>
    </cfRule>
    <cfRule type="cellIs" dxfId="55" priority="371" operator="equal">
      <formula>"NO"</formula>
    </cfRule>
    <cfRule type="containsText" dxfId="54" priority="370" operator="containsText" text="NO INSTALADO">
      <formula>NOT(ISERROR(SEARCH("NO INSTALADO",C443)))</formula>
    </cfRule>
    <cfRule type="containsText" dxfId="53" priority="369" operator="containsText" text="PEX DESAFILIADO">
      <formula>NOT(ISERROR(SEARCH("PEX DESAFILIADO",C443)))</formula>
    </cfRule>
    <cfRule type="containsText" dxfId="52" priority="368" operator="containsText" text="PEX BLOQUEADO">
      <formula>NOT(ISERROR(SEARCH("PEX BLOQUEADO",C443)))</formula>
    </cfRule>
    <cfRule type="cellIs" dxfId="51" priority="367" operator="equal">
      <formula>"NO"</formula>
    </cfRule>
    <cfRule type="containsText" dxfId="50" priority="366" operator="containsText" text="NO INSTALADO">
      <formula>NOT(ISERROR(SEARCH("NO INSTALADO",C443)))</formula>
    </cfRule>
    <cfRule type="containsText" dxfId="49" priority="365" operator="containsText" text="PEX DESAFILIADO">
      <formula>NOT(ISERROR(SEARCH("PEX DESAFILIADO",C443)))</formula>
    </cfRule>
    <cfRule type="containsText" dxfId="48" priority="364" operator="containsText" text="PEX BLOQUEADO">
      <formula>NOT(ISERROR(SEARCH("PEX BLOQUEADO",C443)))</formula>
    </cfRule>
    <cfRule type="cellIs" dxfId="47" priority="363" operator="equal">
      <formula>"NO"</formula>
    </cfRule>
    <cfRule type="containsText" dxfId="46" priority="362" operator="containsText" text="NO INSTALADO">
      <formula>NOT(ISERROR(SEARCH("NO INSTALADO",C443)))</formula>
    </cfRule>
    <cfRule type="containsText" dxfId="45" priority="361" operator="containsText" text="PEX DESAFILIADO">
      <formula>NOT(ISERROR(SEARCH("PEX DESAFILIADO",C443)))</formula>
    </cfRule>
    <cfRule type="containsText" dxfId="44" priority="360" operator="containsText" text="PEX BLOQUEADO">
      <formula>NOT(ISERROR(SEARCH("PEX BLOQUEADO",C443)))</formula>
    </cfRule>
    <cfRule type="cellIs" dxfId="43" priority="359" operator="equal">
      <formula>"NO"</formula>
    </cfRule>
    <cfRule type="containsText" dxfId="42" priority="358" operator="containsText" text="NO INSTALADO">
      <formula>NOT(ISERROR(SEARCH("NO INSTALADO",C443)))</formula>
    </cfRule>
    <cfRule type="containsText" dxfId="41" priority="357" operator="containsText" text="PEX DESAFILIADO">
      <formula>NOT(ISERROR(SEARCH("PEX DESAFILIADO",C443)))</formula>
    </cfRule>
    <cfRule type="containsText" dxfId="40" priority="356" operator="containsText" text="PEX BLOQUEADO">
      <formula>NOT(ISERROR(SEARCH("PEX BLOQUEADO",C443)))</formula>
    </cfRule>
    <cfRule type="cellIs" dxfId="39" priority="355" operator="equal">
      <formula>"NO"</formula>
    </cfRule>
    <cfRule type="containsText" dxfId="38" priority="354" operator="containsText" text="NO INSTALADO">
      <formula>NOT(ISERROR(SEARCH("NO INSTALADO",C443)))</formula>
    </cfRule>
    <cfRule type="containsText" dxfId="37" priority="353" operator="containsText" text="PEX DESAFILIADO">
      <formula>NOT(ISERROR(SEARCH("PEX DESAFILIADO",C443)))</formula>
    </cfRule>
    <cfRule type="containsText" dxfId="36" priority="352" operator="containsText" text="PEX BLOQUEADO">
      <formula>NOT(ISERROR(SEARCH("PEX BLOQUEADO",C443)))</formula>
    </cfRule>
    <cfRule type="cellIs" dxfId="35" priority="351" operator="equal">
      <formula>"NO"</formula>
    </cfRule>
    <cfRule type="containsText" dxfId="34" priority="350" operator="containsText" text="NO INSTALADO">
      <formula>NOT(ISERROR(SEARCH("NO INSTALADO",C443)))</formula>
    </cfRule>
    <cfRule type="containsText" dxfId="33" priority="349" operator="containsText" text="PEX DESAFILIADO">
      <formula>NOT(ISERROR(SEARCH("PEX DESAFILIADO",C443)))</formula>
    </cfRule>
    <cfRule type="containsText" dxfId="32" priority="348" operator="containsText" text="PEX BLOQUEADO">
      <formula>NOT(ISERROR(SEARCH("PEX BLOQUEADO",C443)))</formula>
    </cfRule>
    <cfRule type="cellIs" dxfId="31" priority="347" operator="equal">
      <formula>"NO"</formula>
    </cfRule>
    <cfRule type="containsText" dxfId="30" priority="346" operator="containsText" text="NO INSTALADO">
      <formula>NOT(ISERROR(SEARCH("NO INSTALADO",C443)))</formula>
    </cfRule>
    <cfRule type="containsText" dxfId="29" priority="345" operator="containsText" text="PEX DESAFILIADO">
      <formula>NOT(ISERROR(SEARCH("PEX DESAFILIADO",C443)))</formula>
    </cfRule>
    <cfRule type="containsText" dxfId="28" priority="344" operator="containsText" text="PEX BLOQUEADO">
      <formula>NOT(ISERROR(SEARCH("PEX BLOQUEADO",C443)))</formula>
    </cfRule>
    <cfRule type="cellIs" dxfId="27" priority="343" operator="equal">
      <formula>"NO"</formula>
    </cfRule>
    <cfRule type="containsText" dxfId="26" priority="342" operator="containsText" text="NO INSTALADO">
      <formula>NOT(ISERROR(SEARCH("NO INSTALADO",C443)))</formula>
    </cfRule>
    <cfRule type="containsText" dxfId="25" priority="341" operator="containsText" text="PEX DESAFILIADO">
      <formula>NOT(ISERROR(SEARCH("PEX DESAFILIADO",C443)))</formula>
    </cfRule>
    <cfRule type="containsText" dxfId="24" priority="340" operator="containsText" text="PEX BLOQUEADO">
      <formula>NOT(ISERROR(SEARCH("PEX BLOQUEADO",C443)))</formula>
    </cfRule>
    <cfRule type="cellIs" dxfId="23" priority="339" operator="equal">
      <formula>"NO"</formula>
    </cfRule>
    <cfRule type="containsText" dxfId="22" priority="338" operator="containsText" text="NO INSTALADO">
      <formula>NOT(ISERROR(SEARCH("NO INSTALADO",C443)))</formula>
    </cfRule>
    <cfRule type="containsText" dxfId="21" priority="337" operator="containsText" text="PEX DESAFILIADO">
      <formula>NOT(ISERROR(SEARCH("PEX DESAFILIADO",C443)))</formula>
    </cfRule>
    <cfRule type="containsText" dxfId="20" priority="336" operator="containsText" text="PEX BLOQUEADO">
      <formula>NOT(ISERROR(SEARCH("PEX BLOQUEADO",C443)))</formula>
    </cfRule>
    <cfRule type="cellIs" dxfId="19" priority="335" operator="equal">
      <formula>"NO"</formula>
    </cfRule>
    <cfRule type="containsText" dxfId="18" priority="334" operator="containsText" text="NO INSTALADO">
      <formula>NOT(ISERROR(SEARCH("NO INSTALADO",C443)))</formula>
    </cfRule>
    <cfRule type="containsText" dxfId="17" priority="333" operator="containsText" text="PEX DESAFILIADO">
      <formula>NOT(ISERROR(SEARCH("PEX DESAFILIADO",C443)))</formula>
    </cfRule>
    <cfRule type="containsText" dxfId="16" priority="332" operator="containsText" text="PEX BLOQUEADO">
      <formula>NOT(ISERROR(SEARCH("PEX BLOQUEADO",C443)))</formula>
    </cfRule>
    <cfRule type="cellIs" dxfId="15" priority="331" operator="equal">
      <formula>"NO"</formula>
    </cfRule>
    <cfRule type="containsText" dxfId="14" priority="330" operator="containsText" text="NO INSTALADO">
      <formula>NOT(ISERROR(SEARCH("NO INSTALADO",C443)))</formula>
    </cfRule>
    <cfRule type="containsText" dxfId="13" priority="329" operator="containsText" text="PEX DESAFILIADO">
      <formula>NOT(ISERROR(SEARCH("PEX DESAFILIADO",C443)))</formula>
    </cfRule>
    <cfRule type="containsText" dxfId="12" priority="328" operator="containsText" text="PEX BLOQUEADO">
      <formula>NOT(ISERROR(SEARCH("PEX BLOQUEADO",C443)))</formula>
    </cfRule>
    <cfRule type="cellIs" dxfId="11" priority="327" operator="equal">
      <formula>"NO"</formula>
    </cfRule>
    <cfRule type="containsText" dxfId="10" priority="326" operator="containsText" text="NO INSTALADO">
      <formula>NOT(ISERROR(SEARCH("NO INSTALADO",C443)))</formula>
    </cfRule>
    <cfRule type="containsText" dxfId="9" priority="325" operator="containsText" text="PEX DESAFILIADO">
      <formula>NOT(ISERROR(SEARCH("PEX DESAFILIADO",C443)))</formula>
    </cfRule>
    <cfRule type="containsText" dxfId="8" priority="324" operator="containsText" text="PEX BLOQUEADO">
      <formula>NOT(ISERROR(SEARCH("PEX BLOQUEADO",C443)))</formula>
    </cfRule>
    <cfRule type="cellIs" dxfId="7" priority="323" operator="equal">
      <formula>"NO"</formula>
    </cfRule>
    <cfRule type="containsText" dxfId="6" priority="322" operator="containsText" text="NO INSTALADO">
      <formula>NOT(ISERROR(SEARCH("NO INSTALADO",C443)))</formula>
    </cfRule>
    <cfRule type="containsText" dxfId="5" priority="321" operator="containsText" text="PEX DESAFILIADO">
      <formula>NOT(ISERROR(SEARCH("PEX DESAFILIADO",C443)))</formula>
    </cfRule>
    <cfRule type="containsText" dxfId="4" priority="320" operator="containsText" text="PEX BLOQUEADO">
      <formula>NOT(ISERROR(SEARCH("PEX BLOQUEADO",C443)))</formula>
    </cfRule>
    <cfRule type="cellIs" dxfId="3" priority="427" operator="equal">
      <formula>"NO"</formula>
    </cfRule>
  </conditionalFormatting>
  <conditionalFormatting sqref="D2:D466">
    <cfRule type="containsText" dxfId="2" priority="13321" operator="containsText" text="CONECTADO">
      <formula>NOT(ISERROR(SEARCH("CONECTADO",D2)))</formula>
    </cfRule>
    <cfRule type="containsText" dxfId="1" priority="13322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Taxi Directo 09</cp:lastModifiedBy>
  <cp:revision/>
  <dcterms:created xsi:type="dcterms:W3CDTF">2023-07-31T20:55:31Z</dcterms:created>
  <dcterms:modified xsi:type="dcterms:W3CDTF">2026-05-19T20:07:45Z</dcterms:modified>
  <cp:category/>
  <cp:contentStatus/>
</cp:coreProperties>
</file>